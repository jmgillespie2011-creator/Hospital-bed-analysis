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Y:\Data Analysts-Leeds\HES Publications 2024-25\ECDS\02. Draft Documents\"/>
    </mc:Choice>
  </mc:AlternateContent>
  <xr:revisionPtr revIDLastSave="0" documentId="13_ncr:1_{219141DA-76F2-4B02-A64C-B37C8BA6569F}" xr6:coauthVersionLast="47" xr6:coauthVersionMax="47" xr10:uidLastSave="{00000000-0000-0000-0000-000000000000}"/>
  <bookViews>
    <workbookView xWindow="-110" yWindow="-110" windowWidth="22780" windowHeight="14540" tabRatio="724" xr2:uid="{846297AC-E25F-4902-8823-83F88896CE1B}"/>
  </bookViews>
  <sheets>
    <sheet name="Title Page" sheetId="2" r:id="rId1"/>
    <sheet name="Table 1" sheetId="8" r:id="rId2"/>
    <sheet name="Table 2" sheetId="14" r:id="rId3"/>
    <sheet name="Table 3" sheetId="19" r:id="rId4"/>
    <sheet name="Table 4" sheetId="20" r:id="rId5"/>
    <sheet name="Table 5" sheetId="21" r:id="rId6"/>
    <sheet name="Table 6" sheetId="22" r:id="rId7"/>
    <sheet name="Table 7" sheetId="23" r:id="rId8"/>
    <sheet name="Table 8" sheetId="24" r:id="rId9"/>
    <sheet name="Table 9" sheetId="25" r:id="rId10"/>
    <sheet name="Table 10" sheetId="26" r:id="rId11"/>
    <sheet name="Table 11" sheetId="27" r:id="rId12"/>
    <sheet name="Table 12" sheetId="29" r:id="rId13"/>
    <sheet name="Table 13" sheetId="30" r:id="rId14"/>
    <sheet name="Notes" sheetId="32" r:id="rId15"/>
  </sheets>
  <definedNames>
    <definedName name="_xlnm._FilterDatabase" localSheetId="13" hidden="1">'Table 13'!$A$14:$J$245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49" i="30" l="1"/>
  <c r="K27" i="30"/>
  <c r="K28" i="30"/>
  <c r="K29" i="30"/>
  <c r="K30" i="30"/>
  <c r="K31" i="30"/>
  <c r="K32" i="30"/>
  <c r="K33" i="30"/>
  <c r="K34" i="30"/>
  <c r="K35" i="30"/>
  <c r="K36" i="30"/>
  <c r="K37" i="30"/>
  <c r="K38" i="30"/>
  <c r="K39" i="30"/>
  <c r="K40" i="30"/>
  <c r="K41" i="30"/>
  <c r="K42" i="30"/>
  <c r="K43" i="30"/>
  <c r="K44" i="30"/>
  <c r="K46" i="30"/>
  <c r="K47" i="30"/>
  <c r="K48" i="30"/>
  <c r="K49" i="30"/>
  <c r="K50" i="30"/>
  <c r="K51" i="30"/>
  <c r="K52" i="30"/>
  <c r="K53" i="30"/>
  <c r="K54" i="30"/>
  <c r="K55" i="30"/>
  <c r="K56" i="30"/>
  <c r="K57" i="30"/>
  <c r="K58" i="30"/>
  <c r="K59" i="30"/>
  <c r="K60" i="30"/>
  <c r="K61" i="30"/>
  <c r="K62" i="30"/>
  <c r="K63" i="30"/>
  <c r="K64" i="30"/>
  <c r="K65" i="30"/>
  <c r="K66" i="30"/>
  <c r="K67" i="30"/>
  <c r="K68" i="30"/>
  <c r="K69" i="30"/>
  <c r="K70" i="30"/>
  <c r="K71" i="30"/>
  <c r="K72" i="30"/>
  <c r="K73" i="30"/>
  <c r="K74" i="30"/>
  <c r="K75" i="30"/>
  <c r="K76" i="30"/>
  <c r="K77" i="30"/>
  <c r="K78" i="30"/>
  <c r="K79" i="30"/>
  <c r="K80" i="30"/>
  <c r="K81" i="30"/>
  <c r="K82" i="30"/>
  <c r="K83" i="30"/>
  <c r="K84" i="30"/>
  <c r="K85" i="30"/>
  <c r="K86" i="30"/>
  <c r="K87" i="30"/>
  <c r="K88" i="30"/>
  <c r="K89" i="30"/>
  <c r="K90" i="30"/>
  <c r="K91" i="30"/>
  <c r="K92" i="30"/>
  <c r="K93" i="30"/>
  <c r="K94" i="30"/>
  <c r="K95" i="30"/>
  <c r="K96" i="30"/>
  <c r="K97" i="30"/>
  <c r="K98" i="30"/>
  <c r="K99" i="30"/>
  <c r="K100" i="30"/>
  <c r="K101" i="30"/>
  <c r="K102" i="30"/>
  <c r="K103" i="30"/>
  <c r="K104" i="30"/>
  <c r="K105" i="30"/>
  <c r="K106" i="30"/>
  <c r="K107" i="30"/>
  <c r="K108" i="30"/>
  <c r="K109" i="30"/>
  <c r="K110" i="30"/>
  <c r="K111" i="30"/>
  <c r="K112" i="30"/>
  <c r="K113" i="30"/>
  <c r="K114" i="30"/>
  <c r="K115" i="30"/>
  <c r="K116" i="30"/>
  <c r="K117" i="30"/>
  <c r="K118" i="30"/>
  <c r="K119" i="30"/>
  <c r="K120" i="30"/>
  <c r="K121" i="30"/>
  <c r="K122" i="30"/>
  <c r="K123" i="30"/>
  <c r="K124" i="30"/>
  <c r="K125" i="30"/>
  <c r="K126" i="30"/>
  <c r="K127" i="30"/>
  <c r="K128" i="30"/>
  <c r="K129" i="30"/>
  <c r="K130" i="30"/>
  <c r="K131" i="30"/>
  <c r="K132" i="30"/>
  <c r="K133" i="30"/>
  <c r="K134" i="30"/>
  <c r="K135" i="30"/>
  <c r="K136" i="30"/>
  <c r="K137" i="30"/>
  <c r="K138" i="30"/>
  <c r="K139" i="30"/>
  <c r="K140" i="30"/>
  <c r="K141" i="30"/>
  <c r="K142" i="30"/>
  <c r="K143" i="30"/>
  <c r="K144" i="30"/>
  <c r="K145" i="30"/>
  <c r="K146" i="30"/>
  <c r="K147" i="30"/>
  <c r="K148" i="30"/>
  <c r="K149" i="30"/>
  <c r="K150" i="30"/>
  <c r="K151" i="30"/>
  <c r="K152" i="30"/>
  <c r="K153" i="30"/>
  <c r="K154" i="30"/>
  <c r="K155" i="30"/>
  <c r="K156" i="30"/>
  <c r="K157" i="30"/>
  <c r="K158" i="30"/>
  <c r="K159" i="30"/>
  <c r="K160" i="30"/>
  <c r="K161" i="30"/>
  <c r="K162" i="30"/>
  <c r="K163" i="30"/>
  <c r="K164" i="30"/>
  <c r="K165" i="30"/>
  <c r="K166" i="30"/>
  <c r="K167" i="30"/>
  <c r="K168" i="30"/>
  <c r="K169" i="30"/>
  <c r="K170" i="30"/>
  <c r="K171" i="30"/>
  <c r="K172" i="30"/>
  <c r="K173" i="30"/>
  <c r="K174" i="30"/>
  <c r="K175" i="30"/>
  <c r="K176" i="30"/>
  <c r="K177" i="30"/>
  <c r="K178" i="30"/>
  <c r="K179" i="30"/>
  <c r="K180" i="30"/>
  <c r="K181" i="30"/>
  <c r="K182" i="30"/>
  <c r="K183" i="30"/>
  <c r="K184" i="30"/>
  <c r="K185" i="30"/>
  <c r="K186" i="30"/>
  <c r="K187" i="30"/>
  <c r="K188" i="30"/>
  <c r="K189" i="30"/>
  <c r="K190" i="30"/>
  <c r="K191" i="30"/>
  <c r="K192" i="30"/>
  <c r="K193" i="30"/>
  <c r="K194" i="30"/>
  <c r="K195" i="30"/>
  <c r="K196" i="30"/>
  <c r="K197" i="30"/>
  <c r="K198" i="30"/>
  <c r="K199" i="30"/>
  <c r="K200" i="30"/>
  <c r="K201" i="30"/>
  <c r="K202" i="30"/>
  <c r="K203" i="30"/>
  <c r="K204" i="30"/>
  <c r="K205" i="30"/>
  <c r="K206" i="30"/>
  <c r="K207" i="30"/>
  <c r="K208" i="30"/>
  <c r="K209" i="30"/>
  <c r="K210" i="30"/>
  <c r="K211" i="30"/>
  <c r="K212" i="30"/>
  <c r="K213" i="30"/>
  <c r="K214" i="30"/>
  <c r="K215" i="30"/>
  <c r="K216" i="30"/>
  <c r="K217" i="30"/>
  <c r="K218" i="30"/>
  <c r="K219" i="30"/>
  <c r="K220" i="30"/>
  <c r="K221" i="30"/>
  <c r="K222" i="30"/>
  <c r="K223" i="30"/>
  <c r="K224" i="30"/>
  <c r="K225" i="30"/>
  <c r="K226" i="30"/>
  <c r="K227" i="30"/>
  <c r="K228" i="30"/>
  <c r="K229" i="30"/>
  <c r="K230" i="30"/>
  <c r="K231" i="30"/>
  <c r="K232" i="30"/>
  <c r="K233" i="30"/>
  <c r="K234" i="30"/>
  <c r="K235" i="30"/>
  <c r="K236" i="30"/>
  <c r="K237" i="30"/>
  <c r="K238" i="30"/>
  <c r="K239" i="30"/>
  <c r="K240" i="30"/>
  <c r="K241" i="30"/>
  <c r="K242" i="30"/>
  <c r="K243" i="30"/>
  <c r="K244" i="30"/>
  <c r="K245" i="30"/>
  <c r="K246" i="30"/>
  <c r="K247" i="30"/>
  <c r="K248" i="30"/>
  <c r="K26" i="30"/>
</calcChain>
</file>

<file path=xl/sharedStrings.xml><?xml version="1.0" encoding="utf-8"?>
<sst xmlns="http://schemas.openxmlformats.org/spreadsheetml/2006/main" count="1257" uniqueCount="648">
  <si>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</si>
  <si>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</si>
  <si>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</si>
  <si>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</si>
  <si>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</si>
  <si>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</si>
  <si>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</si>
  <si>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</si>
  <si>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</si>
  <si>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</si>
  <si>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</si>
  <si>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More about ECDS:</t>
  </si>
  <si>
    <t>Emergency Care Data Set (ECDS) - NHS Digital</t>
  </si>
  <si>
    <t>ECDS Technical Output Specification:</t>
  </si>
  <si>
    <t>DAPB0092-2062 : Commissioning Data Sets: Emergency Care Data Set - NHS Digital</t>
  </si>
  <si>
    <t>Table 1</t>
  </si>
  <si>
    <t>Summary of A&amp;E Attendances (MSitAE)</t>
  </si>
  <si>
    <t>2020-21</t>
  </si>
  <si>
    <t>2021-22</t>
  </si>
  <si>
    <t>MSitAE</t>
  </si>
  <si>
    <t>Population estimates</t>
  </si>
  <si>
    <t>2022-23</t>
  </si>
  <si>
    <t>https://www.ons.gov.uk/peoplepopulationandcommunity/populationandmigration/populationestimates/timeseries/enpop/pop</t>
  </si>
  <si>
    <t>Table 2</t>
  </si>
  <si>
    <t>A&amp;E Attendances by Department Type (MSitAE)</t>
  </si>
  <si>
    <t>The table below shows a count of all A&amp;E MSitAE attendances and ONS population estimates. Planned A&amp;E attendances are excluded.</t>
  </si>
  <si>
    <t>Activity recorded in English NHS Hospitals and English NHS commissioned activity in the independent sector. </t>
  </si>
  <si>
    <t>Major A&amp;E Departments</t>
  </si>
  <si>
    <t>Minor injuries and Walk In Centres</t>
  </si>
  <si>
    <t>Table 3</t>
  </si>
  <si>
    <t>Percentage of Patients Spending 4 Hours or Less in A&amp;E (MSitAE)</t>
  </si>
  <si>
    <t>Attendances 4 hours or less</t>
  </si>
  <si>
    <t>Attendances over 4 hours</t>
  </si>
  <si>
    <t>Total attendances</t>
  </si>
  <si>
    <t>% 4 Hours or Less</t>
  </si>
  <si>
    <r>
      <t xml:space="preserve">% Standard </t>
    </r>
    <r>
      <rPr>
        <vertAlign val="superscript"/>
        <sz val="10"/>
        <color rgb="FF000000"/>
        <rFont val="Arial"/>
        <family val="2"/>
      </rPr>
      <t>1</t>
    </r>
  </si>
  <si>
    <t>Table 4</t>
  </si>
  <si>
    <t>Average Number of Attendances of 4 Hours or Less (MSitAE)</t>
  </si>
  <si>
    <t>Under 4 hours attendances per day</t>
  </si>
  <si>
    <t>Under 4 hours per day 12 month rolling average</t>
  </si>
  <si>
    <t>Table 5</t>
  </si>
  <si>
    <t>Average Number of Attendances of over 4 Hours (MSitAE)</t>
  </si>
  <si>
    <t>Over 4 hours attendances per day</t>
  </si>
  <si>
    <t>Over 4 hours per day 12 month rolling average</t>
  </si>
  <si>
    <t xml:space="preserve">Percentage of Patients Spending 4 Hours or Less in A&amp;E by Provider (MSitAE) </t>
  </si>
  <si>
    <t>The table below shows a count of A&amp;E MSitAE attendances by A&amp;E department types. Planned A&amp;E attendances are excluded.</t>
  </si>
  <si>
    <t>Provider code</t>
  </si>
  <si>
    <t>Provider name</t>
  </si>
  <si>
    <t>A&amp;E Attendances</t>
  </si>
  <si>
    <t>Attendances waiting 4 hours or less</t>
  </si>
  <si>
    <t>Attendances waiting  over 4 hours</t>
  </si>
  <si>
    <t>Percentage waiting 4 hours or less</t>
  </si>
  <si>
    <t>R0A</t>
  </si>
  <si>
    <t>MANCHESTER UNIVERSITY NHS FOUNDATION TRUST</t>
  </si>
  <si>
    <t>R0B</t>
  </si>
  <si>
    <t>SOUTH TYNESIDE AND SUNDERLAND NHS FOUNDATION TRUST</t>
  </si>
  <si>
    <t>R1F</t>
  </si>
  <si>
    <t>ISLE OF WIGHT NHS TRUST</t>
  </si>
  <si>
    <t>R1H</t>
  </si>
  <si>
    <t>BARTS HEALTH NHS TRUST</t>
  </si>
  <si>
    <t>R1K</t>
  </si>
  <si>
    <t>LONDON NORTH WEST UNIVERSITY HEALTHCARE NHS TRUST</t>
  </si>
  <si>
    <t>RA2</t>
  </si>
  <si>
    <t>ROYAL SURREY COUNTY HOSPITAL NHS FOUNDATION TRUST</t>
  </si>
  <si>
    <t>RA7</t>
  </si>
  <si>
    <t>UNIVERSITY HOSPITALS BRISTOL AND WESTON NHS FOUNDATION TRUST</t>
  </si>
  <si>
    <t>RA9</t>
  </si>
  <si>
    <t>TORBAY AND SOUTH DEVON NHS FOUNDATION TRUST</t>
  </si>
  <si>
    <t>RAE</t>
  </si>
  <si>
    <t>BRADFORD TEACHING HOSPITALS NHS FOUNDATION TRUST</t>
  </si>
  <si>
    <t>RAJ</t>
  </si>
  <si>
    <t>MID AND SOUTH ESSEX NHS FOUNDATION TRUST</t>
  </si>
  <si>
    <t>RAL</t>
  </si>
  <si>
    <t>ROYAL FREE LONDON NHS FOUNDATION TRUST</t>
  </si>
  <si>
    <t>RAP</t>
  </si>
  <si>
    <t>NORTH MIDDLESEX UNIVERSITY HOSPITAL NHS TRUST</t>
  </si>
  <si>
    <t>RAS</t>
  </si>
  <si>
    <t>THE HILLINGDON HOSPITALS NHS FOUNDATION TRUST</t>
  </si>
  <si>
    <t>RAX</t>
  </si>
  <si>
    <t>KINGSTON HOSPITAL NHS FOUNDATION TRUST</t>
  </si>
  <si>
    <t>RBD</t>
  </si>
  <si>
    <t>DORSET COUNTY HOSPITAL NHS FOUNDATION TRUST</t>
  </si>
  <si>
    <t>RBK</t>
  </si>
  <si>
    <t>WALSALL HEALTHCARE NHS TRUST</t>
  </si>
  <si>
    <t>RBL</t>
  </si>
  <si>
    <t>WIRRAL UNIVERSITY TEACHING HOSPITAL NHS FOUNDATION TRUST</t>
  </si>
  <si>
    <t>RBN</t>
  </si>
  <si>
    <t>RBS</t>
  </si>
  <si>
    <t>ALDER HEY CHILDREN'S NHS FOUNDATION TRUST</t>
  </si>
  <si>
    <t>RBT</t>
  </si>
  <si>
    <t>MID CHESHIRE HOSPITALS NHS FOUNDATION TRUST</t>
  </si>
  <si>
    <t>RCB</t>
  </si>
  <si>
    <t>YORK AND SCARBOROUGH TEACHING HOSPITALS NHS FOUNDATION TRUST</t>
  </si>
  <si>
    <t>RCD</t>
  </si>
  <si>
    <t>HARROGATE AND DISTRICT NHS FOUNDATION TRUST</t>
  </si>
  <si>
    <t>RCF</t>
  </si>
  <si>
    <t>AIREDALE NHS FOUNDATION TRUST</t>
  </si>
  <si>
    <t>RCU</t>
  </si>
  <si>
    <t>SHEFFIELD CHILDREN'S NHS FOUNDATION TRUST</t>
  </si>
  <si>
    <t>RCX</t>
  </si>
  <si>
    <t>THE QUEEN ELIZABETH HOSPITAL, KING'S LYNN, NHS FOUNDATION TRUST</t>
  </si>
  <si>
    <t>RD1</t>
  </si>
  <si>
    <t>ROYAL UNITED HOSPITALS BATH NHS FOUNDATION TRUST</t>
  </si>
  <si>
    <t>RD8</t>
  </si>
  <si>
    <t>MILTON KEYNES UNIVERSITY HOSPITAL NHS FOUNDATION TRUST</t>
  </si>
  <si>
    <t>RDE</t>
  </si>
  <si>
    <t>EAST SUFFOLK AND NORTH ESSEX NHS FOUNDATION TRUST</t>
  </si>
  <si>
    <t>REF</t>
  </si>
  <si>
    <t>ROYAL CORNWALL HOSPITALS NHS TRUST</t>
  </si>
  <si>
    <t>REM</t>
  </si>
  <si>
    <t>LIVERPOOL UNIVERSITY HOSPITALS NHS FOUNDATION TRUST</t>
  </si>
  <si>
    <t>RF4</t>
  </si>
  <si>
    <t>BARKING, HAVERING AND REDBRIDGE UNIVERSITY HOSPITALS NHS TRUST</t>
  </si>
  <si>
    <t>RFF</t>
  </si>
  <si>
    <t>BARNSLEY HOSPITAL NHS FOUNDATION TRUST</t>
  </si>
  <si>
    <t>RFS</t>
  </si>
  <si>
    <t>CHESTERFIELD ROYAL HOSPITAL NHS FOUNDATION TRUST</t>
  </si>
  <si>
    <t>RGN</t>
  </si>
  <si>
    <t>NORTH WEST ANGLIA NHS FOUNDATION TRUST</t>
  </si>
  <si>
    <t>RGP</t>
  </si>
  <si>
    <t>JAMES PAGET UNIVERSITY HOSPITALS NHS FOUNDATION TRUST</t>
  </si>
  <si>
    <t>RH5</t>
  </si>
  <si>
    <t>SOMERSET NHS FOUNDATION TRUST</t>
  </si>
  <si>
    <t>RH8</t>
  </si>
  <si>
    <t>ROYAL DEVON UNIVERSITY HEALTHCARE NHS FOUNDATION TRUST</t>
  </si>
  <si>
    <t>RHM</t>
  </si>
  <si>
    <t>UNIVERSITY HOSPITAL SOUTHAMPTON NHS FOUNDATION TRUST</t>
  </si>
  <si>
    <t>RHQ</t>
  </si>
  <si>
    <t>SHEFFIELD TEACHING HOSPITALS NHS FOUNDATION TRUST</t>
  </si>
  <si>
    <t>RHW</t>
  </si>
  <si>
    <t>ROYAL BERKSHIRE NHS FOUNDATION TRUST</t>
  </si>
  <si>
    <t>RJ1</t>
  </si>
  <si>
    <t>GUY'S AND ST THOMAS' NHS FOUNDATION TRUST</t>
  </si>
  <si>
    <t>RJ2</t>
  </si>
  <si>
    <t>LEWISHAM AND GREENWICH NHS TRUST</t>
  </si>
  <si>
    <t>RJ6</t>
  </si>
  <si>
    <t>CROYDON HEALTH SERVICES NHS TRUST</t>
  </si>
  <si>
    <t>RJ7</t>
  </si>
  <si>
    <t>ST GEORGE'S UNIVERSITY HOSPITALS NHS FOUNDATION TRUST</t>
  </si>
  <si>
    <t>RJC</t>
  </si>
  <si>
    <t>SOUTH WARWICKSHIRE NHS FOUNDATION TRUST</t>
  </si>
  <si>
    <t>RJE</t>
  </si>
  <si>
    <t>UNIVERSITY HOSPITALS OF NORTH MIDLANDS NHS TRUST</t>
  </si>
  <si>
    <t>RJL</t>
  </si>
  <si>
    <t>NORTHERN LINCOLNSHIRE AND GOOLE NHS FOUNDATION TRUST</t>
  </si>
  <si>
    <t>RJN</t>
  </si>
  <si>
    <t>EAST CHESHIRE NHS TRUST</t>
  </si>
  <si>
    <t>RJR</t>
  </si>
  <si>
    <t>COUNTESS OF CHESTER HOSPITAL NHS FOUNDATION TRUST</t>
  </si>
  <si>
    <t>RJZ</t>
  </si>
  <si>
    <t>KING'S COLLEGE HOSPITAL NHS FOUNDATION TRUST</t>
  </si>
  <si>
    <t>RK5</t>
  </si>
  <si>
    <t>SHERWOOD FOREST HOSPITALS NHS FOUNDATION TRUST</t>
  </si>
  <si>
    <t>RKB</t>
  </si>
  <si>
    <t>UNIVERSITY HOSPITALS COVENTRY AND WARWICKSHIRE NHS TRUST</t>
  </si>
  <si>
    <t>RKE</t>
  </si>
  <si>
    <t>WHITTINGTON HEALTH NHS TRUST</t>
  </si>
  <si>
    <t>RL4</t>
  </si>
  <si>
    <t>THE ROYAL WOLVERHAMPTON NHS TRUST</t>
  </si>
  <si>
    <t>RLQ</t>
  </si>
  <si>
    <t>WYE VALLEY NHS TRUST</t>
  </si>
  <si>
    <t>RLT</t>
  </si>
  <si>
    <t>GEORGE ELIOT HOSPITAL NHS TRUST</t>
  </si>
  <si>
    <t>RM1</t>
  </si>
  <si>
    <t>NORFOLK AND NORWICH UNIVERSITY HOSPITALS NHS FOUNDATION TRUST</t>
  </si>
  <si>
    <t>RM3</t>
  </si>
  <si>
    <t>RMC</t>
  </si>
  <si>
    <t>BOLTON NHS FOUNDATION TRUST</t>
  </si>
  <si>
    <t>RMP</t>
  </si>
  <si>
    <t>TAMESIDE AND GLOSSOP INTEGRATED CARE NHS FOUNDATION TRUST</t>
  </si>
  <si>
    <t>RN3</t>
  </si>
  <si>
    <t>GREAT WESTERN HOSPITALS NHS FOUNDATION TRUST</t>
  </si>
  <si>
    <t>RN5</t>
  </si>
  <si>
    <t>HAMPSHIRE HOSPITALS NHS FOUNDATION TRUST</t>
  </si>
  <si>
    <t>RN7</t>
  </si>
  <si>
    <t>DARTFORD AND GRAVESHAM NHS TRUST</t>
  </si>
  <si>
    <t>RNA</t>
  </si>
  <si>
    <t>THE DUDLEY GROUP NHS FOUNDATION TRUST</t>
  </si>
  <si>
    <t>RNN</t>
  </si>
  <si>
    <t>NORTH CUMBRIA INTEGRATED CARE NHS FOUNDATION TRUST</t>
  </si>
  <si>
    <t>RNS</t>
  </si>
  <si>
    <t>NORTHAMPTON GENERAL HOSPITAL NHS TRUST</t>
  </si>
  <si>
    <t>RNZ</t>
  </si>
  <si>
    <t>SALISBURY NHS FOUNDATION TRUST</t>
  </si>
  <si>
    <t>RP5</t>
  </si>
  <si>
    <t>DONCASTER AND BASSETLAW TEACHING HOSPITALS NHS FOUNDATION TRUST</t>
  </si>
  <si>
    <t>RPA</t>
  </si>
  <si>
    <t>MEDWAY NHS FOUNDATION TRUST</t>
  </si>
  <si>
    <t>RQ3</t>
  </si>
  <si>
    <t>BIRMINGHAM WOMEN'S AND CHILDREN'S NHS FOUNDATION TRUST</t>
  </si>
  <si>
    <t>RQW</t>
  </si>
  <si>
    <t>THE PRINCESS ALEXANDRA HOSPITAL NHS TRUST</t>
  </si>
  <si>
    <t>RQX</t>
  </si>
  <si>
    <t>HOMERTON HEALTHCARE NHS FOUNDATION TRUST</t>
  </si>
  <si>
    <t>RR7</t>
  </si>
  <si>
    <t>GATESHEAD HEALTH NHS FOUNDATION TRUST</t>
  </si>
  <si>
    <t>RR8</t>
  </si>
  <si>
    <t>LEEDS TEACHING HOSPITALS NHS TRUST</t>
  </si>
  <si>
    <t>RRF</t>
  </si>
  <si>
    <t>WRIGHTINGTON, WIGAN AND LEIGH NHS FOUNDATION TRUST</t>
  </si>
  <si>
    <t>RRK</t>
  </si>
  <si>
    <t>UNIVERSITY HOSPITALS BIRMINGHAM NHS FOUNDATION TRUST</t>
  </si>
  <si>
    <t>RRV</t>
  </si>
  <si>
    <t>UNIVERSITY COLLEGE LONDON HOSPITALS NHS FOUNDATION TRUST</t>
  </si>
  <si>
    <t>RTD</t>
  </si>
  <si>
    <t>THE NEWCASTLE UPON TYNE HOSPITALS NHS FOUNDATION TRUST</t>
  </si>
  <si>
    <t>RTE</t>
  </si>
  <si>
    <t>GLOUCESTERSHIRE HOSPITALS NHS FOUNDATION TRUST</t>
  </si>
  <si>
    <t>RTF</t>
  </si>
  <si>
    <t>NORTHUMBRIA HEALTHCARE NHS FOUNDATION TRUST</t>
  </si>
  <si>
    <t>RTG</t>
  </si>
  <si>
    <t>UNIVERSITY HOSPITALS OF DERBY AND BURTON NHS FOUNDATION TRUST</t>
  </si>
  <si>
    <t>RTH</t>
  </si>
  <si>
    <t>OXFORD UNIVERSITY HOSPITALS NHS FOUNDATION TRUST</t>
  </si>
  <si>
    <t>RTK</t>
  </si>
  <si>
    <t>ASHFORD AND ST PETER'S HOSPITALS NHS FOUNDATION TRUST</t>
  </si>
  <si>
    <t>RTP</t>
  </si>
  <si>
    <t>SURREY AND SUSSEX HEALTHCARE NHS TRUST</t>
  </si>
  <si>
    <t>RTR</t>
  </si>
  <si>
    <t>SOUTH TEES HOSPITALS NHS FOUNDATION TRUST</t>
  </si>
  <si>
    <t>RTX</t>
  </si>
  <si>
    <t>UNIVERSITY HOSPITALS OF MORECAMBE BAY NHS FOUNDATION TRUST</t>
  </si>
  <si>
    <t>RVJ</t>
  </si>
  <si>
    <t>NORTH BRISTOL NHS TRUST</t>
  </si>
  <si>
    <t>RVR</t>
  </si>
  <si>
    <t>EPSOM AND ST HELIER UNIVERSITY HOSPITALS NHS TRUST</t>
  </si>
  <si>
    <t>RVV</t>
  </si>
  <si>
    <t>EAST KENT HOSPITALS UNIVERSITY NHS FOUNDATION TRUST</t>
  </si>
  <si>
    <t>RWA</t>
  </si>
  <si>
    <t>HULL UNIVERSITY TEACHING HOSPITALS NHS TRUST</t>
  </si>
  <si>
    <t>RWD</t>
  </si>
  <si>
    <t>UNITED LINCOLNSHIRE HOSPITALS NHS TRUST</t>
  </si>
  <si>
    <t>RWE</t>
  </si>
  <si>
    <t>UNIVERSITY HOSPITALS OF LEICESTER NHS TRUST</t>
  </si>
  <si>
    <t>RWF</t>
  </si>
  <si>
    <t>MAIDSTONE AND TUNBRIDGE WELLS NHS TRUST</t>
  </si>
  <si>
    <t>RWG</t>
  </si>
  <si>
    <t>WEST HERTFORDSHIRE TEACHING HOSPITALS NHS TRUST</t>
  </si>
  <si>
    <t>RWH</t>
  </si>
  <si>
    <t>EAST AND NORTH HERTFORDSHIRE NHS TRUST</t>
  </si>
  <si>
    <t>RWJ</t>
  </si>
  <si>
    <t>STOCKPORT NHS FOUNDATION TRUST</t>
  </si>
  <si>
    <t>RWP</t>
  </si>
  <si>
    <t>WORCESTERSHIRE ACUTE HOSPITALS NHS TRUST</t>
  </si>
  <si>
    <t>RWW</t>
  </si>
  <si>
    <t>WARRINGTON AND HALTON TEACHING HOSPITALS NHS FOUNDATION TRUST</t>
  </si>
  <si>
    <t>RWY</t>
  </si>
  <si>
    <t>CALDERDALE AND HUDDERSFIELD NHS FOUNDATION TRUST</t>
  </si>
  <si>
    <t>RXC</t>
  </si>
  <si>
    <t>EAST SUSSEX HEALTHCARE NHS TRUST</t>
  </si>
  <si>
    <t>RXK</t>
  </si>
  <si>
    <t>SANDWELL AND WEST BIRMINGHAM HOSPITALS NHS TRUST</t>
  </si>
  <si>
    <t>RXL</t>
  </si>
  <si>
    <t>BLACKPOOL TEACHING HOSPITALS NHS FOUNDATION TRUST</t>
  </si>
  <si>
    <t>RXN</t>
  </si>
  <si>
    <t>LANCASHIRE TEACHING HOSPITALS NHS FOUNDATION TRUST</t>
  </si>
  <si>
    <t>RXP</t>
  </si>
  <si>
    <t>COUNTY DURHAM AND DARLINGTON NHS FOUNDATION TRUST</t>
  </si>
  <si>
    <t>RXQ</t>
  </si>
  <si>
    <t>BUCKINGHAMSHIRE HEALTHCARE NHS TRUST</t>
  </si>
  <si>
    <t>RXR</t>
  </si>
  <si>
    <t>EAST LANCASHIRE HOSPITALS NHS TRUST</t>
  </si>
  <si>
    <t>RXW</t>
  </si>
  <si>
    <t>THE SHREWSBURY AND TELFORD HOSPITAL NHS TRUST</t>
  </si>
  <si>
    <t>RYR</t>
  </si>
  <si>
    <t>UNIVERSITY HOSPITALS SUSSEX NHS FOUNDATION TRUST</t>
  </si>
  <si>
    <t>Table 6</t>
  </si>
  <si>
    <t>Table 7</t>
  </si>
  <si>
    <t xml:space="preserve">Patients Waiting Over 12 Hours From Decision to Admit to Admission to a Ward (MSitAE) </t>
  </si>
  <si>
    <t>The table below shows a count and calculation of A&amp;E MSitAE attendances at hospital provider level by the waiting times for 'Type 1' departments only
Planned A&amp;E attendances are excluded.</t>
  </si>
  <si>
    <t>Over 12 hours wait</t>
  </si>
  <si>
    <t xml:space="preserve">Average Number of Attendances per Day by Month (MSitAE) </t>
  </si>
  <si>
    <t>Table 8</t>
  </si>
  <si>
    <t>April</t>
  </si>
  <si>
    <t>May</t>
  </si>
  <si>
    <t>June</t>
  </si>
  <si>
    <t>July</t>
  </si>
  <si>
    <t>August</t>
  </si>
  <si>
    <t>September</t>
  </si>
  <si>
    <t>October</t>
  </si>
  <si>
    <t>November</t>
  </si>
  <si>
    <t>December</t>
  </si>
  <si>
    <t>January</t>
  </si>
  <si>
    <t>February</t>
  </si>
  <si>
    <t>March</t>
  </si>
  <si>
    <t>The table below shows an average daily count of A&amp;E MSitAE attendances by month. Planned A&amp;E attendances are excluded.</t>
  </si>
  <si>
    <t>Table 9</t>
  </si>
  <si>
    <t>Percentage of Attendances Admitted from A&amp;E by Month (MSitAE)</t>
  </si>
  <si>
    <t>Month</t>
  </si>
  <si>
    <t>Emergency Admissions via A&amp;E</t>
  </si>
  <si>
    <t>Total Attendances</t>
  </si>
  <si>
    <t>Percentage Admitted</t>
  </si>
  <si>
    <t>The table below shows a count of all A&amp;E MSitAE attendances and a count and calculation of emergency admissions by month. Planned A&amp;E attendances are excluded.</t>
  </si>
  <si>
    <t>Percentage of Attendances Admitted from A&amp;E by Year (MSitAE)</t>
  </si>
  <si>
    <t>Percentage attendances via A&amp;E</t>
  </si>
  <si>
    <t>The table below shows annual counts of all A&amp;E MSitAE attendances and counts and calculations of emergency admissions. Planned A&amp;E attendances are excluded.</t>
  </si>
  <si>
    <t>Table 10</t>
  </si>
  <si>
    <t>Attendances Recorded by Type in A&amp;E ECDS and A&amp;E MSitAE</t>
  </si>
  <si>
    <t>Table 11</t>
  </si>
  <si>
    <t xml:space="preserve">Comparison of Unplanned A&amp;E Attendances in ECDS against those reported in MSitAE, broken down by the Organisation Type </t>
  </si>
  <si>
    <t>Table 12</t>
  </si>
  <si>
    <t>Table 13</t>
  </si>
  <si>
    <t>Number of A&amp;E Attendances, Recorded in A&amp;E HES (Excluding Planned Follow-up Attendances) and MSitAE by each Provider</t>
  </si>
  <si>
    <t>A&amp;E Department Type</t>
  </si>
  <si>
    <t>ECDS</t>
  </si>
  <si>
    <t>Type 1 - Consultant led A&amp;E</t>
  </si>
  <si>
    <t>Type 2 - Single specialty A&amp;E</t>
  </si>
  <si>
    <t>Total (Excluding planned follow-up)¹</t>
  </si>
  <si>
    <t>Types 3 - Minor Injury/Walk in units</t>
  </si>
  <si>
    <t>ECDS*</t>
  </si>
  <si>
    <t>All Providers</t>
  </si>
  <si>
    <t>NHS Trust</t>
  </si>
  <si>
    <t>Other NHS</t>
  </si>
  <si>
    <t>Private</t>
  </si>
  <si>
    <t>All attendances</t>
  </si>
  <si>
    <t>The table below shows counts of all A&amp;E ECDS and MSitAE attendances and counts by department type. Planned A&amp;E attendances are excluded.</t>
  </si>
  <si>
    <t>*Independent and invalid providers for ECDS data are not included in each of the Commissioning Regions, and are listed separately.</t>
  </si>
  <si>
    <t>The table below shows counts of all A&amp;E ECDS and MSitAE attendances and counts by hospital provider type. Planned A&amp;E attendances are excluded.</t>
  </si>
  <si>
    <t xml:space="preserve">The population estimates for 2020-21 and 2021-22 are the mid-year population estimates for England taken from Office for National Statistics (ONS). </t>
  </si>
  <si>
    <t xml:space="preserve">The population estimate for 2022-23 is the 2021 census result for England taken from Office for National Statistics (ONS). </t>
  </si>
  <si>
    <t>https://www.ons.gov.uk/peoplepopulationandcommunity/populationandmigration/populationestimates/bulletins/populationandhouseholdestimatesenglandandwales/census2021</t>
  </si>
  <si>
    <t>Provider description</t>
  </si>
  <si>
    <t>Code</t>
  </si>
  <si>
    <t>Total Attendances </t>
  </si>
  <si>
    <t>Number of attendances with a duration of less than or equal to 4 hrs in A&amp;E</t>
  </si>
  <si>
    <t>% of total attendances - 4 hrs or less in A&amp;E</t>
  </si>
  <si>
    <t>National</t>
  </si>
  <si>
    <t>ENG</t>
  </si>
  <si>
    <t>LONDON COMMISSIONING REGION (Y56)</t>
  </si>
  <si>
    <t>Y56</t>
  </si>
  <si>
    <t>SOUTH WEST COMMISSIONING REGION (Y58)</t>
  </si>
  <si>
    <t>Y58</t>
  </si>
  <si>
    <t>SOUTH EAST COMMISSIONING REGION (Y59)</t>
  </si>
  <si>
    <t>Y59</t>
  </si>
  <si>
    <t>MIDLANDS COMMISSIONING REGION (Y60)</t>
  </si>
  <si>
    <t>Y60</t>
  </si>
  <si>
    <t>EAST OF ENGLAND COMMISSIONING REGION (Y61)</t>
  </si>
  <si>
    <t>Y61</t>
  </si>
  <si>
    <t>NORTH WEST COMMISSIONING REGION (Y62)</t>
  </si>
  <si>
    <t>Y62</t>
  </si>
  <si>
    <t>NORTH EAST AND YORKSHIRE COMMISSIONING REGION (Y63)</t>
  </si>
  <si>
    <t>Y63</t>
  </si>
  <si>
    <t>8J094</t>
  </si>
  <si>
    <t>TETBURY HOSPITAL TRUST LTD</t>
  </si>
  <si>
    <t>AAH</t>
  </si>
  <si>
    <t>WHITSTABLE MEDICAL PRACTICE</t>
  </si>
  <si>
    <t>ACH01</t>
  </si>
  <si>
    <t>BECKENHAM BEACON UCC</t>
  </si>
  <si>
    <t>AD913</t>
  </si>
  <si>
    <t>WORKINGTON HEALTH LIMITED</t>
  </si>
  <si>
    <t>AJN</t>
  </si>
  <si>
    <t>PHL LYMINGTON UTC</t>
  </si>
  <si>
    <t>AQN04</t>
  </si>
  <si>
    <t>LOCAL CARE DIRECT</t>
  </si>
  <si>
    <t>ARN03</t>
  </si>
  <si>
    <t>AXG</t>
  </si>
  <si>
    <t>MARKET HARBOROUGH MED.CTR</t>
  </si>
  <si>
    <t>C82009</t>
  </si>
  <si>
    <t>LATHAM HOUSE MEDICAL PRACTICE</t>
  </si>
  <si>
    <t>C82038</t>
  </si>
  <si>
    <t>C83023</t>
  </si>
  <si>
    <t>HERTS URGENT CARE (ASCOTS LANE)</t>
  </si>
  <si>
    <t>DT301</t>
  </si>
  <si>
    <t>OKEHAMPTON MEDICAL CENTRE</t>
  </si>
  <si>
    <t>L83087</t>
  </si>
  <si>
    <t>FIRST COMMUNITY HEALTH AND CARE CIC</t>
  </si>
  <si>
    <t>NDJ</t>
  </si>
  <si>
    <t>ASSURA VERTIS URGENT CARE CENTRES (BIRMINGHAM)</t>
  </si>
  <si>
    <t>NL7</t>
  </si>
  <si>
    <t>SIRONA CARE &amp; HEALTH</t>
  </si>
  <si>
    <t>NLX</t>
  </si>
  <si>
    <t>NNF09</t>
  </si>
  <si>
    <t>NNF94</t>
  </si>
  <si>
    <t>GOOLE &amp; DISTRICT HOSPITAL</t>
  </si>
  <si>
    <t>NNFA7</t>
  </si>
  <si>
    <t>NNJ</t>
  </si>
  <si>
    <t>LOUGHBOROUGH URGENT CARE CENTRE</t>
  </si>
  <si>
    <t>NNJ07</t>
  </si>
  <si>
    <t>LLR EA - THE MERLYN VAZ HEALTH &amp; SOCIAL CARE CENTRE</t>
  </si>
  <si>
    <t>NNJ0H</t>
  </si>
  <si>
    <t>MARKET HARBOROUGH</t>
  </si>
  <si>
    <t>NNJ12</t>
  </si>
  <si>
    <t>MELTON MOWBRAY</t>
  </si>
  <si>
    <t>NNJ13</t>
  </si>
  <si>
    <t>OADBY</t>
  </si>
  <si>
    <t>NNJ14</t>
  </si>
  <si>
    <t>OAKHAM</t>
  </si>
  <si>
    <t>NNJ15</t>
  </si>
  <si>
    <t>-</t>
  </si>
  <si>
    <t>STATION PLAZA HEALTH CENTRE</t>
  </si>
  <si>
    <t>NQT51</t>
  </si>
  <si>
    <t>NQT5F</t>
  </si>
  <si>
    <t>NQT5H</t>
  </si>
  <si>
    <t>SUMMERFIELD URGENT CARE CENTRE</t>
  </si>
  <si>
    <t>NQTE4</t>
  </si>
  <si>
    <t>NOTTINGHAM CITYCARE PARTNERSHIP</t>
  </si>
  <si>
    <t>NR3</t>
  </si>
  <si>
    <t>NTP11</t>
  </si>
  <si>
    <t>NTPAD</t>
  </si>
  <si>
    <t>NTV0B</t>
  </si>
  <si>
    <t>NTV0W</t>
  </si>
  <si>
    <t>NV693</t>
  </si>
  <si>
    <t>UNIVERSITY HOSPITALS DORSET NHS FOUNDATION TRUST</t>
  </si>
  <si>
    <t>R0D</t>
  </si>
  <si>
    <t>SHROPSHIRE COMMUNITY HEALTH NHS TRUST</t>
  </si>
  <si>
    <t>R1D</t>
  </si>
  <si>
    <t>NORTH EAST LONDON NHS FOUNDATION TRUST</t>
  </si>
  <si>
    <t>RAT</t>
  </si>
  <si>
    <t>BEDFORDSHIRE HOSPITALS NHS FOUNDATION TRUST</t>
  </si>
  <si>
    <t>RC9</t>
  </si>
  <si>
    <t>SUSSEX COMMUNITY NHS FOUNDATION TRUST</t>
  </si>
  <si>
    <t>RDR</t>
  </si>
  <si>
    <t>FRIMLEY HEALTH NHS FOUNDATION TRUST</t>
  </si>
  <si>
    <t>RDU</t>
  </si>
  <si>
    <t>LIVERPOOL WOMEN'S NHS FOUNDATION TRUST</t>
  </si>
  <si>
    <t>REP</t>
  </si>
  <si>
    <t>THE ROTHERHAM NHS FOUNDATION TRUST</t>
  </si>
  <si>
    <t>RFR</t>
  </si>
  <si>
    <t>WEST SUFFOLK NHS FOUNDATION TRUST</t>
  </si>
  <si>
    <t>RGR</t>
  </si>
  <si>
    <t>CAMBRIDGE UNIVERSITY HOSPITALS NHS FOUNDATION TRUST</t>
  </si>
  <si>
    <t>RGT</t>
  </si>
  <si>
    <t>ROYAL DEVON AND EXETER NHS FOUNDATION TRUST</t>
  </si>
  <si>
    <t>PORTSMOUTH HOSPITALS NHS TRUST</t>
  </si>
  <si>
    <t>RHU</t>
  </si>
  <si>
    <t>PLYMOUTH HOSPITALS NHS TRUST</t>
  </si>
  <si>
    <t>RK9</t>
  </si>
  <si>
    <t>NORTHERN CARE ALLIANCE NHS FOUNDATION TRUST</t>
  </si>
  <si>
    <t>KETTERING GENERAL HOSPITAL NHS FOUNDATION TRUST</t>
  </si>
  <si>
    <t>RNQ</t>
  </si>
  <si>
    <t>OXFORD HEALTH NHS FOUNDATION TRUST</t>
  </si>
  <si>
    <t>RNU</t>
  </si>
  <si>
    <t>MOORFIELDS EYE HOSPITAL NHS FOUNDATION TRUST</t>
  </si>
  <si>
    <t>RP6</t>
  </si>
  <si>
    <t>QUEEN VICTORIA HOSPITAL NHS FOUNDATION TRUST</t>
  </si>
  <si>
    <t>RPC</t>
  </si>
  <si>
    <t>CHELSEA AND WESTMINSTER HOSPITAL NHS FOUNDATION TRUST</t>
  </si>
  <si>
    <t>RQM</t>
  </si>
  <si>
    <t>GLOUCESTERSHIRE HEALTH AND CARE NHS FOUNDATION TRUST</t>
  </si>
  <si>
    <t>RTQ</t>
  </si>
  <si>
    <t>HUMBER TEACHING NHS FOUNDATION TRUST</t>
  </si>
  <si>
    <t>RV9</t>
  </si>
  <si>
    <t>NORTH TEES AND HARTLEPOOL NHS FOUNDATION TRUST</t>
  </si>
  <si>
    <t>RVW</t>
  </si>
  <si>
    <t>SOUTHERN HEALTH NHS FOUNDATION TRUST</t>
  </si>
  <si>
    <t>RW1</t>
  </si>
  <si>
    <t>MERSEY CARE NHS FOUNDATION TRUST</t>
  </si>
  <si>
    <t>RW4</t>
  </si>
  <si>
    <t>WEST HERTFORDSHIRE HOSPITALS NHS TRUST</t>
  </si>
  <si>
    <t>WARRINGTON AND HALTON HOSPITALS NHS FOUNDATION TRUST</t>
  </si>
  <si>
    <t>BERKSHIRE HEALTHCARE NHS FOUNDATION TRUST</t>
  </si>
  <si>
    <t>RWX</t>
  </si>
  <si>
    <t>NOTTINGHAM UNIVERSITY HOSPITALS NHS TRUST</t>
  </si>
  <si>
    <t>RX1</t>
  </si>
  <si>
    <t>MID YORKSHIRE HOSPITALS NHS TRUST</t>
  </si>
  <si>
    <t>RXF</t>
  </si>
  <si>
    <t>SHREWSBURY AND TELFORD HOSPITAL NHS TRUST</t>
  </si>
  <si>
    <t>BRIDGEWATER COMMUNITY HEALTHCARE NHS FOUNDATION TRUST</t>
  </si>
  <si>
    <t>RY2</t>
  </si>
  <si>
    <t>HERTFORDSHIRE COMMUNITY NHS TRUST</t>
  </si>
  <si>
    <t>RY4</t>
  </si>
  <si>
    <t>LINCOLNSHIRE COMMUNITY HEALTH SERVICES NHS TRUST</t>
  </si>
  <si>
    <t>RY5</t>
  </si>
  <si>
    <t>RY7</t>
  </si>
  <si>
    <t>DERBYSHIRE COMMUNITY HEALTH SERVICES NHS FOUNDATION TRUST</t>
  </si>
  <si>
    <t>RY8</t>
  </si>
  <si>
    <t>SOUTH WESTERN AMBULANCE SERVICE NHS FOUNDATION TRUST</t>
  </si>
  <si>
    <t>RYF</t>
  </si>
  <si>
    <t>IMPERIAL COLLEGE HEALTHCARE NHS TRUST</t>
  </si>
  <si>
    <t>RYJ</t>
  </si>
  <si>
    <t>CENTRAL LONDON COMMUNITY HEALTHCARE NHS TRUST</t>
  </si>
  <si>
    <t>RYX</t>
  </si>
  <si>
    <t>KENT COMMUNITY HEALTH NHS FOUNDATION TRUST</t>
  </si>
  <si>
    <t>RYY</t>
  </si>
  <si>
    <t>URGENT CARE CENTRE (QMS)</t>
  </si>
  <si>
    <t>Y02147</t>
  </si>
  <si>
    <t>Y02428</t>
  </si>
  <si>
    <t>MIRIAM MINOR EMERGENCY</t>
  </si>
  <si>
    <t>Y02532</t>
  </si>
  <si>
    <t>SOUTH BIRMINGHAM GP WALK IN CENTRE</t>
  </si>
  <si>
    <t>Y02615</t>
  </si>
  <si>
    <t>BRIGHTON STATION HEALTH CENTRE</t>
  </si>
  <si>
    <t>Y02676</t>
  </si>
  <si>
    <t>Y03007</t>
  </si>
  <si>
    <t>Y03218</t>
  </si>
  <si>
    <t>CORBY URGENT CARE CENTRE</t>
  </si>
  <si>
    <t>WILTSHIRE HEALTH &amp; CARE</t>
  </si>
  <si>
    <t>SKELMERSDALE WALK IN CENTRE</t>
  </si>
  <si>
    <t>PAULTON MEMORIAL HOSPITAL</t>
  </si>
  <si>
    <t>PRACTICE PLUS GROUP SURGICAL CENTRE - ST MARYS PORTSMOUTH</t>
  </si>
  <si>
    <t>ASHFORD WALK-IN-CENTRE</t>
  </si>
  <si>
    <t>WOKING WALK IN CENTRE</t>
  </si>
  <si>
    <t>MERSEY AND WEST LANCASHIRE TEACHING HOSPITALS NHS TRUST</t>
  </si>
  <si>
    <t>WIRRAL COMMUNITY HEALTH AND CARE NHS FOUNDATION TRUST</t>
  </si>
  <si>
    <t>INDEPENDENT PROVIDERS</t>
  </si>
  <si>
    <t>2011-12</t>
  </si>
  <si>
    <t>2012-13</t>
  </si>
  <si>
    <t>2013-14</t>
  </si>
  <si>
    <t>2014-15</t>
  </si>
  <si>
    <t>2015-16</t>
  </si>
  <si>
    <t>2016-17</t>
  </si>
  <si>
    <t>2017-18</t>
  </si>
  <si>
    <t>2018-19</t>
  </si>
  <si>
    <t>2019-20</t>
  </si>
  <si>
    <t>MSitAE data is published monthly.</t>
  </si>
  <si>
    <t>*The count of providers in the below table is a count of the number of distinct provider codes from each data set. Where providers have submitted to each data set at a different level of aggregation, this will be reflected in the provider count. For example Peninsula Health - NLL makes a single submission to MSitAE under code NLL, but submits data to HES under 12 distinct site codes. In previous years, these data have been represented as counts of distinct three character codes, however, the inclusion of GP practice codes has made this methodology unsustainable for the future.</t>
  </si>
  <si>
    <t>https://digital.nhs.uk/data-and-information/publications/statistical/hospital-accident--emergency-activity/supporting-information</t>
  </si>
  <si>
    <t>2023-24</t>
  </si>
  <si>
    <t>LONDON NORTH WEST HEALTHCARE NHS TRUST</t>
  </si>
  <si>
    <t>YORK TEACHING HOSPITAL NHS FOUNDATION TRUST</t>
  </si>
  <si>
    <t>EAST SUFFOLK AND NORTH ESSEX NHS FOUNDATION TRUST </t>
  </si>
  <si>
    <t>HOMERTON UNIVERSITY HOSPITAL NHS FOUNDATION TRUST</t>
  </si>
  <si>
    <t>UNIVERSITY HOSPITALS OF DERBY AND BURTON NHS FOUNDATION TRUST </t>
  </si>
  <si>
    <t>HULL AND EAST YORKSHIRE HOSPITALS NHS TRUST</t>
  </si>
  <si>
    <t>Responsible Statistician: Karl Eichler</t>
  </si>
  <si>
    <t>BADGER LTD</t>
  </si>
  <si>
    <t>SLEAFORD MEDICAL GROUP</t>
  </si>
  <si>
    <t>BARKING HOSPITAL UTC</t>
  </si>
  <si>
    <t>G0Q0L</t>
  </si>
  <si>
    <t>HAROLD WOOD POLYCLINIC UTC</t>
  </si>
  <si>
    <t>K6K0R</t>
  </si>
  <si>
    <t>BRANSHOLME HEALTH CENTRE</t>
  </si>
  <si>
    <t>EAST RIDING COMMUNITY HOSPITAL</t>
  </si>
  <si>
    <t>DHU HEALTH CARE C.I.C</t>
  </si>
  <si>
    <t>PRACTICE PLUS GROUP HOSPITAL - SOUTHAMPTON</t>
  </si>
  <si>
    <t>ROSSENDALE MIU &amp; OOH</t>
  </si>
  <si>
    <t>PORTSMOUTH HOSPITALS UNIVERSITY NATIONAL HEALTH SERVICE TRUST</t>
  </si>
  <si>
    <t>SOUTH WARWICKSHIRE UNIVERSITY NHS FOUNDATION TRUST</t>
  </si>
  <si>
    <t>UNIVERSITY HOSPITALS PLYMOUTH NHS TRUST</t>
  </si>
  <si>
    <t>MID YORKSHIRE TEACHING NHS TRUST</t>
  </si>
  <si>
    <t>PUTNOE WALK IN CENTRE</t>
  </si>
  <si>
    <t>ERDINGTON GP HEALTH &amp; WELLBEING WIC</t>
  </si>
  <si>
    <t>THE PINN UNREGISTERED WIC</t>
  </si>
  <si>
    <t>READING URGENT CARE CENTRE</t>
  </si>
  <si>
    <t>Y07709</t>
  </si>
  <si>
    <t xml:space="preserve">The population estimates for 2023-24 are the mid-year population estimates for England taken from Office for National Statistics (ONS). </t>
  </si>
  <si>
    <t xml:space="preserve">https://www.ons.gov.uk/peoplepopulationandcommunity/populationandmigration/populationestimates/bulletins/populationestimatesforenglandandwales/mid2023 </t>
  </si>
  <si>
    <t>The table below shows a count and calculation of all A&amp;E MSitAE attendances and attendances by the following waiting times:
- Less than or equal to 4 hours from arrival. 
- More than 4 hours from arrival.
Planned A&amp;E attendances are excluded.</t>
  </si>
  <si>
    <t>* For some years there are some very small differences between the sum of the three attendance types and the total activity count for ECDS data. This is because the latter includes a very small number of attendances where the department type was listed as unknown..</t>
  </si>
  <si>
    <t>URGENT CARE CENTRE</t>
  </si>
  <si>
    <t>AD903</t>
  </si>
  <si>
    <t>URGENT CARE CENTRE- HURLEY GROUP HQ</t>
  </si>
  <si>
    <t>AH6</t>
  </si>
  <si>
    <t>MALLING HEALTH</t>
  </si>
  <si>
    <t>ANH</t>
  </si>
  <si>
    <t>TOWER HAMLETS GP CARE GROUP CIC</t>
  </si>
  <si>
    <t>AXA</t>
  </si>
  <si>
    <t>AXT05</t>
  </si>
  <si>
    <t>HEALTH &amp; WELLBEING CENTRE</t>
  </si>
  <si>
    <t>D0W0K</t>
  </si>
  <si>
    <t>HERNE BAY HEALTH CARE LTD</t>
  </si>
  <si>
    <t>DJV01</t>
  </si>
  <si>
    <t>ERDINGTON HEALTH AND WELLBEING WALK IN CENTRE</t>
  </si>
  <si>
    <t>DX802</t>
  </si>
  <si>
    <t>WHITEGATE DRIVE HEALTH CENTRE</t>
  </si>
  <si>
    <t>F4I4D</t>
  </si>
  <si>
    <t>MIU/UTC @ TETBURY HOSPITAL TRUST LTD</t>
  </si>
  <si>
    <t>F7H7R</t>
  </si>
  <si>
    <t>MALTON URGENT TREATMENT CENTRE</t>
  </si>
  <si>
    <t>K3O1X</t>
  </si>
  <si>
    <t>SELLY OAK HEALTH CENTRE</t>
  </si>
  <si>
    <t>NIT03</t>
  </si>
  <si>
    <t>SCARBOROUGH URGENT CARE CENTRE</t>
  </si>
  <si>
    <t>NLO08</t>
  </si>
  <si>
    <t>YORK HOSPITAL URGENT CARE CENTRE</t>
  </si>
  <si>
    <t>NLO24</t>
  </si>
  <si>
    <t>CITY HEALTH CARE PARTNERSHIP CIC</t>
  </si>
  <si>
    <t>NNF</t>
  </si>
  <si>
    <t>HCRG CARE LTD</t>
  </si>
  <si>
    <t>NQT</t>
  </si>
  <si>
    <t>NQT5G</t>
  </si>
  <si>
    <t>PRACTICE PLUS GROUP URGENT TREATMENT CENTRE - SOUTHAMPTON</t>
  </si>
  <si>
    <t>NTPAN</t>
  </si>
  <si>
    <t>PRACTICE PLUS GROUP HOSPITAL - SHEPTON MALLET</t>
  </si>
  <si>
    <t>NTPH1</t>
  </si>
  <si>
    <t>FAVERSHAM MIU</t>
  </si>
  <si>
    <t>NVE16</t>
  </si>
  <si>
    <t>OPEROSE HEALTH (GROUP) UK LIMITED</t>
  </si>
  <si>
    <t>NX1</t>
  </si>
  <si>
    <t>NXL03</t>
  </si>
  <si>
    <t>BRACKNELL URGENT TREATMENT CENTRE</t>
  </si>
  <si>
    <t>Q0C6J</t>
  </si>
  <si>
    <t>PARTNERSHIP OF EAST LONDON COOPERATIVES</t>
  </si>
  <si>
    <t>S4K9Q</t>
  </si>
  <si>
    <t>DERBY URGENT TREATMENT CENTRE</t>
  </si>
  <si>
    <t>S6U2C</t>
  </si>
  <si>
    <t>Unknown</t>
  </si>
  <si>
    <t>URGENT TREATMENT CENTRE</t>
  </si>
  <si>
    <t>V3G5N</t>
  </si>
  <si>
    <t>BLACKPOOL VICTORIA URGENT CARE CENTRE</t>
  </si>
  <si>
    <t>W5R9N</t>
  </si>
  <si>
    <t>*</t>
  </si>
  <si>
    <t>MSitAE data are published monthly.</t>
  </si>
  <si>
    <t>Data Quality Note</t>
  </si>
  <si>
    <t>The figures presented in the above table reflect the updated methodology. This only affects the split of ECDS activity; MSitAE data is unaffected</t>
  </si>
  <si>
    <t>ECDS as % of MSitAE</t>
  </si>
  <si>
    <t>We have therefore amended the data for 2020-21 - 2022-23 to ensure that activity for previous years is assigned to the correct organisation type.</t>
  </si>
  <si>
    <t>We have identified an error in the way ECDS activity was assigned to 'Other NHS' organisation types for this table.</t>
  </si>
  <si>
    <t>ECDS Disclosure Control - In order to protect patient confidentiality '*' appears in the table above for all sub-national breakdowns, where it is possible to calculate a value between 1 and 7 from the data presented. All other sub-national data has been rounded to the nearest 5 for HES based measures only.
Percentages - when calculating percentages at sub-national level:
1) Where the numerator or denominator is between 1 and 7 (inclusive), no percentage or rate is calculated, and a ’*’ will be displayed.
2) Where the numerator is zero, the percentage will be 0%.
3) Where the unrounded numerator and denominator are greater than or equal to 8, a percentage or rate is calculated using the rounded numerator or denominator.
HES and ECDS outputs produced by the Secondary Care Analysis team will therefore only display a calculated percentage to the nearest whole number where the rounded denominator is greater than or equal to 400.</t>
  </si>
  <si>
    <t>Number of attendances with a duration of more than 4 hrs in A&amp;E</t>
  </si>
  <si>
    <t xml:space="preserve">This is a joint publication between the Secondary Care Open Data and Publications Team and the Urgent and Emergency Care Teams. Each team uses a different data source for Accident &amp; Emergency Data which enables a wider set of breakdowns and measures in the detailed reports.  
The data sources for this publication are:
• Emergency Care Dataset (ECDS)
• A&amp;E Attendances and Emergency Admissions Monthly Situation Reports (MSitAE) 
This file provides some high level analyses of both ECDS and MSitAE data relating to A&amp;E attendances in NHS hospitals, minor injury units and walk-in centres. This document provides data tables to support the summary report and to provide additional analysis. The annual publication covers the financial year ending March 2024 as well as earlier time periods.
</t>
  </si>
  <si>
    <t>The table below shows counts of all A&amp;E ECDS and MSitAE attendances, counts by waiting times by Commissioning Regions and hospital provider level. Planned A&amp;E attendances are excluded.</t>
  </si>
  <si>
    <t>Hospital Accident &amp; Emergency Activity, 2024-25 - NHS England Digital</t>
  </si>
  <si>
    <t>Summary of A&amp;E Attendances (MSitAE), 2011-12 to 2024-25</t>
  </si>
  <si>
    <t>A&amp;E Attendances by Department Type (MSitAE), 2011-12 to 2024-25</t>
  </si>
  <si>
    <t>Percentage of Patients Spending 4 Hours or Less in A&amp;E (MSitAE), 2011-12 to 2024-25</t>
  </si>
  <si>
    <t>Average Number of Attendances of 4 Hours or Less (MSitAE), 2012-13 to 2024-25</t>
  </si>
  <si>
    <t>Average Number of Attendances Over 4 Hours (MSitAE), 2012-13 to 2024-25</t>
  </si>
  <si>
    <t>Percentage of Patients Spending 4 Hours or Less in A&amp;E by Provider (MSitAE), 2024-25</t>
  </si>
  <si>
    <t>Patients Waiting Over 12 Hours From Decision to Admit to Admission to a Ward (MSitAE), 2012-13 to 2024-25</t>
  </si>
  <si>
    <t>Average Number of Attendances per Day by Month (MSitAE), 2018-19 to 2024-25</t>
  </si>
  <si>
    <t>Percentage of Attendances Admitted from A&amp;E by Month (MSitAE), 2018-19 to 2024-25</t>
  </si>
  <si>
    <t>Percentage of Attendances Admitted from A&amp;E by Year (MSitAE), 2011-12 to 2024-25</t>
  </si>
  <si>
    <t>Attendances Recorded by Type in A&amp;E ECDS and A&amp;E MSitAE, 2020-21 to 2024-25</t>
  </si>
  <si>
    <t>Comparison of Unplanned A&amp;E Attendances in ECDS against those reported in MSitAE, broken down by the Organisation Type, 2020-21 to 2024-25</t>
  </si>
  <si>
    <t>Number of A&amp;E Attendances, Recorded in A&amp;E HES (Excluding Planned Follow-up Attendances) and MSitAE by each Provider, 2024-25</t>
  </si>
  <si>
    <t>2024-25</t>
  </si>
  <si>
    <t>Copyright © 2025, NHS England.</t>
  </si>
  <si>
    <t xml:space="preserve">The population estimates for 2024-25 are the mid-year population estimates for England taken from Office for National Statistics (ONS). </t>
  </si>
  <si>
    <t>Copyright © 2025</t>
  </si>
  <si>
    <t>https://www.england.nhs.uk/statistics/statistical-work-areas/ae-waiting-times-and-activity/ae-attendances-and-emergency-admissions-2024-25/</t>
  </si>
  <si>
    <t>Publication date: 25th September 2025</t>
  </si>
  <si>
    <r>
      <t>Hospital Accident and Emergency Activity - 2024-25</t>
    </r>
    <r>
      <rPr>
        <sz val="27"/>
        <color rgb="FF005EB8"/>
        <rFont val="Arial"/>
        <family val="2"/>
      </rPr>
      <t xml:space="preserve">
</t>
    </r>
  </si>
  <si>
    <t>The table below shows a monthly count of A&amp;E MSitAE attendances by the waiting times daily and by a rolling annual average.
Planned A&amp;E attendances are excluded.</t>
  </si>
  <si>
    <t>The table below shows a count of A&amp;E MSitAE attendances by the waiting times.                     Planned A&amp;E attendances are excluded.</t>
  </si>
  <si>
    <t>NEMS UTC</t>
  </si>
  <si>
    <t>A5D4Q</t>
  </si>
  <si>
    <t>NNF16</t>
  </si>
  <si>
    <t>BRIDLINGTON HOSPITAL</t>
  </si>
  <si>
    <t>MSitAE 2024-25</t>
  </si>
  <si>
    <t>KINGSTON AND RICHMOND NHS FOUNDATION TRUST</t>
  </si>
  <si>
    <t>UNITED LINCOLNSHIRE TEACHING HOSPITALS NHS TRUST</t>
  </si>
  <si>
    <t>https://www.ons.gov.uk/peoplepopulationandcommunity/populationandmigration/populationestimates/bulletins/populationestimatesforenglandandwales/mid2024</t>
  </si>
  <si>
    <t xml:space="preserve">*Total activity data includes data for all providers but between May 2019 and May 2023 the four hour performance data does not include data from the fourteen trusts that undertook the clinical review of access standards (CRS). (See Notes for a list of these providers). </t>
  </si>
  <si>
    <t>While MSitAE data for these providers shows total activity for the whole year, attendances less than or equal to 4 hours or greater than 4 hours duration are only shown from June 2023 onwards. This is reflected in MSitAE national and commissioning region totals such that the sum of attendances less than or equal to 4 hours duration or greater than 4 hours duration will be slightly lower than the total number of attendances, due to the exclusion of data relating to activity up to May 2023 for these providers.</t>
  </si>
  <si>
    <t>* Fourteen hospital trusts are excluded from the MSitAE counts to 2022-23 and partially excluded from 2023-24 due to their involvement with testing new proposal standards for emergency care, which was in operation up to May 2023. More details can be found in Notes.</t>
  </si>
  <si>
    <t>*Activity data includes data for all providers but between May 2019 and May 2023 the four hour performance data does not include data from the fourteen trusts that undertook the clinical review of access standards (CRS). For this reason care should be taken when comparing performance from this period to other months. More details can be found in Notes.</t>
  </si>
  <si>
    <t>*Activity data includes data for all providers but between May 2019 and May 2023 the four hour performance data does not include data from the fourteen trusts that undertook the clinical review of access standards (CRS). (See Notes for a list of these providers). For this reason care should be taken when comparing performance from this period to other months.</t>
  </si>
  <si>
    <t>Provider Name</t>
  </si>
  <si>
    <t>Provider Code</t>
  </si>
  <si>
    <t>Impact of CRS on National A&amp;E timeseries</t>
  </si>
  <si>
    <t xml:space="preserve">Fourteen hospital trusts are partially excluded from the MSitAE ‘Number and percentage attendances 4 hours or less / over 4 hours’ (listed below) due to their involvement with testing new proposal standards for emergency care, which was in operation up to May 2023 and made them exempt from this measure. More details can be found on the link below. </t>
  </si>
  <si>
    <t xml:space="preserve">Clinical Review of Standards Field Test </t>
  </si>
  <si>
    <t>ECDS 2024-25</t>
  </si>
  <si>
    <t>D9Y0V</t>
  </si>
  <si>
    <t>DCX01</t>
  </si>
  <si>
    <t>R6H5N</t>
  </si>
  <si>
    <t>The table below shows a monthly count of A&amp;E MSitAE attendances by the waiting times daily and by a rolling annual average
Planned A&amp;E attendances are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</si>
</sst>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_);_(* \(#,##0.00\);_(* &quot;-&quot;??_);_(@_)"/>
    <numFmt numFmtId="165" formatCode="_(* #,##0_);_(* \(#,##0\);_(* &quot;-&quot;??_);_(@_)"/>
    <numFmt numFmtId="166" formatCode="0.0%"/>
    <numFmt numFmtId="167" formatCode="0.00000000%"/>
    <numFmt numFmtId="168" formatCode="#,##0.0"/>
    <numFmt numFmtId="169" formatCode="_-* #,##0_-;\-* #,##0_-;_-* &quot;-&quot;??_-;_-@_-"/>
    <numFmt numFmtId="170" formatCode="#,##0.0000000000"/>
  </numFmts>
  <fonts count="38" x14ac:knownFonts="1">
    <font>
      <sz val="12"/>
      <color theme="1"/>
      <name val="Arial"/>
      <family val="2"/>
    </font>
    <font>
      <sz val="11"/>
      <color theme="1"/>
      <name val="Calibri"/>
      <family val="2"/>
      <scheme val="minor"/>
    </font>
    <font>
      <sz val="11"/>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sz val="27"/>
      <color rgb="FF005EB8"/>
      <name val="Arial"/>
      <family val="2"/>
    </font>
    <font>
      <b/>
      <sz val="10"/>
      <color indexed="8"/>
      <name val="Arial"/>
      <family val="2"/>
    </font>
    <font>
      <b/>
      <sz val="10"/>
      <name val="Arial"/>
      <family val="2"/>
    </font>
    <font>
      <vertAlign val="superscript"/>
      <sz val="10"/>
      <color rgb="FF000000"/>
      <name val="Arial"/>
      <family val="2"/>
    </font>
    <font>
      <sz val="11"/>
      <color theme="1"/>
      <name val="Calibri"/>
      <family val="2"/>
      <scheme val="minor"/>
    </font>
    <font>
      <sz val="12"/>
      <color theme="1"/>
      <name val="Arial"/>
      <family val="2"/>
    </font>
    <font>
      <i/>
      <sz val="10"/>
      <name val="Arial"/>
      <family val="2"/>
    </font>
    <font>
      <sz val="15"/>
      <color rgb="FF202124"/>
      <name val="Arial"/>
      <family val="2"/>
    </font>
    <font>
      <sz val="11"/>
      <color rgb="FFFF0000"/>
      <name val="Arial"/>
      <family val="2"/>
    </font>
    <font>
      <sz val="10"/>
      <color rgb="FFFF0000"/>
      <name val="Arial"/>
      <family val="2"/>
    </font>
    <font>
      <b/>
      <i/>
      <sz val="10"/>
      <name val="Arial"/>
      <family val="2"/>
    </font>
    <font>
      <sz val="9"/>
      <name val="Arial"/>
      <family val="2"/>
    </font>
    <font>
      <sz val="9"/>
      <color theme="1"/>
      <name val="Arial"/>
      <family val="2"/>
    </font>
    <font>
      <sz val="10"/>
      <color theme="10"/>
      <name val="Arial"/>
      <family val="2"/>
    </font>
    <font>
      <sz val="11"/>
      <color rgb="FFFF0000"/>
      <name val="Calibri"/>
      <family val="2"/>
    </font>
    <font>
      <u/>
      <sz val="11"/>
      <color theme="10"/>
      <name val="Arial"/>
      <family val="2"/>
    </font>
    <font>
      <sz val="11"/>
      <name val="Arial"/>
      <family val="2"/>
    </font>
    <font>
      <b/>
      <sz val="11"/>
      <name val="Calibri"/>
      <family val="2"/>
    </font>
    <font>
      <b/>
      <sz val="10"/>
      <color rgb="FF000000"/>
      <name val="Arial"/>
      <family val="2"/>
    </font>
    <font>
      <sz val="8"/>
      <name val="Arial"/>
      <family val="2"/>
    </font>
    <font>
      <b/>
      <i/>
      <sz val="10"/>
      <color theme="1"/>
      <name val="Arial"/>
      <family val="2"/>
    </font>
    <font>
      <i/>
      <sz val="10"/>
      <color theme="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182">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dotted">
        <color indexed="64"/>
      </left>
      <right style="medium">
        <color indexed="64"/>
      </right>
      <top style="medium">
        <color indexed="64"/>
      </top>
      <bottom/>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right style="dotted">
        <color indexed="64"/>
      </right>
      <top style="medium">
        <color indexed="64"/>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medium">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dotted">
        <color indexed="64"/>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right style="medium">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right style="medium">
        <color indexed="64"/>
      </right>
      <top style="dotted">
        <color indexed="64"/>
      </top>
      <bottom style="medium">
        <color indexed="64"/>
      </bottom>
      <diagonal/>
    </border>
    <border>
      <left style="medium">
        <color indexed="64"/>
      </left>
      <right style="medium">
        <color indexed="64"/>
      </right>
      <top style="medium">
        <color indexed="64"/>
      </top>
      <bottom/>
      <diagonal/>
    </border>
    <border>
      <left style="hair">
        <color indexed="64"/>
      </left>
      <right style="medium">
        <color indexed="64"/>
      </right>
      <top style="medium">
        <color indexed="64"/>
      </top>
      <bottom style="hair">
        <color indexed="64"/>
      </bottom>
      <diagonal/>
    </border>
    <border>
      <left style="medium">
        <color indexed="64"/>
      </left>
      <right style="medium">
        <color indexed="64"/>
      </right>
      <top style="dotted">
        <color indexed="64"/>
      </top>
      <bottom/>
      <diagonal/>
    </border>
    <border>
      <left style="hair">
        <color indexed="64"/>
      </left>
      <right style="medium">
        <color indexed="64"/>
      </right>
      <top style="hair">
        <color indexed="64"/>
      </top>
      <bottom style="hair">
        <color indexed="64"/>
      </bottom>
      <diagonal/>
    </border>
    <border>
      <left style="medium">
        <color indexed="64"/>
      </left>
      <right style="medium">
        <color indexed="64"/>
      </right>
      <top style="dotted">
        <color indexed="64"/>
      </top>
      <bottom style="dotted">
        <color indexed="64"/>
      </bottom>
      <diagonal/>
    </border>
    <border>
      <left style="medium">
        <color indexed="64"/>
      </left>
      <right style="medium">
        <color indexed="64"/>
      </right>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medium">
        <color indexed="64"/>
      </bottom>
      <diagonal/>
    </border>
    <border>
      <left/>
      <right style="dotted">
        <color indexed="64"/>
      </right>
      <top style="medium">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medium">
        <color indexed="64"/>
      </top>
      <bottom style="medium">
        <color indexed="64"/>
      </bottom>
      <diagonal/>
    </border>
    <border>
      <left style="dotted">
        <color indexed="64"/>
      </left>
      <right/>
      <top style="medium">
        <color indexed="64"/>
      </top>
      <bottom style="dotted">
        <color indexed="64"/>
      </bottom>
      <diagonal/>
    </border>
    <border>
      <left style="dotted">
        <color indexed="64"/>
      </left>
      <right/>
      <top/>
      <bottom style="dotted">
        <color indexed="64"/>
      </bottom>
      <diagonal/>
    </border>
    <border>
      <left style="dotted">
        <color indexed="64"/>
      </left>
      <right style="dotted">
        <color indexed="64"/>
      </right>
      <top/>
      <bottom style="medium">
        <color indexed="64"/>
      </bottom>
      <diagonal/>
    </border>
    <border>
      <left style="dotted">
        <color indexed="64"/>
      </left>
      <right style="medium">
        <color indexed="64"/>
      </right>
      <top/>
      <bottom style="medium">
        <color indexed="64"/>
      </bottom>
      <diagonal/>
    </border>
    <border>
      <left style="medium">
        <color indexed="64"/>
      </left>
      <right style="medium">
        <color indexed="8"/>
      </right>
      <top style="medium">
        <color indexed="64"/>
      </top>
      <bottom style="medium">
        <color indexed="8"/>
      </bottom>
      <diagonal/>
    </border>
    <border>
      <left style="medium">
        <color indexed="8"/>
      </left>
      <right style="dotted">
        <color indexed="64"/>
      </right>
      <top style="medium">
        <color indexed="64"/>
      </top>
      <bottom style="medium">
        <color indexed="8"/>
      </bottom>
      <diagonal/>
    </border>
    <border>
      <left/>
      <right style="dotted">
        <color indexed="64"/>
      </right>
      <top style="medium">
        <color indexed="64"/>
      </top>
      <bottom style="medium">
        <color indexed="8"/>
      </bottom>
      <diagonal/>
    </border>
    <border>
      <left/>
      <right style="medium">
        <color indexed="8"/>
      </right>
      <top style="medium">
        <color indexed="64"/>
      </top>
      <bottom style="medium">
        <color indexed="8"/>
      </bottom>
      <diagonal/>
    </border>
    <border>
      <left style="dotted">
        <color indexed="64"/>
      </left>
      <right style="dotted">
        <color indexed="64"/>
      </right>
      <top style="medium">
        <color indexed="64"/>
      </top>
      <bottom style="medium">
        <color indexed="8"/>
      </bottom>
      <diagonal/>
    </border>
    <border>
      <left style="medium">
        <color indexed="64"/>
      </left>
      <right style="medium">
        <color indexed="8"/>
      </right>
      <top style="medium">
        <color indexed="8"/>
      </top>
      <bottom style="dotted">
        <color indexed="8"/>
      </bottom>
      <diagonal/>
    </border>
    <border>
      <left style="medium">
        <color indexed="8"/>
      </left>
      <right style="dotted">
        <color indexed="64"/>
      </right>
      <top style="medium">
        <color indexed="8"/>
      </top>
      <bottom style="dotted">
        <color indexed="8"/>
      </bottom>
      <diagonal/>
    </border>
    <border>
      <left style="dotted">
        <color indexed="64"/>
      </left>
      <right style="dotted">
        <color indexed="64"/>
      </right>
      <top style="medium">
        <color indexed="8"/>
      </top>
      <bottom style="dotted">
        <color indexed="8"/>
      </bottom>
      <diagonal/>
    </border>
    <border>
      <left style="dotted">
        <color indexed="8"/>
      </left>
      <right style="medium">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medium">
        <color indexed="8"/>
      </right>
      <top style="dotted">
        <color indexed="8"/>
      </top>
      <bottom style="dotted">
        <color indexed="8"/>
      </bottom>
      <diagonal/>
    </border>
    <border>
      <left style="medium">
        <color indexed="8"/>
      </left>
      <right style="dotted">
        <color indexed="64"/>
      </right>
      <top style="dotted">
        <color indexed="8"/>
      </top>
      <bottom style="dotted">
        <color indexed="8"/>
      </bottom>
      <diagonal/>
    </border>
    <border>
      <left style="dotted">
        <color indexed="64"/>
      </left>
      <right style="dotted">
        <color indexed="64"/>
      </right>
      <top style="dotted">
        <color indexed="8"/>
      </top>
      <bottom style="dotted">
        <color indexed="8"/>
      </bottom>
      <diagonal/>
    </border>
    <border>
      <left/>
      <right/>
      <top style="medium">
        <color indexed="8"/>
      </top>
      <bottom style="medium">
        <color indexed="64"/>
      </bottom>
      <diagonal/>
    </border>
    <border>
      <left/>
      <right style="medium">
        <color indexed="64"/>
      </right>
      <top style="medium">
        <color indexed="8"/>
      </top>
      <bottom style="medium">
        <color indexed="64"/>
      </bottom>
      <diagonal/>
    </border>
    <border>
      <left/>
      <right style="medium">
        <color indexed="8"/>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style="medium">
        <color indexed="64"/>
      </left>
      <right style="dotted">
        <color indexed="64"/>
      </right>
      <top style="medium">
        <color indexed="8"/>
      </top>
      <bottom style="medium">
        <color indexed="8"/>
      </bottom>
      <diagonal/>
    </border>
    <border>
      <left style="medium">
        <color indexed="8"/>
      </left>
      <right style="medium">
        <color indexed="8"/>
      </right>
      <top style="dotted">
        <color indexed="8"/>
      </top>
      <bottom style="dotted">
        <color indexed="8"/>
      </bottom>
      <diagonal/>
    </border>
    <border>
      <left style="medium">
        <color indexed="64"/>
      </left>
      <right style="dotted">
        <color indexed="64"/>
      </right>
      <top style="dotted">
        <color indexed="8"/>
      </top>
      <bottom style="dotted">
        <color indexed="8"/>
      </bottom>
      <diagonal/>
    </border>
    <border>
      <left/>
      <right style="medium">
        <color indexed="8"/>
      </right>
      <top style="dotted">
        <color indexed="8"/>
      </top>
      <bottom style="dotted">
        <color indexed="8"/>
      </bottom>
      <diagonal/>
    </border>
    <border>
      <left style="medium">
        <color indexed="64"/>
      </left>
      <right style="dotted">
        <color indexed="64"/>
      </right>
      <top style="dotted">
        <color indexed="8"/>
      </top>
      <bottom style="medium">
        <color indexed="64"/>
      </bottom>
      <diagonal/>
    </border>
    <border>
      <left/>
      <right style="medium">
        <color indexed="8"/>
      </right>
      <top style="dotted">
        <color indexed="8"/>
      </top>
      <bottom style="medium">
        <color indexed="8"/>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style="medium">
        <color indexed="8"/>
      </left>
      <right style="dotted">
        <color indexed="8"/>
      </right>
      <top style="medium">
        <color indexed="8"/>
      </top>
      <bottom style="medium">
        <color indexed="8"/>
      </bottom>
      <diagonal/>
    </border>
    <border>
      <left style="dotted">
        <color indexed="8"/>
      </left>
      <right style="dotted">
        <color indexed="8"/>
      </right>
      <top style="medium">
        <color indexed="8"/>
      </top>
      <bottom style="medium">
        <color indexed="8"/>
      </bottom>
      <diagonal/>
    </border>
    <border>
      <left style="dotted">
        <color indexed="8"/>
      </left>
      <right/>
      <top style="medium">
        <color indexed="8"/>
      </top>
      <bottom style="medium">
        <color indexed="8"/>
      </bottom>
      <diagonal/>
    </border>
    <border>
      <left style="dotted">
        <color indexed="8"/>
      </left>
      <right style="medium">
        <color indexed="8"/>
      </right>
      <top style="medium">
        <color indexed="8"/>
      </top>
      <bottom style="medium">
        <color indexed="8"/>
      </bottom>
      <diagonal/>
    </border>
    <border>
      <left style="medium">
        <color indexed="8"/>
      </left>
      <right style="dotted">
        <color indexed="8"/>
      </right>
      <top style="medium">
        <color indexed="8"/>
      </top>
      <bottom/>
      <diagonal/>
    </border>
    <border>
      <left style="dotted">
        <color indexed="8"/>
      </left>
      <right style="dotted">
        <color indexed="8"/>
      </right>
      <top style="medium">
        <color indexed="8"/>
      </top>
      <bottom/>
      <diagonal/>
    </border>
    <border>
      <left style="dotted">
        <color indexed="8"/>
      </left>
      <right style="medium">
        <color indexed="8"/>
      </right>
      <top style="medium">
        <color indexed="8"/>
      </top>
      <bottom/>
      <diagonal/>
    </border>
    <border>
      <left/>
      <right/>
      <top style="medium">
        <color indexed="64"/>
      </top>
      <bottom style="medium">
        <color indexed="8"/>
      </bottom>
      <diagonal/>
    </border>
    <border>
      <left style="medium">
        <color indexed="64"/>
      </left>
      <right style="medium">
        <color indexed="8"/>
      </right>
      <top style="medium">
        <color indexed="64"/>
      </top>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top style="medium">
        <color indexed="64"/>
      </top>
      <bottom style="medium">
        <color indexed="8"/>
      </bottom>
      <diagonal/>
    </border>
    <border>
      <left/>
      <right style="dotted">
        <color indexed="8"/>
      </right>
      <top/>
      <bottom/>
      <diagonal/>
    </border>
    <border>
      <left style="dotted">
        <color indexed="8"/>
      </left>
      <right style="dotted">
        <color indexed="8"/>
      </right>
      <top/>
      <bottom/>
      <diagonal/>
    </border>
    <border>
      <left style="dotted">
        <color indexed="8"/>
      </left>
      <right/>
      <top/>
      <bottom/>
      <diagonal/>
    </border>
    <border>
      <left/>
      <right style="medium">
        <color indexed="64"/>
      </right>
      <top style="dotted">
        <color indexed="8"/>
      </top>
      <bottom style="dotted">
        <color indexed="8"/>
      </bottom>
      <diagonal/>
    </border>
    <border>
      <left/>
      <right/>
      <top style="dotted">
        <color indexed="8"/>
      </top>
      <bottom style="dotted">
        <color indexed="8"/>
      </bottom>
      <diagonal/>
    </border>
    <border>
      <left style="medium">
        <color indexed="64"/>
      </left>
      <right style="medium">
        <color indexed="64"/>
      </right>
      <top style="dotted">
        <color indexed="8"/>
      </top>
      <bottom style="dotted">
        <color indexed="8"/>
      </bottom>
      <diagonal/>
    </border>
    <border>
      <left/>
      <right style="dotted">
        <color indexed="8"/>
      </right>
      <top style="dotted">
        <color indexed="8"/>
      </top>
      <bottom style="dotted">
        <color indexed="8"/>
      </bottom>
      <diagonal/>
    </border>
    <border>
      <left style="dotted">
        <color indexed="8"/>
      </left>
      <right style="dotted">
        <color indexed="8"/>
      </right>
      <top style="dotted">
        <color indexed="8"/>
      </top>
      <bottom style="dotted">
        <color indexed="8"/>
      </bottom>
      <diagonal/>
    </border>
    <border>
      <left style="dotted">
        <color indexed="8"/>
      </left>
      <right/>
      <top style="dotted">
        <color indexed="8"/>
      </top>
      <bottom style="dotted">
        <color indexed="8"/>
      </bottom>
      <diagonal/>
    </border>
    <border>
      <left style="medium">
        <color indexed="64"/>
      </left>
      <right/>
      <top style="dotted">
        <color indexed="8"/>
      </top>
      <bottom style="dotted">
        <color indexed="8"/>
      </bottom>
      <diagonal/>
    </border>
    <border>
      <left style="medium">
        <color indexed="64"/>
      </left>
      <right style="hair">
        <color indexed="64"/>
      </right>
      <top style="hair">
        <color indexed="64"/>
      </top>
      <bottom style="hair">
        <color indexed="64"/>
      </bottom>
      <diagonal/>
    </border>
    <border>
      <left style="medium">
        <color indexed="64"/>
      </left>
      <right/>
      <top style="dotted">
        <color indexed="8"/>
      </top>
      <bottom style="medium">
        <color indexed="64"/>
      </bottom>
      <diagonal/>
    </border>
    <border>
      <left style="dotted">
        <color indexed="8"/>
      </left>
      <right style="dotted">
        <color indexed="8"/>
      </right>
      <top style="dotted">
        <color indexed="8"/>
      </top>
      <bottom style="medium">
        <color indexed="64"/>
      </bottom>
      <diagonal/>
    </border>
    <border>
      <left/>
      <right style="medium">
        <color indexed="64"/>
      </right>
      <top style="dotted">
        <color indexed="8"/>
      </top>
      <bottom style="medium">
        <color indexed="64"/>
      </bottom>
      <diagonal/>
    </border>
    <border>
      <left/>
      <right/>
      <top style="dotted">
        <color indexed="8"/>
      </top>
      <bottom/>
      <diagonal/>
    </border>
    <border>
      <left style="medium">
        <color indexed="64"/>
      </left>
      <right style="medium">
        <color indexed="64"/>
      </right>
      <top style="dotted">
        <color indexed="8"/>
      </top>
      <bottom/>
      <diagonal/>
    </border>
    <border>
      <left/>
      <right style="dotted">
        <color indexed="8"/>
      </right>
      <top style="dotted">
        <color indexed="8"/>
      </top>
      <bottom/>
      <diagonal/>
    </border>
    <border>
      <left style="dotted">
        <color indexed="8"/>
      </left>
      <right style="dotted">
        <color indexed="8"/>
      </right>
      <top style="dotted">
        <color indexed="8"/>
      </top>
      <bottom/>
      <diagonal/>
    </border>
    <border>
      <left style="dotted">
        <color indexed="8"/>
      </left>
      <right/>
      <top style="dotted">
        <color indexed="8"/>
      </top>
      <bottom/>
      <diagonal/>
    </border>
    <border>
      <left/>
      <right style="medium">
        <color indexed="64"/>
      </right>
      <top style="dotted">
        <color indexed="8"/>
      </top>
      <bottom/>
      <diagonal/>
    </border>
    <border>
      <left style="medium">
        <color indexed="64"/>
      </left>
      <right/>
      <top style="medium">
        <color indexed="64"/>
      </top>
      <bottom style="dotted">
        <color indexed="8"/>
      </bottom>
      <diagonal/>
    </border>
    <border>
      <left style="medium">
        <color indexed="64"/>
      </left>
      <right style="medium">
        <color indexed="64"/>
      </right>
      <top style="medium">
        <color indexed="64"/>
      </top>
      <bottom style="dotted">
        <color indexed="8"/>
      </bottom>
      <diagonal/>
    </border>
    <border>
      <left/>
      <right style="dotted">
        <color indexed="8"/>
      </right>
      <top style="medium">
        <color indexed="64"/>
      </top>
      <bottom style="dotted">
        <color indexed="8"/>
      </bottom>
      <diagonal/>
    </border>
    <border>
      <left style="dotted">
        <color indexed="8"/>
      </left>
      <right/>
      <top style="medium">
        <color indexed="64"/>
      </top>
      <bottom style="dotted">
        <color indexed="8"/>
      </bottom>
      <diagonal/>
    </border>
    <border>
      <left/>
      <right style="medium">
        <color indexed="64"/>
      </right>
      <top style="medium">
        <color indexed="64"/>
      </top>
      <bottom style="dotted">
        <color indexed="8"/>
      </bottom>
      <diagonal/>
    </border>
    <border>
      <left style="dotted">
        <color indexed="8"/>
      </left>
      <right/>
      <top style="dotted">
        <color indexed="8"/>
      </top>
      <bottom style="medium">
        <color indexed="64"/>
      </bottom>
      <diagonal/>
    </border>
    <border>
      <left style="dotted">
        <color indexed="8"/>
      </left>
      <right style="medium">
        <color indexed="64"/>
      </right>
      <top style="dotted">
        <color indexed="8"/>
      </top>
      <bottom style="medium">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8"/>
      </right>
      <top style="thin">
        <color indexed="8"/>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8"/>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8"/>
      </right>
      <top style="hair">
        <color indexed="64"/>
      </top>
      <bottom style="thin">
        <color indexed="8"/>
      </bottom>
      <diagonal/>
    </border>
    <border>
      <left style="hair">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dotted">
        <color indexed="64"/>
      </bottom>
      <diagonal/>
    </border>
    <border>
      <left style="medium">
        <color indexed="64"/>
      </left>
      <right/>
      <top style="dotted">
        <color indexed="64"/>
      </top>
      <bottom style="medium">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right/>
      <top style="medium">
        <color indexed="64"/>
      </top>
      <bottom style="dotted">
        <color indexed="64"/>
      </bottom>
      <diagonal/>
    </border>
    <border>
      <left/>
      <right/>
      <top/>
      <bottom style="dotted">
        <color indexed="64"/>
      </bottom>
      <diagonal/>
    </border>
    <border>
      <left style="medium">
        <color indexed="64"/>
      </left>
      <right/>
      <top/>
      <bottom style="dotted">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medium">
        <color indexed="64"/>
      </right>
      <top style="hair">
        <color indexed="64"/>
      </top>
      <bottom style="medium">
        <color indexed="64"/>
      </bottom>
      <diagonal/>
    </border>
    <border>
      <left/>
      <right/>
      <top style="medium">
        <color indexed="64"/>
      </top>
      <bottom/>
      <diagonal/>
    </border>
    <border>
      <left style="thin">
        <color indexed="9"/>
      </left>
      <right/>
      <top/>
      <bottom/>
      <diagonal/>
    </border>
    <border>
      <left style="medium">
        <color indexed="64"/>
      </left>
      <right style="dotted">
        <color indexed="64"/>
      </right>
      <top/>
      <bottom style="medium">
        <color indexed="8"/>
      </bottom>
      <diagonal/>
    </border>
    <border>
      <left/>
      <right style="medium">
        <color indexed="8"/>
      </right>
      <top/>
      <bottom style="medium">
        <color indexed="8"/>
      </bottom>
      <diagonal/>
    </border>
    <border>
      <left/>
      <right style="medium">
        <color indexed="8"/>
      </right>
      <top style="medium">
        <color indexed="64"/>
      </top>
      <bottom/>
      <diagonal/>
    </border>
    <border>
      <left style="medium">
        <color indexed="64"/>
      </left>
      <right style="dotted">
        <color indexed="64"/>
      </right>
      <top/>
      <bottom style="medium">
        <color indexed="64"/>
      </bottom>
      <diagonal/>
    </border>
    <border>
      <left/>
      <right style="medium">
        <color indexed="8"/>
      </right>
      <top style="medium">
        <color indexed="8"/>
      </top>
      <bottom style="medium">
        <color indexed="64"/>
      </bottom>
      <diagonal/>
    </border>
    <border>
      <left style="medium">
        <color indexed="8"/>
      </left>
      <right/>
      <top style="medium">
        <color indexed="64"/>
      </top>
      <bottom/>
      <diagonal/>
    </border>
    <border>
      <left/>
      <right style="medium">
        <color indexed="8"/>
      </right>
      <top/>
      <bottom style="medium">
        <color indexed="64"/>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medium">
        <color indexed="64"/>
      </bottom>
      <diagonal/>
    </border>
    <border>
      <left/>
      <right style="dotted">
        <color indexed="64"/>
      </right>
      <top style="dotted">
        <color indexed="64"/>
      </top>
      <bottom style="medium">
        <color indexed="64"/>
      </bottom>
      <diagonal/>
    </border>
    <border>
      <left/>
      <right/>
      <top/>
      <bottom style="dotted">
        <color indexed="8"/>
      </bottom>
      <diagonal/>
    </border>
    <border>
      <left/>
      <right/>
      <top style="dotted">
        <color indexed="8"/>
      </top>
      <bottom style="medium">
        <color indexed="64"/>
      </bottom>
      <diagonal/>
    </border>
    <border>
      <left style="medium">
        <color indexed="64"/>
      </left>
      <right style="medium">
        <color indexed="64"/>
      </right>
      <top style="dotted">
        <color indexed="64"/>
      </top>
      <bottom style="medium">
        <color indexed="64"/>
      </bottom>
      <diagonal/>
    </border>
    <border>
      <left style="medium">
        <color indexed="64"/>
      </left>
      <right/>
      <top style="medium">
        <color indexed="8"/>
      </top>
      <bottom style="medium">
        <color indexed="64"/>
      </bottom>
      <diagonal/>
    </border>
    <border>
      <left style="medium">
        <color indexed="8"/>
      </left>
      <right style="dotted">
        <color indexed="64"/>
      </right>
      <top style="dotted">
        <color indexed="8"/>
      </top>
      <bottom/>
      <diagonal/>
    </border>
    <border>
      <left style="dotted">
        <color indexed="64"/>
      </left>
      <right style="dotted">
        <color indexed="64"/>
      </right>
      <top style="dotted">
        <color indexed="8"/>
      </top>
      <bottom/>
      <diagonal/>
    </border>
    <border>
      <left style="dotted">
        <color indexed="8"/>
      </left>
      <right style="medium">
        <color indexed="8"/>
      </right>
      <top style="dotted">
        <color indexed="8"/>
      </top>
      <bottom/>
      <diagonal/>
    </border>
    <border>
      <left style="dotted">
        <color indexed="8"/>
      </left>
      <right style="medium">
        <color indexed="64"/>
      </right>
      <top style="medium">
        <color indexed="64"/>
      </top>
      <bottom style="medium">
        <color indexed="64"/>
      </bottom>
      <diagonal/>
    </border>
    <border>
      <left style="medium">
        <color indexed="8"/>
      </left>
      <right/>
      <top style="dotted">
        <color indexed="8"/>
      </top>
      <bottom style="dotted">
        <color indexed="8"/>
      </bottom>
      <diagonal/>
    </border>
    <border>
      <left/>
      <right/>
      <top/>
      <bottom style="medium">
        <color indexed="8"/>
      </bottom>
      <diagonal/>
    </border>
    <border>
      <left style="medium">
        <color indexed="64"/>
      </left>
      <right style="dotted">
        <color indexed="64"/>
      </right>
      <top style="medium">
        <color indexed="64"/>
      </top>
      <bottom/>
      <diagonal/>
    </border>
    <border>
      <left style="dotted">
        <color indexed="64"/>
      </left>
      <right style="dotted">
        <color indexed="64"/>
      </right>
      <top style="dotted">
        <color indexed="64"/>
      </top>
      <bottom style="dotted">
        <color indexed="8"/>
      </bottom>
      <diagonal/>
    </border>
    <border>
      <left style="dotted">
        <color indexed="64"/>
      </left>
      <right style="dotted">
        <color indexed="64"/>
      </right>
      <top style="dotted">
        <color indexed="8"/>
      </top>
      <bottom style="dotted">
        <color indexed="64"/>
      </bottom>
      <diagonal/>
    </border>
    <border>
      <left style="dotted">
        <color indexed="64"/>
      </left>
      <right style="dotted">
        <color indexed="64"/>
      </right>
      <top style="medium">
        <color indexed="64"/>
      </top>
      <bottom/>
      <diagonal/>
    </border>
    <border>
      <left style="dotted">
        <color indexed="64"/>
      </left>
      <right style="dotted">
        <color indexed="64"/>
      </right>
      <top/>
      <bottom style="dotted">
        <color indexed="8"/>
      </bottom>
      <diagonal/>
    </border>
    <border>
      <left style="dotted">
        <color indexed="64"/>
      </left>
      <right style="dotted">
        <color indexed="64"/>
      </right>
      <top style="hair">
        <color indexed="64"/>
      </top>
      <bottom style="hair">
        <color indexed="64"/>
      </bottom>
      <diagonal/>
    </border>
    <border>
      <left style="dotted">
        <color indexed="64"/>
      </left>
      <right style="dotted">
        <color indexed="64"/>
      </right>
      <top style="dotted">
        <color indexed="8"/>
      </top>
      <bottom style="medium">
        <color indexed="64"/>
      </bottom>
      <diagonal/>
    </border>
    <border>
      <left style="medium">
        <color indexed="64"/>
      </left>
      <right style="dotted">
        <color indexed="64"/>
      </right>
      <top style="medium">
        <color indexed="8"/>
      </top>
      <bottom style="dotted">
        <color indexed="8"/>
      </bottom>
      <diagonal/>
    </border>
    <border>
      <left style="medium">
        <color indexed="64"/>
      </left>
      <right/>
      <top style="medium">
        <color indexed="64"/>
      </top>
      <bottom style="medium">
        <color indexed="8"/>
      </bottom>
      <diagonal/>
    </border>
    <border>
      <left style="dotted">
        <color indexed="64"/>
      </left>
      <right style="medium">
        <color indexed="64"/>
      </right>
      <top style="medium">
        <color indexed="8"/>
      </top>
      <bottom style="medium">
        <color indexed="8"/>
      </bottom>
      <diagonal/>
    </border>
    <border>
      <left style="dotted">
        <color indexed="64"/>
      </left>
      <right style="dotted">
        <color indexed="64"/>
      </right>
      <top style="medium">
        <color indexed="64"/>
      </top>
      <bottom style="dotted">
        <color indexed="8"/>
      </bottom>
      <diagonal/>
    </border>
    <border>
      <left/>
      <right style="dotted">
        <color indexed="64"/>
      </right>
      <top style="dotted">
        <color indexed="64"/>
      </top>
      <bottom style="dotted">
        <color indexed="8"/>
      </bottom>
      <diagonal/>
    </border>
    <border>
      <left/>
      <right style="dotted">
        <color indexed="64"/>
      </right>
      <top style="dotted">
        <color indexed="8"/>
      </top>
      <bottom style="dotted">
        <color indexed="64"/>
      </bottom>
      <diagonal/>
    </border>
    <border>
      <left/>
      <right style="dotted">
        <color indexed="64"/>
      </right>
      <top/>
      <bottom style="dotted">
        <color indexed="8"/>
      </bottom>
      <diagonal/>
    </border>
    <border>
      <left/>
      <right style="medium">
        <color indexed="64"/>
      </right>
      <top style="medium">
        <color indexed="64"/>
      </top>
      <bottom style="dotted">
        <color indexed="64"/>
      </bottom>
      <diagonal/>
    </border>
    <border>
      <left style="medium">
        <color indexed="8"/>
      </left>
      <right style="medium">
        <color indexed="8"/>
      </right>
      <top style="medium">
        <color indexed="8"/>
      </top>
      <bottom/>
      <diagonal/>
    </border>
    <border>
      <left style="medium">
        <color indexed="64"/>
      </left>
      <right style="medium">
        <color indexed="64"/>
      </right>
      <top style="dotted">
        <color indexed="8"/>
      </top>
      <bottom style="medium">
        <color indexed="64"/>
      </bottom>
      <diagonal/>
    </border>
  </borders>
  <cellStyleXfs count="23">
    <xf numFmtId="0" fontId="0" fillId="0" borderId="0"/>
    <xf numFmtId="0" fontId="3" fillId="0" borderId="0"/>
    <xf numFmtId="0" fontId="5" fillId="0" borderId="0" applyNumberFormat="0" applyFill="0" applyBorder="0" applyAlignment="0" applyProtection="0"/>
    <xf numFmtId="0" fontId="6" fillId="0" borderId="0" applyNumberFormat="0" applyFill="0" applyBorder="0" applyAlignment="0" applyProtection="0"/>
    <xf numFmtId="0" fontId="7" fillId="0" borderId="0"/>
    <xf numFmtId="0" fontId="3" fillId="0" borderId="0"/>
    <xf numFmtId="164" fontId="3" fillId="0" borderId="0" applyFont="0" applyFill="0" applyBorder="0" applyAlignment="0" applyProtection="0"/>
    <xf numFmtId="9" fontId="13" fillId="0" borderId="0" applyFont="0" applyFill="0" applyBorder="0" applyAlignment="0" applyProtection="0"/>
    <xf numFmtId="0" fontId="20" fillId="0" borderId="0"/>
    <xf numFmtId="0" fontId="13" fillId="0" borderId="0"/>
    <xf numFmtId="43" fontId="13" fillId="0" borderId="0" applyFont="0" applyFill="0" applyBorder="0" applyAlignment="0" applyProtection="0"/>
    <xf numFmtId="9" fontId="21" fillId="0" borderId="0" applyFont="0" applyFill="0" applyBorder="0" applyAlignment="0" applyProtection="0"/>
    <xf numFmtId="43" fontId="21" fillId="0" borderId="0" applyFont="0" applyFill="0" applyBorder="0" applyAlignment="0" applyProtection="0"/>
    <xf numFmtId="0" fontId="3"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43" fontId="3" fillId="0" borderId="0" applyFont="0" applyFill="0" applyBorder="0" applyAlignment="0" applyProtection="0"/>
    <xf numFmtId="0" fontId="1" fillId="0" borderId="0"/>
    <xf numFmtId="43" fontId="2" fillId="0" borderId="0" applyFont="0" applyFill="0" applyBorder="0" applyAlignment="0" applyProtection="0"/>
    <xf numFmtId="43" fontId="21" fillId="0" borderId="0" applyFont="0" applyFill="0" applyBorder="0" applyAlignment="0" applyProtection="0"/>
    <xf numFmtId="43" fontId="2" fillId="0" borderId="0" applyFont="0" applyFill="0" applyBorder="0" applyAlignment="0" applyProtection="0"/>
    <xf numFmtId="0" fontId="21" fillId="0" borderId="0"/>
  </cellStyleXfs>
  <cellXfs count="411">
    <xf numFmtId="0" fontId="0" fillId="0" borderId="0" xfId="0"/>
    <xf numFmtId="0" fontId="3" fillId="0" borderId="0" xfId="1"/>
    <xf numFmtId="0" fontId="4" fillId="0" borderId="0" xfId="1" applyFont="1" applyAlignment="1" applyProtection="1">
      <alignment vertical="top" wrapText="1" readingOrder="1"/>
      <protection locked="0"/>
    </xf>
    <xf numFmtId="0" fontId="10" fillId="0" borderId="0" xfId="4" applyFont="1" applyAlignment="1">
      <alignment vertical="top" wrapText="1" readingOrder="1"/>
    </xf>
    <xf numFmtId="0" fontId="9" fillId="0" borderId="0" xfId="4" applyFont="1"/>
    <xf numFmtId="0" fontId="11" fillId="2" borderId="0" xfId="0" applyFont="1" applyFill="1"/>
    <xf numFmtId="0" fontId="12" fillId="2" borderId="0" xfId="0" applyFont="1" applyFill="1"/>
    <xf numFmtId="0" fontId="13" fillId="2" borderId="0" xfId="0" applyFont="1" applyFill="1"/>
    <xf numFmtId="0" fontId="12" fillId="2" borderId="0" xfId="0" applyFont="1" applyFill="1" applyAlignment="1">
      <alignment vertical="top"/>
    </xf>
    <xf numFmtId="0" fontId="13" fillId="0" borderId="0" xfId="0" applyFont="1" applyAlignment="1">
      <alignment horizontal="left"/>
    </xf>
    <xf numFmtId="0" fontId="8" fillId="0" borderId="0" xfId="0" applyFont="1" applyAlignment="1">
      <alignment vertical="top" readingOrder="1"/>
    </xf>
    <xf numFmtId="0" fontId="5" fillId="0" borderId="0" xfId="3" applyFont="1"/>
    <xf numFmtId="0" fontId="8" fillId="0" borderId="0" xfId="4" applyFont="1" applyAlignment="1">
      <alignment vertical="top" wrapText="1" readingOrder="1"/>
    </xf>
    <xf numFmtId="0" fontId="15" fillId="3" borderId="0" xfId="1" applyFont="1" applyFill="1" applyAlignment="1">
      <alignment horizontal="left" vertical="top"/>
    </xf>
    <xf numFmtId="0" fontId="3" fillId="0" borderId="0" xfId="0" applyFont="1" applyAlignment="1">
      <alignment vertical="top" wrapText="1"/>
    </xf>
    <xf numFmtId="0" fontId="5" fillId="0" borderId="0" xfId="3" applyFont="1" applyFill="1" applyBorder="1" applyAlignment="1">
      <alignment horizontal="left" vertical="center"/>
    </xf>
    <xf numFmtId="0" fontId="4" fillId="0" borderId="0" xfId="1" applyFont="1" applyAlignment="1" applyProtection="1">
      <alignment horizontal="left" vertical="center" wrapText="1" readingOrder="1"/>
      <protection locked="0"/>
    </xf>
    <xf numFmtId="0" fontId="15" fillId="3" borderId="0" xfId="1" applyFont="1" applyFill="1" applyAlignment="1">
      <alignment vertical="top"/>
    </xf>
    <xf numFmtId="0" fontId="17" fillId="2" borderId="5" xfId="5" applyFont="1" applyFill="1" applyBorder="1" applyAlignment="1" applyProtection="1">
      <alignment horizontal="center" vertical="center" wrapText="1" readingOrder="1"/>
      <protection locked="0"/>
    </xf>
    <xf numFmtId="0" fontId="4" fillId="2" borderId="3" xfId="5" applyFont="1" applyFill="1" applyBorder="1" applyAlignment="1" applyProtection="1">
      <alignment horizontal="left" vertical="center" wrapText="1" readingOrder="1"/>
      <protection locked="0"/>
    </xf>
    <xf numFmtId="0" fontId="4" fillId="2" borderId="0" xfId="5" applyFont="1" applyFill="1" applyAlignment="1" applyProtection="1">
      <alignment horizontal="left" vertical="center" wrapText="1" readingOrder="1"/>
      <protection locked="0"/>
    </xf>
    <xf numFmtId="0" fontId="17" fillId="2" borderId="6" xfId="5" applyFont="1" applyFill="1" applyBorder="1" applyAlignment="1" applyProtection="1">
      <alignment horizontal="center" vertical="center" wrapText="1" readingOrder="1"/>
      <protection locked="0"/>
    </xf>
    <xf numFmtId="0" fontId="5" fillId="2" borderId="0" xfId="2" applyFill="1" applyBorder="1" applyAlignment="1" applyProtection="1">
      <alignment horizontal="left" vertical="top" wrapText="1" readingOrder="1"/>
      <protection locked="0"/>
    </xf>
    <xf numFmtId="0" fontId="4" fillId="2" borderId="0" xfId="0" applyFont="1" applyFill="1" applyAlignment="1" applyProtection="1">
      <alignment vertical="top" wrapText="1" readingOrder="1"/>
      <protection locked="0"/>
    </xf>
    <xf numFmtId="0" fontId="3" fillId="3" borderId="0" xfId="1" applyFill="1" applyAlignment="1">
      <alignment horizontal="left" vertical="top"/>
    </xf>
    <xf numFmtId="0" fontId="5" fillId="0" borderId="0" xfId="2" applyFill="1" applyBorder="1" applyAlignment="1" applyProtection="1">
      <alignment horizontal="left" vertical="top" wrapText="1" readingOrder="1"/>
      <protection locked="0"/>
    </xf>
    <xf numFmtId="0" fontId="4" fillId="2" borderId="0" xfId="5" applyFont="1" applyFill="1" applyAlignment="1" applyProtection="1">
      <alignment horizontal="left" vertical="top" wrapText="1" readingOrder="1"/>
      <protection locked="0"/>
    </xf>
    <xf numFmtId="0" fontId="17" fillId="2" borderId="9" xfId="5" applyFont="1" applyFill="1" applyBorder="1" applyAlignment="1" applyProtection="1">
      <alignment horizontal="left" vertical="center" wrapText="1" readingOrder="1"/>
      <protection locked="0"/>
    </xf>
    <xf numFmtId="0" fontId="17" fillId="0" borderId="7" xfId="5" applyFont="1" applyBorder="1" applyAlignment="1" applyProtection="1">
      <alignment horizontal="center" vertical="center" wrapText="1" readingOrder="1"/>
      <protection locked="0"/>
    </xf>
    <xf numFmtId="0" fontId="17" fillId="2" borderId="18" xfId="5" applyFont="1" applyFill="1" applyBorder="1" applyAlignment="1" applyProtection="1">
      <alignment horizontal="left" vertical="center" wrapText="1" readingOrder="1"/>
      <protection locked="0"/>
    </xf>
    <xf numFmtId="0" fontId="17" fillId="2" borderId="2" xfId="5" applyFont="1" applyFill="1" applyBorder="1" applyAlignment="1" applyProtection="1">
      <alignment horizontal="center" vertical="center" wrapText="1" readingOrder="1"/>
      <protection locked="0"/>
    </xf>
    <xf numFmtId="0" fontId="17" fillId="2" borderId="8" xfId="5" applyFont="1" applyFill="1" applyBorder="1" applyAlignment="1" applyProtection="1">
      <alignment horizontal="center" vertical="center" wrapText="1" readingOrder="1"/>
      <protection locked="0"/>
    </xf>
    <xf numFmtId="0" fontId="12" fillId="0" borderId="19" xfId="5" applyFont="1" applyBorder="1" applyAlignment="1" applyProtection="1">
      <alignment horizontal="left" vertical="center" wrapText="1" readingOrder="1"/>
      <protection locked="0"/>
    </xf>
    <xf numFmtId="0" fontId="12" fillId="0" borderId="20" xfId="5" applyFont="1" applyBorder="1" applyAlignment="1" applyProtection="1">
      <alignment horizontal="left" vertical="center" wrapText="1" readingOrder="1"/>
      <protection locked="0"/>
    </xf>
    <xf numFmtId="0" fontId="12" fillId="0" borderId="24" xfId="5" applyFont="1" applyBorder="1" applyAlignment="1" applyProtection="1">
      <alignment horizontal="left" vertical="center" wrapText="1" readingOrder="1"/>
      <protection locked="0"/>
    </xf>
    <xf numFmtId="169" fontId="4" fillId="2" borderId="6" xfId="10" applyNumberFormat="1" applyFont="1" applyFill="1" applyBorder="1" applyAlignment="1" applyProtection="1">
      <alignment horizontal="right" vertical="center" wrapText="1" readingOrder="1"/>
      <protection locked="0"/>
    </xf>
    <xf numFmtId="169" fontId="4" fillId="0" borderId="7" xfId="10" applyNumberFormat="1" applyFont="1" applyFill="1" applyBorder="1" applyAlignment="1" applyProtection="1">
      <alignment horizontal="right" vertical="center" wrapText="1" readingOrder="1"/>
      <protection locked="0"/>
    </xf>
    <xf numFmtId="0" fontId="4" fillId="2" borderId="26" xfId="10" applyNumberFormat="1" applyFont="1" applyFill="1" applyBorder="1" applyAlignment="1" applyProtection="1">
      <alignment horizontal="left" vertical="center" wrapText="1" readingOrder="1"/>
      <protection locked="0"/>
    </xf>
    <xf numFmtId="0" fontId="4" fillId="2" borderId="28" xfId="10" applyNumberFormat="1" applyFont="1" applyFill="1" applyBorder="1" applyAlignment="1" applyProtection="1">
      <alignment horizontal="left" vertical="center" wrapText="1" readingOrder="1"/>
      <protection locked="0"/>
    </xf>
    <xf numFmtId="0" fontId="4" fillId="2" borderId="30" xfId="10" applyNumberFormat="1" applyFont="1" applyFill="1" applyBorder="1" applyAlignment="1" applyProtection="1">
      <alignment horizontal="left" vertical="center" wrapText="1" readingOrder="1"/>
      <protection locked="0"/>
    </xf>
    <xf numFmtId="0" fontId="4" fillId="2" borderId="31" xfId="10" applyNumberFormat="1" applyFont="1" applyFill="1" applyBorder="1" applyAlignment="1" applyProtection="1">
      <alignment horizontal="left" vertical="center" wrapText="1" readingOrder="1"/>
      <protection locked="0"/>
    </xf>
    <xf numFmtId="0" fontId="18" fillId="2" borderId="26" xfId="9" applyFont="1" applyFill="1" applyBorder="1" applyAlignment="1">
      <alignment vertical="center"/>
    </xf>
    <xf numFmtId="0" fontId="11" fillId="0" borderId="1" xfId="9" applyFont="1" applyBorder="1" applyAlignment="1">
      <alignment horizontal="center" vertical="center" wrapText="1"/>
    </xf>
    <xf numFmtId="0" fontId="11" fillId="0" borderId="6" xfId="9" applyFont="1" applyBorder="1" applyAlignment="1">
      <alignment horizontal="center" vertical="center" wrapText="1"/>
    </xf>
    <xf numFmtId="0" fontId="11" fillId="0" borderId="7" xfId="9" applyFont="1" applyBorder="1" applyAlignment="1">
      <alignment horizontal="center" vertical="center" wrapText="1"/>
    </xf>
    <xf numFmtId="0" fontId="18" fillId="2" borderId="9" xfId="9" applyFont="1" applyFill="1" applyBorder="1" applyAlignment="1">
      <alignment horizontal="center"/>
    </xf>
    <xf numFmtId="0" fontId="3" fillId="2" borderId="10" xfId="9" applyFont="1" applyFill="1" applyBorder="1" applyAlignment="1">
      <alignment vertical="center"/>
    </xf>
    <xf numFmtId="0" fontId="3" fillId="2" borderId="15" xfId="9" applyFont="1" applyFill="1" applyBorder="1" applyAlignment="1">
      <alignment vertical="center"/>
    </xf>
    <xf numFmtId="0" fontId="4" fillId="2" borderId="31" xfId="10" applyNumberFormat="1" applyFont="1" applyFill="1" applyBorder="1" applyAlignment="1" applyProtection="1">
      <alignment vertical="center" wrapText="1" readingOrder="1"/>
      <protection locked="0"/>
    </xf>
    <xf numFmtId="20" fontId="18" fillId="0" borderId="36" xfId="10" applyNumberFormat="1" applyFont="1" applyFill="1" applyBorder="1" applyAlignment="1">
      <alignment horizontal="center" vertical="center"/>
    </xf>
    <xf numFmtId="20" fontId="18" fillId="0" borderId="7" xfId="10" applyNumberFormat="1" applyFont="1" applyFill="1" applyBorder="1" applyAlignment="1">
      <alignment horizontal="center" vertical="center"/>
    </xf>
    <xf numFmtId="3" fontId="3" fillId="0" borderId="37" xfId="10" applyNumberFormat="1" applyFont="1" applyFill="1" applyBorder="1" applyAlignment="1">
      <alignment horizontal="right" vertical="center"/>
    </xf>
    <xf numFmtId="3" fontId="3" fillId="0" borderId="38" xfId="10" applyNumberFormat="1" applyFont="1" applyFill="1" applyBorder="1" applyAlignment="1">
      <alignment horizontal="right" vertical="center"/>
    </xf>
    <xf numFmtId="166" fontId="4" fillId="0" borderId="39" xfId="7" applyNumberFormat="1" applyFont="1" applyFill="1" applyBorder="1" applyAlignment="1" applyProtection="1">
      <alignment horizontal="right" vertical="center" wrapText="1" readingOrder="1"/>
      <protection locked="0"/>
    </xf>
    <xf numFmtId="0" fontId="17" fillId="0" borderId="41" xfId="0" applyFont="1" applyBorder="1" applyAlignment="1" applyProtection="1">
      <alignment vertical="center" wrapText="1" readingOrder="1"/>
      <protection locked="0"/>
    </xf>
    <xf numFmtId="0" fontId="17" fillId="0" borderId="42" xfId="0" applyFont="1" applyBorder="1" applyAlignment="1" applyProtection="1">
      <alignment horizontal="center" vertical="center" wrapText="1" readingOrder="1"/>
      <protection locked="0"/>
    </xf>
    <xf numFmtId="0" fontId="18" fillId="0" borderId="43" xfId="0" applyFont="1" applyBorder="1" applyAlignment="1" applyProtection="1">
      <alignment horizontal="center" vertical="center" wrapText="1" readingOrder="1"/>
      <protection locked="0"/>
    </xf>
    <xf numFmtId="0" fontId="17" fillId="0" borderId="44" xfId="0" applyFont="1" applyBorder="1" applyAlignment="1" applyProtection="1">
      <alignment horizontal="center" vertical="center" wrapText="1" readingOrder="1"/>
      <protection locked="0"/>
    </xf>
    <xf numFmtId="0" fontId="18" fillId="0" borderId="45" xfId="0" applyFont="1" applyBorder="1" applyAlignment="1" applyProtection="1">
      <alignment horizontal="center" vertical="center" wrapText="1" readingOrder="1"/>
      <protection locked="0"/>
    </xf>
    <xf numFmtId="0" fontId="4" fillId="0" borderId="46" xfId="0" applyFont="1" applyBorder="1" applyAlignment="1" applyProtection="1">
      <alignment vertical="center" wrapText="1" readingOrder="1"/>
      <protection locked="0"/>
    </xf>
    <xf numFmtId="3" fontId="4" fillId="0" borderId="47" xfId="6" applyNumberFormat="1" applyFont="1" applyFill="1" applyBorder="1" applyAlignment="1" applyProtection="1">
      <alignment horizontal="right" vertical="center" wrapText="1" readingOrder="1"/>
      <protection locked="0"/>
    </xf>
    <xf numFmtId="3" fontId="4" fillId="0" borderId="48" xfId="6" applyNumberFormat="1" applyFont="1" applyFill="1" applyBorder="1" applyAlignment="1" applyProtection="1">
      <alignment horizontal="right" vertical="center" wrapText="1" readingOrder="1"/>
      <protection locked="0"/>
    </xf>
    <xf numFmtId="166" fontId="22" fillId="0" borderId="49" xfId="11" applyNumberFormat="1" applyFont="1" applyBorder="1" applyAlignment="1" applyProtection="1">
      <alignment horizontal="right" vertical="center" wrapText="1" readingOrder="1"/>
      <protection locked="0"/>
    </xf>
    <xf numFmtId="166" fontId="22" fillId="0" borderId="50" xfId="11" applyNumberFormat="1" applyFont="1" applyBorder="1" applyAlignment="1" applyProtection="1">
      <alignment horizontal="right" vertical="center" wrapText="1" readingOrder="1"/>
      <protection locked="0"/>
    </xf>
    <xf numFmtId="0" fontId="4" fillId="0" borderId="51" xfId="0" applyFont="1" applyBorder="1" applyAlignment="1" applyProtection="1">
      <alignment vertical="center" wrapText="1" readingOrder="1"/>
      <protection locked="0"/>
    </xf>
    <xf numFmtId="3" fontId="4" fillId="0" borderId="52" xfId="6" applyNumberFormat="1" applyFont="1" applyFill="1" applyBorder="1" applyAlignment="1" applyProtection="1">
      <alignment horizontal="right" vertical="center" wrapText="1" readingOrder="1"/>
      <protection locked="0"/>
    </xf>
    <xf numFmtId="3" fontId="4" fillId="0" borderId="53" xfId="6" applyNumberFormat="1" applyFont="1" applyFill="1" applyBorder="1" applyAlignment="1" applyProtection="1">
      <alignment horizontal="right" vertical="center" wrapText="1" readingOrder="1"/>
      <protection locked="0"/>
    </xf>
    <xf numFmtId="43" fontId="9" fillId="0" borderId="0" xfId="4" applyNumberFormat="1" applyFont="1"/>
    <xf numFmtId="0" fontId="18" fillId="0" borderId="0" xfId="1" applyFont="1" applyAlignment="1" applyProtection="1">
      <alignment vertical="top" wrapText="1" readingOrder="1"/>
      <protection locked="0"/>
    </xf>
    <xf numFmtId="0" fontId="18" fillId="0" borderId="57" xfId="1" applyFont="1" applyBorder="1" applyAlignment="1" applyProtection="1">
      <alignment horizontal="left" vertical="center" wrapText="1" readingOrder="1"/>
      <protection locked="0"/>
    </xf>
    <xf numFmtId="3" fontId="18" fillId="0" borderId="58" xfId="6" applyNumberFormat="1" applyFont="1" applyBorder="1" applyAlignment="1" applyProtection="1">
      <alignment horizontal="right" vertical="center" wrapText="1" readingOrder="1"/>
      <protection locked="0"/>
    </xf>
    <xf numFmtId="3" fontId="18" fillId="0" borderId="56" xfId="6" applyNumberFormat="1" applyFont="1" applyBorder="1" applyAlignment="1" applyProtection="1">
      <alignment horizontal="right" vertical="center" wrapText="1" readingOrder="1"/>
      <protection locked="0"/>
    </xf>
    <xf numFmtId="0" fontId="3" fillId="0" borderId="59" xfId="1" applyBorder="1" applyAlignment="1" applyProtection="1">
      <alignment horizontal="left" vertical="center" wrapText="1" readingOrder="1"/>
      <protection locked="0"/>
    </xf>
    <xf numFmtId="3" fontId="3" fillId="0" borderId="60" xfId="6" applyNumberFormat="1" applyFont="1" applyBorder="1" applyAlignment="1" applyProtection="1">
      <alignment horizontal="right" vertical="center" wrapText="1" readingOrder="1"/>
      <protection locked="0"/>
    </xf>
    <xf numFmtId="3" fontId="3" fillId="0" borderId="61" xfId="6" applyNumberFormat="1" applyFont="1" applyBorder="1" applyAlignment="1" applyProtection="1">
      <alignment horizontal="right" vertical="center" wrapText="1" readingOrder="1"/>
      <protection locked="0"/>
    </xf>
    <xf numFmtId="3" fontId="3" fillId="0" borderId="62" xfId="6" applyNumberFormat="1" applyFont="1" applyBorder="1" applyAlignment="1" applyProtection="1">
      <alignment horizontal="right" vertical="center" wrapText="1" readingOrder="1"/>
      <protection locked="0"/>
    </xf>
    <xf numFmtId="3" fontId="3" fillId="0" borderId="63" xfId="6" applyNumberFormat="1" applyFont="1" applyBorder="1" applyAlignment="1" applyProtection="1">
      <alignment horizontal="right" vertical="center" wrapText="1" readingOrder="1"/>
      <protection locked="0"/>
    </xf>
    <xf numFmtId="0" fontId="22" fillId="0" borderId="0" xfId="1" applyFont="1" applyAlignment="1" applyProtection="1">
      <alignment vertical="top" wrapText="1" readingOrder="1"/>
      <protection locked="0"/>
    </xf>
    <xf numFmtId="0" fontId="3" fillId="0" borderId="0" xfId="5" applyAlignment="1" applyProtection="1">
      <alignment horizontal="left" vertical="top" wrapText="1" readingOrder="1"/>
      <protection locked="0"/>
    </xf>
    <xf numFmtId="3" fontId="23" fillId="0" borderId="0" xfId="0" applyNumberFormat="1" applyFont="1"/>
    <xf numFmtId="0" fontId="24" fillId="0" borderId="0" xfId="0" applyFont="1" applyAlignment="1">
      <alignment horizontal="left"/>
    </xf>
    <xf numFmtId="0" fontId="25" fillId="2" borderId="0" xfId="0" applyFont="1" applyFill="1"/>
    <xf numFmtId="0" fontId="4" fillId="0" borderId="0" xfId="5" applyFont="1" applyAlignment="1" applyProtection="1">
      <alignment vertical="top" wrapText="1" readingOrder="1"/>
      <protection locked="0"/>
    </xf>
    <xf numFmtId="0" fontId="18" fillId="0" borderId="57" xfId="5" applyFont="1" applyBorder="1" applyAlignment="1" applyProtection="1">
      <alignment horizontal="center" vertical="center" wrapText="1" readingOrder="1"/>
      <protection locked="0"/>
    </xf>
    <xf numFmtId="0" fontId="18" fillId="0" borderId="66" xfId="5" applyFont="1" applyBorder="1" applyAlignment="1" applyProtection="1">
      <alignment horizontal="center" vertical="center" wrapText="1" readingOrder="1"/>
      <protection locked="0"/>
    </xf>
    <xf numFmtId="0" fontId="18" fillId="0" borderId="67" xfId="5" applyFont="1" applyBorder="1" applyAlignment="1" applyProtection="1">
      <alignment horizontal="center" vertical="center" wrapText="1" readingOrder="1"/>
      <protection locked="0"/>
    </xf>
    <xf numFmtId="0" fontId="18" fillId="0" borderId="68" xfId="5" applyFont="1" applyBorder="1" applyAlignment="1" applyProtection="1">
      <alignment horizontal="center" vertical="center" wrapText="1" readingOrder="1"/>
      <protection locked="0"/>
    </xf>
    <xf numFmtId="0" fontId="18" fillId="0" borderId="69" xfId="5" applyFont="1" applyBorder="1" applyAlignment="1" applyProtection="1">
      <alignment horizontal="center" vertical="center" wrapText="1" readingOrder="1"/>
      <protection locked="0"/>
    </xf>
    <xf numFmtId="0" fontId="17" fillId="0" borderId="73" xfId="13" applyFont="1" applyBorder="1" applyAlignment="1" applyProtection="1">
      <alignment vertical="top" wrapText="1" readingOrder="1"/>
      <protection locked="0"/>
    </xf>
    <xf numFmtId="0" fontId="17" fillId="0" borderId="74" xfId="13" applyFont="1" applyBorder="1" applyAlignment="1" applyProtection="1">
      <alignment vertical="top" wrapText="1" readingOrder="1"/>
      <protection locked="0"/>
    </xf>
    <xf numFmtId="0" fontId="4" fillId="0" borderId="0" xfId="13" applyFont="1" applyAlignment="1" applyProtection="1">
      <alignment vertical="top" readingOrder="1"/>
      <protection locked="0"/>
    </xf>
    <xf numFmtId="0" fontId="4" fillId="0" borderId="26" xfId="13" applyFont="1" applyBorder="1" applyAlignment="1" applyProtection="1">
      <alignment vertical="top" readingOrder="1"/>
      <protection locked="0"/>
    </xf>
    <xf numFmtId="0" fontId="3" fillId="0" borderId="82" xfId="0" applyFont="1" applyBorder="1"/>
    <xf numFmtId="0" fontId="3" fillId="0" borderId="83" xfId="0" applyFont="1" applyBorder="1"/>
    <xf numFmtId="10" fontId="22" fillId="0" borderId="81" xfId="11" applyNumberFormat="1" applyFont="1" applyFill="1" applyBorder="1" applyAlignment="1" applyProtection="1">
      <alignment horizontal="right" vertical="top" wrapText="1" readingOrder="1"/>
      <protection locked="0"/>
    </xf>
    <xf numFmtId="166" fontId="4" fillId="0" borderId="81" xfId="11" applyNumberFormat="1" applyFont="1" applyFill="1" applyBorder="1" applyAlignment="1" applyProtection="1">
      <alignment horizontal="right" vertical="top" wrapText="1" readingOrder="1"/>
      <protection locked="0"/>
    </xf>
    <xf numFmtId="0" fontId="27" fillId="0" borderId="87" xfId="0" applyFont="1" applyBorder="1"/>
    <xf numFmtId="0" fontId="3" fillId="0" borderId="92" xfId="0" applyFont="1" applyBorder="1"/>
    <xf numFmtId="0" fontId="3" fillId="0" borderId="93" xfId="0" applyFont="1" applyBorder="1"/>
    <xf numFmtId="10" fontId="22" fillId="0" borderId="97" xfId="11" applyNumberFormat="1" applyFont="1" applyFill="1" applyBorder="1" applyAlignment="1" applyProtection="1">
      <alignment horizontal="right" vertical="top" wrapText="1" readingOrder="1"/>
      <protection locked="0"/>
    </xf>
    <xf numFmtId="0" fontId="27" fillId="0" borderId="89" xfId="0" applyFont="1" applyBorder="1"/>
    <xf numFmtId="0" fontId="4" fillId="0" borderId="106" xfId="1" applyFont="1" applyBorder="1" applyAlignment="1" applyProtection="1">
      <alignment horizontal="left" vertical="center" wrapText="1" readingOrder="1"/>
      <protection locked="0"/>
    </xf>
    <xf numFmtId="0" fontId="4" fillId="0" borderId="108" xfId="1" applyFont="1" applyBorder="1" applyAlignment="1" applyProtection="1">
      <alignment horizontal="left" vertical="center" wrapText="1" readingOrder="1"/>
      <protection locked="0"/>
    </xf>
    <xf numFmtId="0" fontId="4" fillId="0" borderId="110" xfId="1" applyFont="1" applyBorder="1" applyAlignment="1" applyProtection="1">
      <alignment horizontal="left" vertical="center" wrapText="1" readingOrder="1"/>
      <protection locked="0"/>
    </xf>
    <xf numFmtId="0" fontId="12" fillId="2" borderId="0" xfId="9" applyFont="1" applyFill="1"/>
    <xf numFmtId="3" fontId="12" fillId="0" borderId="34" xfId="0" applyNumberFormat="1" applyFont="1" applyBorder="1"/>
    <xf numFmtId="3" fontId="12" fillId="0" borderId="11" xfId="0" applyNumberFormat="1" applyFont="1" applyBorder="1"/>
    <xf numFmtId="166" fontId="12" fillId="0" borderId="12" xfId="0" applyNumberFormat="1" applyFont="1" applyBorder="1"/>
    <xf numFmtId="3" fontId="12" fillId="0" borderId="35" xfId="0" applyNumberFormat="1" applyFont="1" applyBorder="1"/>
    <xf numFmtId="3" fontId="12" fillId="0" borderId="22" xfId="0" applyNumberFormat="1" applyFont="1" applyBorder="1"/>
    <xf numFmtId="166" fontId="12" fillId="0" borderId="23" xfId="0" applyNumberFormat="1" applyFont="1" applyBorder="1"/>
    <xf numFmtId="3" fontId="12" fillId="0" borderId="24" xfId="0" applyNumberFormat="1" applyFont="1" applyBorder="1"/>
    <xf numFmtId="3" fontId="12" fillId="0" borderId="13" xfId="0" applyNumberFormat="1" applyFont="1" applyBorder="1"/>
    <xf numFmtId="166" fontId="12" fillId="0" borderId="14" xfId="0" applyNumberFormat="1" applyFont="1" applyBorder="1"/>
    <xf numFmtId="165" fontId="4" fillId="2" borderId="0" xfId="6" applyNumberFormat="1" applyFont="1" applyFill="1" applyBorder="1" applyAlignment="1" applyProtection="1">
      <alignment horizontal="right" vertical="center" wrapText="1" readingOrder="1"/>
      <protection locked="0"/>
    </xf>
    <xf numFmtId="165" fontId="3" fillId="2" borderId="0" xfId="6" applyNumberFormat="1" applyFont="1" applyFill="1" applyBorder="1" applyAlignment="1" applyProtection="1">
      <alignment horizontal="right" vertical="center" wrapText="1" readingOrder="1"/>
      <protection locked="0"/>
    </xf>
    <xf numFmtId="165" fontId="3" fillId="0" borderId="0" xfId="6" applyNumberFormat="1" applyFont="1" applyFill="1" applyBorder="1" applyAlignment="1" applyProtection="1">
      <alignment horizontal="right" vertical="center" wrapText="1" readingOrder="1"/>
      <protection locked="0"/>
    </xf>
    <xf numFmtId="0" fontId="17" fillId="2" borderId="0" xfId="5" applyFont="1" applyFill="1" applyAlignment="1" applyProtection="1">
      <alignment horizontal="left" vertical="center" wrapText="1" readingOrder="1"/>
      <protection locked="0"/>
    </xf>
    <xf numFmtId="0" fontId="4" fillId="2" borderId="33" xfId="5" applyFont="1" applyFill="1" applyBorder="1" applyAlignment="1" applyProtection="1">
      <alignment horizontal="left" vertical="center" wrapText="1" readingOrder="1"/>
      <protection locked="0"/>
    </xf>
    <xf numFmtId="165" fontId="4" fillId="2" borderId="112" xfId="6" applyNumberFormat="1" applyFont="1" applyFill="1" applyBorder="1" applyAlignment="1" applyProtection="1">
      <alignment horizontal="right" vertical="center" wrapText="1" readingOrder="1"/>
      <protection locked="0"/>
    </xf>
    <xf numFmtId="165" fontId="4" fillId="2" borderId="113" xfId="6" applyNumberFormat="1" applyFont="1" applyFill="1" applyBorder="1" applyAlignment="1" applyProtection="1">
      <alignment horizontal="right" vertical="center" wrapText="1" readingOrder="1"/>
      <protection locked="0"/>
    </xf>
    <xf numFmtId="165" fontId="3" fillId="2" borderId="113" xfId="6" applyNumberFormat="1" applyFont="1" applyFill="1" applyBorder="1" applyAlignment="1" applyProtection="1">
      <alignment horizontal="right" vertical="center" wrapText="1" readingOrder="1"/>
      <protection locked="0"/>
    </xf>
    <xf numFmtId="0" fontId="4" fillId="2" borderId="114" xfId="5" applyFont="1" applyFill="1" applyBorder="1" applyAlignment="1" applyProtection="1">
      <alignment horizontal="left" vertical="center" wrapText="1" readingOrder="1"/>
      <protection locked="0"/>
    </xf>
    <xf numFmtId="165" fontId="4" fillId="2" borderId="115" xfId="6" applyNumberFormat="1" applyFont="1" applyFill="1" applyBorder="1" applyAlignment="1" applyProtection="1">
      <alignment horizontal="right" vertical="center" wrapText="1" readingOrder="1"/>
      <protection locked="0"/>
    </xf>
    <xf numFmtId="165" fontId="4" fillId="2" borderId="116" xfId="6" applyNumberFormat="1" applyFont="1" applyFill="1" applyBorder="1" applyAlignment="1" applyProtection="1">
      <alignment horizontal="right" vertical="center" wrapText="1" readingOrder="1"/>
      <protection locked="0"/>
    </xf>
    <xf numFmtId="165" fontId="3" fillId="2" borderId="116" xfId="6" applyNumberFormat="1" applyFont="1" applyFill="1" applyBorder="1" applyAlignment="1" applyProtection="1">
      <alignment horizontal="right" vertical="center" wrapText="1" readingOrder="1"/>
      <protection locked="0"/>
    </xf>
    <xf numFmtId="0" fontId="17" fillId="2" borderId="118" xfId="5" applyFont="1" applyFill="1" applyBorder="1" applyAlignment="1" applyProtection="1">
      <alignment horizontal="center" vertical="center" wrapText="1" readingOrder="1"/>
      <protection locked="0"/>
    </xf>
    <xf numFmtId="0" fontId="17" fillId="2" borderId="119" xfId="5" applyFont="1" applyFill="1" applyBorder="1" applyAlignment="1" applyProtection="1">
      <alignment horizontal="center" vertical="center" wrapText="1" readingOrder="1"/>
      <protection locked="0"/>
    </xf>
    <xf numFmtId="0" fontId="17" fillId="0" borderId="120" xfId="5" applyFont="1" applyBorder="1" applyAlignment="1" applyProtection="1">
      <alignment horizontal="center" vertical="center" wrapText="1" readingOrder="1"/>
      <protection locked="0"/>
    </xf>
    <xf numFmtId="1" fontId="17" fillId="2" borderId="118" xfId="6" applyNumberFormat="1" applyFont="1" applyFill="1" applyBorder="1" applyAlignment="1" applyProtection="1">
      <alignment horizontal="center" vertical="center" wrapText="1" readingOrder="1"/>
      <protection locked="0"/>
    </xf>
    <xf numFmtId="1" fontId="17" fillId="2" borderId="119" xfId="6" applyNumberFormat="1" applyFont="1" applyFill="1" applyBorder="1" applyAlignment="1" applyProtection="1">
      <alignment horizontal="center" vertical="center" wrapText="1" readingOrder="1"/>
      <protection locked="0"/>
    </xf>
    <xf numFmtId="0" fontId="18" fillId="2" borderId="119" xfId="5" applyFont="1" applyFill="1" applyBorder="1" applyAlignment="1" applyProtection="1">
      <alignment horizontal="center" vertical="center" wrapText="1" readingOrder="1"/>
      <protection locked="0"/>
    </xf>
    <xf numFmtId="0" fontId="18" fillId="0" borderId="120" xfId="5" applyFont="1" applyBorder="1" applyAlignment="1" applyProtection="1">
      <alignment horizontal="center" vertical="center" wrapText="1" readingOrder="1"/>
      <protection locked="0"/>
    </xf>
    <xf numFmtId="0" fontId="17" fillId="2" borderId="121" xfId="5" applyFont="1" applyFill="1" applyBorder="1" applyAlignment="1" applyProtection="1">
      <alignment horizontal="left" vertical="center" wrapText="1" readingOrder="1"/>
      <protection locked="0"/>
    </xf>
    <xf numFmtId="0" fontId="4" fillId="2" borderId="122" xfId="5" applyFont="1" applyFill="1" applyBorder="1" applyAlignment="1" applyProtection="1">
      <alignment horizontal="left" vertical="center" wrapText="1" readingOrder="1"/>
      <protection locked="0"/>
    </xf>
    <xf numFmtId="0" fontId="4" fillId="2" borderId="123" xfId="5" applyFont="1" applyFill="1" applyBorder="1" applyAlignment="1" applyProtection="1">
      <alignment horizontal="left" vertical="center" wrapText="1" readingOrder="1"/>
      <protection locked="0"/>
    </xf>
    <xf numFmtId="165" fontId="4" fillId="2" borderId="124" xfId="6" applyNumberFormat="1" applyFont="1" applyFill="1" applyBorder="1" applyAlignment="1" applyProtection="1">
      <alignment horizontal="right" vertical="center" wrapText="1" readingOrder="1"/>
      <protection locked="0"/>
    </xf>
    <xf numFmtId="165" fontId="4" fillId="2" borderId="125" xfId="6" applyNumberFormat="1" applyFont="1" applyFill="1" applyBorder="1" applyAlignment="1" applyProtection="1">
      <alignment horizontal="right" vertical="center" wrapText="1" readingOrder="1"/>
      <protection locked="0"/>
    </xf>
    <xf numFmtId="165" fontId="3" fillId="2" borderId="125" xfId="6" applyNumberFormat="1" applyFont="1" applyFill="1" applyBorder="1" applyAlignment="1" applyProtection="1">
      <alignment horizontal="right" vertical="center" wrapText="1" readingOrder="1"/>
      <protection locked="0"/>
    </xf>
    <xf numFmtId="0" fontId="4" fillId="2" borderId="129" xfId="5" applyFont="1" applyFill="1" applyBorder="1" applyAlignment="1" applyProtection="1">
      <alignment horizontal="left" vertical="center" wrapText="1" readingOrder="1"/>
      <protection locked="0"/>
    </xf>
    <xf numFmtId="3" fontId="4" fillId="2" borderId="111" xfId="5" applyNumberFormat="1" applyFont="1" applyFill="1" applyBorder="1" applyAlignment="1" applyProtection="1">
      <alignment horizontal="right" vertical="center" wrapText="1" readingOrder="1"/>
      <protection locked="0"/>
    </xf>
    <xf numFmtId="166" fontId="4" fillId="2" borderId="111" xfId="7" applyNumberFormat="1" applyFont="1" applyFill="1" applyBorder="1" applyAlignment="1" applyProtection="1">
      <alignment horizontal="right" vertical="center" wrapText="1" readingOrder="1"/>
      <protection locked="0"/>
    </xf>
    <xf numFmtId="3" fontId="4" fillId="2" borderId="88" xfId="5" applyNumberFormat="1" applyFont="1" applyFill="1" applyBorder="1" applyAlignment="1" applyProtection="1">
      <alignment horizontal="right" vertical="center" wrapText="1" readingOrder="1"/>
      <protection locked="0"/>
    </xf>
    <xf numFmtId="166" fontId="4" fillId="2" borderId="88" xfId="7" applyNumberFormat="1" applyFont="1" applyFill="1" applyBorder="1" applyAlignment="1" applyProtection="1">
      <alignment horizontal="right" vertical="center" wrapText="1" readingOrder="1"/>
      <protection locked="0"/>
    </xf>
    <xf numFmtId="166" fontId="4" fillId="2" borderId="112" xfId="7" applyNumberFormat="1" applyFont="1" applyFill="1" applyBorder="1" applyAlignment="1" applyProtection="1">
      <alignment horizontal="right" vertical="center" wrapText="1" readingOrder="1"/>
      <protection locked="0"/>
    </xf>
    <xf numFmtId="166" fontId="4" fillId="2" borderId="113" xfId="7" applyNumberFormat="1" applyFont="1" applyFill="1" applyBorder="1" applyAlignment="1" applyProtection="1">
      <alignment horizontal="right" vertical="center" wrapText="1" readingOrder="1"/>
      <protection locked="0"/>
    </xf>
    <xf numFmtId="3" fontId="4" fillId="2" borderId="124" xfId="5" applyNumberFormat="1" applyFont="1" applyFill="1" applyBorder="1" applyAlignment="1" applyProtection="1">
      <alignment horizontal="right" vertical="center" wrapText="1" readingOrder="1"/>
      <protection locked="0"/>
    </xf>
    <xf numFmtId="3" fontId="4" fillId="2" borderId="125" xfId="5" applyNumberFormat="1" applyFont="1" applyFill="1" applyBorder="1" applyAlignment="1" applyProtection="1">
      <alignment horizontal="right" vertical="center" wrapText="1" readingOrder="1"/>
      <protection locked="0"/>
    </xf>
    <xf numFmtId="0" fontId="3" fillId="2" borderId="4" xfId="0" applyFont="1" applyFill="1" applyBorder="1" applyAlignment="1">
      <alignment vertical="center"/>
    </xf>
    <xf numFmtId="167" fontId="11" fillId="0" borderId="130" xfId="8" applyNumberFormat="1" applyFont="1" applyBorder="1" applyAlignment="1">
      <alignment horizontal="center" vertical="center" wrapText="1"/>
    </xf>
    <xf numFmtId="167" fontId="11" fillId="0" borderId="5" xfId="8" applyNumberFormat="1" applyFont="1" applyBorder="1" applyAlignment="1">
      <alignment horizontal="center" vertical="center" wrapText="1"/>
    </xf>
    <xf numFmtId="168" fontId="12" fillId="2" borderId="27" xfId="6" applyNumberFormat="1" applyFont="1" applyFill="1" applyBorder="1" applyAlignment="1">
      <alignment horizontal="right" vertical="center"/>
    </xf>
    <xf numFmtId="168" fontId="12" fillId="2" borderId="29" xfId="6" applyNumberFormat="1" applyFont="1" applyFill="1" applyBorder="1" applyAlignment="1">
      <alignment horizontal="right" vertical="center"/>
    </xf>
    <xf numFmtId="168" fontId="12" fillId="0" borderId="29" xfId="6" applyNumberFormat="1" applyFont="1" applyFill="1" applyBorder="1" applyAlignment="1">
      <alignment horizontal="right" vertical="center"/>
    </xf>
    <xf numFmtId="168" fontId="12" fillId="0" borderId="132" xfId="6" applyNumberFormat="1" applyFont="1" applyFill="1" applyBorder="1" applyAlignment="1">
      <alignment horizontal="right" vertical="center"/>
    </xf>
    <xf numFmtId="168" fontId="12" fillId="0" borderId="133" xfId="6" applyNumberFormat="1" applyFont="1" applyFill="1" applyBorder="1" applyAlignment="1">
      <alignment horizontal="right" vertical="center"/>
    </xf>
    <xf numFmtId="17" fontId="12" fillId="2" borderId="135" xfId="8" applyNumberFormat="1" applyFont="1" applyFill="1" applyBorder="1" applyAlignment="1">
      <alignment horizontal="left" vertical="center"/>
    </xf>
    <xf numFmtId="17" fontId="12" fillId="2" borderId="136" xfId="8" applyNumberFormat="1" applyFont="1" applyFill="1" applyBorder="1" applyAlignment="1">
      <alignment horizontal="left" vertical="center"/>
    </xf>
    <xf numFmtId="17" fontId="3" fillId="2" borderId="136" xfId="8" applyNumberFormat="1" applyFont="1" applyFill="1" applyBorder="1" applyAlignment="1">
      <alignment horizontal="left" vertical="center"/>
    </xf>
    <xf numFmtId="17" fontId="12" fillId="0" borderId="136" xfId="8" applyNumberFormat="1" applyFont="1" applyBorder="1" applyAlignment="1">
      <alignment horizontal="left" vertical="center"/>
    </xf>
    <xf numFmtId="17" fontId="12" fillId="0" borderId="137" xfId="8" applyNumberFormat="1" applyFont="1" applyBorder="1" applyAlignment="1">
      <alignment horizontal="left" vertical="center"/>
    </xf>
    <xf numFmtId="167" fontId="11" fillId="0" borderId="138" xfId="8" applyNumberFormat="1" applyFont="1" applyBorder="1" applyAlignment="1">
      <alignment horizontal="center" vertical="center" wrapText="1"/>
    </xf>
    <xf numFmtId="17" fontId="3" fillId="0" borderId="136" xfId="8" applyNumberFormat="1" applyFont="1" applyBorder="1" applyAlignment="1">
      <alignment horizontal="left" vertical="center"/>
    </xf>
    <xf numFmtId="20" fontId="18" fillId="2" borderId="6" xfId="10" applyNumberFormat="1" applyFont="1" applyFill="1" applyBorder="1" applyAlignment="1">
      <alignment horizontal="center" vertical="center"/>
    </xf>
    <xf numFmtId="168" fontId="4" fillId="2" borderId="111" xfId="10" applyNumberFormat="1" applyFont="1" applyFill="1" applyBorder="1" applyAlignment="1" applyProtection="1">
      <alignment horizontal="right" vertical="center" readingOrder="1"/>
      <protection locked="0"/>
    </xf>
    <xf numFmtId="168" fontId="4" fillId="2" borderId="113" xfId="10" applyNumberFormat="1" applyFont="1" applyFill="1" applyBorder="1" applyAlignment="1" applyProtection="1">
      <alignment horizontal="right" vertical="center" readingOrder="1"/>
      <protection locked="0"/>
    </xf>
    <xf numFmtId="0" fontId="11" fillId="2" borderId="1" xfId="9" applyFont="1" applyFill="1" applyBorder="1" applyAlignment="1">
      <alignment horizontal="center" vertical="center" wrapText="1"/>
    </xf>
    <xf numFmtId="0" fontId="11" fillId="2" borderId="6" xfId="9" applyFont="1" applyFill="1" applyBorder="1" applyAlignment="1">
      <alignment horizontal="center" vertical="center" wrapText="1"/>
    </xf>
    <xf numFmtId="0" fontId="11" fillId="2" borderId="7" xfId="9" applyFont="1" applyFill="1" applyBorder="1" applyAlignment="1">
      <alignment horizontal="center" vertical="center" wrapText="1"/>
    </xf>
    <xf numFmtId="3" fontId="12" fillId="2" borderId="34" xfId="0" applyNumberFormat="1" applyFont="1" applyFill="1" applyBorder="1"/>
    <xf numFmtId="3" fontId="12" fillId="2" borderId="11" xfId="0" applyNumberFormat="1" applyFont="1" applyFill="1" applyBorder="1"/>
    <xf numFmtId="166" fontId="12" fillId="2" borderId="12" xfId="0" applyNumberFormat="1" applyFont="1" applyFill="1" applyBorder="1"/>
    <xf numFmtId="3" fontId="12" fillId="2" borderId="35" xfId="0" applyNumberFormat="1" applyFont="1" applyFill="1" applyBorder="1"/>
    <xf numFmtId="3" fontId="12" fillId="2" borderId="22" xfId="0" applyNumberFormat="1" applyFont="1" applyFill="1" applyBorder="1"/>
    <xf numFmtId="166" fontId="12" fillId="2" borderId="23" xfId="0" applyNumberFormat="1" applyFont="1" applyFill="1" applyBorder="1"/>
    <xf numFmtId="3" fontId="12" fillId="2" borderId="24" xfId="0" applyNumberFormat="1" applyFont="1" applyFill="1" applyBorder="1"/>
    <xf numFmtId="166" fontId="12" fillId="2" borderId="14" xfId="0" applyNumberFormat="1" applyFont="1" applyFill="1" applyBorder="1"/>
    <xf numFmtId="20" fontId="18" fillId="2" borderId="1" xfId="10" applyNumberFormat="1" applyFont="1" applyFill="1" applyBorder="1" applyAlignment="1">
      <alignment horizontal="center" vertical="center"/>
    </xf>
    <xf numFmtId="20" fontId="18" fillId="2" borderId="36" xfId="10" applyNumberFormat="1" applyFont="1" applyFill="1" applyBorder="1" applyAlignment="1">
      <alignment horizontal="center" vertical="center"/>
    </xf>
    <xf numFmtId="3" fontId="3" fillId="2" borderId="11" xfId="10" applyNumberFormat="1" applyFont="1" applyFill="1" applyBorder="1" applyAlignment="1">
      <alignment horizontal="right" vertical="center"/>
    </xf>
    <xf numFmtId="3" fontId="3" fillId="2" borderId="127" xfId="10" applyNumberFormat="1" applyFont="1" applyFill="1" applyBorder="1" applyAlignment="1">
      <alignment horizontal="right" vertical="center"/>
    </xf>
    <xf numFmtId="3" fontId="3" fillId="2" borderId="37" xfId="10" applyNumberFormat="1" applyFont="1" applyFill="1" applyBorder="1" applyAlignment="1">
      <alignment horizontal="right" vertical="center"/>
    </xf>
    <xf numFmtId="3" fontId="3" fillId="2" borderId="16" xfId="10" applyNumberFormat="1" applyFont="1" applyFill="1" applyBorder="1" applyAlignment="1">
      <alignment horizontal="right" vertical="center"/>
    </xf>
    <xf numFmtId="3" fontId="3" fillId="2" borderId="128" xfId="10" applyNumberFormat="1" applyFont="1" applyFill="1" applyBorder="1" applyAlignment="1">
      <alignment horizontal="right" vertical="center"/>
    </xf>
    <xf numFmtId="3" fontId="3" fillId="2" borderId="38" xfId="10" applyNumberFormat="1" applyFont="1" applyFill="1" applyBorder="1" applyAlignment="1">
      <alignment horizontal="right" vertical="center"/>
    </xf>
    <xf numFmtId="166" fontId="4" fillId="2" borderId="39" xfId="7" applyNumberFormat="1" applyFont="1" applyFill="1" applyBorder="1" applyAlignment="1" applyProtection="1">
      <alignment horizontal="right" vertical="center" wrapText="1" readingOrder="1"/>
      <protection locked="0"/>
    </xf>
    <xf numFmtId="0" fontId="4" fillId="0" borderId="139" xfId="0" applyFont="1" applyBorder="1" applyAlignment="1" applyProtection="1">
      <alignment vertical="top" wrapText="1" readingOrder="1"/>
      <protection locked="0"/>
    </xf>
    <xf numFmtId="3" fontId="18" fillId="0" borderId="140" xfId="6" applyNumberFormat="1" applyFont="1" applyBorder="1" applyAlignment="1" applyProtection="1">
      <alignment horizontal="right" vertical="center" wrapText="1" readingOrder="1"/>
      <protection locked="0"/>
    </xf>
    <xf numFmtId="3" fontId="18" fillId="0" borderId="141" xfId="6" applyNumberFormat="1" applyFont="1" applyBorder="1" applyAlignment="1" applyProtection="1">
      <alignment horizontal="right" vertical="center" wrapText="1" readingOrder="1"/>
      <protection locked="0"/>
    </xf>
    <xf numFmtId="0" fontId="18" fillId="0" borderId="143" xfId="5" applyFont="1" applyBorder="1" applyAlignment="1" applyProtection="1">
      <alignment horizontal="center" vertical="center" wrapText="1" readingOrder="1"/>
      <protection locked="0"/>
    </xf>
    <xf numFmtId="0" fontId="18" fillId="0" borderId="144" xfId="5" applyFont="1" applyBorder="1" applyAlignment="1" applyProtection="1">
      <alignment horizontal="center" vertical="center" wrapText="1" readingOrder="1"/>
      <protection locked="0"/>
    </xf>
    <xf numFmtId="0" fontId="18" fillId="0" borderId="18" xfId="5" applyFont="1" applyBorder="1" applyAlignment="1" applyProtection="1">
      <alignment horizontal="center" vertical="center" wrapText="1" readingOrder="1"/>
      <protection locked="0"/>
    </xf>
    <xf numFmtId="0" fontId="18" fillId="0" borderId="55" xfId="5" applyFont="1" applyBorder="1" applyAlignment="1" applyProtection="1">
      <alignment horizontal="center" vertical="center" wrapText="1" readingOrder="1"/>
      <protection locked="0"/>
    </xf>
    <xf numFmtId="0" fontId="18" fillId="0" borderId="146" xfId="5" applyFont="1" applyBorder="1" applyAlignment="1" applyProtection="1">
      <alignment horizontal="center" vertical="center" wrapText="1" readingOrder="1"/>
      <protection locked="0"/>
    </xf>
    <xf numFmtId="3" fontId="9" fillId="0" borderId="0" xfId="4" applyNumberFormat="1" applyFont="1"/>
    <xf numFmtId="3" fontId="10" fillId="0" borderId="0" xfId="4" applyNumberFormat="1" applyFont="1" applyAlignment="1">
      <alignment vertical="top" wrapText="1" readingOrder="1"/>
    </xf>
    <xf numFmtId="0" fontId="15" fillId="3" borderId="0" xfId="1" applyFont="1" applyFill="1" applyAlignment="1">
      <alignment vertical="center"/>
    </xf>
    <xf numFmtId="0" fontId="15" fillId="3" borderId="0" xfId="1" applyFont="1" applyFill="1" applyAlignment="1">
      <alignment horizontal="left" vertical="center"/>
    </xf>
    <xf numFmtId="0" fontId="3" fillId="3" borderId="0" xfId="1" applyFill="1" applyAlignment="1">
      <alignment horizontal="left" vertical="top" wrapText="1"/>
    </xf>
    <xf numFmtId="0" fontId="29" fillId="0" borderId="105" xfId="3" applyFont="1" applyFill="1" applyBorder="1" applyAlignment="1">
      <alignment horizontal="left" vertical="center"/>
    </xf>
    <xf numFmtId="0" fontId="29" fillId="0" borderId="107" xfId="3" applyFont="1" applyFill="1" applyBorder="1" applyAlignment="1">
      <alignment horizontal="left" vertical="center"/>
    </xf>
    <xf numFmtId="0" fontId="29" fillId="0" borderId="109" xfId="3" applyFont="1" applyFill="1" applyBorder="1" applyAlignment="1">
      <alignment horizontal="left" vertical="center"/>
    </xf>
    <xf numFmtId="0" fontId="3" fillId="3" borderId="149" xfId="0" applyFont="1" applyFill="1" applyBorder="1"/>
    <xf numFmtId="0" fontId="3" fillId="3" borderId="150" xfId="0" applyFont="1" applyFill="1" applyBorder="1"/>
    <xf numFmtId="0" fontId="3" fillId="3" borderId="151" xfId="0" applyFont="1" applyFill="1" applyBorder="1"/>
    <xf numFmtId="0" fontId="3" fillId="3" borderId="152" xfId="0" applyFont="1" applyFill="1" applyBorder="1"/>
    <xf numFmtId="0" fontId="3" fillId="3" borderId="153" xfId="0" applyFont="1" applyFill="1" applyBorder="1"/>
    <xf numFmtId="0" fontId="3" fillId="2" borderId="121" xfId="9" applyFont="1" applyFill="1" applyBorder="1"/>
    <xf numFmtId="168" fontId="4" fillId="2" borderId="125" xfId="10" applyNumberFormat="1" applyFont="1" applyFill="1" applyBorder="1" applyAlignment="1" applyProtection="1">
      <alignment horizontal="right" vertical="center" readingOrder="1"/>
      <protection locked="0"/>
    </xf>
    <xf numFmtId="0" fontId="28" fillId="0" borderId="30" xfId="0" applyFont="1" applyBorder="1"/>
    <xf numFmtId="0" fontId="28" fillId="0" borderId="157" xfId="0" applyFont="1" applyBorder="1"/>
    <xf numFmtId="0" fontId="17" fillId="0" borderId="158" xfId="0" applyFont="1" applyBorder="1" applyAlignment="1" applyProtection="1">
      <alignment vertical="center" wrapText="1" readingOrder="1"/>
      <protection locked="0"/>
    </xf>
    <xf numFmtId="3" fontId="4" fillId="0" borderId="159" xfId="6" applyNumberFormat="1" applyFont="1" applyFill="1" applyBorder="1" applyAlignment="1" applyProtection="1">
      <alignment horizontal="right" vertical="center" wrapText="1" readingOrder="1"/>
      <protection locked="0"/>
    </xf>
    <xf numFmtId="3" fontId="4" fillId="0" borderId="160" xfId="6" applyNumberFormat="1" applyFont="1" applyFill="1" applyBorder="1" applyAlignment="1" applyProtection="1">
      <alignment horizontal="right" vertical="center" wrapText="1" readingOrder="1"/>
      <protection locked="0"/>
    </xf>
    <xf numFmtId="166" fontId="22" fillId="0" borderId="161" xfId="11" applyNumberFormat="1" applyFont="1" applyBorder="1" applyAlignment="1" applyProtection="1">
      <alignment horizontal="right" vertical="center" wrapText="1" readingOrder="1"/>
      <protection locked="0"/>
    </xf>
    <xf numFmtId="3" fontId="17" fillId="0" borderId="18" xfId="6" applyNumberFormat="1" applyFont="1" applyFill="1" applyBorder="1" applyAlignment="1" applyProtection="1">
      <alignment horizontal="right" vertical="center" wrapText="1" readingOrder="1"/>
      <protection locked="0"/>
    </xf>
    <xf numFmtId="3" fontId="17" fillId="0" borderId="6" xfId="6" applyNumberFormat="1" applyFont="1" applyFill="1" applyBorder="1" applyAlignment="1" applyProtection="1">
      <alignment horizontal="right" vertical="center" wrapText="1" readingOrder="1"/>
      <protection locked="0"/>
    </xf>
    <xf numFmtId="166" fontId="26" fillId="0" borderId="162" xfId="11" applyNumberFormat="1" applyFont="1" applyBorder="1" applyAlignment="1" applyProtection="1">
      <alignment horizontal="right" vertical="center" wrapText="1" readingOrder="1"/>
      <protection locked="0"/>
    </xf>
    <xf numFmtId="0" fontId="30" fillId="0" borderId="0" xfId="4" applyFont="1"/>
    <xf numFmtId="166" fontId="22" fillId="0" borderId="81" xfId="11" applyNumberFormat="1" applyFont="1" applyFill="1" applyBorder="1" applyAlignment="1" applyProtection="1">
      <alignment horizontal="right" vertical="top" wrapText="1" readingOrder="1"/>
      <protection locked="0"/>
    </xf>
    <xf numFmtId="166" fontId="22" fillId="0" borderId="102" xfId="11" applyNumberFormat="1" applyFont="1" applyFill="1" applyBorder="1" applyAlignment="1" applyProtection="1">
      <alignment horizontal="right" vertical="top" wrapText="1" readingOrder="1"/>
      <protection locked="0"/>
    </xf>
    <xf numFmtId="0" fontId="27" fillId="0" borderId="98" xfId="0" applyFont="1" applyBorder="1"/>
    <xf numFmtId="0" fontId="27" fillId="0" borderId="99" xfId="0" applyFont="1" applyBorder="1"/>
    <xf numFmtId="0" fontId="28" fillId="0" borderId="20" xfId="0" applyFont="1" applyBorder="1"/>
    <xf numFmtId="0" fontId="28" fillId="0" borderId="83" xfId="0" applyFont="1" applyBorder="1"/>
    <xf numFmtId="0" fontId="27" fillId="0" borderId="20" xfId="0" applyFont="1" applyBorder="1"/>
    <xf numFmtId="0" fontId="14" fillId="0" borderId="0" xfId="0" applyFont="1" applyAlignment="1" applyProtection="1">
      <alignment vertical="top" wrapText="1" readingOrder="1"/>
      <protection locked="0"/>
    </xf>
    <xf numFmtId="0" fontId="4" fillId="2" borderId="0" xfId="5" applyFont="1" applyFill="1" applyAlignment="1" applyProtection="1">
      <alignment vertical="top" readingOrder="1"/>
      <protection locked="0"/>
    </xf>
    <xf numFmtId="0" fontId="4" fillId="2" borderId="0" xfId="5" applyFont="1" applyFill="1" applyAlignment="1" applyProtection="1">
      <alignment vertical="top" wrapText="1" readingOrder="1"/>
      <protection locked="0"/>
    </xf>
    <xf numFmtId="0" fontId="10" fillId="0" borderId="0" xfId="4" applyFont="1" applyAlignment="1">
      <alignment vertical="top" readingOrder="1"/>
    </xf>
    <xf numFmtId="0" fontId="4" fillId="2" borderId="0" xfId="0" applyFont="1" applyFill="1" applyAlignment="1" applyProtection="1">
      <alignment vertical="top" readingOrder="1"/>
      <protection locked="0"/>
    </xf>
    <xf numFmtId="0" fontId="33" fillId="0" borderId="0" xfId="4" applyFont="1"/>
    <xf numFmtId="3" fontId="11" fillId="0" borderId="140" xfId="6" applyNumberFormat="1" applyFont="1" applyBorder="1" applyAlignment="1" applyProtection="1">
      <alignment horizontal="right" vertical="center" wrapText="1" readingOrder="1"/>
      <protection locked="0"/>
    </xf>
    <xf numFmtId="3" fontId="12" fillId="0" borderId="60" xfId="6" applyNumberFormat="1" applyFont="1" applyBorder="1" applyAlignment="1" applyProtection="1">
      <alignment horizontal="right" vertical="center" wrapText="1" readingOrder="1"/>
      <protection locked="0"/>
    </xf>
    <xf numFmtId="3" fontId="11" fillId="0" borderId="58" xfId="6" applyNumberFormat="1" applyFont="1" applyBorder="1" applyAlignment="1" applyProtection="1">
      <alignment horizontal="right" vertical="center" wrapText="1" readingOrder="1"/>
      <protection locked="0"/>
    </xf>
    <xf numFmtId="3" fontId="12" fillId="0" borderId="62" xfId="6" applyNumberFormat="1" applyFont="1" applyBorder="1" applyAlignment="1" applyProtection="1">
      <alignment horizontal="right" vertical="center" wrapText="1" readingOrder="1"/>
      <protection locked="0"/>
    </xf>
    <xf numFmtId="166" fontId="22" fillId="0" borderId="91" xfId="11" applyNumberFormat="1" applyFont="1" applyFill="1" applyBorder="1" applyAlignment="1" applyProtection="1">
      <alignment horizontal="right" vertical="top" wrapText="1" readingOrder="1"/>
      <protection locked="0"/>
    </xf>
    <xf numFmtId="0" fontId="32" fillId="0" borderId="0" xfId="0" applyFont="1" applyAlignment="1">
      <alignment horizontal="left"/>
    </xf>
    <xf numFmtId="0" fontId="0" fillId="0" borderId="0" xfId="0" applyAlignment="1">
      <alignment horizontal="left" vertical="top" wrapText="1" readingOrder="1"/>
    </xf>
    <xf numFmtId="0" fontId="6" fillId="0" borderId="0" xfId="3"/>
    <xf numFmtId="166" fontId="22" fillId="0" borderId="50" xfId="11" applyNumberFormat="1" applyFont="1" applyFill="1" applyBorder="1" applyAlignment="1" applyProtection="1">
      <alignment horizontal="right" vertical="center" wrapText="1" readingOrder="1"/>
      <protection locked="0"/>
    </xf>
    <xf numFmtId="166" fontId="26" fillId="0" borderId="162" xfId="11" applyNumberFormat="1" applyFont="1" applyFill="1" applyBorder="1" applyAlignment="1" applyProtection="1">
      <alignment horizontal="right" vertical="center" wrapText="1" readingOrder="1"/>
      <protection locked="0"/>
    </xf>
    <xf numFmtId="3" fontId="4" fillId="0" borderId="60" xfId="6" applyNumberFormat="1" applyFont="1" applyFill="1" applyBorder="1" applyAlignment="1" applyProtection="1">
      <alignment horizontal="right" vertical="top" wrapText="1" readingOrder="1"/>
      <protection locked="0"/>
    </xf>
    <xf numFmtId="3" fontId="4" fillId="0" borderId="165" xfId="6" applyNumberFormat="1" applyFont="1" applyFill="1" applyBorder="1" applyAlignment="1" applyProtection="1">
      <alignment horizontal="right" vertical="top" wrapText="1" readingOrder="1"/>
      <protection locked="0"/>
    </xf>
    <xf numFmtId="3" fontId="4" fillId="0" borderId="166" xfId="6" applyNumberFormat="1" applyFont="1" applyFill="1" applyBorder="1" applyAlignment="1" applyProtection="1">
      <alignment horizontal="right" vertical="top" wrapText="1" readingOrder="1"/>
      <protection locked="0"/>
    </xf>
    <xf numFmtId="3" fontId="4" fillId="0" borderId="167" xfId="6" applyNumberFormat="1" applyFont="1" applyFill="1" applyBorder="1" applyAlignment="1" applyProtection="1">
      <alignment horizontal="right" vertical="top" wrapText="1" readingOrder="1"/>
      <protection locked="0"/>
    </xf>
    <xf numFmtId="3" fontId="4" fillId="0" borderId="60" xfId="6" quotePrefix="1" applyNumberFormat="1" applyFont="1" applyFill="1" applyBorder="1" applyAlignment="1" applyProtection="1">
      <alignment horizontal="right" vertical="top" wrapText="1" readingOrder="1"/>
      <protection locked="0"/>
    </xf>
    <xf numFmtId="3" fontId="4" fillId="0" borderId="62" xfId="6" applyNumberFormat="1" applyFont="1" applyFill="1" applyBorder="1" applyAlignment="1" applyProtection="1">
      <alignment horizontal="right" vertical="top" wrapText="1" readingOrder="1"/>
      <protection locked="0"/>
    </xf>
    <xf numFmtId="3" fontId="4" fillId="0" borderId="168" xfId="6" applyNumberFormat="1" applyFont="1" applyFill="1" applyBorder="1" applyAlignment="1" applyProtection="1">
      <alignment horizontal="right" vertical="top" wrapText="1" readingOrder="1"/>
      <protection locked="0"/>
    </xf>
    <xf numFmtId="3" fontId="4" fillId="0" borderId="169" xfId="6" applyNumberFormat="1" applyFont="1" applyFill="1" applyBorder="1" applyAlignment="1" applyProtection="1">
      <alignment horizontal="right" vertical="top" wrapText="1" readingOrder="1"/>
      <protection locked="0"/>
    </xf>
    <xf numFmtId="3" fontId="4" fillId="0" borderId="53" xfId="6" applyNumberFormat="1" applyFont="1" applyFill="1" applyBorder="1" applyAlignment="1" applyProtection="1">
      <alignment horizontal="right" vertical="top" wrapText="1" readingOrder="1"/>
      <protection locked="0"/>
    </xf>
    <xf numFmtId="3" fontId="4" fillId="0" borderId="170" xfId="6" applyNumberFormat="1" applyFont="1" applyFill="1" applyBorder="1" applyAlignment="1" applyProtection="1">
      <alignment horizontal="right" vertical="top" wrapText="1" readingOrder="1"/>
      <protection locked="0"/>
    </xf>
    <xf numFmtId="3" fontId="4" fillId="0" borderId="171" xfId="6" applyNumberFormat="1" applyFont="1" applyFill="1" applyBorder="1" applyAlignment="1" applyProtection="1">
      <alignment horizontal="right" vertical="top" wrapText="1" readingOrder="1"/>
      <protection locked="0"/>
    </xf>
    <xf numFmtId="3" fontId="4" fillId="0" borderId="172" xfId="6" applyNumberFormat="1" applyFont="1" applyFill="1" applyBorder="1" applyAlignment="1" applyProtection="1">
      <alignment horizontal="right" vertical="top" wrapText="1" readingOrder="1"/>
      <protection locked="0"/>
    </xf>
    <xf numFmtId="3" fontId="17" fillId="0" borderId="173" xfId="6" applyNumberFormat="1" applyFont="1" applyFill="1" applyBorder="1" applyAlignment="1" applyProtection="1">
      <alignment horizontal="right" vertical="top" wrapText="1" readingOrder="1"/>
      <protection locked="0"/>
    </xf>
    <xf numFmtId="3" fontId="17" fillId="0" borderId="45" xfId="6" applyNumberFormat="1" applyFont="1" applyFill="1" applyBorder="1" applyAlignment="1" applyProtection="1">
      <alignment horizontal="right" vertical="top" wrapText="1" readingOrder="1"/>
      <protection locked="0"/>
    </xf>
    <xf numFmtId="3" fontId="4" fillId="0" borderId="48" xfId="6" applyNumberFormat="1" applyFont="1" applyFill="1" applyBorder="1" applyAlignment="1" applyProtection="1">
      <alignment horizontal="right" vertical="top" wrapText="1" readingOrder="1"/>
      <protection locked="0"/>
    </xf>
    <xf numFmtId="3" fontId="17" fillId="0" borderId="65" xfId="6" applyNumberFormat="1" applyFont="1" applyFill="1" applyBorder="1" applyAlignment="1" applyProtection="1">
      <alignment horizontal="right" vertical="top" wrapText="1" readingOrder="1"/>
      <protection locked="0"/>
    </xf>
    <xf numFmtId="10" fontId="26" fillId="0" borderId="174" xfId="11" applyNumberFormat="1" applyFont="1" applyFill="1" applyBorder="1" applyAlignment="1" applyProtection="1">
      <alignment horizontal="right" vertical="top" wrapText="1" readingOrder="1"/>
      <protection locked="0"/>
    </xf>
    <xf numFmtId="3" fontId="4" fillId="0" borderId="175" xfId="6" applyNumberFormat="1" applyFont="1" applyFill="1" applyBorder="1" applyAlignment="1" applyProtection="1">
      <alignment horizontal="right" vertical="top" wrapText="1" readingOrder="1"/>
      <protection locked="0"/>
    </xf>
    <xf numFmtId="3" fontId="4" fillId="0" borderId="176" xfId="6" applyNumberFormat="1" applyFont="1" applyFill="1" applyBorder="1" applyAlignment="1" applyProtection="1">
      <alignment horizontal="right" vertical="top" wrapText="1" readingOrder="1"/>
      <protection locked="0"/>
    </xf>
    <xf numFmtId="3" fontId="4" fillId="0" borderId="177" xfId="6" applyNumberFormat="1" applyFont="1" applyFill="1" applyBorder="1" applyAlignment="1" applyProtection="1">
      <alignment horizontal="right" vertical="top" wrapText="1" readingOrder="1"/>
      <protection locked="0"/>
    </xf>
    <xf numFmtId="3" fontId="4" fillId="0" borderId="178" xfId="6" applyNumberFormat="1" applyFont="1" applyFill="1" applyBorder="1" applyAlignment="1" applyProtection="1">
      <alignment horizontal="right" vertical="top" wrapText="1" readingOrder="1"/>
      <protection locked="0"/>
    </xf>
    <xf numFmtId="0" fontId="27" fillId="0" borderId="87" xfId="22" applyFont="1" applyBorder="1"/>
    <xf numFmtId="168" fontId="9" fillId="0" borderId="0" xfId="4" applyNumberFormat="1" applyFont="1"/>
    <xf numFmtId="166" fontId="9" fillId="0" borderId="0" xfId="4" applyNumberFormat="1" applyFont="1"/>
    <xf numFmtId="0" fontId="3" fillId="0" borderId="0" xfId="0" applyFont="1" applyAlignment="1">
      <alignment horizontal="left" vertical="top" wrapText="1"/>
    </xf>
    <xf numFmtId="0" fontId="9" fillId="0" borderId="9" xfId="4" applyFont="1" applyBorder="1"/>
    <xf numFmtId="0" fontId="9" fillId="0" borderId="143" xfId="4" applyFont="1" applyBorder="1"/>
    <xf numFmtId="0" fontId="9" fillId="0" borderId="19" xfId="4" applyFont="1" applyBorder="1"/>
    <xf numFmtId="0" fontId="9" fillId="0" borderId="179" xfId="4" applyFont="1" applyBorder="1"/>
    <xf numFmtId="0" fontId="9" fillId="0" borderId="20" xfId="4" applyFont="1" applyBorder="1"/>
    <xf numFmtId="0" fontId="9" fillId="0" borderId="21" xfId="4" applyFont="1" applyBorder="1"/>
    <xf numFmtId="165" fontId="4" fillId="0" borderId="126" xfId="6" applyNumberFormat="1" applyFont="1" applyFill="1" applyBorder="1" applyAlignment="1" applyProtection="1">
      <alignment horizontal="right" vertical="center" wrapText="1" readingOrder="1"/>
      <protection locked="0"/>
    </xf>
    <xf numFmtId="165" fontId="4" fillId="0" borderId="32" xfId="6" applyNumberFormat="1" applyFont="1" applyFill="1" applyBorder="1" applyAlignment="1" applyProtection="1">
      <alignment horizontal="right" vertical="center" wrapText="1" readingOrder="1"/>
      <protection locked="0"/>
    </xf>
    <xf numFmtId="165" fontId="3" fillId="0" borderId="117" xfId="6" applyNumberFormat="1" applyFont="1" applyFill="1" applyBorder="1" applyAlignment="1" applyProtection="1">
      <alignment horizontal="right" vertical="center" wrapText="1" readingOrder="1"/>
      <protection locked="0"/>
    </xf>
    <xf numFmtId="3" fontId="4" fillId="0" borderId="126" xfId="5" applyNumberFormat="1" applyFont="1" applyBorder="1" applyAlignment="1" applyProtection="1">
      <alignment horizontal="right" vertical="center" wrapText="1" readingOrder="1"/>
      <protection locked="0"/>
    </xf>
    <xf numFmtId="3" fontId="4" fillId="0" borderId="29" xfId="5" applyNumberFormat="1" applyFont="1" applyBorder="1" applyAlignment="1" applyProtection="1">
      <alignment horizontal="right" vertical="center" wrapText="1" readingOrder="1"/>
      <protection locked="0"/>
    </xf>
    <xf numFmtId="166" fontId="4" fillId="0" borderId="29" xfId="7" applyNumberFormat="1" applyFont="1" applyFill="1" applyBorder="1" applyAlignment="1" applyProtection="1">
      <alignment horizontal="right" vertical="center" wrapText="1" readingOrder="1"/>
      <protection locked="0"/>
    </xf>
    <xf numFmtId="166" fontId="4" fillId="0" borderId="32" xfId="7" applyNumberFormat="1" applyFont="1" applyFill="1" applyBorder="1" applyAlignment="1" applyProtection="1">
      <alignment horizontal="right" vertical="center" wrapText="1" readingOrder="1"/>
      <protection locked="0"/>
    </xf>
    <xf numFmtId="168" fontId="12" fillId="0" borderId="134" xfId="6" applyNumberFormat="1" applyFont="1" applyFill="1" applyBorder="1" applyAlignment="1">
      <alignment horizontal="right" vertical="center"/>
    </xf>
    <xf numFmtId="168" fontId="12" fillId="0" borderId="32" xfId="6" applyNumberFormat="1" applyFont="1" applyFill="1" applyBorder="1" applyAlignment="1">
      <alignment horizontal="right" vertical="center"/>
    </xf>
    <xf numFmtId="3" fontId="12" fillId="0" borderId="19" xfId="10" applyNumberFormat="1" applyFont="1" applyFill="1" applyBorder="1" applyAlignment="1" applyProtection="1">
      <alignment horizontal="right" vertical="center" wrapText="1" readingOrder="1"/>
      <protection locked="0"/>
    </xf>
    <xf numFmtId="3" fontId="12" fillId="0" borderId="11" xfId="10" applyNumberFormat="1" applyFont="1" applyFill="1" applyBorder="1" applyAlignment="1" applyProtection="1">
      <alignment horizontal="right" vertical="center" wrapText="1" readingOrder="1"/>
      <protection locked="0"/>
    </xf>
    <xf numFmtId="166" fontId="12" fillId="0" borderId="12" xfId="7" applyNumberFormat="1" applyFont="1" applyFill="1" applyBorder="1" applyAlignment="1" applyProtection="1">
      <alignment horizontal="right" vertical="center" wrapText="1" readingOrder="1"/>
      <protection locked="0"/>
    </xf>
    <xf numFmtId="3" fontId="12" fillId="0" borderId="20" xfId="10" applyNumberFormat="1" applyFont="1" applyFill="1" applyBorder="1" applyAlignment="1" applyProtection="1">
      <alignment horizontal="right" vertical="center" wrapText="1" readingOrder="1"/>
      <protection locked="0"/>
    </xf>
    <xf numFmtId="3" fontId="12" fillId="0" borderId="22" xfId="10" applyNumberFormat="1" applyFont="1" applyFill="1" applyBorder="1" applyAlignment="1" applyProtection="1">
      <alignment horizontal="right" vertical="center" wrapText="1" readingOrder="1"/>
      <protection locked="0"/>
    </xf>
    <xf numFmtId="166" fontId="12" fillId="0" borderId="23" xfId="7" applyNumberFormat="1" applyFont="1" applyFill="1" applyBorder="1" applyAlignment="1" applyProtection="1">
      <alignment horizontal="right" vertical="center" wrapText="1" readingOrder="1"/>
      <protection locked="0"/>
    </xf>
    <xf numFmtId="166" fontId="12" fillId="0" borderId="21" xfId="7" applyNumberFormat="1" applyFont="1" applyFill="1" applyBorder="1" applyAlignment="1" applyProtection="1">
      <alignment horizontal="right" vertical="center" wrapText="1" readingOrder="1"/>
      <protection locked="0"/>
    </xf>
    <xf numFmtId="3" fontId="12" fillId="0" borderId="35" xfId="10" applyNumberFormat="1" applyFont="1" applyFill="1" applyBorder="1" applyAlignment="1" applyProtection="1">
      <alignment horizontal="right" vertical="center" wrapText="1" readingOrder="1"/>
      <protection locked="0"/>
    </xf>
    <xf numFmtId="166" fontId="3" fillId="0" borderId="21" xfId="11" applyNumberFormat="1" applyFont="1" applyFill="1" applyBorder="1"/>
    <xf numFmtId="3" fontId="12" fillId="0" borderId="24" xfId="10" applyNumberFormat="1" applyFont="1" applyFill="1" applyBorder="1" applyAlignment="1" applyProtection="1">
      <alignment horizontal="right" vertical="center" wrapText="1" readingOrder="1"/>
      <protection locked="0"/>
    </xf>
    <xf numFmtId="3" fontId="12" fillId="0" borderId="13" xfId="10" applyNumberFormat="1" applyFont="1" applyFill="1" applyBorder="1" applyAlignment="1" applyProtection="1">
      <alignment horizontal="right" vertical="center" wrapText="1" readingOrder="1"/>
      <protection locked="0"/>
    </xf>
    <xf numFmtId="3" fontId="12" fillId="0" borderId="154" xfId="10" applyNumberFormat="1" applyFont="1" applyFill="1" applyBorder="1" applyAlignment="1" applyProtection="1">
      <alignment horizontal="right" vertical="center" wrapText="1" readingOrder="1"/>
      <protection locked="0"/>
    </xf>
    <xf numFmtId="166" fontId="3" fillId="0" borderId="25" xfId="11" applyNumberFormat="1" applyFont="1" applyFill="1" applyBorder="1"/>
    <xf numFmtId="168" fontId="4" fillId="0" borderId="126" xfId="10" applyNumberFormat="1" applyFont="1" applyFill="1" applyBorder="1" applyAlignment="1" applyProtection="1">
      <alignment horizontal="right" vertical="center" readingOrder="1"/>
      <protection locked="0"/>
    </xf>
    <xf numFmtId="168" fontId="4" fillId="0" borderId="29" xfId="10" applyNumberFormat="1" applyFont="1" applyFill="1" applyBorder="1" applyAlignment="1" applyProtection="1">
      <alignment horizontal="right" vertical="center" readingOrder="1"/>
      <protection locked="0"/>
    </xf>
    <xf numFmtId="168" fontId="4" fillId="0" borderId="32" xfId="10" applyNumberFormat="1" applyFont="1" applyFill="1" applyBorder="1" applyAlignment="1" applyProtection="1">
      <alignment horizontal="right" vertical="center" readingOrder="1"/>
      <protection locked="0"/>
    </xf>
    <xf numFmtId="3" fontId="3" fillId="0" borderId="12" xfId="10" applyNumberFormat="1" applyFont="1" applyFill="1" applyBorder="1" applyAlignment="1">
      <alignment horizontal="right" vertical="center"/>
    </xf>
    <xf numFmtId="3" fontId="3" fillId="0" borderId="17" xfId="10" applyNumberFormat="1" applyFont="1" applyFill="1" applyBorder="1" applyAlignment="1">
      <alignment horizontal="right" vertical="center"/>
    </xf>
    <xf numFmtId="166" fontId="4" fillId="0" borderId="40" xfId="7" applyNumberFormat="1" applyFont="1" applyFill="1" applyBorder="1" applyAlignment="1" applyProtection="1">
      <alignment horizontal="right" vertical="center" wrapText="1" readingOrder="1"/>
      <protection locked="0"/>
    </xf>
    <xf numFmtId="3" fontId="30" fillId="0" borderId="0" xfId="4" applyNumberFormat="1" applyFont="1"/>
    <xf numFmtId="3" fontId="18" fillId="0" borderId="141" xfId="6" applyNumberFormat="1" applyFont="1" applyFill="1" applyBorder="1" applyAlignment="1" applyProtection="1">
      <alignment horizontal="right" vertical="center" wrapText="1" readingOrder="1"/>
      <protection locked="0"/>
    </xf>
    <xf numFmtId="3" fontId="3" fillId="0" borderId="61" xfId="6" applyNumberFormat="1" applyFont="1" applyFill="1" applyBorder="1" applyAlignment="1" applyProtection="1">
      <alignment horizontal="right" vertical="center" wrapText="1" readingOrder="1"/>
      <protection locked="0"/>
    </xf>
    <xf numFmtId="3" fontId="18" fillId="0" borderId="56" xfId="6" applyNumberFormat="1" applyFont="1" applyFill="1" applyBorder="1" applyAlignment="1" applyProtection="1">
      <alignment horizontal="right" vertical="center" wrapText="1" readingOrder="1"/>
      <protection locked="0"/>
    </xf>
    <xf numFmtId="3" fontId="3" fillId="0" borderId="63" xfId="6" applyNumberFormat="1" applyFont="1" applyFill="1" applyBorder="1" applyAlignment="1" applyProtection="1">
      <alignment horizontal="right" vertical="center" wrapText="1" readingOrder="1"/>
      <protection locked="0"/>
    </xf>
    <xf numFmtId="0" fontId="18" fillId="0" borderId="70" xfId="5" applyFont="1" applyBorder="1" applyAlignment="1" applyProtection="1">
      <alignment horizontal="center" vertical="center" wrapText="1" readingOrder="1"/>
      <protection locked="0"/>
    </xf>
    <xf numFmtId="0" fontId="18" fillId="0" borderId="71" xfId="5" applyFont="1" applyBorder="1" applyAlignment="1" applyProtection="1">
      <alignment horizontal="center" vertical="center" wrapText="1" readingOrder="1"/>
      <protection locked="0"/>
    </xf>
    <xf numFmtId="0" fontId="17" fillId="0" borderId="72" xfId="5" applyFont="1" applyBorder="1" applyAlignment="1" applyProtection="1">
      <alignment horizontal="center" vertical="center" wrapText="1" readingOrder="1"/>
      <protection locked="0"/>
    </xf>
    <xf numFmtId="3" fontId="12" fillId="0" borderId="100" xfId="6" applyNumberFormat="1" applyFont="1" applyFill="1" applyBorder="1" applyAlignment="1" applyProtection="1">
      <alignment horizontal="right" vertical="top" wrapText="1" readingOrder="1"/>
      <protection locked="0"/>
    </xf>
    <xf numFmtId="3" fontId="12" fillId="0" borderId="101" xfId="6" applyNumberFormat="1" applyFont="1" applyFill="1" applyBorder="1" applyAlignment="1" applyProtection="1">
      <alignment horizontal="right" vertical="top" wrapText="1" readingOrder="1"/>
      <protection locked="0"/>
    </xf>
    <xf numFmtId="166" fontId="37" fillId="0" borderId="101" xfId="11" applyNumberFormat="1" applyFont="1" applyFill="1" applyBorder="1" applyAlignment="1" applyProtection="1">
      <alignment horizontal="right" vertical="top" wrapText="1" readingOrder="1"/>
      <protection locked="0"/>
    </xf>
    <xf numFmtId="165" fontId="12" fillId="0" borderId="163" xfId="6" applyNumberFormat="1" applyFont="1" applyFill="1" applyBorder="1" applyAlignment="1" applyProtection="1">
      <alignment horizontal="right" vertical="top" wrapText="1" readingOrder="1"/>
      <protection locked="0"/>
    </xf>
    <xf numFmtId="3" fontId="12" fillId="0" borderId="85" xfId="6" applyNumberFormat="1" applyFont="1" applyFill="1" applyBorder="1" applyAlignment="1" applyProtection="1">
      <alignment horizontal="right" vertical="top" wrapText="1" readingOrder="1"/>
      <protection locked="0"/>
    </xf>
    <xf numFmtId="3" fontId="12" fillId="0" borderId="86" xfId="6" applyNumberFormat="1" applyFont="1" applyFill="1" applyBorder="1" applyAlignment="1" applyProtection="1">
      <alignment horizontal="right" vertical="top" wrapText="1" readingOrder="1"/>
      <protection locked="0"/>
    </xf>
    <xf numFmtId="166" fontId="12" fillId="0" borderId="50" xfId="6" applyNumberFormat="1" applyFont="1" applyFill="1" applyBorder="1" applyAlignment="1" applyProtection="1">
      <alignment horizontal="right" vertical="top" wrapText="1" readingOrder="1"/>
      <protection locked="0"/>
    </xf>
    <xf numFmtId="166" fontId="37" fillId="0" borderId="50" xfId="11" applyNumberFormat="1" applyFont="1" applyFill="1" applyBorder="1" applyAlignment="1" applyProtection="1">
      <alignment horizontal="right" vertical="top" wrapText="1" readingOrder="1"/>
      <protection locked="0"/>
    </xf>
    <xf numFmtId="0" fontId="12" fillId="0" borderId="82" xfId="6" applyNumberFormat="1" applyFont="1" applyFill="1" applyBorder="1" applyAlignment="1" applyProtection="1">
      <alignment horizontal="right" vertical="top" wrapText="1" readingOrder="1"/>
      <protection locked="0"/>
    </xf>
    <xf numFmtId="3" fontId="12" fillId="0" borderId="111" xfId="6" applyNumberFormat="1" applyFont="1" applyFill="1" applyBorder="1" applyAlignment="1" applyProtection="1">
      <alignment horizontal="right" vertical="top" wrapText="1" readingOrder="1"/>
      <protection locked="0"/>
    </xf>
    <xf numFmtId="166" fontId="37" fillId="0" borderId="81" xfId="11" applyNumberFormat="1" applyFont="1" applyFill="1" applyBorder="1" applyAlignment="1" applyProtection="1">
      <alignment horizontal="right" vertical="top" wrapText="1" readingOrder="1"/>
      <protection locked="0"/>
    </xf>
    <xf numFmtId="0" fontId="12" fillId="0" borderId="155" xfId="6" applyNumberFormat="1" applyFont="1" applyFill="1" applyBorder="1" applyAlignment="1" applyProtection="1">
      <alignment horizontal="right" vertical="top" wrapText="1" readingOrder="1"/>
      <protection locked="0"/>
    </xf>
    <xf numFmtId="3" fontId="12" fillId="0" borderId="147" xfId="6" applyNumberFormat="1" applyFont="1" applyFill="1" applyBorder="1" applyAlignment="1" applyProtection="1">
      <alignment horizontal="right" vertical="top" wrapText="1" readingOrder="1"/>
      <protection locked="0"/>
    </xf>
    <xf numFmtId="3" fontId="12" fillId="0" borderId="148" xfId="6" applyNumberFormat="1" applyFont="1" applyFill="1" applyBorder="1" applyAlignment="1" applyProtection="1">
      <alignment horizontal="right" vertical="top" wrapText="1" readingOrder="1"/>
      <protection locked="0"/>
    </xf>
    <xf numFmtId="0" fontId="12" fillId="0" borderId="156" xfId="6" applyNumberFormat="1" applyFont="1" applyFill="1" applyBorder="1" applyAlignment="1" applyProtection="1">
      <alignment horizontal="right" vertical="top" wrapText="1" readingOrder="1"/>
      <protection locked="0"/>
    </xf>
    <xf numFmtId="3" fontId="12" fillId="0" borderId="90" xfId="6" applyNumberFormat="1" applyFont="1" applyFill="1" applyBorder="1" applyAlignment="1" applyProtection="1">
      <alignment horizontal="right" vertical="top" wrapText="1" readingOrder="1"/>
      <protection locked="0"/>
    </xf>
    <xf numFmtId="3" fontId="12" fillId="0" borderId="103" xfId="6" applyNumberFormat="1" applyFont="1" applyFill="1" applyBorder="1" applyAlignment="1" applyProtection="1">
      <alignment horizontal="right" vertical="top" wrapText="1" readingOrder="1"/>
      <protection locked="0"/>
    </xf>
    <xf numFmtId="166" fontId="37" fillId="0" borderId="104" xfId="11" applyNumberFormat="1" applyFont="1" applyFill="1" applyBorder="1" applyAlignment="1" applyProtection="1">
      <alignment horizontal="right" vertical="top" wrapText="1" readingOrder="1"/>
      <protection locked="0"/>
    </xf>
    <xf numFmtId="3" fontId="11" fillId="0" borderId="75" xfId="6" applyNumberFormat="1" applyFont="1" applyFill="1" applyBorder="1" applyAlignment="1" applyProtection="1">
      <alignment horizontal="right" vertical="top" wrapText="1" readingOrder="1"/>
      <protection locked="0"/>
    </xf>
    <xf numFmtId="3" fontId="11" fillId="0" borderId="76" xfId="6" applyNumberFormat="1" applyFont="1" applyFill="1" applyBorder="1" applyAlignment="1" applyProtection="1">
      <alignment horizontal="right" vertical="top" wrapText="1" readingOrder="1"/>
      <protection locked="0"/>
    </xf>
    <xf numFmtId="3" fontId="11" fillId="0" borderId="77" xfId="6" applyNumberFormat="1" applyFont="1" applyFill="1" applyBorder="1" applyAlignment="1" applyProtection="1">
      <alignment horizontal="right" vertical="top" wrapText="1" readingOrder="1"/>
      <protection locked="0"/>
    </xf>
    <xf numFmtId="10" fontId="36" fillId="0" borderId="77" xfId="11" applyNumberFormat="1" applyFont="1" applyFill="1" applyBorder="1" applyAlignment="1" applyProtection="1">
      <alignment horizontal="right" vertical="top" wrapText="1" readingOrder="1"/>
      <protection locked="0"/>
    </xf>
    <xf numFmtId="3" fontId="12" fillId="0" borderId="78" xfId="6" applyNumberFormat="1" applyFont="1" applyFill="1" applyBorder="1" applyAlignment="1" applyProtection="1">
      <alignment horizontal="right" vertical="top" readingOrder="1"/>
      <protection locked="0"/>
    </xf>
    <xf numFmtId="3" fontId="12" fillId="0" borderId="79" xfId="6" applyNumberFormat="1" applyFont="1" applyFill="1" applyBorder="1" applyAlignment="1" applyProtection="1">
      <alignment horizontal="right" vertical="top" readingOrder="1"/>
      <protection locked="0"/>
    </xf>
    <xf numFmtId="3" fontId="12" fillId="0" borderId="80" xfId="6" applyNumberFormat="1" applyFont="1" applyFill="1" applyBorder="1" applyAlignment="1" applyProtection="1">
      <alignment horizontal="right" vertical="top" readingOrder="1"/>
      <protection locked="0"/>
    </xf>
    <xf numFmtId="10" fontId="37" fillId="0" borderId="80" xfId="11" applyNumberFormat="1" applyFont="1" applyFill="1" applyBorder="1" applyAlignment="1" applyProtection="1">
      <alignment horizontal="right" vertical="top" readingOrder="1"/>
      <protection locked="0"/>
    </xf>
    <xf numFmtId="3" fontId="12" fillId="0" borderId="84" xfId="6" applyNumberFormat="1" applyFont="1" applyFill="1" applyBorder="1" applyAlignment="1" applyProtection="1">
      <alignment horizontal="right" vertical="top" readingOrder="1"/>
      <protection locked="0"/>
    </xf>
    <xf numFmtId="3" fontId="12" fillId="0" borderId="85" xfId="6" applyNumberFormat="1" applyFont="1" applyFill="1" applyBorder="1" applyAlignment="1" applyProtection="1">
      <alignment horizontal="right" vertical="top" readingOrder="1"/>
      <protection locked="0"/>
    </xf>
    <xf numFmtId="3" fontId="12" fillId="0" borderId="86" xfId="6" applyNumberFormat="1" applyFont="1" applyFill="1" applyBorder="1" applyAlignment="1" applyProtection="1">
      <alignment horizontal="right" vertical="top" readingOrder="1"/>
      <protection locked="0"/>
    </xf>
    <xf numFmtId="10" fontId="37" fillId="0" borderId="86" xfId="11" applyNumberFormat="1" applyFont="1" applyFill="1" applyBorder="1" applyAlignment="1" applyProtection="1">
      <alignment horizontal="right" vertical="top" readingOrder="1"/>
      <protection locked="0"/>
    </xf>
    <xf numFmtId="3" fontId="12" fillId="0" borderId="94" xfId="6" applyNumberFormat="1" applyFont="1" applyFill="1" applyBorder="1" applyAlignment="1" applyProtection="1">
      <alignment horizontal="right" vertical="top" readingOrder="1"/>
      <protection locked="0"/>
    </xf>
    <xf numFmtId="3" fontId="12" fillId="0" borderId="95" xfId="6" applyNumberFormat="1" applyFont="1" applyFill="1" applyBorder="1" applyAlignment="1" applyProtection="1">
      <alignment horizontal="right" vertical="top" readingOrder="1"/>
      <protection locked="0"/>
    </xf>
    <xf numFmtId="3" fontId="12" fillId="0" borderId="96" xfId="6" applyNumberFormat="1" applyFont="1" applyFill="1" applyBorder="1" applyAlignment="1" applyProtection="1">
      <alignment horizontal="right" vertical="top" readingOrder="1"/>
      <protection locked="0"/>
    </xf>
    <xf numFmtId="10" fontId="37" fillId="0" borderId="96" xfId="11" applyNumberFormat="1" applyFont="1" applyFill="1" applyBorder="1" applyAlignment="1" applyProtection="1">
      <alignment horizontal="right" vertical="top" readingOrder="1"/>
      <protection locked="0"/>
    </xf>
    <xf numFmtId="0" fontId="18" fillId="0" borderId="180" xfId="1" applyFont="1" applyBorder="1" applyAlignment="1" applyProtection="1">
      <alignment horizontal="left" vertical="center" wrapText="1" readingOrder="1"/>
      <protection locked="0"/>
    </xf>
    <xf numFmtId="0" fontId="3" fillId="0" borderId="99" xfId="1" applyBorder="1" applyAlignment="1" applyProtection="1">
      <alignment horizontal="left" vertical="center" wrapText="1" readingOrder="1"/>
      <protection locked="0"/>
    </xf>
    <xf numFmtId="0" fontId="3" fillId="0" borderId="83" xfId="1" applyBorder="1" applyAlignment="1" applyProtection="1">
      <alignment horizontal="left" vertical="center" wrapText="1" readingOrder="1"/>
      <protection locked="0"/>
    </xf>
    <xf numFmtId="0" fontId="3" fillId="0" borderId="181" xfId="1" applyBorder="1" applyAlignment="1" applyProtection="1">
      <alignment horizontal="left" vertical="center" wrapText="1" readingOrder="1"/>
      <protection locked="0"/>
    </xf>
    <xf numFmtId="20" fontId="18" fillId="2" borderId="118" xfId="10" applyNumberFormat="1" applyFont="1" applyFill="1" applyBorder="1" applyAlignment="1">
      <alignment horizontal="center" vertical="center"/>
    </xf>
    <xf numFmtId="20" fontId="18" fillId="2" borderId="119" xfId="10" applyNumberFormat="1" applyFont="1" applyFill="1" applyBorder="1" applyAlignment="1">
      <alignment horizontal="center" vertical="center"/>
    </xf>
    <xf numFmtId="20" fontId="18" fillId="2" borderId="120" xfId="10" applyNumberFormat="1" applyFont="1" applyFill="1" applyBorder="1" applyAlignment="1">
      <alignment horizontal="center" vertical="center"/>
    </xf>
    <xf numFmtId="0" fontId="3" fillId="0" borderId="0" xfId="1"/>
    <xf numFmtId="0" fontId="3" fillId="0" borderId="0" xfId="0" applyFont="1" applyAlignment="1">
      <alignment horizontal="left" vertical="top" wrapText="1"/>
    </xf>
    <xf numFmtId="0" fontId="4" fillId="0" borderId="0" xfId="1" applyFont="1" applyAlignment="1" applyProtection="1">
      <alignment vertical="top" wrapText="1" readingOrder="1"/>
      <protection locked="0"/>
    </xf>
    <xf numFmtId="0" fontId="4" fillId="0" borderId="0" xfId="0" applyFont="1" applyAlignment="1" applyProtection="1">
      <alignment horizontal="left" vertical="top" wrapText="1" readingOrder="1"/>
      <protection locked="0"/>
    </xf>
    <xf numFmtId="0" fontId="2" fillId="2" borderId="0" xfId="0" applyFont="1" applyFill="1"/>
    <xf numFmtId="0" fontId="13" fillId="2" borderId="0" xfId="0" applyFont="1" applyFill="1"/>
    <xf numFmtId="0" fontId="31" fillId="0" borderId="0" xfId="3" applyFont="1" applyAlignment="1">
      <alignment horizontal="left" wrapText="1"/>
    </xf>
    <xf numFmtId="0" fontId="24" fillId="0" borderId="0" xfId="0" applyFont="1" applyAlignment="1">
      <alignment horizontal="left" wrapText="1"/>
    </xf>
    <xf numFmtId="0" fontId="14" fillId="0" borderId="0" xfId="0" applyFont="1" applyAlignment="1" applyProtection="1">
      <alignment horizontal="left" vertical="top" wrapText="1" readingOrder="1"/>
      <protection locked="0"/>
    </xf>
    <xf numFmtId="0" fontId="9" fillId="0" borderId="0" xfId="4" applyFont="1" applyAlignment="1">
      <alignment horizontal="center"/>
    </xf>
    <xf numFmtId="0" fontId="15" fillId="3" borderId="0" xfId="1" applyFont="1" applyFill="1" applyAlignment="1">
      <alignment horizontal="left" vertical="top"/>
    </xf>
    <xf numFmtId="0" fontId="4" fillId="2" borderId="0" xfId="0" applyFont="1" applyFill="1" applyAlignment="1" applyProtection="1">
      <alignment horizontal="left" vertical="top" wrapText="1" readingOrder="1"/>
      <protection locked="0"/>
    </xf>
    <xf numFmtId="0" fontId="10" fillId="0" borderId="0" xfId="4" applyFont="1" applyAlignment="1">
      <alignment vertical="top" wrapText="1" readingOrder="1"/>
    </xf>
    <xf numFmtId="0" fontId="9" fillId="0" borderId="0" xfId="4" applyFont="1"/>
    <xf numFmtId="0" fontId="5" fillId="2" borderId="0" xfId="2" applyFill="1" applyAlignment="1" applyProtection="1">
      <alignment horizontal="left" vertical="top" readingOrder="1"/>
      <protection locked="0"/>
    </xf>
    <xf numFmtId="0" fontId="0" fillId="0" borderId="0" xfId="0"/>
    <xf numFmtId="0" fontId="5" fillId="2" borderId="0" xfId="3" applyFont="1" applyFill="1" applyAlignment="1" applyProtection="1">
      <alignment horizontal="left" vertical="top" wrapText="1" readingOrder="1"/>
      <protection locked="0"/>
    </xf>
    <xf numFmtId="0" fontId="0" fillId="0" borderId="0" xfId="0" applyAlignment="1">
      <alignment horizontal="left" vertical="top" wrapText="1" readingOrder="1"/>
    </xf>
    <xf numFmtId="0" fontId="5" fillId="0" borderId="0" xfId="3" applyFont="1" applyFill="1" applyBorder="1" applyAlignment="1" applyProtection="1">
      <alignment horizontal="left" vertical="top" wrapText="1" readingOrder="1"/>
      <protection locked="0"/>
    </xf>
    <xf numFmtId="0" fontId="15" fillId="3" borderId="0" xfId="1" applyFont="1" applyFill="1" applyAlignment="1">
      <alignment horizontal="left" vertical="center"/>
    </xf>
    <xf numFmtId="0" fontId="3" fillId="3" borderId="0" xfId="1" applyFill="1" applyAlignment="1">
      <alignment horizontal="left" vertical="top" wrapText="1"/>
    </xf>
    <xf numFmtId="0" fontId="4" fillId="2" borderId="0" xfId="5" applyFont="1" applyFill="1" applyAlignment="1" applyProtection="1">
      <alignment horizontal="left" vertical="top" wrapText="1" readingOrder="1"/>
      <protection locked="0"/>
    </xf>
    <xf numFmtId="0" fontId="5" fillId="0" borderId="0" xfId="2" applyFill="1" applyBorder="1" applyAlignment="1" applyProtection="1">
      <alignment horizontal="left" vertical="top" wrapText="1" readingOrder="1"/>
      <protection locked="0"/>
    </xf>
    <xf numFmtId="0" fontId="0" fillId="0" borderId="0" xfId="0" applyAlignment="1">
      <alignment wrapText="1"/>
    </xf>
    <xf numFmtId="0" fontId="34" fillId="0" borderId="121" xfId="4" applyFont="1" applyBorder="1" applyAlignment="1">
      <alignment horizontal="center" vertical="top" wrapText="1" readingOrder="1"/>
    </xf>
    <xf numFmtId="0" fontId="9" fillId="0" borderId="0" xfId="4" applyFont="1" applyAlignment="1">
      <alignment wrapText="1"/>
    </xf>
    <xf numFmtId="0" fontId="12" fillId="0" borderId="0" xfId="0" applyFont="1" applyAlignment="1">
      <alignment wrapText="1"/>
    </xf>
    <xf numFmtId="0" fontId="11" fillId="0" borderId="33" xfId="15" applyFont="1" applyBorder="1" applyAlignment="1">
      <alignment horizontal="center"/>
    </xf>
    <xf numFmtId="0" fontId="11" fillId="0" borderId="1" xfId="15" applyFont="1" applyBorder="1" applyAlignment="1">
      <alignment horizontal="center"/>
    </xf>
    <xf numFmtId="0" fontId="11" fillId="0" borderId="2" xfId="15" applyFont="1" applyBorder="1" applyAlignment="1">
      <alignment horizontal="center"/>
    </xf>
    <xf numFmtId="0" fontId="11" fillId="0" borderId="33" xfId="9" applyFont="1" applyBorder="1" applyAlignment="1">
      <alignment horizontal="center"/>
    </xf>
    <xf numFmtId="0" fontId="11" fillId="0" borderId="1" xfId="9" applyFont="1" applyBorder="1" applyAlignment="1">
      <alignment horizontal="center"/>
    </xf>
    <xf numFmtId="0" fontId="11" fillId="0" borderId="2" xfId="9" applyFont="1" applyBorder="1" applyAlignment="1">
      <alignment horizontal="center"/>
    </xf>
    <xf numFmtId="0" fontId="11" fillId="2" borderId="33" xfId="9" applyFont="1" applyFill="1" applyBorder="1" applyAlignment="1">
      <alignment horizontal="center"/>
    </xf>
    <xf numFmtId="0" fontId="11" fillId="2" borderId="1" xfId="9" applyFont="1" applyFill="1" applyBorder="1" applyAlignment="1">
      <alignment horizontal="center"/>
    </xf>
    <xf numFmtId="0" fontId="11" fillId="2" borderId="2" xfId="9" applyFont="1" applyFill="1" applyBorder="1" applyAlignment="1">
      <alignment horizontal="center"/>
    </xf>
    <xf numFmtId="0" fontId="15" fillId="3" borderId="0" xfId="1" applyFont="1" applyFill="1" applyAlignment="1">
      <alignment horizontal="left" vertical="center" wrapText="1"/>
    </xf>
    <xf numFmtId="0" fontId="17" fillId="0" borderId="33" xfId="0" applyFont="1" applyBorder="1" applyAlignment="1" applyProtection="1">
      <alignment horizontal="center" vertical="center" readingOrder="1"/>
      <protection locked="0"/>
    </xf>
    <xf numFmtId="0" fontId="17" fillId="0" borderId="1" xfId="0" applyFont="1" applyBorder="1" applyAlignment="1" applyProtection="1">
      <alignment horizontal="center" vertical="center" readingOrder="1"/>
      <protection locked="0"/>
    </xf>
    <xf numFmtId="0" fontId="17" fillId="0" borderId="2" xfId="0" applyFont="1" applyBorder="1" applyAlignment="1" applyProtection="1">
      <alignment horizontal="center" vertical="center" readingOrder="1"/>
      <protection locked="0"/>
    </xf>
    <xf numFmtId="0" fontId="17" fillId="0" borderId="54" xfId="0" applyFont="1" applyBorder="1" applyAlignment="1" applyProtection="1">
      <alignment horizontal="center" vertical="center" readingOrder="1"/>
      <protection locked="0"/>
    </xf>
    <xf numFmtId="0" fontId="17" fillId="0" borderId="33" xfId="1" applyFont="1" applyBorder="1" applyAlignment="1" applyProtection="1">
      <alignment horizontal="center" vertical="center" readingOrder="1"/>
      <protection locked="0"/>
    </xf>
    <xf numFmtId="0" fontId="17" fillId="0" borderId="2" xfId="1" applyFont="1" applyBorder="1" applyAlignment="1" applyProtection="1">
      <alignment horizontal="center" vertical="center" readingOrder="1"/>
      <protection locked="0"/>
    </xf>
    <xf numFmtId="0" fontId="17" fillId="0" borderId="138" xfId="1" applyFont="1" applyBorder="1" applyAlignment="1" applyProtection="1">
      <alignment horizontal="center" vertical="center" readingOrder="1"/>
      <protection locked="0"/>
    </xf>
    <xf numFmtId="0" fontId="17" fillId="0" borderId="142" xfId="1" applyFont="1" applyBorder="1" applyAlignment="1" applyProtection="1">
      <alignment horizontal="center" vertical="center" readingOrder="1"/>
      <protection locked="0"/>
    </xf>
    <xf numFmtId="0" fontId="17" fillId="0" borderId="145" xfId="1" applyFont="1" applyBorder="1" applyAlignment="1" applyProtection="1">
      <alignment horizontal="center" vertical="center" readingOrder="1"/>
      <protection locked="0"/>
    </xf>
    <xf numFmtId="0" fontId="17" fillId="0" borderId="131" xfId="1" applyFont="1" applyBorder="1" applyAlignment="1" applyProtection="1">
      <alignment horizontal="center" vertical="center" readingOrder="1"/>
      <protection locked="0"/>
    </xf>
    <xf numFmtId="0" fontId="15" fillId="0" borderId="0" xfId="1" applyFont="1" applyAlignment="1" applyProtection="1">
      <alignment horizontal="left" vertical="top" wrapText="1" readingOrder="1"/>
      <protection locked="0"/>
    </xf>
    <xf numFmtId="0" fontId="3" fillId="0" borderId="0" xfId="1" applyAlignment="1" applyProtection="1">
      <alignment vertical="top" wrapText="1" readingOrder="1"/>
      <protection locked="0"/>
    </xf>
    <xf numFmtId="0" fontId="3" fillId="0" borderId="0" xfId="1" applyAlignment="1">
      <alignment wrapText="1"/>
    </xf>
    <xf numFmtId="0" fontId="5" fillId="0" borderId="0" xfId="3" applyFont="1" applyFill="1" applyBorder="1" applyAlignment="1" applyProtection="1">
      <alignment horizontal="left" vertical="top" readingOrder="1"/>
      <protection locked="0"/>
    </xf>
    <xf numFmtId="0" fontId="5" fillId="0" borderId="0" xfId="2" applyFill="1" applyBorder="1" applyAlignment="1" applyProtection="1">
      <alignment horizontal="left" vertical="top" readingOrder="1"/>
      <protection locked="0"/>
    </xf>
    <xf numFmtId="0" fontId="0" fillId="0" borderId="0" xfId="0" applyAlignment="1">
      <alignment horizontal="left" vertical="top" readingOrder="1"/>
    </xf>
    <xf numFmtId="0" fontId="17" fillId="0" borderId="64" xfId="5" applyFont="1" applyBorder="1" applyAlignment="1" applyProtection="1">
      <alignment horizontal="center" vertical="top" readingOrder="1"/>
      <protection locked="0"/>
    </xf>
    <xf numFmtId="0" fontId="17" fillId="0" borderId="65" xfId="5" applyFont="1" applyBorder="1" applyAlignment="1" applyProtection="1">
      <alignment horizontal="center" vertical="top" readingOrder="1"/>
      <protection locked="0"/>
    </xf>
    <xf numFmtId="0" fontId="17" fillId="0" borderId="56" xfId="5" applyFont="1" applyBorder="1" applyAlignment="1" applyProtection="1">
      <alignment horizontal="center" vertical="top" readingOrder="1"/>
      <protection locked="0"/>
    </xf>
    <xf numFmtId="3" fontId="10" fillId="0" borderId="0" xfId="4" applyNumberFormat="1" applyFont="1" applyAlignment="1">
      <alignment vertical="top" wrapText="1" readingOrder="1"/>
    </xf>
    <xf numFmtId="0" fontId="3" fillId="0" borderId="0" xfId="1" applyAlignment="1" applyProtection="1">
      <alignment horizontal="left" vertical="top" wrapText="1" readingOrder="1"/>
      <protection locked="0"/>
    </xf>
    <xf numFmtId="0" fontId="3" fillId="0" borderId="0" xfId="5" applyAlignment="1" applyProtection="1">
      <alignment horizontal="left" vertical="top" wrapText="1" readingOrder="1"/>
      <protection locked="0"/>
    </xf>
    <xf numFmtId="0" fontId="34" fillId="0" borderId="164" xfId="4" applyFont="1" applyBorder="1" applyAlignment="1">
      <alignment horizontal="center" vertical="top" wrapText="1" readingOrder="1"/>
    </xf>
    <xf numFmtId="170" fontId="9" fillId="0" borderId="0" xfId="4" applyNumberFormat="1" applyFont="1"/>
  </cellXfs>
  <cellStyles count="23">
    <cellStyle name="Comma 11" xfId="6" xr:uid="{B300955D-EFCB-4B92-9251-7050AC2798BD}"/>
    <cellStyle name="Comma 11 2" xfId="17" xr:uid="{79A42E08-A013-4DE4-A6E9-589FB0A211D5}"/>
    <cellStyle name="Comma 13" xfId="10" xr:uid="{299F7C23-8685-4B78-8055-22CB4F6C4534}"/>
    <cellStyle name="Comma 13 2" xfId="16" xr:uid="{951B0547-06C7-4730-BE3D-27F209263B41}"/>
    <cellStyle name="Comma 13 2 2" xfId="21" xr:uid="{5EA37633-4315-4D07-8193-DDFAD0B9D6C8}"/>
    <cellStyle name="Comma 13 3" xfId="19" xr:uid="{C580D70D-5A6C-4C89-93FB-AD23FAFE3153}"/>
    <cellStyle name="Comma 2" xfId="12" xr:uid="{4955F945-09EC-4ECA-BFA9-A231B489731D}"/>
    <cellStyle name="Comma 2 2" xfId="20" xr:uid="{F9C680B7-E0A3-4636-A263-AC2E56C25253}"/>
    <cellStyle name="Hyperlink" xfId="3" builtinId="8"/>
    <cellStyle name="Hyperlink 2" xfId="2" xr:uid="{8DCDB2A9-1F84-4B2A-8BAC-3F323847B518}"/>
    <cellStyle name="Normal" xfId="0" builtinId="0"/>
    <cellStyle name="Normal 14" xfId="9" xr:uid="{E58F1BE5-C2BA-4A1E-B43F-F6BC4BEE37C0}"/>
    <cellStyle name="Normal 14 2" xfId="15" xr:uid="{20394BE1-5A23-4CB7-9C46-530F347F514A}"/>
    <cellStyle name="Normal 2" xfId="1" xr:uid="{71EC6003-6F5B-4C4A-85F8-4D1FCA86E96B}"/>
    <cellStyle name="Normal 2 2 2" xfId="5" xr:uid="{B4DC9BA2-7974-4E49-A284-C4B52DD9B154}"/>
    <cellStyle name="Normal 2 3" xfId="13" xr:uid="{74E66FA5-1D2B-4EC3-B17B-B6F55EB013F5}"/>
    <cellStyle name="Normal 2 5" xfId="8" xr:uid="{98BF7B50-E7E1-4108-B6E4-9968EB0FA1BB}"/>
    <cellStyle name="Normal 2 5 2" xfId="18" xr:uid="{F62E374B-2B88-4C87-B671-65AE940CAB35}"/>
    <cellStyle name="Normal 3" xfId="4" xr:uid="{CC2DD93E-73F5-4828-9AF9-096E34FA2D9E}"/>
    <cellStyle name="Normal 4" xfId="22" xr:uid="{CE538ABD-90CE-45EA-86AB-27D6046AF3E3}"/>
    <cellStyle name="Per cent" xfId="11" builtinId="5"/>
    <cellStyle name="Percent 11" xfId="7" xr:uid="{E8605077-C7F3-427A-82F5-879DCCE7E770}"/>
    <cellStyle name="Percent 11 2" xfId="14" xr:uid="{0DC4D37B-68B4-4C88-AF67-D8AC040C45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0</xdr:col>
      <xdr:colOff>1076325</xdr:colOff>
      <xdr:row>0</xdr:row>
      <xdr:rowOff>1002197</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076325" cy="1002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3543301</xdr:colOff>
      <xdr:row>0</xdr:row>
      <xdr:rowOff>0</xdr:rowOff>
    </xdr:from>
    <xdr:to>
      <xdr:col>1</xdr:col>
      <xdr:colOff>4974591</xdr:colOff>
      <xdr:row>1</xdr:row>
      <xdr:rowOff>63977</xdr:rowOff>
    </xdr:to>
    <xdr:pic>
      <xdr:nvPicPr>
        <xdr:cNvPr id="4" name="Picture 3" descr="NHS England logo">
          <a:extLst>
            <a:ext uri="{FF2B5EF4-FFF2-40B4-BE49-F238E27FC236}">
              <a16:creationId xmlns:a16="http://schemas.microsoft.com/office/drawing/2014/main" id="{73CE9012-000F-45B3-8BED-88401DFCE1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632" r="20287"/>
        <a:stretch/>
      </xdr:blipFill>
      <xdr:spPr>
        <a:xfrm>
          <a:off x="5343526" y="0"/>
          <a:ext cx="1444625" cy="1129507"/>
        </a:xfrm>
        <a:prstGeom prst="rect">
          <a:avLst/>
        </a:prstGeom>
      </xdr:spPr>
    </xdr:pic>
    <xdr:clientData/>
  </xdr:twoCellAnchor>
  <xdr:twoCellAnchor>
    <xdr:from>
      <xdr:col>0</xdr:col>
      <xdr:colOff>2</xdr:colOff>
      <xdr:row>38</xdr:row>
      <xdr:rowOff>0</xdr:rowOff>
    </xdr:from>
    <xdr:to>
      <xdr:col>0</xdr:col>
      <xdr:colOff>1247776</xdr:colOff>
      <xdr:row>38</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 y="8791575"/>
          <a:ext cx="1247774"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350520</xdr:colOff>
      <xdr:row>0</xdr:row>
      <xdr:rowOff>1066165</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7482840" y="0"/>
          <a:ext cx="1059180" cy="1066165"/>
        </a:xfrm>
        <a:prstGeom prst="rect">
          <a:avLst/>
        </a:prstGeom>
      </xdr:spPr>
    </xdr:pic>
    <xdr:clientData/>
  </xdr:twoCellAnchor>
  <xdr:twoCellAnchor editAs="oneCell">
    <xdr:from>
      <xdr:col>0</xdr:col>
      <xdr:colOff>0</xdr:colOff>
      <xdr:row>0</xdr:row>
      <xdr:rowOff>17145</xdr:rowOff>
    </xdr:from>
    <xdr:to>
      <xdr:col>0</xdr:col>
      <xdr:colOff>1184275</xdr:colOff>
      <xdr:row>1</xdr:row>
      <xdr:rowOff>79217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7145"/>
          <a:ext cx="1170940"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0F65456F-FA3B-4EDA-A1B5-9566F96A8818}"/>
            </a:ext>
          </a:extLst>
        </xdr:cNvPr>
        <xdr:cNvPicPr/>
      </xdr:nvPicPr>
      <xdr:blipFill>
        <a:blip xmlns:r="http://schemas.openxmlformats.org/officeDocument/2006/relationships" r:embed="rId1" cstate="print"/>
        <a:stretch>
          <a:fillRect/>
        </a:stretch>
      </xdr:blipFill>
      <xdr:spPr>
        <a:xfrm>
          <a:off x="7101840" y="0"/>
          <a:ext cx="990600" cy="1066165"/>
        </a:xfrm>
        <a:prstGeom prst="rect">
          <a:avLst/>
        </a:prstGeom>
      </xdr:spPr>
    </xdr:pic>
    <xdr:clientData/>
  </xdr:twoCellAnchor>
  <xdr:twoCellAnchor editAs="oneCell">
    <xdr:from>
      <xdr:col>0</xdr:col>
      <xdr:colOff>0</xdr:colOff>
      <xdr:row>0</xdr:row>
      <xdr:rowOff>9525</xdr:rowOff>
    </xdr:from>
    <xdr:to>
      <xdr:col>1</xdr:col>
      <xdr:colOff>159385</xdr:colOff>
      <xdr:row>1</xdr:row>
      <xdr:rowOff>75407</xdr:rowOff>
    </xdr:to>
    <xdr:pic>
      <xdr:nvPicPr>
        <xdr:cNvPr id="3" name="Picture 2" descr="NHS England logo">
          <a:extLst>
            <a:ext uri="{FF2B5EF4-FFF2-40B4-BE49-F238E27FC236}">
              <a16:creationId xmlns:a16="http://schemas.microsoft.com/office/drawing/2014/main" id="{26A4AC3C-6A66-4632-A218-694567736C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2065"/>
          <a:ext cx="1152525" cy="11301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A1B1EB4C-80DD-4ED4-B1B5-5888C3428D9B}"/>
            </a:ext>
          </a:extLst>
        </xdr:cNvPr>
        <xdr:cNvPicPr/>
      </xdr:nvPicPr>
      <xdr:blipFill>
        <a:blip xmlns:r="http://schemas.openxmlformats.org/officeDocument/2006/relationships" r:embed="rId1" cstate="print"/>
        <a:stretch>
          <a:fillRect/>
        </a:stretch>
      </xdr:blipFill>
      <xdr:spPr>
        <a:xfrm>
          <a:off x="5562600" y="0"/>
          <a:ext cx="1005840" cy="1066165"/>
        </a:xfrm>
        <a:prstGeom prst="rect">
          <a:avLst/>
        </a:prstGeom>
      </xdr:spPr>
    </xdr:pic>
    <xdr:clientData/>
  </xdr:twoCellAnchor>
  <xdr:twoCellAnchor editAs="oneCell">
    <xdr:from>
      <xdr:col>0</xdr:col>
      <xdr:colOff>0</xdr:colOff>
      <xdr:row>0</xdr:row>
      <xdr:rowOff>3175</xdr:rowOff>
    </xdr:from>
    <xdr:to>
      <xdr:col>0</xdr:col>
      <xdr:colOff>1189355</xdr:colOff>
      <xdr:row>1</xdr:row>
      <xdr:rowOff>70327</xdr:rowOff>
    </xdr:to>
    <xdr:pic>
      <xdr:nvPicPr>
        <xdr:cNvPr id="3" name="Picture 2" descr="NHS England logo">
          <a:extLst>
            <a:ext uri="{FF2B5EF4-FFF2-40B4-BE49-F238E27FC236}">
              <a16:creationId xmlns:a16="http://schemas.microsoft.com/office/drawing/2014/main" id="{E66A0F84-6CC2-48AF-829E-05568BFA616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3175"/>
          <a:ext cx="1190625" cy="11326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CBE449D8-C5E3-4DC4-806F-A4D9112E1832}"/>
            </a:ext>
          </a:extLst>
        </xdr:cNvPr>
        <xdr:cNvPicPr/>
      </xdr:nvPicPr>
      <xdr:blipFill>
        <a:blip xmlns:r="http://schemas.openxmlformats.org/officeDocument/2006/relationships" r:embed="rId1" cstate="print"/>
        <a:stretch>
          <a:fillRect/>
        </a:stretch>
      </xdr:blipFill>
      <xdr:spPr>
        <a:xfrm>
          <a:off x="6562725" y="0"/>
          <a:ext cx="1005840" cy="1066165"/>
        </a:xfrm>
        <a:prstGeom prst="rect">
          <a:avLst/>
        </a:prstGeom>
      </xdr:spPr>
    </xdr:pic>
    <xdr:clientData/>
  </xdr:twoCellAnchor>
  <xdr:twoCellAnchor editAs="oneCell">
    <xdr:from>
      <xdr:col>0</xdr:col>
      <xdr:colOff>0</xdr:colOff>
      <xdr:row>0</xdr:row>
      <xdr:rowOff>9525</xdr:rowOff>
    </xdr:from>
    <xdr:to>
      <xdr:col>0</xdr:col>
      <xdr:colOff>1188085</xdr:colOff>
      <xdr:row>1</xdr:row>
      <xdr:rowOff>75407</xdr:rowOff>
    </xdr:to>
    <xdr:pic>
      <xdr:nvPicPr>
        <xdr:cNvPr id="3" name="Picture 2" descr="NHS England logo">
          <a:extLst>
            <a:ext uri="{FF2B5EF4-FFF2-40B4-BE49-F238E27FC236}">
              <a16:creationId xmlns:a16="http://schemas.microsoft.com/office/drawing/2014/main" id="{90C06F5A-852B-47BD-9DEC-475B6763F0A3}"/>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F7F05D58-DC8E-4905-AB10-235EADE7F687}"/>
            </a:ext>
          </a:extLst>
        </xdr:cNvPr>
        <xdr:cNvPicPr/>
      </xdr:nvPicPr>
      <xdr:blipFill>
        <a:blip xmlns:r="http://schemas.openxmlformats.org/officeDocument/2006/relationships" r:embed="rId1" cstate="print"/>
        <a:stretch>
          <a:fillRect/>
        </a:stretch>
      </xdr:blipFill>
      <xdr:spPr>
        <a:xfrm>
          <a:off x="6915150" y="0"/>
          <a:ext cx="1005840" cy="1066165"/>
        </a:xfrm>
        <a:prstGeom prst="rect">
          <a:avLst/>
        </a:prstGeom>
      </xdr:spPr>
    </xdr:pic>
    <xdr:clientData/>
  </xdr:twoCellAnchor>
  <xdr:twoCellAnchor editAs="oneCell">
    <xdr:from>
      <xdr:col>0</xdr:col>
      <xdr:colOff>0</xdr:colOff>
      <xdr:row>0</xdr:row>
      <xdr:rowOff>3175</xdr:rowOff>
    </xdr:from>
    <xdr:to>
      <xdr:col>0</xdr:col>
      <xdr:colOff>1190625</xdr:colOff>
      <xdr:row>1</xdr:row>
      <xdr:rowOff>69057</xdr:rowOff>
    </xdr:to>
    <xdr:pic>
      <xdr:nvPicPr>
        <xdr:cNvPr id="3" name="Picture 2" descr="NHS England logo">
          <a:extLst>
            <a:ext uri="{FF2B5EF4-FFF2-40B4-BE49-F238E27FC236}">
              <a16:creationId xmlns:a16="http://schemas.microsoft.com/office/drawing/2014/main" id="{077FDC45-C978-42E1-9E8B-FD26604EBC19}"/>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3175"/>
          <a:ext cx="1190625" cy="11326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281940</xdr:colOff>
      <xdr:row>0</xdr:row>
      <xdr:rowOff>1066165</xdr:rowOff>
    </xdr:to>
    <xdr:pic>
      <xdr:nvPicPr>
        <xdr:cNvPr id="2" name="Picture 1">
          <a:extLst>
            <a:ext uri="{FF2B5EF4-FFF2-40B4-BE49-F238E27FC236}">
              <a16:creationId xmlns:a16="http://schemas.microsoft.com/office/drawing/2014/main" id="{7D9FA744-1452-4A5B-8BA0-A6398445520A}"/>
            </a:ext>
          </a:extLst>
        </xdr:cNvPr>
        <xdr:cNvPicPr/>
      </xdr:nvPicPr>
      <xdr:blipFill>
        <a:blip xmlns:r="http://schemas.openxmlformats.org/officeDocument/2006/relationships" r:embed="rId1" cstate="print"/>
        <a:stretch>
          <a:fillRect/>
        </a:stretch>
      </xdr:blipFill>
      <xdr:spPr>
        <a:xfrm>
          <a:off x="6915150" y="0"/>
          <a:ext cx="1005840" cy="1066165"/>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B36743A0-E45C-445E-B443-C780D4A62E1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90625" cy="113268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342900</xdr:colOff>
      <xdr:row>0</xdr:row>
      <xdr:rowOff>1066165</xdr:rowOff>
    </xdr:to>
    <xdr:pic>
      <xdr:nvPicPr>
        <xdr:cNvPr id="2" name="Picture 1">
          <a:extLst>
            <a:ext uri="{FF2B5EF4-FFF2-40B4-BE49-F238E27FC236}">
              <a16:creationId xmlns:a16="http://schemas.microsoft.com/office/drawing/2014/main" id="{A02E60E5-6B40-4C7D-B8E7-1C92DD0B04D0}"/>
            </a:ext>
          </a:extLst>
        </xdr:cNvPr>
        <xdr:cNvPicPr/>
      </xdr:nvPicPr>
      <xdr:blipFill>
        <a:blip xmlns:r="http://schemas.openxmlformats.org/officeDocument/2006/relationships" r:embed="rId1" cstate="print"/>
        <a:stretch>
          <a:fillRect/>
        </a:stretch>
      </xdr:blipFill>
      <xdr:spPr>
        <a:xfrm>
          <a:off x="3855720" y="0"/>
          <a:ext cx="883920" cy="1066165"/>
        </a:xfrm>
        <a:prstGeom prst="rect">
          <a:avLst/>
        </a:prstGeom>
      </xdr:spPr>
    </xdr:pic>
    <xdr:clientData/>
  </xdr:twoCellAnchor>
  <xdr:twoCellAnchor editAs="oneCell">
    <xdr:from>
      <xdr:col>0</xdr:col>
      <xdr:colOff>0</xdr:colOff>
      <xdr:row>0</xdr:row>
      <xdr:rowOff>9525</xdr:rowOff>
    </xdr:from>
    <xdr:to>
      <xdr:col>1</xdr:col>
      <xdr:colOff>28456</xdr:colOff>
      <xdr:row>1</xdr:row>
      <xdr:rowOff>75407</xdr:rowOff>
    </xdr:to>
    <xdr:pic>
      <xdr:nvPicPr>
        <xdr:cNvPr id="3" name="Picture 2" descr="NHS England logo">
          <a:extLst>
            <a:ext uri="{FF2B5EF4-FFF2-40B4-BE49-F238E27FC236}">
              <a16:creationId xmlns:a16="http://schemas.microsoft.com/office/drawing/2014/main" id="{D7109A60-44DC-4F96-A0A1-2CBA4C9D5AA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46056" cy="113268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0748BCAD-21A9-4BD8-80A8-D7B1BFE689B1}"/>
            </a:ext>
          </a:extLst>
        </xdr:cNvPr>
        <xdr:cNvPicPr/>
      </xdr:nvPicPr>
      <xdr:blipFill>
        <a:blip xmlns:r="http://schemas.openxmlformats.org/officeDocument/2006/relationships" r:embed="rId1" cstate="print"/>
        <a:stretch>
          <a:fillRect/>
        </a:stretch>
      </xdr:blipFill>
      <xdr:spPr>
        <a:xfrm>
          <a:off x="6562725" y="0"/>
          <a:ext cx="1005840" cy="1066165"/>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D3CEBFCF-CD3B-4C62-8C28-22F9EDADFCD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0243CCD6-8E82-446A-9977-AF07C112C1F6}"/>
            </a:ext>
          </a:extLst>
        </xdr:cNvPr>
        <xdr:cNvPicPr/>
      </xdr:nvPicPr>
      <xdr:blipFill>
        <a:blip xmlns:r="http://schemas.openxmlformats.org/officeDocument/2006/relationships" r:embed="rId1" cstate="print"/>
        <a:stretch>
          <a:fillRect/>
        </a:stretch>
      </xdr:blipFill>
      <xdr:spPr>
        <a:xfrm>
          <a:off x="6562725" y="0"/>
          <a:ext cx="1005840" cy="1066165"/>
        </a:xfrm>
        <a:prstGeom prst="rect">
          <a:avLst/>
        </a:prstGeom>
      </xdr:spPr>
    </xdr:pic>
    <xdr:clientData/>
  </xdr:twoCellAnchor>
  <xdr:twoCellAnchor editAs="oneCell">
    <xdr:from>
      <xdr:col>0</xdr:col>
      <xdr:colOff>0</xdr:colOff>
      <xdr:row>0</xdr:row>
      <xdr:rowOff>9525</xdr:rowOff>
    </xdr:from>
    <xdr:to>
      <xdr:col>1</xdr:col>
      <xdr:colOff>74839</xdr:colOff>
      <xdr:row>1</xdr:row>
      <xdr:rowOff>75407</xdr:rowOff>
    </xdr:to>
    <xdr:pic>
      <xdr:nvPicPr>
        <xdr:cNvPr id="3" name="Picture 2" descr="NHS England logo">
          <a:extLst>
            <a:ext uri="{FF2B5EF4-FFF2-40B4-BE49-F238E27FC236}">
              <a16:creationId xmlns:a16="http://schemas.microsoft.com/office/drawing/2014/main" id="{36B4D9A3-1DDF-4DCB-BA4A-4364B1EFBDA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EB8E5DBE-D9C8-40FB-B5EA-74916E65D695}"/>
            </a:ext>
          </a:extLst>
        </xdr:cNvPr>
        <xdr:cNvPicPr/>
      </xdr:nvPicPr>
      <xdr:blipFill>
        <a:blip xmlns:r="http://schemas.openxmlformats.org/officeDocument/2006/relationships" r:embed="rId1" cstate="print"/>
        <a:stretch>
          <a:fillRect/>
        </a:stretch>
      </xdr:blipFill>
      <xdr:spPr>
        <a:xfrm>
          <a:off x="6276975" y="0"/>
          <a:ext cx="986790" cy="1066165"/>
        </a:xfrm>
        <a:prstGeom prst="rect">
          <a:avLst/>
        </a:prstGeom>
      </xdr:spPr>
    </xdr:pic>
    <xdr:clientData/>
  </xdr:twoCellAnchor>
  <xdr:twoCellAnchor editAs="oneCell">
    <xdr:from>
      <xdr:col>0</xdr:col>
      <xdr:colOff>0</xdr:colOff>
      <xdr:row>0</xdr:row>
      <xdr:rowOff>9525</xdr:rowOff>
    </xdr:from>
    <xdr:to>
      <xdr:col>0</xdr:col>
      <xdr:colOff>1186724</xdr:colOff>
      <xdr:row>1</xdr:row>
      <xdr:rowOff>75407</xdr:rowOff>
    </xdr:to>
    <xdr:pic>
      <xdr:nvPicPr>
        <xdr:cNvPr id="3" name="Picture 2" descr="NHS England logo">
          <a:extLst>
            <a:ext uri="{FF2B5EF4-FFF2-40B4-BE49-F238E27FC236}">
              <a16:creationId xmlns:a16="http://schemas.microsoft.com/office/drawing/2014/main" id="{71951066-44B0-4FBB-BF64-F1B92E23A22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4</xdr:col>
      <xdr:colOff>775335</xdr:colOff>
      <xdr:row>0</xdr:row>
      <xdr:rowOff>0</xdr:rowOff>
    </xdr:from>
    <xdr:to>
      <xdr:col>6</xdr:col>
      <xdr:colOff>99060</xdr:colOff>
      <xdr:row>0</xdr:row>
      <xdr:rowOff>1066165</xdr:rowOff>
    </xdr:to>
    <xdr:pic>
      <xdr:nvPicPr>
        <xdr:cNvPr id="2" name="Picture 1">
          <a:extLst>
            <a:ext uri="{FF2B5EF4-FFF2-40B4-BE49-F238E27FC236}">
              <a16:creationId xmlns:a16="http://schemas.microsoft.com/office/drawing/2014/main" id="{D8C914B7-F8C9-411C-99B1-929B91174E9D}"/>
            </a:ext>
          </a:extLst>
        </xdr:cNvPr>
        <xdr:cNvPicPr/>
      </xdr:nvPicPr>
      <xdr:blipFill>
        <a:blip xmlns:r="http://schemas.openxmlformats.org/officeDocument/2006/relationships" r:embed="rId1" cstate="print"/>
        <a:stretch>
          <a:fillRect/>
        </a:stretch>
      </xdr:blipFill>
      <xdr:spPr>
        <a:xfrm>
          <a:off x="5667375" y="0"/>
          <a:ext cx="916305" cy="1066165"/>
        </a:xfrm>
        <a:prstGeom prst="rect">
          <a:avLst/>
        </a:prstGeom>
      </xdr:spPr>
    </xdr:pic>
    <xdr:clientData/>
  </xdr:twoCellAnchor>
  <xdr:twoCellAnchor editAs="oneCell">
    <xdr:from>
      <xdr:col>0</xdr:col>
      <xdr:colOff>0</xdr:colOff>
      <xdr:row>0</xdr:row>
      <xdr:rowOff>9525</xdr:rowOff>
    </xdr:from>
    <xdr:to>
      <xdr:col>0</xdr:col>
      <xdr:colOff>1189264</xdr:colOff>
      <xdr:row>1</xdr:row>
      <xdr:rowOff>75407</xdr:rowOff>
    </xdr:to>
    <xdr:pic>
      <xdr:nvPicPr>
        <xdr:cNvPr id="3" name="Picture 2" descr="NHS England logo">
          <a:extLst>
            <a:ext uri="{FF2B5EF4-FFF2-40B4-BE49-F238E27FC236}">
              <a16:creationId xmlns:a16="http://schemas.microsoft.com/office/drawing/2014/main" id="{A045ECE0-65E7-4DFA-9CD5-7916DD260E6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7B50D784-CF44-4190-B72E-EEDE880D14E8}"/>
            </a:ext>
          </a:extLst>
        </xdr:cNvPr>
        <xdr:cNvPicPr/>
      </xdr:nvPicPr>
      <xdr:blipFill>
        <a:blip xmlns:r="http://schemas.openxmlformats.org/officeDocument/2006/relationships" r:embed="rId1" cstate="print"/>
        <a:stretch>
          <a:fillRect/>
        </a:stretch>
      </xdr:blipFill>
      <xdr:spPr>
        <a:xfrm>
          <a:off x="6667500" y="0"/>
          <a:ext cx="1034415" cy="1066165"/>
        </a:xfrm>
        <a:prstGeom prst="rect">
          <a:avLst/>
        </a:prstGeom>
      </xdr:spPr>
    </xdr:pic>
    <xdr:clientData/>
  </xdr:twoCellAnchor>
  <xdr:twoCellAnchor editAs="oneCell">
    <xdr:from>
      <xdr:col>0</xdr:col>
      <xdr:colOff>0</xdr:colOff>
      <xdr:row>0</xdr:row>
      <xdr:rowOff>9525</xdr:rowOff>
    </xdr:from>
    <xdr:to>
      <xdr:col>0</xdr:col>
      <xdr:colOff>1191804</xdr:colOff>
      <xdr:row>1</xdr:row>
      <xdr:rowOff>75407</xdr:rowOff>
    </xdr:to>
    <xdr:pic>
      <xdr:nvPicPr>
        <xdr:cNvPr id="3" name="Picture 2" descr="NHS England logo">
          <a:extLst>
            <a:ext uri="{FF2B5EF4-FFF2-40B4-BE49-F238E27FC236}">
              <a16:creationId xmlns:a16="http://schemas.microsoft.com/office/drawing/2014/main" id="{E108CB90-D141-43DF-AF09-8CCE4EBA358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9264" cy="113268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4</xdr:col>
      <xdr:colOff>2543175</xdr:colOff>
      <xdr:row>0</xdr:row>
      <xdr:rowOff>0</xdr:rowOff>
    </xdr:from>
    <xdr:to>
      <xdr:col>5</xdr:col>
      <xdr:colOff>986790</xdr:colOff>
      <xdr:row>0</xdr:row>
      <xdr:rowOff>1066165</xdr:rowOff>
    </xdr:to>
    <xdr:pic>
      <xdr:nvPicPr>
        <xdr:cNvPr id="2" name="Picture 1">
          <a:extLst>
            <a:ext uri="{FF2B5EF4-FFF2-40B4-BE49-F238E27FC236}">
              <a16:creationId xmlns:a16="http://schemas.microsoft.com/office/drawing/2014/main" id="{DE2DB6DA-0810-4FD9-982A-1B5DA315A15D}"/>
            </a:ext>
          </a:extLst>
        </xdr:cNvPr>
        <xdr:cNvPicPr/>
      </xdr:nvPicPr>
      <xdr:blipFill>
        <a:blip xmlns:r="http://schemas.openxmlformats.org/officeDocument/2006/relationships" r:embed="rId1" cstate="print"/>
        <a:stretch>
          <a:fillRect/>
        </a:stretch>
      </xdr:blipFill>
      <xdr:spPr>
        <a:xfrm>
          <a:off x="6667500" y="0"/>
          <a:ext cx="1034415" cy="1066165"/>
        </a:xfrm>
        <a:prstGeom prst="rect">
          <a:avLst/>
        </a:prstGeom>
      </xdr:spPr>
    </xdr:pic>
    <xdr:clientData/>
  </xdr:twoCellAnchor>
  <xdr:twoCellAnchor editAs="oneCell">
    <xdr:from>
      <xdr:col>0</xdr:col>
      <xdr:colOff>0</xdr:colOff>
      <xdr:row>0</xdr:row>
      <xdr:rowOff>9525</xdr:rowOff>
    </xdr:from>
    <xdr:to>
      <xdr:col>0</xdr:col>
      <xdr:colOff>1184184</xdr:colOff>
      <xdr:row>1</xdr:row>
      <xdr:rowOff>75407</xdr:rowOff>
    </xdr:to>
    <xdr:pic>
      <xdr:nvPicPr>
        <xdr:cNvPr id="3" name="Picture 2" descr="NHS England logo">
          <a:extLst>
            <a:ext uri="{FF2B5EF4-FFF2-40B4-BE49-F238E27FC236}">
              <a16:creationId xmlns:a16="http://schemas.microsoft.com/office/drawing/2014/main" id="{D8093B56-99EA-4BBB-884C-E03DEC934706}"/>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84184" cy="113268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350520</xdr:colOff>
      <xdr:row>0</xdr:row>
      <xdr:rowOff>1066165</xdr:rowOff>
    </xdr:to>
    <xdr:pic>
      <xdr:nvPicPr>
        <xdr:cNvPr id="2" name="Picture 1">
          <a:extLst>
            <a:ext uri="{FF2B5EF4-FFF2-40B4-BE49-F238E27FC236}">
              <a16:creationId xmlns:a16="http://schemas.microsoft.com/office/drawing/2014/main" id="{761BBC79-58EC-41D1-AE95-E66A484410DE}"/>
            </a:ext>
          </a:extLst>
        </xdr:cNvPr>
        <xdr:cNvPicPr/>
      </xdr:nvPicPr>
      <xdr:blipFill>
        <a:blip xmlns:r="http://schemas.openxmlformats.org/officeDocument/2006/relationships" r:embed="rId1" cstate="print"/>
        <a:stretch>
          <a:fillRect/>
        </a:stretch>
      </xdr:blipFill>
      <xdr:spPr>
        <a:xfrm>
          <a:off x="5353050" y="0"/>
          <a:ext cx="1131570" cy="1066165"/>
        </a:xfrm>
        <a:prstGeom prst="rect">
          <a:avLst/>
        </a:prstGeom>
      </xdr:spPr>
    </xdr:pic>
    <xdr:clientData/>
  </xdr:twoCellAnchor>
  <xdr:twoCellAnchor editAs="oneCell">
    <xdr:from>
      <xdr:col>0</xdr:col>
      <xdr:colOff>0</xdr:colOff>
      <xdr:row>0</xdr:row>
      <xdr:rowOff>17145</xdr:rowOff>
    </xdr:from>
    <xdr:to>
      <xdr:col>0</xdr:col>
      <xdr:colOff>1184275</xdr:colOff>
      <xdr:row>1</xdr:row>
      <xdr:rowOff>79217</xdr:rowOff>
    </xdr:to>
    <xdr:pic>
      <xdr:nvPicPr>
        <xdr:cNvPr id="3" name="Picture 2" descr="NHS England logo">
          <a:extLst>
            <a:ext uri="{FF2B5EF4-FFF2-40B4-BE49-F238E27FC236}">
              <a16:creationId xmlns:a16="http://schemas.microsoft.com/office/drawing/2014/main" id="{D4421B99-260E-4485-B6AF-A4A91FA9C90A}"/>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17145"/>
          <a:ext cx="1184275" cy="1128872"/>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nhs.uk/data-and-information/publications/statistical/hospital-accident--emergency-activity/supporting-information" TargetMode="External"/><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digital.nhs.uk/data-and-information/publications/statistical/hospital-accident--emergency-activity/2024-2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timeseries/enpop/pop" TargetMode="External"/><Relationship Id="rId2" Type="http://schemas.openxmlformats.org/officeDocument/2006/relationships/hyperlink" Target="https://www.ons.gov.uk/peoplepopulationandcommunity/populationandmigration/populationestimates/bulletins/populationandhouseholdestimatesenglandandwales/census2021" TargetMode="External"/><Relationship Id="rId1" Type="http://schemas.openxmlformats.org/officeDocument/2006/relationships/hyperlink" Target="https://www.ons.gov.uk/peoplepopulationandcommunity/populationandmigration/populationestimates/bulletins/populationestimatesforenglandandwales/mid2023"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s://www.england.nhs.uk/statistics/statistical-work-areas/ae-waiting-times-and-activity/ae-attendances-and-emergency-admissions-2024-25/"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0.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england.nhs.uk/statistics/statistical-work-areas/ae-waiting-times-and-activity/ae-attendances-and-emergency-admissions-2024-25/" TargetMode="Externa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hyperlink" Target="https://www.england.nhs.uk/statistics/wp-content/uploads/sites/2/2023/07/Impact-of-CRS-on-national-AE-timeseries.pdf" TargetMode="External"/><Relationship Id="rId1" Type="http://schemas.openxmlformats.org/officeDocument/2006/relationships/hyperlink" Target="https://www.england.nhs.uk/statistics/statistical-work-areas/ae-waiting-times-and-activity/ae-attendances-and-emergency-admissions-2024-25/" TargetMode="External"/><Relationship Id="rId4"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40"/>
  <sheetViews>
    <sheetView showGridLines="0" tabSelected="1" zoomScaleNormal="100" workbookViewId="0">
      <selection activeCell="A2" sqref="A2:B2"/>
    </sheetView>
  </sheetViews>
  <sheetFormatPr defaultColWidth="8.84375" defaultRowHeight="12.5" x14ac:dyDescent="0.25"/>
  <cols>
    <col min="1" max="1" width="12.07421875" style="1" customWidth="1"/>
    <col min="2" max="2" width="102.07421875" style="1" customWidth="1"/>
    <col min="3" max="3" width="13" style="1" customWidth="1"/>
    <col min="4" max="16384" width="8.84375" style="1"/>
  </cols>
  <sheetData>
    <row r="1" spans="1:9" ht="84" customHeight="1" x14ac:dyDescent="0.25">
      <c r="A1" s="350"/>
      <c r="B1" s="350"/>
    </row>
    <row r="2" spans="1:9" ht="58.5" customHeight="1" x14ac:dyDescent="0.25">
      <c r="A2" s="358" t="s">
        <v>622</v>
      </c>
      <c r="B2" s="358"/>
      <c r="C2" s="226"/>
      <c r="D2" s="226"/>
      <c r="E2" s="226"/>
      <c r="F2" s="226"/>
      <c r="G2" s="226"/>
      <c r="H2" s="226"/>
      <c r="I2" s="226"/>
    </row>
    <row r="3" spans="1:9" ht="14.9" customHeight="1" x14ac:dyDescent="0.3">
      <c r="A3" s="354" t="s">
        <v>621</v>
      </c>
      <c r="B3" s="355"/>
      <c r="C3" s="7"/>
      <c r="F3" s="2"/>
    </row>
    <row r="4" spans="1:9" ht="17.899999999999999" customHeight="1" x14ac:dyDescent="0.35">
      <c r="A4" s="239" t="s">
        <v>602</v>
      </c>
      <c r="B4" s="237"/>
      <c r="C4" s="237"/>
      <c r="F4" s="2"/>
    </row>
    <row r="5" spans="1:9" ht="14" x14ac:dyDescent="0.3">
      <c r="A5" s="356" t="s">
        <v>506</v>
      </c>
      <c r="B5" s="357"/>
      <c r="C5" s="80"/>
      <c r="F5" s="2"/>
    </row>
    <row r="6" spans="1:9" ht="15.65" customHeight="1" x14ac:dyDescent="0.3">
      <c r="A6" s="9"/>
      <c r="B6" s="9"/>
      <c r="C6" s="9"/>
      <c r="F6" s="2"/>
    </row>
    <row r="7" spans="1:9" ht="122.25" customHeight="1" x14ac:dyDescent="0.25">
      <c r="A7" s="351" t="s">
        <v>600</v>
      </c>
      <c r="B7" s="351"/>
      <c r="C7" s="14"/>
      <c r="D7" s="14"/>
      <c r="E7" s="14"/>
      <c r="F7" s="14"/>
      <c r="G7" s="14"/>
      <c r="H7" s="14"/>
      <c r="I7" s="14"/>
    </row>
    <row r="8" spans="1:9" ht="14" x14ac:dyDescent="0.3">
      <c r="B8" s="9"/>
      <c r="C8" s="9"/>
      <c r="D8" s="352"/>
      <c r="E8" s="350"/>
      <c r="F8" s="2"/>
    </row>
    <row r="9" spans="1:9" x14ac:dyDescent="0.25">
      <c r="A9" s="199" t="s">
        <v>15</v>
      </c>
      <c r="B9" s="101" t="s">
        <v>603</v>
      </c>
      <c r="C9" s="2"/>
    </row>
    <row r="10" spans="1:9" x14ac:dyDescent="0.25">
      <c r="A10" s="200" t="s">
        <v>23</v>
      </c>
      <c r="B10" s="102" t="s">
        <v>604</v>
      </c>
      <c r="C10" s="2"/>
    </row>
    <row r="11" spans="1:9" x14ac:dyDescent="0.25">
      <c r="A11" s="200" t="s">
        <v>29</v>
      </c>
      <c r="B11" s="102" t="s">
        <v>605</v>
      </c>
      <c r="C11" s="2"/>
    </row>
    <row r="12" spans="1:9" x14ac:dyDescent="0.25">
      <c r="A12" s="200" t="s">
        <v>36</v>
      </c>
      <c r="B12" s="102" t="s">
        <v>606</v>
      </c>
      <c r="C12" s="2"/>
    </row>
    <row r="13" spans="1:9" x14ac:dyDescent="0.25">
      <c r="A13" s="200" t="s">
        <v>40</v>
      </c>
      <c r="B13" s="102" t="s">
        <v>607</v>
      </c>
      <c r="C13" s="2"/>
    </row>
    <row r="14" spans="1:9" x14ac:dyDescent="0.25">
      <c r="A14" s="200" t="s">
        <v>266</v>
      </c>
      <c r="B14" s="102" t="s">
        <v>608</v>
      </c>
      <c r="C14" s="2"/>
    </row>
    <row r="15" spans="1:9" x14ac:dyDescent="0.25">
      <c r="A15" s="200" t="s">
        <v>267</v>
      </c>
      <c r="B15" s="102" t="s">
        <v>609</v>
      </c>
      <c r="C15" s="2"/>
    </row>
    <row r="16" spans="1:9" x14ac:dyDescent="0.25">
      <c r="A16" s="200" t="s">
        <v>272</v>
      </c>
      <c r="B16" s="102" t="s">
        <v>610</v>
      </c>
      <c r="C16" s="2"/>
    </row>
    <row r="17" spans="1:9" x14ac:dyDescent="0.25">
      <c r="A17" s="200" t="s">
        <v>286</v>
      </c>
      <c r="B17" s="102" t="s">
        <v>611</v>
      </c>
      <c r="C17" s="2"/>
    </row>
    <row r="18" spans="1:9" x14ac:dyDescent="0.25">
      <c r="A18" s="200" t="s">
        <v>296</v>
      </c>
      <c r="B18" s="102" t="s">
        <v>612</v>
      </c>
      <c r="C18" s="2"/>
    </row>
    <row r="19" spans="1:9" x14ac:dyDescent="0.25">
      <c r="A19" s="200" t="s">
        <v>298</v>
      </c>
      <c r="B19" s="102" t="s">
        <v>613</v>
      </c>
      <c r="C19" s="2"/>
    </row>
    <row r="20" spans="1:9" ht="25" x14ac:dyDescent="0.25">
      <c r="A20" s="200" t="s">
        <v>300</v>
      </c>
      <c r="B20" s="102" t="s">
        <v>614</v>
      </c>
      <c r="C20" s="2"/>
    </row>
    <row r="21" spans="1:9" x14ac:dyDescent="0.25">
      <c r="A21" s="201" t="s">
        <v>301</v>
      </c>
      <c r="B21" s="103" t="s">
        <v>615</v>
      </c>
      <c r="C21" s="2"/>
    </row>
    <row r="22" spans="1:9" x14ac:dyDescent="0.25">
      <c r="A22" s="15"/>
      <c r="B22" s="16"/>
      <c r="C22" s="2"/>
    </row>
    <row r="23" spans="1:9" x14ac:dyDescent="0.25">
      <c r="A23" s="352"/>
      <c r="B23" s="350"/>
      <c r="C23" s="2"/>
    </row>
    <row r="24" spans="1:9" ht="14" x14ac:dyDescent="0.3">
      <c r="A24" s="5" t="s">
        <v>3</v>
      </c>
      <c r="B24" s="6"/>
      <c r="C24" s="6"/>
      <c r="D24" s="6"/>
      <c r="E24" s="7"/>
      <c r="F24" s="7"/>
      <c r="G24" s="7"/>
      <c r="H24" s="7"/>
      <c r="I24" s="7"/>
    </row>
    <row r="25" spans="1:9" ht="14" x14ac:dyDescent="0.3">
      <c r="A25" s="6" t="s">
        <v>11</v>
      </c>
      <c r="B25" s="6"/>
      <c r="C25" s="6"/>
      <c r="D25" s="6"/>
      <c r="E25" s="7"/>
      <c r="F25" s="7"/>
      <c r="G25" s="7"/>
      <c r="H25" s="7"/>
      <c r="I25" s="7"/>
    </row>
    <row r="26" spans="1:9" ht="15.5" x14ac:dyDescent="0.35">
      <c r="A26" s="11" t="s">
        <v>12</v>
      </c>
      <c r="B26"/>
      <c r="C26" s="6"/>
      <c r="D26" s="6"/>
      <c r="E26" s="7"/>
      <c r="F26" s="7"/>
      <c r="G26" s="7"/>
      <c r="H26" s="7"/>
      <c r="I26" s="7"/>
    </row>
    <row r="27" spans="1:9" ht="15.5" x14ac:dyDescent="0.35">
      <c r="A27" s="6" t="s">
        <v>13</v>
      </c>
      <c r="B27"/>
      <c r="C27" s="6"/>
      <c r="D27" s="6"/>
      <c r="E27" s="7"/>
      <c r="F27" s="7"/>
      <c r="G27" s="7"/>
      <c r="H27" s="7"/>
      <c r="I27" s="7"/>
    </row>
    <row r="28" spans="1:9" ht="15.5" x14ac:dyDescent="0.35">
      <c r="A28" s="11" t="s">
        <v>14</v>
      </c>
      <c r="B28"/>
      <c r="C28" s="6"/>
      <c r="D28" s="6"/>
      <c r="E28" s="7"/>
      <c r="F28" s="7"/>
      <c r="G28" s="7"/>
      <c r="H28" s="7"/>
      <c r="I28" s="7"/>
    </row>
    <row r="29" spans="1:9" ht="14" x14ac:dyDescent="0.3">
      <c r="A29" s="6"/>
      <c r="B29" s="6"/>
      <c r="C29" s="6"/>
      <c r="D29" s="6"/>
      <c r="E29" s="7"/>
      <c r="F29" s="7"/>
      <c r="G29" s="7"/>
      <c r="H29" s="7"/>
      <c r="I29" s="7"/>
    </row>
    <row r="30" spans="1:9" ht="14" x14ac:dyDescent="0.3">
      <c r="A30" s="5" t="s">
        <v>4</v>
      </c>
      <c r="B30" s="6"/>
      <c r="C30" s="6"/>
      <c r="D30" s="6"/>
      <c r="E30" s="7"/>
      <c r="F30" s="7"/>
      <c r="G30" s="7"/>
      <c r="H30" s="7"/>
      <c r="I30" s="7"/>
    </row>
    <row r="31" spans="1:9" ht="14" x14ac:dyDescent="0.3">
      <c r="A31" s="6" t="s">
        <v>5</v>
      </c>
      <c r="B31" s="6"/>
      <c r="C31" s="6"/>
      <c r="D31" s="6"/>
      <c r="E31" s="7"/>
      <c r="F31" s="7"/>
      <c r="G31" s="7"/>
      <c r="H31" s="7"/>
      <c r="I31" s="7"/>
    </row>
    <row r="32" spans="1:9" ht="14" x14ac:dyDescent="0.3">
      <c r="A32" s="6" t="s">
        <v>514</v>
      </c>
      <c r="B32" s="6"/>
      <c r="C32" s="6"/>
      <c r="D32" s="6"/>
      <c r="E32" s="7"/>
      <c r="F32" s="7"/>
      <c r="G32" s="7"/>
      <c r="H32" s="7"/>
      <c r="I32" s="7"/>
    </row>
    <row r="33" spans="1:9" ht="14" x14ac:dyDescent="0.3">
      <c r="A33" s="6" t="s">
        <v>6</v>
      </c>
      <c r="B33" s="6"/>
      <c r="C33" s="6"/>
      <c r="D33" s="6"/>
      <c r="E33" s="7"/>
      <c r="F33" s="7"/>
      <c r="G33" s="7"/>
      <c r="H33" s="7"/>
      <c r="I33" s="7"/>
    </row>
    <row r="34" spans="1:9" ht="14" x14ac:dyDescent="0.3">
      <c r="A34" s="6" t="s">
        <v>7</v>
      </c>
      <c r="B34" s="6"/>
      <c r="C34" s="6"/>
      <c r="D34" s="6"/>
      <c r="E34" s="7"/>
      <c r="F34" s="7"/>
      <c r="G34" s="7"/>
      <c r="H34" s="7"/>
      <c r="I34" s="7"/>
    </row>
    <row r="35" spans="1:9" ht="14" x14ac:dyDescent="0.3">
      <c r="A35" s="6"/>
      <c r="B35" s="6"/>
      <c r="C35" s="6"/>
      <c r="D35" s="6"/>
      <c r="E35" s="7"/>
      <c r="F35" s="7"/>
      <c r="G35" s="7"/>
      <c r="H35" s="7"/>
      <c r="I35" s="7"/>
    </row>
    <row r="36" spans="1:9" ht="14" x14ac:dyDescent="0.3">
      <c r="A36" s="6" t="s">
        <v>8</v>
      </c>
      <c r="B36" s="6"/>
      <c r="C36" s="6"/>
      <c r="D36" s="6"/>
      <c r="E36" s="7"/>
      <c r="F36" s="7"/>
      <c r="G36" s="7"/>
      <c r="H36" s="7"/>
      <c r="I36" s="7"/>
    </row>
    <row r="37" spans="1:9" ht="14" x14ac:dyDescent="0.3">
      <c r="A37" s="6" t="s">
        <v>9</v>
      </c>
      <c r="B37" s="6"/>
      <c r="C37" s="6"/>
      <c r="D37" s="6"/>
      <c r="E37" s="7"/>
      <c r="F37" s="7"/>
      <c r="G37" s="7"/>
      <c r="H37" s="7"/>
      <c r="I37" s="7"/>
    </row>
    <row r="38" spans="1:9" ht="21" customHeight="1" x14ac:dyDescent="0.3">
      <c r="A38" s="8" t="s">
        <v>619</v>
      </c>
      <c r="B38" s="6"/>
      <c r="C38" s="6"/>
      <c r="D38" s="6"/>
      <c r="E38" s="7"/>
      <c r="F38" s="7"/>
      <c r="G38" s="7"/>
      <c r="H38" s="7"/>
      <c r="I38" s="7"/>
    </row>
    <row r="39" spans="1:9" ht="35.5" customHeight="1" x14ac:dyDescent="0.3">
      <c r="A39" s="6"/>
      <c r="B39" s="6"/>
      <c r="C39" s="6"/>
      <c r="D39" s="6"/>
      <c r="E39" s="7"/>
      <c r="F39" s="7"/>
      <c r="G39" s="7"/>
      <c r="H39" s="7"/>
      <c r="I39" s="7"/>
    </row>
    <row r="40" spans="1:9" ht="70.400000000000006" customHeight="1" x14ac:dyDescent="0.25">
      <c r="A40" s="353" t="s">
        <v>10</v>
      </c>
      <c r="B40" s="353"/>
      <c r="C40" s="353"/>
      <c r="D40" s="353"/>
      <c r="E40" s="353"/>
      <c r="F40" s="353"/>
      <c r="G40" s="353"/>
      <c r="H40" s="353"/>
      <c r="I40" s="353"/>
    </row>
  </sheetData>
  <mergeCells count="8">
    <mergeCell ref="A1:B1"/>
    <mergeCell ref="A7:B7"/>
    <mergeCell ref="D8:E8"/>
    <mergeCell ref="A40:I40"/>
    <mergeCell ref="A3:B3"/>
    <mergeCell ref="A23:B23"/>
    <mergeCell ref="A5:B5"/>
    <mergeCell ref="A2:B2"/>
  </mergeCells>
  <hyperlinks>
    <hyperlink ref="A9" location="'Table 1'!A1" display="Table 1" xr:uid="{7D809203-CB4A-409B-B0D1-B38C93893B8D}"/>
    <hyperlink ref="A10" location="'Table 2'!A1" display="Table 2" xr:uid="{F4B9F410-64D6-4D1F-A10C-EA7D6558E49A}"/>
    <hyperlink ref="A11" location="'Table 3'!A1" display="Table 3" xr:uid="{37E724E7-D815-491C-88EF-753EDE713FB0}"/>
    <hyperlink ref="A12" location="'Table 4'!A1" display="Table 4" xr:uid="{D279B2D1-FF79-4BB0-B9C4-39F9D8BF3E86}"/>
    <hyperlink ref="A13" location="'Table 5'!A1" display="Table 5" xr:uid="{FC78CCD4-9EC2-45B4-B207-3491AB8DF03A}"/>
    <hyperlink ref="A26" r:id="rId1" display="https://digital.nhs.uk/data-and-information/data-collections-and-data-sets/data-sets/emergency-care-data-set-ecds" xr:uid="{04FFAF41-4844-4FC6-85A7-126B207D4C53}"/>
    <hyperlink ref="A28"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 ref="A14" location="'Table 6'!A1" display="Table 6" xr:uid="{A191AFFE-86CF-4FBA-A661-4A7CDE8122E0}"/>
    <hyperlink ref="A15" location="'Table 7'!A1" display="Table 7" xr:uid="{3FC5FE95-E695-4371-B2B9-23F3F968EDC8}"/>
    <hyperlink ref="A16" location="'Table 8'!A1" display="Table 8" xr:uid="{DC217B15-56A6-4CA8-B492-4CBC746C8647}"/>
    <hyperlink ref="A17" location="'Table 9'!A1" display="Table 9" xr:uid="{709618B6-A899-4BED-AE66-481A1669B0DD}"/>
    <hyperlink ref="A18" location="'Table 10'!A1" display="Table 10" xr:uid="{7C80BE9D-0BFB-4C8A-ADA4-F888A7F0DC6A}"/>
    <hyperlink ref="A19" location="'Table 11'!A1" display="Table 11" xr:uid="{640D82E4-3413-4565-B2FB-35F214D46FE7}"/>
    <hyperlink ref="A20" location="'Table 12'!A1" display="Table 12" xr:uid="{D2E181A0-DD1C-423C-BA31-C9CAEF09EFAB}"/>
    <hyperlink ref="A21" location="'Table 13'!A1" display="Table 13" xr:uid="{07B9BA89-37E5-4E99-B2B4-AE84F62F09DF}"/>
    <hyperlink ref="A5" r:id="rId3" xr:uid="{050BBF88-02B9-4AEC-AF21-EECC3095A33B}"/>
    <hyperlink ref="A4" r:id="rId4" display="https://digital.nhs.uk/data-and-information/publications/statistical/hospital-accident--emergency-activity/2024-25" xr:uid="{24D98677-1BFB-4B11-B847-833CFC83E9AA}"/>
  </hyperlinks>
  <pageMargins left="0.78740157480314965" right="0.78740157480314965" top="0.78740157480314965" bottom="0.78740157480314965" header="0.78740157480314965" footer="0.78740157480314965"/>
  <pageSetup paperSize="9" orientation="portrait" r:id="rId5"/>
  <headerFooter alignWithMargins="0">
    <oddFooter>&amp;L&amp;C&amp;R</oddFooter>
  </headerFooter>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O29"/>
  <sheetViews>
    <sheetView showGridLines="0" zoomScaleNormal="100" workbookViewId="0">
      <selection activeCell="A3" sqref="A3:F3"/>
    </sheetView>
  </sheetViews>
  <sheetFormatPr defaultColWidth="8.84375" defaultRowHeight="14.5" x14ac:dyDescent="0.35"/>
  <cols>
    <col min="1" max="1" width="15.3046875" style="4" customWidth="1"/>
    <col min="2" max="14" width="10.23046875" style="4" customWidth="1"/>
    <col min="15" max="15" width="9.23046875" style="4" bestFit="1" customWidth="1"/>
    <col min="16" max="16384" width="8.84375" style="4"/>
  </cols>
  <sheetData>
    <row r="1" spans="1:14" ht="84" customHeight="1" x14ac:dyDescent="0.35">
      <c r="A1" s="359"/>
      <c r="B1" s="359"/>
      <c r="C1" s="359"/>
      <c r="D1" s="359"/>
      <c r="E1" s="359"/>
      <c r="F1" s="359"/>
      <c r="G1" s="359"/>
    </row>
    <row r="2" spans="1:14" x14ac:dyDescent="0.35">
      <c r="A2" s="3" t="s">
        <v>0</v>
      </c>
      <c r="B2" s="3" t="s">
        <v>0</v>
      </c>
      <c r="C2" s="3" t="s">
        <v>0</v>
      </c>
      <c r="D2" s="3" t="s">
        <v>0</v>
      </c>
      <c r="E2" s="3" t="s">
        <v>0</v>
      </c>
      <c r="F2" s="3" t="s">
        <v>0</v>
      </c>
      <c r="G2" s="3" t="s">
        <v>0</v>
      </c>
    </row>
    <row r="3" spans="1:14" ht="24.65" customHeight="1" x14ac:dyDescent="0.35">
      <c r="A3" s="360" t="s">
        <v>16</v>
      </c>
      <c r="B3" s="360"/>
      <c r="C3" s="360"/>
      <c r="D3" s="360"/>
      <c r="E3" s="360"/>
      <c r="F3" s="360"/>
      <c r="G3" s="17"/>
    </row>
    <row r="4" spans="1:14" ht="13.5" customHeight="1" x14ac:dyDescent="0.35">
      <c r="A4" s="24" t="s">
        <v>25</v>
      </c>
      <c r="B4" s="13"/>
      <c r="C4" s="13"/>
      <c r="D4" s="13"/>
      <c r="E4" s="13"/>
      <c r="F4" s="13"/>
      <c r="G4" s="17"/>
    </row>
    <row r="5" spans="1:14" ht="13.5" customHeight="1" x14ac:dyDescent="0.35">
      <c r="A5" s="26"/>
      <c r="B5" s="26"/>
      <c r="C5" s="26"/>
      <c r="D5" s="26"/>
      <c r="E5" s="26"/>
      <c r="F5" s="26"/>
      <c r="G5" s="26"/>
      <c r="H5" s="26"/>
      <c r="I5" s="26"/>
      <c r="J5" s="26"/>
      <c r="K5" s="26"/>
    </row>
    <row r="6" spans="1:14" ht="13.5" customHeight="1" x14ac:dyDescent="0.35">
      <c r="A6" s="361" t="s">
        <v>592</v>
      </c>
      <c r="B6" s="361"/>
      <c r="C6" s="361"/>
      <c r="D6" s="361"/>
      <c r="E6" s="361"/>
      <c r="F6" s="361"/>
      <c r="G6" s="361"/>
      <c r="H6" s="361"/>
      <c r="I6" s="26"/>
      <c r="J6" s="26"/>
      <c r="K6" s="26"/>
    </row>
    <row r="7" spans="1:14" x14ac:dyDescent="0.35">
      <c r="A7" s="368" t="s">
        <v>620</v>
      </c>
      <c r="B7" s="368"/>
      <c r="C7" s="368"/>
      <c r="D7" s="368"/>
      <c r="E7" s="368"/>
      <c r="F7" s="368"/>
      <c r="G7" s="368"/>
      <c r="H7" s="368"/>
      <c r="I7" s="368"/>
      <c r="J7" s="368"/>
      <c r="K7" s="368"/>
      <c r="L7" s="368"/>
      <c r="M7" s="368"/>
      <c r="N7" s="368"/>
    </row>
    <row r="8" spans="1:14" ht="13.5" customHeight="1" x14ac:dyDescent="0.35">
      <c r="A8" s="26"/>
      <c r="B8" s="26"/>
      <c r="C8" s="26"/>
      <c r="D8" s="26"/>
      <c r="E8" s="26"/>
      <c r="F8" s="26"/>
      <c r="G8" s="26"/>
      <c r="H8" s="26"/>
      <c r="I8" s="26"/>
      <c r="J8" s="26"/>
      <c r="K8" s="26"/>
    </row>
    <row r="9" spans="1:14" ht="27" customHeight="1" x14ac:dyDescent="0.35">
      <c r="A9" s="361" t="s">
        <v>318</v>
      </c>
      <c r="B9" s="361"/>
      <c r="C9" s="361"/>
      <c r="D9" s="361"/>
      <c r="E9" s="361"/>
      <c r="F9" s="361"/>
      <c r="G9" s="23"/>
      <c r="H9" s="23"/>
      <c r="I9" s="12"/>
      <c r="J9" s="12"/>
    </row>
    <row r="10" spans="1:14" ht="15" customHeight="1" x14ac:dyDescent="0.35">
      <c r="A10" s="364" t="s">
        <v>22</v>
      </c>
      <c r="B10" s="364"/>
      <c r="C10" s="364"/>
      <c r="D10" s="364"/>
      <c r="E10" s="364"/>
      <c r="F10" s="364"/>
      <c r="G10" s="365"/>
      <c r="H10" s="365"/>
      <c r="I10" s="365"/>
    </row>
    <row r="11" spans="1:14" ht="29.5" customHeight="1" x14ac:dyDescent="0.35">
      <c r="A11" s="361" t="s">
        <v>319</v>
      </c>
      <c r="B11" s="361"/>
      <c r="C11" s="361"/>
      <c r="D11" s="361"/>
      <c r="E11" s="361"/>
      <c r="F11" s="361"/>
      <c r="G11" s="25"/>
      <c r="H11" s="25"/>
    </row>
    <row r="12" spans="1:14" ht="30.65" customHeight="1" x14ac:dyDescent="0.35">
      <c r="A12" s="366" t="s">
        <v>320</v>
      </c>
      <c r="B12" s="361"/>
      <c r="C12" s="361"/>
      <c r="D12" s="361"/>
      <c r="E12" s="361"/>
      <c r="F12" s="361"/>
      <c r="G12" s="367"/>
      <c r="H12" s="367"/>
    </row>
    <row r="13" spans="1:14" ht="30.65" customHeight="1" x14ac:dyDescent="0.35">
      <c r="A13" s="361" t="s">
        <v>535</v>
      </c>
      <c r="B13" s="361"/>
      <c r="C13" s="361"/>
      <c r="D13" s="361"/>
      <c r="E13" s="361"/>
      <c r="F13" s="361"/>
      <c r="G13" s="25"/>
      <c r="H13" s="25"/>
    </row>
    <row r="14" spans="1:14" ht="30.65" customHeight="1" x14ac:dyDescent="0.35">
      <c r="A14" s="366" t="s">
        <v>536</v>
      </c>
      <c r="B14" s="361"/>
      <c r="C14" s="361"/>
      <c r="D14" s="361"/>
      <c r="E14" s="361"/>
      <c r="F14" s="361"/>
      <c r="G14" s="367"/>
      <c r="H14" s="367"/>
    </row>
    <row r="15" spans="1:14" ht="30.65" customHeight="1" x14ac:dyDescent="0.35">
      <c r="A15" s="361" t="s">
        <v>618</v>
      </c>
      <c r="B15" s="361"/>
      <c r="C15" s="361"/>
      <c r="D15" s="361"/>
      <c r="E15" s="361"/>
      <c r="F15" s="361"/>
      <c r="G15" s="238"/>
      <c r="H15" s="238"/>
    </row>
    <row r="16" spans="1:14" ht="30.65" customHeight="1" x14ac:dyDescent="0.35">
      <c r="A16" s="366" t="s">
        <v>632</v>
      </c>
      <c r="B16" s="366"/>
      <c r="C16" s="366"/>
      <c r="D16" s="366"/>
      <c r="E16" s="366"/>
      <c r="F16" s="366"/>
      <c r="G16" s="366"/>
      <c r="H16" s="366"/>
    </row>
    <row r="17" spans="1:15" x14ac:dyDescent="0.35">
      <c r="A17" s="10" t="s">
        <v>617</v>
      </c>
      <c r="H17" s="22"/>
    </row>
    <row r="18" spans="1:15" ht="14.5" customHeight="1" x14ac:dyDescent="0.35">
      <c r="A18" s="362" t="s">
        <v>2</v>
      </c>
      <c r="B18" s="363"/>
      <c r="C18" s="363"/>
      <c r="D18" s="363"/>
      <c r="E18" s="363"/>
      <c r="F18" s="363"/>
      <c r="G18" s="363"/>
    </row>
    <row r="19" spans="1:15" ht="14.5" customHeight="1" x14ac:dyDescent="0.35">
      <c r="A19" s="362" t="s">
        <v>1</v>
      </c>
      <c r="B19" s="363"/>
      <c r="C19" s="363"/>
      <c r="D19" s="363"/>
      <c r="E19" s="363"/>
      <c r="F19" s="363"/>
      <c r="G19" s="363"/>
      <c r="H19" s="23"/>
    </row>
    <row r="20" spans="1:15" ht="15.75" customHeight="1" thickBot="1" x14ac:dyDescent="0.4">
      <c r="A20" s="361"/>
      <c r="B20" s="361"/>
      <c r="C20" s="361"/>
      <c r="D20" s="361"/>
      <c r="E20" s="361"/>
      <c r="F20" s="361"/>
      <c r="G20" s="361"/>
      <c r="H20" s="361"/>
    </row>
    <row r="21" spans="1:15" ht="15" thickBot="1" x14ac:dyDescent="0.4">
      <c r="A21" s="117"/>
      <c r="B21" s="126" t="s">
        <v>495</v>
      </c>
      <c r="C21" s="127" t="s">
        <v>496</v>
      </c>
      <c r="D21" s="127" t="s">
        <v>497</v>
      </c>
      <c r="E21" s="127" t="s">
        <v>498</v>
      </c>
      <c r="F21" s="127" t="s">
        <v>499</v>
      </c>
      <c r="G21" s="127" t="s">
        <v>500</v>
      </c>
      <c r="H21" s="127" t="s">
        <v>501</v>
      </c>
      <c r="I21" s="127" t="s">
        <v>502</v>
      </c>
      <c r="J21" s="127" t="s">
        <v>503</v>
      </c>
      <c r="K21" s="127" t="s">
        <v>17</v>
      </c>
      <c r="L21" s="127" t="s">
        <v>18</v>
      </c>
      <c r="M21" s="127" t="s">
        <v>21</v>
      </c>
      <c r="N21" s="127" t="s">
        <v>507</v>
      </c>
      <c r="O21" s="132" t="s">
        <v>616</v>
      </c>
    </row>
    <row r="22" spans="1:15" ht="15" thickBot="1" x14ac:dyDescent="0.4">
      <c r="A22" s="118" t="s">
        <v>19</v>
      </c>
      <c r="B22" s="123">
        <v>21481402</v>
      </c>
      <c r="C22" s="124">
        <v>21738637</v>
      </c>
      <c r="D22" s="124">
        <v>21778657</v>
      </c>
      <c r="E22" s="124">
        <v>22354781</v>
      </c>
      <c r="F22" s="124">
        <v>22920435</v>
      </c>
      <c r="G22" s="124">
        <v>23362301</v>
      </c>
      <c r="H22" s="124">
        <v>23830120</v>
      </c>
      <c r="I22" s="124">
        <v>24826982</v>
      </c>
      <c r="J22" s="124">
        <v>25017116</v>
      </c>
      <c r="K22" s="125">
        <v>17429559</v>
      </c>
      <c r="L22" s="125">
        <v>24374967</v>
      </c>
      <c r="M22" s="125">
        <v>25348842</v>
      </c>
      <c r="N22" s="125">
        <v>26321069</v>
      </c>
      <c r="O22" s="275">
        <v>27367598</v>
      </c>
    </row>
    <row r="23" spans="1:15" ht="15" thickBot="1" x14ac:dyDescent="0.4">
      <c r="A23" s="20"/>
      <c r="B23" s="114"/>
      <c r="C23" s="114"/>
      <c r="D23" s="114"/>
      <c r="E23" s="114"/>
      <c r="F23" s="114"/>
      <c r="G23" s="114"/>
      <c r="H23" s="114"/>
      <c r="I23" s="114"/>
      <c r="J23" s="114"/>
      <c r="K23" s="115"/>
      <c r="L23" s="115"/>
      <c r="M23" s="115"/>
      <c r="N23" s="115"/>
      <c r="O23" s="116"/>
    </row>
    <row r="24" spans="1:15" ht="15" thickBot="1" x14ac:dyDescent="0.4">
      <c r="A24" s="122"/>
      <c r="B24" s="129">
        <v>2011</v>
      </c>
      <c r="C24" s="130">
        <v>2012</v>
      </c>
      <c r="D24" s="130">
        <v>2013</v>
      </c>
      <c r="E24" s="130">
        <v>2014</v>
      </c>
      <c r="F24" s="130">
        <v>2015</v>
      </c>
      <c r="G24" s="130">
        <v>2016</v>
      </c>
      <c r="H24" s="127">
        <v>2017</v>
      </c>
      <c r="I24" s="127">
        <v>2018</v>
      </c>
      <c r="J24" s="127">
        <v>2019</v>
      </c>
      <c r="K24" s="131">
        <v>2020</v>
      </c>
      <c r="L24" s="131">
        <v>2021</v>
      </c>
      <c r="M24" s="131">
        <v>2022</v>
      </c>
      <c r="N24" s="131">
        <v>2023</v>
      </c>
      <c r="O24" s="132">
        <v>2024</v>
      </c>
    </row>
    <row r="25" spans="1:15" ht="15" thickBot="1" x14ac:dyDescent="0.4">
      <c r="A25" s="118" t="s">
        <v>20</v>
      </c>
      <c r="B25" s="123">
        <v>53107169</v>
      </c>
      <c r="C25" s="124">
        <v>53493729</v>
      </c>
      <c r="D25" s="124">
        <v>53865817</v>
      </c>
      <c r="E25" s="124">
        <v>54316618</v>
      </c>
      <c r="F25" s="124">
        <v>54786327</v>
      </c>
      <c r="G25" s="124">
        <v>55268067</v>
      </c>
      <c r="H25" s="124">
        <v>55619430</v>
      </c>
      <c r="I25" s="124">
        <v>55977178</v>
      </c>
      <c r="J25" s="124">
        <v>56286961</v>
      </c>
      <c r="K25" s="125">
        <v>56550138</v>
      </c>
      <c r="L25" s="125">
        <v>56489800</v>
      </c>
      <c r="M25" s="125">
        <v>56768100</v>
      </c>
      <c r="N25" s="125">
        <v>57690300</v>
      </c>
      <c r="O25" s="275">
        <v>58397200</v>
      </c>
    </row>
    <row r="29" spans="1:15" ht="19" x14ac:dyDescent="0.4">
      <c r="D29" s="79"/>
    </row>
  </sheetData>
  <mergeCells count="15">
    <mergeCell ref="A1:G1"/>
    <mergeCell ref="A3:F3"/>
    <mergeCell ref="A6:H6"/>
    <mergeCell ref="A20:H20"/>
    <mergeCell ref="A9:F9"/>
    <mergeCell ref="A19:G19"/>
    <mergeCell ref="A18:G18"/>
    <mergeCell ref="A11:F11"/>
    <mergeCell ref="A13:F13"/>
    <mergeCell ref="A10:I10"/>
    <mergeCell ref="A12:H12"/>
    <mergeCell ref="A14:H14"/>
    <mergeCell ref="A15:F15"/>
    <mergeCell ref="A7:N7"/>
    <mergeCell ref="A16:H16"/>
  </mergeCells>
  <hyperlinks>
    <hyperlink ref="A14" r:id="rId1" xr:uid="{903AAFE6-2CBD-4C24-8F36-A418899D9051}"/>
    <hyperlink ref="A12" r:id="rId2" xr:uid="{E11707E9-0C51-4A29-89C6-1A857FCBD187}"/>
    <hyperlink ref="A10" r:id="rId3" xr:uid="{589C6EFB-D95D-42FB-96B3-9A8E7FECEF84}"/>
    <hyperlink ref="A7" r:id="rId4" xr:uid="{B8F59305-A140-4642-B46E-FBB6FC4BBACC}"/>
  </hyperlinks>
  <pageMargins left="0.78740157480314998" right="0.78740157480314998" top="0.78740157480314998" bottom="0.78740157480314998" header="0.78740157480314998" footer="0.78740157480314998"/>
  <pageSetup paperSize="9" orientation="portrait" horizontalDpi="300" verticalDpi="300" r:id="rId5"/>
  <headerFooter alignWithMargins="0"/>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4C471-90CF-46D5-91DB-D8EEC48CCF45}">
  <dimension ref="A1:O13"/>
  <sheetViews>
    <sheetView showGridLines="0" zoomScaleNormal="100" workbookViewId="0">
      <selection activeCell="A3" sqref="A3:G3"/>
    </sheetView>
  </sheetViews>
  <sheetFormatPr defaultColWidth="8.84375" defaultRowHeight="14.5" x14ac:dyDescent="0.35"/>
  <cols>
    <col min="1" max="1" width="12" style="4" customWidth="1"/>
    <col min="2" max="14" width="9.69140625" style="4" customWidth="1"/>
    <col min="15" max="15" width="9.23046875" style="4" bestFit="1" customWidth="1"/>
    <col min="16" max="16384" width="8.84375" style="4"/>
  </cols>
  <sheetData>
    <row r="1" spans="1:15" ht="84" customHeight="1" x14ac:dyDescent="0.35">
      <c r="A1" s="363"/>
      <c r="B1" s="363"/>
      <c r="C1" s="363"/>
      <c r="D1" s="363"/>
      <c r="E1" s="363"/>
      <c r="F1" s="363"/>
    </row>
    <row r="2" spans="1:15" x14ac:dyDescent="0.35">
      <c r="A2" s="3" t="s">
        <v>0</v>
      </c>
      <c r="B2" s="3" t="s">
        <v>0</v>
      </c>
      <c r="C2" s="3" t="s">
        <v>0</v>
      </c>
      <c r="D2" s="3" t="s">
        <v>0</v>
      </c>
      <c r="E2" s="3" t="s">
        <v>0</v>
      </c>
      <c r="F2" s="3" t="s">
        <v>0</v>
      </c>
      <c r="G2" s="3" t="s">
        <v>0</v>
      </c>
    </row>
    <row r="3" spans="1:15" ht="24.65" customHeight="1" x14ac:dyDescent="0.35">
      <c r="A3" s="369" t="s">
        <v>24</v>
      </c>
      <c r="B3" s="369"/>
      <c r="C3" s="369"/>
      <c r="D3" s="369"/>
      <c r="E3" s="369"/>
      <c r="F3" s="369"/>
      <c r="G3" s="369"/>
    </row>
    <row r="4" spans="1:15" ht="15.75" customHeight="1" x14ac:dyDescent="0.35">
      <c r="A4" s="24" t="s">
        <v>45</v>
      </c>
      <c r="B4" s="13"/>
      <c r="C4" s="13"/>
      <c r="D4" s="13"/>
      <c r="E4" s="13"/>
      <c r="F4" s="13"/>
      <c r="G4" s="17"/>
    </row>
    <row r="5" spans="1:15" ht="14.5" customHeight="1" x14ac:dyDescent="0.35">
      <c r="A5" s="230" t="s">
        <v>592</v>
      </c>
      <c r="B5" s="230"/>
      <c r="C5" s="230"/>
      <c r="D5" s="230"/>
      <c r="E5" s="230"/>
      <c r="F5" s="230"/>
      <c r="G5" s="230"/>
      <c r="H5" s="230"/>
      <c r="I5" s="26"/>
      <c r="J5" s="26"/>
      <c r="K5" s="26"/>
    </row>
    <row r="6" spans="1:15" ht="14.5" customHeight="1" x14ac:dyDescent="0.35">
      <c r="A6" s="368" t="s">
        <v>620</v>
      </c>
      <c r="B6" s="368"/>
      <c r="C6" s="368"/>
      <c r="D6" s="368"/>
      <c r="E6" s="368"/>
      <c r="F6" s="368"/>
      <c r="G6" s="368"/>
      <c r="H6" s="368"/>
      <c r="I6" s="368"/>
      <c r="J6" s="368"/>
      <c r="K6" s="368"/>
      <c r="L6" s="368"/>
      <c r="M6" s="368"/>
      <c r="N6" s="368"/>
    </row>
    <row r="7" spans="1:15" x14ac:dyDescent="0.35">
      <c r="A7" s="10" t="s">
        <v>617</v>
      </c>
    </row>
    <row r="8" spans="1:15" x14ac:dyDescent="0.35">
      <c r="A8" s="362" t="s">
        <v>2</v>
      </c>
      <c r="B8" s="363"/>
      <c r="C8" s="363"/>
      <c r="D8" s="363"/>
      <c r="E8" s="363"/>
      <c r="F8" s="363"/>
      <c r="G8" s="363"/>
    </row>
    <row r="9" spans="1:15" x14ac:dyDescent="0.35">
      <c r="A9" s="362" t="s">
        <v>1</v>
      </c>
      <c r="B9" s="363"/>
      <c r="C9" s="363"/>
      <c r="D9" s="363"/>
      <c r="E9" s="363"/>
      <c r="F9" s="363"/>
      <c r="G9" s="363"/>
    </row>
    <row r="10" spans="1:15" ht="15" thickBot="1" x14ac:dyDescent="0.4">
      <c r="A10" s="3" t="s">
        <v>0</v>
      </c>
      <c r="B10" s="3" t="s">
        <v>0</v>
      </c>
      <c r="C10" s="3" t="s">
        <v>0</v>
      </c>
      <c r="D10" s="3" t="s">
        <v>0</v>
      </c>
      <c r="E10" s="3" t="s">
        <v>0</v>
      </c>
      <c r="F10" s="3" t="s">
        <v>0</v>
      </c>
      <c r="G10" s="3" t="s">
        <v>0</v>
      </c>
    </row>
    <row r="11" spans="1:15" ht="15" thickBot="1" x14ac:dyDescent="0.4">
      <c r="A11" s="133"/>
      <c r="B11" s="126" t="s">
        <v>495</v>
      </c>
      <c r="C11" s="127" t="s">
        <v>496</v>
      </c>
      <c r="D11" s="127" t="s">
        <v>497</v>
      </c>
      <c r="E11" s="127" t="s">
        <v>498</v>
      </c>
      <c r="F11" s="127" t="s">
        <v>499</v>
      </c>
      <c r="G11" s="127" t="s">
        <v>500</v>
      </c>
      <c r="H11" s="127" t="s">
        <v>501</v>
      </c>
      <c r="I11" s="127" t="s">
        <v>502</v>
      </c>
      <c r="J11" s="127" t="s">
        <v>503</v>
      </c>
      <c r="K11" s="127" t="s">
        <v>17</v>
      </c>
      <c r="L11" s="127" t="s">
        <v>18</v>
      </c>
      <c r="M11" s="127" t="s">
        <v>21</v>
      </c>
      <c r="N11" s="127" t="s">
        <v>507</v>
      </c>
      <c r="O11" s="128" t="s">
        <v>616</v>
      </c>
    </row>
    <row r="12" spans="1:15" ht="25" x14ac:dyDescent="0.35">
      <c r="A12" s="134" t="s">
        <v>27</v>
      </c>
      <c r="B12" s="136">
        <v>14651918</v>
      </c>
      <c r="C12" s="137">
        <v>14877594</v>
      </c>
      <c r="D12" s="137">
        <v>14841752</v>
      </c>
      <c r="E12" s="137">
        <v>15215582</v>
      </c>
      <c r="F12" s="137">
        <v>15564475</v>
      </c>
      <c r="G12" s="137">
        <v>15869058</v>
      </c>
      <c r="H12" s="137">
        <v>15946320</v>
      </c>
      <c r="I12" s="137">
        <v>16257802</v>
      </c>
      <c r="J12" s="137">
        <v>16377759</v>
      </c>
      <c r="K12" s="138">
        <v>12646762</v>
      </c>
      <c r="L12" s="138">
        <v>16600587</v>
      </c>
      <c r="M12" s="138">
        <v>16695554</v>
      </c>
      <c r="N12" s="138">
        <v>17054597</v>
      </c>
      <c r="O12" s="273">
        <v>17351235</v>
      </c>
    </row>
    <row r="13" spans="1:15" ht="38" thickBot="1" x14ac:dyDescent="0.4">
      <c r="A13" s="135" t="s">
        <v>28</v>
      </c>
      <c r="B13" s="119">
        <v>6829484</v>
      </c>
      <c r="C13" s="120">
        <v>6861043</v>
      </c>
      <c r="D13" s="120">
        <v>6936905</v>
      </c>
      <c r="E13" s="120">
        <v>7139199</v>
      </c>
      <c r="F13" s="120">
        <v>7355960</v>
      </c>
      <c r="G13" s="120">
        <v>7493243</v>
      </c>
      <c r="H13" s="120">
        <v>7883800</v>
      </c>
      <c r="I13" s="120">
        <v>8569180</v>
      </c>
      <c r="J13" s="120">
        <v>8639357</v>
      </c>
      <c r="K13" s="121">
        <v>4782797</v>
      </c>
      <c r="L13" s="121">
        <v>7774380</v>
      </c>
      <c r="M13" s="121">
        <v>8653288</v>
      </c>
      <c r="N13" s="121">
        <v>9266472</v>
      </c>
      <c r="O13" s="274">
        <v>10016363</v>
      </c>
    </row>
  </sheetData>
  <mergeCells count="5">
    <mergeCell ref="A1:F1"/>
    <mergeCell ref="A3:G3"/>
    <mergeCell ref="A8:G8"/>
    <mergeCell ref="A9:G9"/>
    <mergeCell ref="A6:N6"/>
  </mergeCells>
  <hyperlinks>
    <hyperlink ref="A6" r:id="rId1" xr:uid="{E63F7E50-EC14-43C6-89E1-0497BEC8E754}"/>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0F5C3-2D5F-40CB-BBB2-4A749FF89EA3}">
  <dimension ref="A1:O17"/>
  <sheetViews>
    <sheetView showGridLines="0" zoomScaleNormal="100" workbookViewId="0">
      <selection activeCell="A3" sqref="A3:N3"/>
    </sheetView>
  </sheetViews>
  <sheetFormatPr defaultColWidth="8.84375" defaultRowHeight="14.5" x14ac:dyDescent="0.35"/>
  <cols>
    <col min="1" max="1" width="23.69140625" style="4" customWidth="1"/>
    <col min="2" max="6" width="8.4609375" style="4" bestFit="1" customWidth="1"/>
    <col min="7" max="7" width="8.4609375" style="4" customWidth="1"/>
    <col min="8" max="13" width="8.4609375" style="4" bestFit="1" customWidth="1"/>
    <col min="14" max="16384" width="8.84375" style="4"/>
  </cols>
  <sheetData>
    <row r="1" spans="1:15" ht="84" customHeight="1" x14ac:dyDescent="0.35">
      <c r="A1" s="363"/>
      <c r="B1" s="363"/>
      <c r="C1" s="363"/>
      <c r="D1" s="363"/>
      <c r="E1" s="363"/>
      <c r="F1" s="363"/>
    </row>
    <row r="2" spans="1:15" x14ac:dyDescent="0.35">
      <c r="A2" s="3" t="s">
        <v>0</v>
      </c>
      <c r="B2" s="3" t="s">
        <v>0</v>
      </c>
      <c r="C2" s="3" t="s">
        <v>0</v>
      </c>
      <c r="D2" s="3" t="s">
        <v>0</v>
      </c>
      <c r="E2" s="3" t="s">
        <v>0</v>
      </c>
      <c r="F2" s="3" t="s">
        <v>0</v>
      </c>
      <c r="G2" s="3" t="s">
        <v>0</v>
      </c>
    </row>
    <row r="3" spans="1:15" ht="24.65" customHeight="1" x14ac:dyDescent="0.35">
      <c r="A3" s="369" t="s">
        <v>30</v>
      </c>
      <c r="B3" s="369"/>
      <c r="C3" s="369"/>
      <c r="D3" s="369"/>
      <c r="E3" s="369"/>
      <c r="F3" s="369"/>
      <c r="G3" s="369"/>
      <c r="H3" s="369"/>
      <c r="I3" s="369"/>
      <c r="J3" s="369"/>
      <c r="K3" s="369"/>
      <c r="L3" s="369"/>
      <c r="M3" s="369"/>
      <c r="N3" s="369"/>
    </row>
    <row r="4" spans="1:15" ht="66.75" customHeight="1" x14ac:dyDescent="0.35">
      <c r="A4" s="370" t="s">
        <v>537</v>
      </c>
      <c r="B4" s="370"/>
      <c r="C4" s="370"/>
      <c r="D4" s="370"/>
      <c r="E4" s="370"/>
      <c r="F4" s="370"/>
      <c r="G4" s="370"/>
      <c r="H4" s="370"/>
      <c r="I4" s="370"/>
      <c r="J4" s="370"/>
      <c r="K4" s="370"/>
      <c r="L4" s="370"/>
      <c r="M4" s="370"/>
      <c r="N4" s="370"/>
    </row>
    <row r="5" spans="1:15" ht="44.5" customHeight="1" x14ac:dyDescent="0.35">
      <c r="A5" s="371" t="s">
        <v>633</v>
      </c>
      <c r="B5" s="371"/>
      <c r="C5" s="371"/>
      <c r="D5" s="371"/>
      <c r="E5" s="371"/>
      <c r="F5" s="371"/>
      <c r="G5" s="371"/>
      <c r="H5" s="198"/>
      <c r="I5" s="198"/>
      <c r="J5" s="198"/>
      <c r="K5" s="198"/>
      <c r="L5" s="198"/>
      <c r="M5" s="198"/>
      <c r="N5" s="198"/>
    </row>
    <row r="6" spans="1:15" ht="14.5" customHeight="1" x14ac:dyDescent="0.35">
      <c r="A6" s="361" t="s">
        <v>592</v>
      </c>
      <c r="B6" s="361"/>
      <c r="C6" s="361"/>
      <c r="D6" s="361"/>
      <c r="E6" s="361"/>
      <c r="F6" s="361"/>
      <c r="G6" s="361"/>
      <c r="H6" s="361"/>
      <c r="I6" s="361"/>
      <c r="J6" s="361"/>
      <c r="K6" s="361"/>
      <c r="L6" s="361"/>
      <c r="M6" s="361"/>
      <c r="N6" s="361"/>
    </row>
    <row r="7" spans="1:15" ht="29.5" customHeight="1" x14ac:dyDescent="0.35">
      <c r="A7" s="368" t="s">
        <v>620</v>
      </c>
      <c r="B7" s="368"/>
      <c r="C7" s="368"/>
      <c r="D7" s="368"/>
      <c r="E7" s="368"/>
      <c r="F7" s="368"/>
      <c r="G7" s="368"/>
      <c r="H7" s="368"/>
      <c r="I7" s="368"/>
      <c r="J7" s="368"/>
      <c r="K7" s="368"/>
      <c r="L7" s="368"/>
      <c r="M7" s="368"/>
      <c r="N7" s="368"/>
    </row>
    <row r="8" spans="1:15" x14ac:dyDescent="0.35">
      <c r="A8" s="10" t="s">
        <v>617</v>
      </c>
    </row>
    <row r="9" spans="1:15" ht="15" customHeight="1" x14ac:dyDescent="0.35">
      <c r="A9" s="227" t="s">
        <v>26</v>
      </c>
      <c r="B9" s="228"/>
      <c r="C9" s="228"/>
      <c r="D9" s="228"/>
      <c r="E9" s="228"/>
      <c r="F9" s="228"/>
      <c r="G9" s="228"/>
      <c r="H9" s="228"/>
      <c r="I9" s="228"/>
      <c r="J9" s="228"/>
      <c r="K9" s="228"/>
    </row>
    <row r="10" spans="1:15" ht="15" customHeight="1" x14ac:dyDescent="0.35">
      <c r="A10" s="229" t="s">
        <v>1</v>
      </c>
    </row>
    <row r="11" spans="1:15" ht="15" thickBot="1" x14ac:dyDescent="0.4">
      <c r="A11" s="3" t="s">
        <v>0</v>
      </c>
      <c r="B11" s="3" t="s">
        <v>0</v>
      </c>
      <c r="C11" s="3" t="s">
        <v>0</v>
      </c>
      <c r="D11" s="3" t="s">
        <v>0</v>
      </c>
      <c r="E11" s="3" t="s">
        <v>0</v>
      </c>
      <c r="F11" s="3" t="s">
        <v>0</v>
      </c>
      <c r="G11" s="3" t="s">
        <v>0</v>
      </c>
    </row>
    <row r="12" spans="1:15" ht="15" thickBot="1" x14ac:dyDescent="0.4">
      <c r="A12" s="133"/>
      <c r="B12" s="126" t="s">
        <v>495</v>
      </c>
      <c r="C12" s="127" t="s">
        <v>496</v>
      </c>
      <c r="D12" s="127" t="s">
        <v>497</v>
      </c>
      <c r="E12" s="127" t="s">
        <v>498</v>
      </c>
      <c r="F12" s="127" t="s">
        <v>499</v>
      </c>
      <c r="G12" s="127" t="s">
        <v>500</v>
      </c>
      <c r="H12" s="127" t="s">
        <v>501</v>
      </c>
      <c r="I12" s="127" t="s">
        <v>502</v>
      </c>
      <c r="J12" s="127" t="s">
        <v>503</v>
      </c>
      <c r="K12" s="127" t="s">
        <v>17</v>
      </c>
      <c r="L12" s="127" t="s">
        <v>18</v>
      </c>
      <c r="M12" s="127" t="s">
        <v>21</v>
      </c>
      <c r="N12" s="127" t="s">
        <v>507</v>
      </c>
      <c r="O12" s="128" t="s">
        <v>616</v>
      </c>
    </row>
    <row r="13" spans="1:15" x14ac:dyDescent="0.35">
      <c r="A13" s="134" t="s">
        <v>31</v>
      </c>
      <c r="B13" s="146">
        <v>20756459</v>
      </c>
      <c r="C13" s="147">
        <v>20837226</v>
      </c>
      <c r="D13" s="147">
        <v>20839471</v>
      </c>
      <c r="E13" s="147">
        <v>20933643</v>
      </c>
      <c r="F13" s="147">
        <v>21065455.428571429</v>
      </c>
      <c r="G13" s="147">
        <v>20821861</v>
      </c>
      <c r="H13" s="147">
        <v>21051433</v>
      </c>
      <c r="I13" s="147">
        <v>21850979</v>
      </c>
      <c r="J13" s="147">
        <v>19137676</v>
      </c>
      <c r="K13" s="147">
        <v>13454542</v>
      </c>
      <c r="L13" s="147">
        <v>16639501</v>
      </c>
      <c r="M13" s="147">
        <v>16017093</v>
      </c>
      <c r="N13" s="147">
        <v>18653644</v>
      </c>
      <c r="O13" s="276">
        <v>20217888</v>
      </c>
    </row>
    <row r="14" spans="1:15" x14ac:dyDescent="0.35">
      <c r="A14" s="139" t="s">
        <v>32</v>
      </c>
      <c r="B14" s="142">
        <v>724943</v>
      </c>
      <c r="C14" s="140">
        <v>901411</v>
      </c>
      <c r="D14" s="140">
        <v>939186</v>
      </c>
      <c r="E14" s="140">
        <v>1421138</v>
      </c>
      <c r="F14" s="140">
        <v>1854980</v>
      </c>
      <c r="G14" s="140">
        <v>2540440</v>
      </c>
      <c r="H14" s="140">
        <v>2778687</v>
      </c>
      <c r="I14" s="140">
        <v>2976003</v>
      </c>
      <c r="J14" s="140">
        <v>3599905</v>
      </c>
      <c r="K14" s="140">
        <v>2039343</v>
      </c>
      <c r="L14" s="140">
        <v>5042190</v>
      </c>
      <c r="M14" s="140">
        <v>6606765</v>
      </c>
      <c r="N14" s="140">
        <v>7203870</v>
      </c>
      <c r="O14" s="277">
        <v>7149710</v>
      </c>
    </row>
    <row r="15" spans="1:15" x14ac:dyDescent="0.35">
      <c r="A15" s="139" t="s">
        <v>33</v>
      </c>
      <c r="B15" s="142">
        <v>21481402</v>
      </c>
      <c r="C15" s="140">
        <v>21738637</v>
      </c>
      <c r="D15" s="140">
        <v>21778657</v>
      </c>
      <c r="E15" s="140">
        <v>22354781</v>
      </c>
      <c r="F15" s="140">
        <v>22920435.428571429</v>
      </c>
      <c r="G15" s="140">
        <v>23362301</v>
      </c>
      <c r="H15" s="140">
        <v>23830120</v>
      </c>
      <c r="I15" s="140">
        <v>24826982</v>
      </c>
      <c r="J15" s="140">
        <v>25017116</v>
      </c>
      <c r="K15" s="140">
        <v>17429559</v>
      </c>
      <c r="L15" s="140">
        <v>24374967</v>
      </c>
      <c r="M15" s="140">
        <v>25348842</v>
      </c>
      <c r="N15" s="140">
        <v>26321069</v>
      </c>
      <c r="O15" s="277">
        <v>27367598</v>
      </c>
    </row>
    <row r="16" spans="1:15" x14ac:dyDescent="0.35">
      <c r="A16" s="139" t="s">
        <v>34</v>
      </c>
      <c r="B16" s="143">
        <v>0.96625252858263166</v>
      </c>
      <c r="C16" s="141">
        <v>0.95853415280820042</v>
      </c>
      <c r="D16" s="141">
        <v>0.95687585327231151</v>
      </c>
      <c r="E16" s="141">
        <v>0.9364280061611876</v>
      </c>
      <c r="F16" s="141">
        <v>0.91907605029980322</v>
      </c>
      <c r="G16" s="141">
        <v>0.89125899884604687</v>
      </c>
      <c r="H16" s="141">
        <v>0.8833960131128169</v>
      </c>
      <c r="I16" s="141">
        <v>0.88</v>
      </c>
      <c r="J16" s="141">
        <v>0.84167599007123928</v>
      </c>
      <c r="K16" s="141">
        <v>0.86806950086452017</v>
      </c>
      <c r="L16" s="141">
        <v>0.76744479939318389</v>
      </c>
      <c r="M16" s="141">
        <v>0.70797354721727834</v>
      </c>
      <c r="N16" s="141">
        <v>0.72140129170963596</v>
      </c>
      <c r="O16" s="278">
        <v>0.73875273964488963</v>
      </c>
    </row>
    <row r="17" spans="1:15" ht="15" thickBot="1" x14ac:dyDescent="0.4">
      <c r="A17" s="135" t="s">
        <v>35</v>
      </c>
      <c r="B17" s="144">
        <v>0.95</v>
      </c>
      <c r="C17" s="145">
        <v>0.95</v>
      </c>
      <c r="D17" s="145">
        <v>0.95</v>
      </c>
      <c r="E17" s="145">
        <v>0.95</v>
      </c>
      <c r="F17" s="145">
        <v>0.95</v>
      </c>
      <c r="G17" s="145">
        <v>0.95</v>
      </c>
      <c r="H17" s="145">
        <v>0.95</v>
      </c>
      <c r="I17" s="145">
        <v>0.95</v>
      </c>
      <c r="J17" s="145">
        <v>0.95</v>
      </c>
      <c r="K17" s="145">
        <v>0.95</v>
      </c>
      <c r="L17" s="145">
        <v>0.95</v>
      </c>
      <c r="M17" s="145">
        <v>0.95</v>
      </c>
      <c r="N17" s="145">
        <v>0.95</v>
      </c>
      <c r="O17" s="279">
        <v>0.95</v>
      </c>
    </row>
  </sheetData>
  <mergeCells count="6">
    <mergeCell ref="A1:F1"/>
    <mergeCell ref="A3:N3"/>
    <mergeCell ref="A4:N4"/>
    <mergeCell ref="A6:N6"/>
    <mergeCell ref="A7:N7"/>
    <mergeCell ref="A5:G5"/>
  </mergeCells>
  <hyperlinks>
    <hyperlink ref="A7" r:id="rId1" xr:uid="{78545FB0-804D-4FAB-839B-C6FE9D6DF6C1}"/>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047E6-E781-4105-BDA4-2F55CAEB898F}">
  <dimension ref="A1:K168"/>
  <sheetViews>
    <sheetView showGridLines="0" zoomScaleNormal="100" workbookViewId="0">
      <selection activeCell="A3" sqref="A3:G3"/>
    </sheetView>
  </sheetViews>
  <sheetFormatPr defaultColWidth="8.84375" defaultRowHeight="14.5" x14ac:dyDescent="0.35"/>
  <cols>
    <col min="1" max="1" width="22.3046875" style="4" bestFit="1" customWidth="1"/>
    <col min="2" max="2" width="14.53515625" style="4" customWidth="1"/>
    <col min="3" max="3" width="18.53515625" style="4" customWidth="1"/>
    <col min="4" max="4" width="8.84375" style="4" bestFit="1" customWidth="1"/>
    <col min="5" max="5" width="15.84375" style="4" customWidth="1"/>
    <col min="6" max="6" width="10.84375" style="4" customWidth="1"/>
    <col min="7" max="7" width="8.4609375" style="4" customWidth="1"/>
    <col min="8" max="8" width="23.07421875" style="4" customWidth="1"/>
    <col min="9" max="16384" width="8.84375" style="4"/>
  </cols>
  <sheetData>
    <row r="1" spans="1:11" ht="84" customHeight="1" x14ac:dyDescent="0.35">
      <c r="A1" s="363"/>
      <c r="B1" s="363"/>
      <c r="C1" s="363"/>
      <c r="D1" s="363"/>
      <c r="E1" s="363"/>
      <c r="F1" s="363"/>
    </row>
    <row r="2" spans="1:11" x14ac:dyDescent="0.35">
      <c r="A2" s="3" t="s">
        <v>0</v>
      </c>
      <c r="B2" s="3" t="s">
        <v>0</v>
      </c>
      <c r="C2" s="3" t="s">
        <v>0</v>
      </c>
      <c r="D2" s="3" t="s">
        <v>0</v>
      </c>
      <c r="E2" s="3" t="s">
        <v>0</v>
      </c>
      <c r="F2" s="3" t="s">
        <v>0</v>
      </c>
      <c r="G2" s="3" t="s">
        <v>0</v>
      </c>
    </row>
    <row r="3" spans="1:11" ht="24.65" customHeight="1" x14ac:dyDescent="0.35">
      <c r="A3" s="369" t="s">
        <v>37</v>
      </c>
      <c r="B3" s="369"/>
      <c r="C3" s="369"/>
      <c r="D3" s="369"/>
      <c r="E3" s="369"/>
      <c r="F3" s="369"/>
      <c r="G3" s="369"/>
    </row>
    <row r="4" spans="1:11" ht="29.25" customHeight="1" x14ac:dyDescent="0.35">
      <c r="A4" s="370" t="s">
        <v>623</v>
      </c>
      <c r="B4" s="370"/>
      <c r="C4" s="370"/>
      <c r="D4" s="370"/>
      <c r="E4" s="370"/>
      <c r="F4" s="370"/>
      <c r="G4" s="370"/>
    </row>
    <row r="5" spans="1:11" ht="42.65" customHeight="1" x14ac:dyDescent="0.35">
      <c r="A5" s="371" t="s">
        <v>637</v>
      </c>
      <c r="B5" s="371"/>
      <c r="C5" s="371"/>
      <c r="D5" s="371"/>
      <c r="E5" s="371"/>
      <c r="F5" s="373"/>
    </row>
    <row r="6" spans="1:11" ht="14.5" customHeight="1" x14ac:dyDescent="0.35">
      <c r="A6" s="361" t="s">
        <v>592</v>
      </c>
      <c r="B6" s="361"/>
      <c r="C6" s="361"/>
      <c r="D6" s="361"/>
      <c r="E6" s="361"/>
      <c r="F6" s="361"/>
      <c r="G6" s="361"/>
      <c r="H6" s="361"/>
      <c r="I6" s="26"/>
      <c r="J6" s="26"/>
      <c r="K6" s="26"/>
    </row>
    <row r="7" spans="1:11" x14ac:dyDescent="0.35">
      <c r="A7" s="368" t="s">
        <v>620</v>
      </c>
      <c r="B7" s="372"/>
      <c r="C7" s="372"/>
      <c r="D7" s="372"/>
      <c r="E7" s="372"/>
      <c r="F7" s="372"/>
      <c r="G7" s="372"/>
      <c r="H7" s="372"/>
      <c r="I7" s="26"/>
      <c r="J7" s="26"/>
      <c r="K7" s="26"/>
    </row>
    <row r="8" spans="1:11" x14ac:dyDescent="0.35">
      <c r="A8" s="10" t="s">
        <v>617</v>
      </c>
    </row>
    <row r="9" spans="1:11" x14ac:dyDescent="0.35">
      <c r="A9" s="371" t="s">
        <v>26</v>
      </c>
      <c r="B9" s="371"/>
      <c r="C9" s="371"/>
      <c r="D9" s="371"/>
      <c r="E9" s="371"/>
      <c r="F9" s="371"/>
      <c r="G9" s="371"/>
      <c r="H9" s="371"/>
      <c r="I9" s="371"/>
      <c r="J9" s="371"/>
      <c r="K9" s="371"/>
    </row>
    <row r="10" spans="1:11" x14ac:dyDescent="0.35">
      <c r="A10" s="362" t="s">
        <v>1</v>
      </c>
      <c r="B10" s="363"/>
      <c r="C10" s="363"/>
      <c r="D10" s="363"/>
      <c r="E10" s="363"/>
      <c r="F10" s="363"/>
      <c r="G10" s="363"/>
    </row>
    <row r="11" spans="1:11" ht="15" thickBot="1" x14ac:dyDescent="0.4">
      <c r="A11" s="3" t="s">
        <v>0</v>
      </c>
      <c r="B11" s="3" t="s">
        <v>0</v>
      </c>
      <c r="C11" s="3" t="s">
        <v>0</v>
      </c>
      <c r="D11" s="3" t="s">
        <v>0</v>
      </c>
      <c r="E11" s="3" t="s">
        <v>0</v>
      </c>
      <c r="F11" s="3" t="s">
        <v>0</v>
      </c>
      <c r="G11" s="3" t="s">
        <v>0</v>
      </c>
    </row>
    <row r="12" spans="1:11" ht="39.5" thickBot="1" x14ac:dyDescent="0.4">
      <c r="A12" s="148"/>
      <c r="B12" s="149" t="s">
        <v>38</v>
      </c>
      <c r="C12" s="150" t="s">
        <v>39</v>
      </c>
    </row>
    <row r="13" spans="1:11" x14ac:dyDescent="0.35">
      <c r="A13" s="156">
        <v>41000</v>
      </c>
      <c r="B13" s="154">
        <v>56832.076190476182</v>
      </c>
      <c r="C13" s="151"/>
    </row>
    <row r="14" spans="1:11" x14ac:dyDescent="0.35">
      <c r="A14" s="157">
        <v>41030</v>
      </c>
      <c r="B14" s="155">
        <v>60259.668202764966</v>
      </c>
      <c r="C14" s="152"/>
    </row>
    <row r="15" spans="1:11" x14ac:dyDescent="0.35">
      <c r="A15" s="157">
        <v>41061</v>
      </c>
      <c r="B15" s="155">
        <v>60880.066666666666</v>
      </c>
      <c r="C15" s="152"/>
    </row>
    <row r="16" spans="1:11" x14ac:dyDescent="0.35">
      <c r="A16" s="157">
        <v>41091</v>
      </c>
      <c r="B16" s="155">
        <v>60260.958525345661</v>
      </c>
      <c r="C16" s="152"/>
    </row>
    <row r="17" spans="1:3" x14ac:dyDescent="0.35">
      <c r="A17" s="157">
        <v>41122</v>
      </c>
      <c r="B17" s="155">
        <v>57759.202764976952</v>
      </c>
      <c r="C17" s="152"/>
    </row>
    <row r="18" spans="1:3" x14ac:dyDescent="0.35">
      <c r="A18" s="157">
        <v>41153</v>
      </c>
      <c r="B18" s="155">
        <v>57646.023809523795</v>
      </c>
      <c r="C18" s="152"/>
    </row>
    <row r="19" spans="1:3" x14ac:dyDescent="0.35">
      <c r="A19" s="157">
        <v>41183</v>
      </c>
      <c r="B19" s="155">
        <v>56885.027649769603</v>
      </c>
      <c r="C19" s="152"/>
    </row>
    <row r="20" spans="1:3" x14ac:dyDescent="0.35">
      <c r="A20" s="157">
        <v>41214</v>
      </c>
      <c r="B20" s="155">
        <v>56186.361904761907</v>
      </c>
      <c r="C20" s="152"/>
    </row>
    <row r="21" spans="1:3" x14ac:dyDescent="0.35">
      <c r="A21" s="157">
        <v>41244</v>
      </c>
      <c r="B21" s="155">
        <v>55652.870967741925</v>
      </c>
      <c r="C21" s="152"/>
    </row>
    <row r="22" spans="1:3" x14ac:dyDescent="0.35">
      <c r="A22" s="157">
        <v>41275</v>
      </c>
      <c r="B22" s="155">
        <v>52856.677419354834</v>
      </c>
      <c r="C22" s="152"/>
    </row>
    <row r="23" spans="1:3" x14ac:dyDescent="0.35">
      <c r="A23" s="157">
        <v>41306</v>
      </c>
      <c r="B23" s="155">
        <v>55522.719387755089</v>
      </c>
      <c r="C23" s="152"/>
    </row>
    <row r="24" spans="1:3" x14ac:dyDescent="0.35">
      <c r="A24" s="157">
        <v>41334</v>
      </c>
      <c r="B24" s="155">
        <v>56260.940092165903</v>
      </c>
      <c r="C24" s="152">
        <v>57250.216131775291</v>
      </c>
    </row>
    <row r="25" spans="1:3" x14ac:dyDescent="0.35">
      <c r="A25" s="157">
        <v>41365</v>
      </c>
      <c r="B25" s="155">
        <v>57043.290476190465</v>
      </c>
      <c r="C25" s="152">
        <v>57267.817322251496</v>
      </c>
    </row>
    <row r="26" spans="1:3" x14ac:dyDescent="0.35">
      <c r="A26" s="157">
        <v>41395</v>
      </c>
      <c r="B26" s="155">
        <v>58930.548387096809</v>
      </c>
      <c r="C26" s="152">
        <v>57157.057337612474</v>
      </c>
    </row>
    <row r="27" spans="1:3" x14ac:dyDescent="0.35">
      <c r="A27" s="157">
        <v>41426</v>
      </c>
      <c r="B27" s="155">
        <v>59156.542857142835</v>
      </c>
      <c r="C27" s="152">
        <v>57013.430353485492</v>
      </c>
    </row>
    <row r="28" spans="1:3" x14ac:dyDescent="0.35">
      <c r="A28" s="157">
        <v>41456</v>
      </c>
      <c r="B28" s="155">
        <v>61635.488479262669</v>
      </c>
      <c r="C28" s="152">
        <v>57127.974516311901</v>
      </c>
    </row>
    <row r="29" spans="1:3" x14ac:dyDescent="0.35">
      <c r="A29" s="157">
        <v>41487</v>
      </c>
      <c r="B29" s="155">
        <v>57167.580645161281</v>
      </c>
      <c r="C29" s="152">
        <v>57078.672672993933</v>
      </c>
    </row>
    <row r="30" spans="1:3" x14ac:dyDescent="0.35">
      <c r="A30" s="157">
        <v>41518</v>
      </c>
      <c r="B30" s="155">
        <v>56473.5</v>
      </c>
      <c r="C30" s="152">
        <v>56980.962355533615</v>
      </c>
    </row>
    <row r="31" spans="1:3" x14ac:dyDescent="0.35">
      <c r="A31" s="157">
        <v>41548</v>
      </c>
      <c r="B31" s="155">
        <v>56457.396313364021</v>
      </c>
      <c r="C31" s="152">
        <v>56945.326410833142</v>
      </c>
    </row>
    <row r="32" spans="1:3" x14ac:dyDescent="0.35">
      <c r="A32" s="157">
        <v>41579</v>
      </c>
      <c r="B32" s="155">
        <v>55408.5142857143</v>
      </c>
      <c r="C32" s="152">
        <v>56880.505775912512</v>
      </c>
    </row>
    <row r="33" spans="1:3" x14ac:dyDescent="0.35">
      <c r="A33" s="157">
        <v>41609</v>
      </c>
      <c r="B33" s="155">
        <v>54773.543778801839</v>
      </c>
      <c r="C33" s="152">
        <v>56807.228510167486</v>
      </c>
    </row>
    <row r="34" spans="1:3" x14ac:dyDescent="0.35">
      <c r="A34" s="157">
        <v>41640</v>
      </c>
      <c r="B34" s="155">
        <v>53404.617511520737</v>
      </c>
      <c r="C34" s="152">
        <v>56852.890184514661</v>
      </c>
    </row>
    <row r="35" spans="1:3" x14ac:dyDescent="0.35">
      <c r="A35" s="157">
        <v>41671</v>
      </c>
      <c r="B35" s="155">
        <v>56168.326530612212</v>
      </c>
      <c r="C35" s="152">
        <v>56906.69077975276</v>
      </c>
    </row>
    <row r="36" spans="1:3" x14ac:dyDescent="0.35">
      <c r="A36" s="157">
        <v>41699</v>
      </c>
      <c r="B36" s="155">
        <v>60371.359447004659</v>
      </c>
      <c r="C36" s="152">
        <v>57249.225725989316</v>
      </c>
    </row>
    <row r="37" spans="1:3" x14ac:dyDescent="0.35">
      <c r="A37" s="157">
        <v>41730</v>
      </c>
      <c r="B37" s="155">
        <v>59623.957142857129</v>
      </c>
      <c r="C37" s="152">
        <v>57464.281281544878</v>
      </c>
    </row>
    <row r="38" spans="1:3" x14ac:dyDescent="0.35">
      <c r="A38" s="157">
        <v>41760</v>
      </c>
      <c r="B38" s="155">
        <v>60510.926267281095</v>
      </c>
      <c r="C38" s="152">
        <v>57595.979438226896</v>
      </c>
    </row>
    <row r="39" spans="1:3" x14ac:dyDescent="0.35">
      <c r="A39" s="157">
        <v>41791</v>
      </c>
      <c r="B39" s="155">
        <v>61646.80952380949</v>
      </c>
      <c r="C39" s="152">
        <v>57803.501660449117</v>
      </c>
    </row>
    <row r="40" spans="1:3" x14ac:dyDescent="0.35">
      <c r="A40" s="157">
        <v>41821</v>
      </c>
      <c r="B40" s="155">
        <v>61205.124423963112</v>
      </c>
      <c r="C40" s="152">
        <v>57767.63798917416</v>
      </c>
    </row>
    <row r="41" spans="1:3" x14ac:dyDescent="0.35">
      <c r="A41" s="157">
        <v>41852</v>
      </c>
      <c r="B41" s="155">
        <v>55755.815668202747</v>
      </c>
      <c r="C41" s="152">
        <v>57649.990907760948</v>
      </c>
    </row>
    <row r="42" spans="1:3" x14ac:dyDescent="0.35">
      <c r="A42" s="157">
        <v>41883</v>
      </c>
      <c r="B42" s="155">
        <v>58447.866666666676</v>
      </c>
      <c r="C42" s="152">
        <v>57814.521463316494</v>
      </c>
    </row>
    <row r="43" spans="1:3" x14ac:dyDescent="0.35">
      <c r="A43" s="157">
        <v>41913</v>
      </c>
      <c r="B43" s="155">
        <v>57206.317972350233</v>
      </c>
      <c r="C43" s="152">
        <v>57876.93160156536</v>
      </c>
    </row>
    <row r="44" spans="1:3" x14ac:dyDescent="0.35">
      <c r="A44" s="157">
        <v>41944</v>
      </c>
      <c r="B44" s="155">
        <v>57024.304761904787</v>
      </c>
      <c r="C44" s="152">
        <v>58011.580807914557</v>
      </c>
    </row>
    <row r="45" spans="1:3" x14ac:dyDescent="0.35">
      <c r="A45" s="157">
        <v>41974</v>
      </c>
      <c r="B45" s="155">
        <v>55131.354838709653</v>
      </c>
      <c r="C45" s="152">
        <v>58041.39839624022</v>
      </c>
    </row>
    <row r="46" spans="1:3" x14ac:dyDescent="0.35">
      <c r="A46" s="157">
        <v>42005</v>
      </c>
      <c r="B46" s="155">
        <v>50932.599078340994</v>
      </c>
      <c r="C46" s="152">
        <v>57835.396860141911</v>
      </c>
    </row>
    <row r="47" spans="1:3" x14ac:dyDescent="0.35">
      <c r="A47" s="157">
        <v>42036</v>
      </c>
      <c r="B47" s="155">
        <v>54356.377551020392</v>
      </c>
      <c r="C47" s="152">
        <v>57684.401111842591</v>
      </c>
    </row>
    <row r="48" spans="1:3" x14ac:dyDescent="0.35">
      <c r="A48" s="157">
        <v>42064</v>
      </c>
      <c r="B48" s="155">
        <v>58121.709677419371</v>
      </c>
      <c r="C48" s="152">
        <v>57496.930297710474</v>
      </c>
    </row>
    <row r="49" spans="1:3" x14ac:dyDescent="0.35">
      <c r="A49" s="157">
        <v>42095</v>
      </c>
      <c r="B49" s="155">
        <v>58245.614285714306</v>
      </c>
      <c r="C49" s="152">
        <v>57382.068392948568</v>
      </c>
    </row>
    <row r="50" spans="1:3" x14ac:dyDescent="0.35">
      <c r="A50" s="157">
        <v>42125</v>
      </c>
      <c r="B50" s="155">
        <v>58941.433179723506</v>
      </c>
      <c r="C50" s="152">
        <v>57251.277302318776</v>
      </c>
    </row>
    <row r="51" spans="1:3" x14ac:dyDescent="0.35">
      <c r="A51" s="157">
        <v>42156</v>
      </c>
      <c r="B51" s="155">
        <v>60396.166666666664</v>
      </c>
      <c r="C51" s="152">
        <v>57147.05706422354</v>
      </c>
    </row>
    <row r="52" spans="1:3" x14ac:dyDescent="0.35">
      <c r="A52" s="157">
        <v>42186</v>
      </c>
      <c r="B52" s="155">
        <v>59852.258064516129</v>
      </c>
      <c r="C52" s="152">
        <v>57034.318200936279</v>
      </c>
    </row>
    <row r="53" spans="1:3" x14ac:dyDescent="0.35">
      <c r="A53" s="157">
        <v>42217</v>
      </c>
      <c r="B53" s="155">
        <v>56731.096774193546</v>
      </c>
      <c r="C53" s="152">
        <v>57115.591626435518</v>
      </c>
    </row>
    <row r="54" spans="1:3" x14ac:dyDescent="0.35">
      <c r="A54" s="157">
        <v>42248</v>
      </c>
      <c r="B54" s="155">
        <v>57895.6</v>
      </c>
      <c r="C54" s="152">
        <v>57069.569404213304</v>
      </c>
    </row>
    <row r="55" spans="1:3" x14ac:dyDescent="0.35">
      <c r="A55" s="157">
        <v>42278</v>
      </c>
      <c r="B55" s="155">
        <v>57275.93548387097</v>
      </c>
      <c r="C55" s="152">
        <v>57075.370863506687</v>
      </c>
    </row>
    <row r="56" spans="1:3" x14ac:dyDescent="0.35">
      <c r="A56" s="157">
        <v>42309</v>
      </c>
      <c r="B56" s="155">
        <v>57025.433333333334</v>
      </c>
      <c r="C56" s="152">
        <v>57075.464911125739</v>
      </c>
    </row>
    <row r="57" spans="1:3" x14ac:dyDescent="0.35">
      <c r="A57" s="158">
        <v>42339</v>
      </c>
      <c r="B57" s="155">
        <v>54808</v>
      </c>
      <c r="C57" s="152">
        <v>57048.518674566607</v>
      </c>
    </row>
    <row r="58" spans="1:3" x14ac:dyDescent="0.35">
      <c r="A58" s="157">
        <v>42370</v>
      </c>
      <c r="B58" s="155">
        <v>54536.594470046133</v>
      </c>
      <c r="C58" s="152">
        <v>57348.851623875351</v>
      </c>
    </row>
    <row r="59" spans="1:3" x14ac:dyDescent="0.35">
      <c r="A59" s="157">
        <v>42401</v>
      </c>
      <c r="B59" s="155">
        <v>56610.172413793101</v>
      </c>
      <c r="C59" s="152">
        <v>57536.667862439739</v>
      </c>
    </row>
    <row r="60" spans="1:3" x14ac:dyDescent="0.35">
      <c r="A60" s="157">
        <v>42430</v>
      </c>
      <c r="B60" s="155">
        <v>58765.129032258068</v>
      </c>
      <c r="C60" s="152">
        <v>57590.286142009652</v>
      </c>
    </row>
    <row r="61" spans="1:3" x14ac:dyDescent="0.35">
      <c r="A61" s="159">
        <v>42461</v>
      </c>
      <c r="B61" s="155">
        <v>56055.3</v>
      </c>
      <c r="C61" s="152">
        <v>57407.759951533451</v>
      </c>
    </row>
    <row r="62" spans="1:3" x14ac:dyDescent="0.35">
      <c r="A62" s="159">
        <v>42491</v>
      </c>
      <c r="B62" s="155">
        <v>60290.677419354841</v>
      </c>
      <c r="C62" s="152">
        <v>57520.196971502737</v>
      </c>
    </row>
    <row r="63" spans="1:3" x14ac:dyDescent="0.35">
      <c r="A63" s="159">
        <v>42522</v>
      </c>
      <c r="B63" s="155">
        <v>59129.666666666664</v>
      </c>
      <c r="C63" s="152">
        <v>57414.655304836058</v>
      </c>
    </row>
    <row r="64" spans="1:3" x14ac:dyDescent="0.35">
      <c r="A64" s="159">
        <v>42552</v>
      </c>
      <c r="B64" s="155">
        <v>60550.354838709674</v>
      </c>
      <c r="C64" s="152">
        <v>57472.830036018859</v>
      </c>
    </row>
    <row r="65" spans="1:3" x14ac:dyDescent="0.35">
      <c r="A65" s="159">
        <v>42583</v>
      </c>
      <c r="B65" s="155">
        <v>56725.225806451614</v>
      </c>
      <c r="C65" s="152">
        <v>57472.340788707028</v>
      </c>
    </row>
    <row r="66" spans="1:3" x14ac:dyDescent="0.35">
      <c r="A66" s="159">
        <v>42614</v>
      </c>
      <c r="B66" s="155">
        <v>58995.566666666666</v>
      </c>
      <c r="C66" s="152">
        <v>57564.00467759592</v>
      </c>
    </row>
    <row r="67" spans="1:3" x14ac:dyDescent="0.35">
      <c r="A67" s="159">
        <v>42644</v>
      </c>
      <c r="B67" s="155">
        <v>57505.774193548386</v>
      </c>
      <c r="C67" s="152">
        <v>57583.157903402374</v>
      </c>
    </row>
    <row r="68" spans="1:3" x14ac:dyDescent="0.35">
      <c r="A68" s="159">
        <v>42675</v>
      </c>
      <c r="B68" s="155">
        <v>56205.26666666667</v>
      </c>
      <c r="C68" s="152">
        <v>57514.810681180163</v>
      </c>
    </row>
    <row r="69" spans="1:3" x14ac:dyDescent="0.35">
      <c r="A69" s="159">
        <v>42705</v>
      </c>
      <c r="B69" s="155">
        <v>54056.419354838712</v>
      </c>
      <c r="C69" s="152">
        <v>57452.178960750054</v>
      </c>
    </row>
    <row r="70" spans="1:3" x14ac:dyDescent="0.35">
      <c r="A70" s="159">
        <v>42736</v>
      </c>
      <c r="B70" s="155">
        <v>52053.548387096773</v>
      </c>
      <c r="C70" s="152">
        <v>57245.258453837596</v>
      </c>
    </row>
    <row r="71" spans="1:3" x14ac:dyDescent="0.35">
      <c r="A71" s="159">
        <v>42767</v>
      </c>
      <c r="B71" s="155">
        <v>54257.25</v>
      </c>
      <c r="C71" s="152">
        <v>57049.181586021499</v>
      </c>
    </row>
    <row r="72" spans="1:3" x14ac:dyDescent="0.35">
      <c r="A72" s="159">
        <v>42795</v>
      </c>
      <c r="B72" s="155">
        <v>58530.387096774197</v>
      </c>
      <c r="C72" s="152">
        <v>57029.619758064509</v>
      </c>
    </row>
    <row r="73" spans="1:3" x14ac:dyDescent="0.35">
      <c r="A73" s="159">
        <v>42826</v>
      </c>
      <c r="B73" s="155">
        <v>58827.73333333333</v>
      </c>
      <c r="C73" s="152">
        <v>57260.655869175622</v>
      </c>
    </row>
    <row r="74" spans="1:3" x14ac:dyDescent="0.35">
      <c r="A74" s="159">
        <v>42856</v>
      </c>
      <c r="B74" s="155">
        <v>59803.774193548386</v>
      </c>
      <c r="C74" s="152">
        <v>57220.080600358422</v>
      </c>
    </row>
    <row r="75" spans="1:3" x14ac:dyDescent="0.35">
      <c r="A75" s="159">
        <v>42887</v>
      </c>
      <c r="B75" s="155">
        <v>60303.7</v>
      </c>
      <c r="C75" s="152">
        <v>57317.91671146953</v>
      </c>
    </row>
    <row r="76" spans="1:3" x14ac:dyDescent="0.35">
      <c r="A76" s="159">
        <v>42917</v>
      </c>
      <c r="B76" s="155">
        <v>60443.967741935485</v>
      </c>
      <c r="C76" s="152">
        <v>57309.051120071679</v>
      </c>
    </row>
    <row r="77" spans="1:3" x14ac:dyDescent="0.35">
      <c r="A77" s="159">
        <v>42948</v>
      </c>
      <c r="B77" s="155">
        <v>56063.096774193546</v>
      </c>
      <c r="C77" s="152">
        <v>57253.873700716846</v>
      </c>
    </row>
    <row r="78" spans="1:3" x14ac:dyDescent="0.35">
      <c r="A78" s="159">
        <v>42979</v>
      </c>
      <c r="B78" s="155">
        <v>57564.466666666667</v>
      </c>
      <c r="C78" s="152">
        <v>57134.615367383514</v>
      </c>
    </row>
    <row r="79" spans="1:3" x14ac:dyDescent="0.35">
      <c r="A79" s="159">
        <v>43009</v>
      </c>
      <c r="B79" s="155">
        <v>59307.580645161288</v>
      </c>
      <c r="C79" s="152">
        <v>57284.765905017928</v>
      </c>
    </row>
    <row r="80" spans="1:3" x14ac:dyDescent="0.35">
      <c r="A80" s="159">
        <v>43040</v>
      </c>
      <c r="B80" s="155">
        <v>58496.3</v>
      </c>
      <c r="C80" s="152">
        <v>57475.685349462379</v>
      </c>
    </row>
    <row r="81" spans="1:3" x14ac:dyDescent="0.35">
      <c r="A81" s="159">
        <v>43070</v>
      </c>
      <c r="B81" s="155">
        <v>54937.451612903227</v>
      </c>
      <c r="C81" s="152">
        <v>57549.104704301084</v>
      </c>
    </row>
    <row r="82" spans="1:3" x14ac:dyDescent="0.35">
      <c r="A82" s="159">
        <v>43101</v>
      </c>
      <c r="B82" s="155">
        <v>55034.096774193546</v>
      </c>
      <c r="C82" s="152">
        <v>57797.483736559159</v>
      </c>
    </row>
    <row r="83" spans="1:3" x14ac:dyDescent="0.35">
      <c r="A83" s="159">
        <v>43132</v>
      </c>
      <c r="B83" s="155">
        <v>55279.464285714283</v>
      </c>
      <c r="C83" s="152">
        <v>57882.668260368671</v>
      </c>
    </row>
    <row r="84" spans="1:3" x14ac:dyDescent="0.35">
      <c r="A84" s="159">
        <v>43160</v>
      </c>
      <c r="B84" s="155">
        <v>55953.322580645159</v>
      </c>
      <c r="C84" s="152">
        <v>57667.912884024583</v>
      </c>
    </row>
    <row r="85" spans="1:3" x14ac:dyDescent="0.35">
      <c r="A85" s="157">
        <v>43191</v>
      </c>
      <c r="B85" s="155">
        <v>58586.833333333336</v>
      </c>
      <c r="C85" s="152">
        <v>57647.837884024579</v>
      </c>
    </row>
    <row r="86" spans="1:3" x14ac:dyDescent="0.35">
      <c r="A86" s="157">
        <v>43221</v>
      </c>
      <c r="B86" s="155">
        <v>63111.483870967742</v>
      </c>
      <c r="C86" s="152">
        <v>57923.480357142857</v>
      </c>
    </row>
    <row r="87" spans="1:3" x14ac:dyDescent="0.35">
      <c r="A87" s="157">
        <v>43252</v>
      </c>
      <c r="B87" s="155">
        <v>63350.8</v>
      </c>
      <c r="C87" s="152">
        <v>58177.405357142859</v>
      </c>
    </row>
    <row r="88" spans="1:3" x14ac:dyDescent="0.35">
      <c r="A88" s="157">
        <v>43282</v>
      </c>
      <c r="B88" s="155">
        <v>62808.774193548386</v>
      </c>
      <c r="C88" s="152">
        <v>58374.472561443923</v>
      </c>
    </row>
    <row r="89" spans="1:3" x14ac:dyDescent="0.35">
      <c r="A89" s="157">
        <v>43313</v>
      </c>
      <c r="B89" s="155">
        <v>57826.290322580644</v>
      </c>
      <c r="C89" s="152">
        <v>58521.405357142845</v>
      </c>
    </row>
    <row r="90" spans="1:3" x14ac:dyDescent="0.35">
      <c r="A90" s="157">
        <v>43344</v>
      </c>
      <c r="B90" s="155">
        <v>59464.633333333331</v>
      </c>
      <c r="C90" s="152">
        <v>58679.752579365071</v>
      </c>
    </row>
    <row r="91" spans="1:3" x14ac:dyDescent="0.35">
      <c r="A91" s="157">
        <v>43374</v>
      </c>
      <c r="B91" s="155">
        <v>59707.806451612902</v>
      </c>
      <c r="C91" s="152">
        <v>58713.104729902705</v>
      </c>
    </row>
    <row r="92" spans="1:3" x14ac:dyDescent="0.35">
      <c r="A92" s="157">
        <v>43405</v>
      </c>
      <c r="B92" s="155">
        <v>59508.166666666664</v>
      </c>
      <c r="C92" s="152">
        <v>58797.426952124923</v>
      </c>
    </row>
    <row r="93" spans="1:3" x14ac:dyDescent="0.35">
      <c r="A93" s="157">
        <v>43435</v>
      </c>
      <c r="B93" s="155">
        <v>57096.903225806454</v>
      </c>
      <c r="C93" s="152">
        <v>58977.381253200198</v>
      </c>
    </row>
    <row r="94" spans="1:3" x14ac:dyDescent="0.35">
      <c r="A94" s="157">
        <v>43466</v>
      </c>
      <c r="B94" s="155">
        <v>57507</v>
      </c>
      <c r="C94" s="152">
        <v>59183.456522017397</v>
      </c>
    </row>
    <row r="95" spans="1:3" x14ac:dyDescent="0.35">
      <c r="A95" s="157">
        <v>43497</v>
      </c>
      <c r="B95" s="155">
        <v>58805.678571428572</v>
      </c>
      <c r="C95" s="152">
        <v>59477.307712493588</v>
      </c>
    </row>
    <row r="96" spans="1:3" x14ac:dyDescent="0.35">
      <c r="A96" s="157">
        <v>43525</v>
      </c>
      <c r="B96" s="155">
        <v>60558.096774193546</v>
      </c>
      <c r="C96" s="152">
        <v>59861.038895289297</v>
      </c>
    </row>
    <row r="97" spans="1:3" x14ac:dyDescent="0.35">
      <c r="A97" s="159">
        <v>43556</v>
      </c>
      <c r="B97" s="155">
        <v>59932.800000000003</v>
      </c>
      <c r="C97" s="152">
        <v>59973.202784178189</v>
      </c>
    </row>
    <row r="98" spans="1:3" x14ac:dyDescent="0.35">
      <c r="A98" s="159">
        <v>43586</v>
      </c>
      <c r="B98" s="155">
        <v>54654.870967741932</v>
      </c>
      <c r="C98" s="152">
        <v>59268.485042242704</v>
      </c>
    </row>
    <row r="99" spans="1:3" x14ac:dyDescent="0.35">
      <c r="A99" s="159">
        <v>43617</v>
      </c>
      <c r="B99" s="155">
        <v>54615.366666666669</v>
      </c>
      <c r="C99" s="152">
        <v>58540.532264464935</v>
      </c>
    </row>
    <row r="100" spans="1:3" x14ac:dyDescent="0.35">
      <c r="A100" s="159">
        <v>43647</v>
      </c>
      <c r="B100" s="155">
        <v>56903.096774193546</v>
      </c>
      <c r="C100" s="152">
        <v>58048.392479518698</v>
      </c>
    </row>
    <row r="101" spans="1:3" x14ac:dyDescent="0.35">
      <c r="A101" s="159">
        <v>43678</v>
      </c>
      <c r="B101" s="155">
        <v>53354.677419354841</v>
      </c>
      <c r="C101" s="152">
        <v>57675.758070916527</v>
      </c>
    </row>
    <row r="102" spans="1:3" x14ac:dyDescent="0.35">
      <c r="A102" s="159">
        <v>43709</v>
      </c>
      <c r="B102" s="155">
        <v>54339.199999999997</v>
      </c>
      <c r="C102" s="152">
        <v>57248.638626472086</v>
      </c>
    </row>
    <row r="103" spans="1:3" x14ac:dyDescent="0.35">
      <c r="A103" s="159">
        <v>43739</v>
      </c>
      <c r="B103" s="155">
        <v>52759.483870967742</v>
      </c>
      <c r="C103" s="152">
        <v>56669.611744751659</v>
      </c>
    </row>
    <row r="104" spans="1:3" x14ac:dyDescent="0.35">
      <c r="A104" s="159">
        <v>43770</v>
      </c>
      <c r="B104" s="155">
        <v>52385.566666666666</v>
      </c>
      <c r="C104" s="152">
        <v>56076.061744751671</v>
      </c>
    </row>
    <row r="105" spans="1:3" x14ac:dyDescent="0.35">
      <c r="A105" s="159">
        <v>43800</v>
      </c>
      <c r="B105" s="155">
        <v>50511.677419354841</v>
      </c>
      <c r="C105" s="152">
        <v>55527.292927547365</v>
      </c>
    </row>
    <row r="106" spans="1:3" x14ac:dyDescent="0.35">
      <c r="A106" s="159">
        <v>43831</v>
      </c>
      <c r="B106" s="155">
        <v>50171.451612903227</v>
      </c>
      <c r="C106" s="152">
        <v>54915.99722862264</v>
      </c>
    </row>
    <row r="107" spans="1:3" x14ac:dyDescent="0.35">
      <c r="A107" s="159">
        <v>43862</v>
      </c>
      <c r="B107" s="155">
        <v>50633.758620689652</v>
      </c>
      <c r="C107" s="152">
        <v>54235.003899394389</v>
      </c>
    </row>
    <row r="108" spans="1:3" x14ac:dyDescent="0.35">
      <c r="A108" s="159">
        <v>43891</v>
      </c>
      <c r="B108" s="155">
        <v>37486.967741935485</v>
      </c>
      <c r="C108" s="152">
        <v>52312.409813372884</v>
      </c>
    </row>
    <row r="109" spans="1:3" x14ac:dyDescent="0.35">
      <c r="A109" s="159">
        <v>43922</v>
      </c>
      <c r="B109" s="155">
        <v>24649.033333333333</v>
      </c>
      <c r="C109" s="153">
        <v>49372.095924483998</v>
      </c>
    </row>
    <row r="110" spans="1:3" x14ac:dyDescent="0.35">
      <c r="A110" s="159">
        <v>43952</v>
      </c>
      <c r="B110" s="155">
        <v>33857.548387096773</v>
      </c>
      <c r="C110" s="153">
        <v>47638.985709430235</v>
      </c>
    </row>
    <row r="111" spans="1:3" x14ac:dyDescent="0.35">
      <c r="A111" s="159">
        <v>43983</v>
      </c>
      <c r="B111" s="155">
        <v>38837.833333333336</v>
      </c>
      <c r="C111" s="153">
        <v>46324.191264985791</v>
      </c>
    </row>
    <row r="112" spans="1:3" x14ac:dyDescent="0.35">
      <c r="A112" s="159">
        <v>44013</v>
      </c>
      <c r="B112" s="155">
        <v>41969.709677419356</v>
      </c>
      <c r="C112" s="153">
        <v>45079.742340254605</v>
      </c>
    </row>
    <row r="113" spans="1:3" x14ac:dyDescent="0.35">
      <c r="A113" s="159">
        <v>44044</v>
      </c>
      <c r="B113" s="155">
        <v>44119.354838709674</v>
      </c>
      <c r="C113" s="153">
        <v>44310.132125200842</v>
      </c>
    </row>
    <row r="114" spans="1:3" x14ac:dyDescent="0.35">
      <c r="A114" s="159">
        <v>44075</v>
      </c>
      <c r="B114" s="155">
        <v>43998</v>
      </c>
      <c r="C114" s="153">
        <v>43448.365458534172</v>
      </c>
    </row>
    <row r="115" spans="1:3" x14ac:dyDescent="0.35">
      <c r="A115" s="159">
        <v>44105</v>
      </c>
      <c r="B115" s="155">
        <v>38652.483870967742</v>
      </c>
      <c r="C115" s="153">
        <v>42272.782125200836</v>
      </c>
    </row>
    <row r="116" spans="1:3" x14ac:dyDescent="0.35">
      <c r="A116" s="159">
        <v>44136</v>
      </c>
      <c r="B116" s="155">
        <v>36811.23333333333</v>
      </c>
      <c r="C116" s="153">
        <v>40974.921014089727</v>
      </c>
    </row>
    <row r="117" spans="1:3" x14ac:dyDescent="0.35">
      <c r="A117" s="159">
        <v>44166</v>
      </c>
      <c r="B117" s="155">
        <v>33866.096774193546</v>
      </c>
      <c r="C117" s="153">
        <v>39587.789293659625</v>
      </c>
    </row>
    <row r="118" spans="1:3" x14ac:dyDescent="0.35">
      <c r="A118" s="159">
        <v>44197</v>
      </c>
      <c r="B118" s="155">
        <v>29444.354838709678</v>
      </c>
      <c r="C118" s="153">
        <v>37860.531229143497</v>
      </c>
    </row>
    <row r="119" spans="1:3" x14ac:dyDescent="0.35">
      <c r="A119" s="159">
        <v>44228</v>
      </c>
      <c r="B119" s="155">
        <v>33989.821428571428</v>
      </c>
      <c r="C119" s="153">
        <v>36473.536463133649</v>
      </c>
    </row>
    <row r="120" spans="1:3" x14ac:dyDescent="0.35">
      <c r="A120" s="159">
        <v>44256</v>
      </c>
      <c r="B120" s="155">
        <v>41766.06451612903</v>
      </c>
      <c r="C120" s="153">
        <v>36830.127860983106</v>
      </c>
    </row>
    <row r="121" spans="1:3" x14ac:dyDescent="0.35">
      <c r="A121" s="159">
        <v>44287</v>
      </c>
      <c r="B121" s="155">
        <v>47199.76666666667</v>
      </c>
      <c r="C121" s="153">
        <v>38709.355638760884</v>
      </c>
    </row>
    <row r="122" spans="1:3" x14ac:dyDescent="0.35">
      <c r="A122" s="159">
        <v>44317</v>
      </c>
      <c r="B122" s="155">
        <v>49825.387096774197</v>
      </c>
      <c r="C122" s="153">
        <v>40040.008864567331</v>
      </c>
    </row>
    <row r="123" spans="1:3" x14ac:dyDescent="0.35">
      <c r="A123" s="159">
        <v>44348</v>
      </c>
      <c r="B123" s="155">
        <v>51993.23333333333</v>
      </c>
      <c r="C123" s="153">
        <v>41136.292197900664</v>
      </c>
    </row>
    <row r="124" spans="1:3" x14ac:dyDescent="0.35">
      <c r="A124" s="159">
        <v>44378</v>
      </c>
      <c r="B124" s="155">
        <v>48165.096774193546</v>
      </c>
      <c r="C124" s="153">
        <v>41652.574455965172</v>
      </c>
    </row>
    <row r="125" spans="1:3" x14ac:dyDescent="0.35">
      <c r="A125" s="159">
        <v>44409</v>
      </c>
      <c r="B125" s="155">
        <v>44998</v>
      </c>
      <c r="C125" s="153">
        <v>41725.794886072712</v>
      </c>
    </row>
    <row r="126" spans="1:3" x14ac:dyDescent="0.35">
      <c r="A126" s="159">
        <v>44440</v>
      </c>
      <c r="B126" s="155">
        <v>47371.76666666667</v>
      </c>
      <c r="C126" s="153">
        <v>42006.942108294934</v>
      </c>
    </row>
    <row r="127" spans="1:3" x14ac:dyDescent="0.35">
      <c r="A127" s="159">
        <v>44470</v>
      </c>
      <c r="B127" s="155">
        <v>45899.387096774197</v>
      </c>
      <c r="C127" s="153">
        <v>42610.850710445469</v>
      </c>
    </row>
    <row r="128" spans="1:3" x14ac:dyDescent="0.35">
      <c r="A128" s="159">
        <v>44501</v>
      </c>
      <c r="B128" s="155">
        <v>44825.066666666666</v>
      </c>
      <c r="C128" s="153">
        <v>43278.670154889915</v>
      </c>
    </row>
    <row r="129" spans="1:3" x14ac:dyDescent="0.35">
      <c r="A129" s="159">
        <v>44531</v>
      </c>
      <c r="B129" s="155">
        <v>39518.93548387097</v>
      </c>
      <c r="C129" s="153">
        <v>43749.740047363033</v>
      </c>
    </row>
    <row r="130" spans="1:3" x14ac:dyDescent="0.35">
      <c r="A130" s="159">
        <v>44562</v>
      </c>
      <c r="B130" s="155">
        <v>39981.516129032258</v>
      </c>
      <c r="C130" s="153">
        <v>44627.836821556579</v>
      </c>
    </row>
    <row r="131" spans="1:3" x14ac:dyDescent="0.35">
      <c r="A131" s="159">
        <v>44593</v>
      </c>
      <c r="B131" s="155">
        <v>42488.392857142855</v>
      </c>
      <c r="C131" s="153">
        <v>45336.051107270854</v>
      </c>
    </row>
    <row r="132" spans="1:3" x14ac:dyDescent="0.35">
      <c r="A132" s="159">
        <v>44621</v>
      </c>
      <c r="B132" s="155">
        <v>44777.193548387098</v>
      </c>
      <c r="C132" s="153">
        <v>45586.978526625702</v>
      </c>
    </row>
    <row r="133" spans="1:3" x14ac:dyDescent="0.35">
      <c r="A133" s="159">
        <v>44652</v>
      </c>
      <c r="B133" s="155">
        <v>43706.666666666664</v>
      </c>
      <c r="C133" s="153">
        <v>45295.886859959028</v>
      </c>
    </row>
    <row r="134" spans="1:3" x14ac:dyDescent="0.35">
      <c r="A134" s="159">
        <v>44682</v>
      </c>
      <c r="B134" s="155">
        <v>45950.870967741932</v>
      </c>
      <c r="C134" s="153">
        <v>44973.010515873008</v>
      </c>
    </row>
    <row r="135" spans="1:3" x14ac:dyDescent="0.35">
      <c r="A135" s="159">
        <v>44713</v>
      </c>
      <c r="B135" s="155">
        <v>46807.366666666669</v>
      </c>
      <c r="C135" s="153">
        <v>44540.854960317462</v>
      </c>
    </row>
    <row r="136" spans="1:3" x14ac:dyDescent="0.35">
      <c r="A136" s="159">
        <v>44743</v>
      </c>
      <c r="B136" s="155">
        <v>44232.290322580644</v>
      </c>
      <c r="C136" s="153">
        <v>44213.121089349712</v>
      </c>
    </row>
    <row r="137" spans="1:3" x14ac:dyDescent="0.35">
      <c r="A137" s="159">
        <v>44774</v>
      </c>
      <c r="B137" s="155">
        <v>40822.032258064515</v>
      </c>
      <c r="C137" s="153">
        <v>43865.123777521767</v>
      </c>
    </row>
    <row r="138" spans="1:3" x14ac:dyDescent="0.35">
      <c r="A138" s="159">
        <v>44805</v>
      </c>
      <c r="B138" s="155">
        <v>42202.3</v>
      </c>
      <c r="C138" s="153">
        <v>43434.334888632882</v>
      </c>
    </row>
    <row r="139" spans="1:3" x14ac:dyDescent="0.35">
      <c r="A139" s="159">
        <v>44835</v>
      </c>
      <c r="B139" s="155">
        <v>43311</v>
      </c>
      <c r="C139" s="153">
        <v>43218.635963901688</v>
      </c>
    </row>
    <row r="140" spans="1:3" x14ac:dyDescent="0.35">
      <c r="A140" s="159">
        <v>44866</v>
      </c>
      <c r="B140" s="155">
        <v>44317.73333333333</v>
      </c>
      <c r="C140" s="153">
        <v>43176.358186123914</v>
      </c>
    </row>
    <row r="141" spans="1:3" x14ac:dyDescent="0.35">
      <c r="A141" s="159">
        <v>44896</v>
      </c>
      <c r="B141" s="155">
        <v>42701.225806451614</v>
      </c>
      <c r="C141" s="153">
        <v>43441.549046338972</v>
      </c>
    </row>
    <row r="142" spans="1:3" x14ac:dyDescent="0.35">
      <c r="A142" s="159">
        <v>44927</v>
      </c>
      <c r="B142" s="155">
        <v>40922.06451612903</v>
      </c>
      <c r="C142" s="153">
        <v>43519.928078597026</v>
      </c>
    </row>
    <row r="143" spans="1:3" x14ac:dyDescent="0.35">
      <c r="A143" s="159">
        <v>44958</v>
      </c>
      <c r="B143" s="155">
        <v>43557.035714285717</v>
      </c>
      <c r="C143" s="153">
        <v>43608.981650025606</v>
      </c>
    </row>
    <row r="144" spans="1:3" x14ac:dyDescent="0.35">
      <c r="A144" s="159">
        <v>44986</v>
      </c>
      <c r="B144" s="155">
        <v>44550.161290322583</v>
      </c>
      <c r="C144" s="153">
        <v>43590.062295186894</v>
      </c>
    </row>
    <row r="145" spans="1:4" x14ac:dyDescent="0.35">
      <c r="A145" s="159">
        <v>45017</v>
      </c>
      <c r="B145" s="155">
        <v>45129.3</v>
      </c>
      <c r="C145" s="153">
        <v>43708.615072964683</v>
      </c>
    </row>
    <row r="146" spans="1:4" x14ac:dyDescent="0.35">
      <c r="A146" s="159">
        <v>45047</v>
      </c>
      <c r="B146" s="155">
        <v>47788.516129032258</v>
      </c>
      <c r="C146" s="153">
        <v>43861.752169738873</v>
      </c>
    </row>
    <row r="147" spans="1:4" x14ac:dyDescent="0.35">
      <c r="A147" s="159">
        <v>45078</v>
      </c>
      <c r="B147" s="155">
        <v>54441.833333333336</v>
      </c>
      <c r="C147" s="153">
        <v>44497.957725294422</v>
      </c>
    </row>
    <row r="148" spans="1:4" x14ac:dyDescent="0.35">
      <c r="A148" s="159">
        <v>45108</v>
      </c>
      <c r="B148" s="155">
        <v>52532.709677419356</v>
      </c>
      <c r="C148" s="153">
        <v>45189.659338197642</v>
      </c>
    </row>
    <row r="149" spans="1:4" x14ac:dyDescent="0.35">
      <c r="A149" s="159">
        <v>45139</v>
      </c>
      <c r="B149" s="155">
        <v>49704.612903225803</v>
      </c>
      <c r="C149" s="153">
        <v>45929.874391961079</v>
      </c>
    </row>
    <row r="150" spans="1:4" x14ac:dyDescent="0.35">
      <c r="A150" s="159">
        <v>45170</v>
      </c>
      <c r="B150" s="155">
        <v>51863.1</v>
      </c>
      <c r="C150" s="153">
        <v>46734.941058627744</v>
      </c>
    </row>
    <row r="151" spans="1:4" x14ac:dyDescent="0.35">
      <c r="A151" s="159">
        <v>45200</v>
      </c>
      <c r="B151" s="155">
        <v>50452.290322580644</v>
      </c>
      <c r="C151" s="153">
        <v>47330.048585509467</v>
      </c>
    </row>
    <row r="152" spans="1:4" x14ac:dyDescent="0.35">
      <c r="A152" s="159">
        <v>45231</v>
      </c>
      <c r="B152" s="155">
        <v>50446.133333333331</v>
      </c>
      <c r="C152" s="153">
        <v>47840.748585509464</v>
      </c>
    </row>
    <row r="153" spans="1:4" x14ac:dyDescent="0.35">
      <c r="A153" s="159">
        <v>45261</v>
      </c>
      <c r="B153" s="155">
        <v>48988.903225806454</v>
      </c>
      <c r="C153" s="153">
        <v>48364.72170378903</v>
      </c>
    </row>
    <row r="154" spans="1:4" x14ac:dyDescent="0.35">
      <c r="A154" s="159">
        <v>45292</v>
      </c>
      <c r="B154" s="155">
        <v>50636.06451612903</v>
      </c>
      <c r="C154" s="153">
        <v>49174.221703789044</v>
      </c>
    </row>
    <row r="155" spans="1:4" x14ac:dyDescent="0.35">
      <c r="A155" s="159">
        <v>45323</v>
      </c>
      <c r="B155" s="155">
        <v>52823.793103448275</v>
      </c>
      <c r="C155" s="153">
        <v>49946.451486219252</v>
      </c>
    </row>
    <row r="156" spans="1:4" x14ac:dyDescent="0.35">
      <c r="A156" s="159">
        <v>45352</v>
      </c>
      <c r="B156" s="155">
        <v>56843.451612903227</v>
      </c>
      <c r="C156" s="153">
        <v>50970.892346434317</v>
      </c>
    </row>
    <row r="157" spans="1:4" x14ac:dyDescent="0.35">
      <c r="A157" s="159">
        <v>45383</v>
      </c>
      <c r="B157" s="155">
        <v>55632.76666666667</v>
      </c>
      <c r="C157" s="153">
        <v>51846.181235323202</v>
      </c>
      <c r="D157" s="264"/>
    </row>
    <row r="158" spans="1:4" x14ac:dyDescent="0.35">
      <c r="A158" s="159">
        <v>45413</v>
      </c>
      <c r="B158" s="155">
        <v>57648.612903225803</v>
      </c>
      <c r="C158" s="153">
        <v>52667.855966505995</v>
      </c>
      <c r="D158" s="264"/>
    </row>
    <row r="159" spans="1:4" x14ac:dyDescent="0.35">
      <c r="A159" s="159">
        <v>45444</v>
      </c>
      <c r="B159" s="155">
        <v>57036.966666666667</v>
      </c>
      <c r="C159" s="153">
        <v>52884.117077617098</v>
      </c>
      <c r="D159" s="264"/>
    </row>
    <row r="160" spans="1:4" x14ac:dyDescent="0.35">
      <c r="A160" s="159">
        <v>45474</v>
      </c>
      <c r="B160" s="155">
        <v>56408.741935483871</v>
      </c>
      <c r="C160" s="153">
        <v>53207.119765789139</v>
      </c>
      <c r="D160" s="264"/>
    </row>
    <row r="161" spans="1:4" x14ac:dyDescent="0.35">
      <c r="A161" s="159">
        <v>45505</v>
      </c>
      <c r="B161" s="155">
        <v>53206.677419354841</v>
      </c>
      <c r="C161" s="153">
        <v>53498.958475466563</v>
      </c>
      <c r="D161" s="264"/>
    </row>
    <row r="162" spans="1:4" x14ac:dyDescent="0.35">
      <c r="A162" s="159">
        <v>45536</v>
      </c>
      <c r="B162" s="155">
        <v>54777.633333333331</v>
      </c>
      <c r="C162" s="153">
        <v>53741.836253244335</v>
      </c>
      <c r="D162" s="264"/>
    </row>
    <row r="163" spans="1:4" x14ac:dyDescent="0.35">
      <c r="A163" s="159">
        <v>45566</v>
      </c>
      <c r="B163" s="155">
        <v>55651.419354838712</v>
      </c>
      <c r="C163" s="153">
        <v>54175.097005932512</v>
      </c>
      <c r="D163" s="264"/>
    </row>
    <row r="164" spans="1:4" x14ac:dyDescent="0.35">
      <c r="A164" s="159">
        <v>45597</v>
      </c>
      <c r="B164" s="155">
        <v>55700.066666666666</v>
      </c>
      <c r="C164" s="153">
        <v>54612.924783710296</v>
      </c>
      <c r="D164" s="264"/>
    </row>
    <row r="165" spans="1:4" x14ac:dyDescent="0.35">
      <c r="A165" s="159">
        <v>45627</v>
      </c>
      <c r="B165" s="155">
        <v>53821.322580645159</v>
      </c>
      <c r="C165" s="153">
        <v>55015.626396613523</v>
      </c>
      <c r="D165" s="264"/>
    </row>
    <row r="166" spans="1:4" x14ac:dyDescent="0.35">
      <c r="A166" s="159">
        <v>45658</v>
      </c>
      <c r="B166" s="155">
        <v>52238.193548387098</v>
      </c>
      <c r="C166" s="153">
        <v>55149.137149301707</v>
      </c>
      <c r="D166" s="264"/>
    </row>
    <row r="167" spans="1:4" x14ac:dyDescent="0.35">
      <c r="A167" s="159">
        <v>45689</v>
      </c>
      <c r="B167" s="155">
        <v>54783.035714285717</v>
      </c>
      <c r="C167" s="153">
        <v>55312.407366871485</v>
      </c>
      <c r="D167" s="264"/>
    </row>
    <row r="168" spans="1:4" ht="15" thickBot="1" x14ac:dyDescent="0.4">
      <c r="A168" s="160">
        <v>45717</v>
      </c>
      <c r="B168" s="280">
        <v>57784.387096774197</v>
      </c>
      <c r="C168" s="281">
        <v>55390.818657194061</v>
      </c>
      <c r="D168" s="264"/>
    </row>
  </sheetData>
  <mergeCells count="8">
    <mergeCell ref="A10:G10"/>
    <mergeCell ref="A6:H6"/>
    <mergeCell ref="A7:H7"/>
    <mergeCell ref="A1:F1"/>
    <mergeCell ref="A3:G3"/>
    <mergeCell ref="A4:G4"/>
    <mergeCell ref="A9:K9"/>
    <mergeCell ref="A5:F5"/>
  </mergeCells>
  <hyperlinks>
    <hyperlink ref="A7" r:id="rId1" xr:uid="{7B6CF1C8-836C-4854-A198-66E90B12344D}"/>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9BE44-4DE9-4DA8-8DD7-9CC7110CD22A}">
  <dimension ref="A1:K168"/>
  <sheetViews>
    <sheetView showGridLines="0" zoomScaleNormal="100" workbookViewId="0">
      <selection sqref="A1:F1"/>
    </sheetView>
  </sheetViews>
  <sheetFormatPr defaultColWidth="8.84375" defaultRowHeight="14.5" x14ac:dyDescent="0.35"/>
  <cols>
    <col min="1" max="1" width="22.3046875" style="4" bestFit="1" customWidth="1"/>
    <col min="2" max="2" width="17.3046875" style="4" customWidth="1"/>
    <col min="3" max="3" width="18.3046875" style="4" customWidth="1"/>
    <col min="4" max="4" width="10.84375" style="4" customWidth="1"/>
    <col min="5" max="5" width="15.84375" style="4" customWidth="1"/>
    <col min="6" max="6" width="10.84375" style="4" customWidth="1"/>
    <col min="7" max="7" width="8.4609375" style="4" customWidth="1"/>
    <col min="8" max="8" width="23.07421875" style="4" customWidth="1"/>
    <col min="9" max="16384" width="8.84375" style="4"/>
  </cols>
  <sheetData>
    <row r="1" spans="1:11" ht="84" customHeight="1" x14ac:dyDescent="0.35">
      <c r="A1" s="363"/>
      <c r="B1" s="363"/>
      <c r="C1" s="363"/>
      <c r="D1" s="363"/>
      <c r="E1" s="363"/>
      <c r="F1" s="363"/>
    </row>
    <row r="2" spans="1:11" x14ac:dyDescent="0.35">
      <c r="A2" s="3" t="s">
        <v>0</v>
      </c>
      <c r="B2" s="3" t="s">
        <v>0</v>
      </c>
      <c r="C2" s="3" t="s">
        <v>0</v>
      </c>
      <c r="D2" s="3" t="s">
        <v>0</v>
      </c>
      <c r="E2" s="3" t="s">
        <v>0</v>
      </c>
      <c r="F2" s="3" t="s">
        <v>0</v>
      </c>
      <c r="G2" s="3" t="s">
        <v>0</v>
      </c>
    </row>
    <row r="3" spans="1:11" ht="24.65" customHeight="1" x14ac:dyDescent="0.35">
      <c r="A3" s="369" t="s">
        <v>41</v>
      </c>
      <c r="B3" s="369"/>
      <c r="C3" s="369"/>
      <c r="D3" s="369"/>
      <c r="E3" s="369"/>
      <c r="F3" s="369"/>
      <c r="G3" s="369"/>
    </row>
    <row r="4" spans="1:11" ht="29.25" customHeight="1" x14ac:dyDescent="0.35">
      <c r="A4" s="370" t="s">
        <v>647</v>
      </c>
      <c r="B4" s="370"/>
      <c r="C4" s="370"/>
      <c r="D4" s="370"/>
      <c r="E4" s="370"/>
      <c r="F4" s="370"/>
      <c r="G4" s="370"/>
    </row>
    <row r="5" spans="1:11" ht="41.15" customHeight="1" x14ac:dyDescent="0.35">
      <c r="A5" s="371" t="s">
        <v>637</v>
      </c>
      <c r="B5" s="371"/>
      <c r="C5" s="371"/>
      <c r="D5" s="371"/>
      <c r="E5" s="371"/>
      <c r="F5" s="373"/>
      <c r="G5" s="198"/>
    </row>
    <row r="6" spans="1:11" ht="14.5" customHeight="1" x14ac:dyDescent="0.35">
      <c r="A6" s="361" t="s">
        <v>504</v>
      </c>
      <c r="B6" s="361"/>
      <c r="C6" s="361"/>
      <c r="D6" s="361"/>
      <c r="E6" s="361"/>
      <c r="F6" s="361"/>
      <c r="G6" s="361"/>
      <c r="H6" s="361"/>
      <c r="I6" s="26"/>
      <c r="J6" s="26"/>
      <c r="K6" s="26"/>
    </row>
    <row r="7" spans="1:11" ht="14.5" customHeight="1" x14ac:dyDescent="0.35">
      <c r="A7" s="368" t="s">
        <v>620</v>
      </c>
      <c r="B7" s="372"/>
      <c r="C7" s="372"/>
      <c r="D7" s="372"/>
      <c r="E7" s="372"/>
      <c r="F7" s="372"/>
      <c r="G7" s="372"/>
      <c r="H7" s="372"/>
      <c r="I7" s="26"/>
      <c r="J7" s="26"/>
      <c r="K7" s="26"/>
    </row>
    <row r="8" spans="1:11" x14ac:dyDescent="0.35">
      <c r="A8" s="10" t="s">
        <v>617</v>
      </c>
    </row>
    <row r="9" spans="1:11" x14ac:dyDescent="0.35">
      <c r="A9" s="362" t="s">
        <v>2</v>
      </c>
      <c r="B9" s="363"/>
      <c r="C9" s="363"/>
      <c r="D9" s="363"/>
      <c r="E9" s="363"/>
      <c r="F9" s="363"/>
      <c r="G9" s="363"/>
    </row>
    <row r="10" spans="1:11" x14ac:dyDescent="0.35">
      <c r="A10" s="362" t="s">
        <v>1</v>
      </c>
      <c r="B10" s="363"/>
      <c r="C10" s="363"/>
      <c r="D10" s="363"/>
      <c r="E10" s="363"/>
      <c r="F10" s="363"/>
      <c r="G10" s="363"/>
    </row>
    <row r="11" spans="1:11" ht="15" thickBot="1" x14ac:dyDescent="0.4">
      <c r="A11" s="3" t="s">
        <v>0</v>
      </c>
      <c r="B11" s="3" t="s">
        <v>0</v>
      </c>
      <c r="C11" s="3" t="s">
        <v>0</v>
      </c>
      <c r="D11" s="3" t="s">
        <v>0</v>
      </c>
      <c r="E11" s="3" t="s">
        <v>0</v>
      </c>
      <c r="F11" s="3" t="s">
        <v>0</v>
      </c>
      <c r="G11" s="3" t="s">
        <v>0</v>
      </c>
    </row>
    <row r="12" spans="1:11" ht="39.5" thickBot="1" x14ac:dyDescent="0.4">
      <c r="A12" s="148"/>
      <c r="B12" s="161" t="s">
        <v>42</v>
      </c>
      <c r="C12" s="150" t="s">
        <v>43</v>
      </c>
    </row>
    <row r="13" spans="1:11" x14ac:dyDescent="0.35">
      <c r="A13" s="156">
        <v>41000</v>
      </c>
      <c r="B13" s="154">
        <v>2152.0333333333342</v>
      </c>
      <c r="C13" s="151"/>
    </row>
    <row r="14" spans="1:11" x14ac:dyDescent="0.35">
      <c r="A14" s="157">
        <v>41030</v>
      </c>
      <c r="B14" s="155">
        <v>1984.5391705069119</v>
      </c>
      <c r="C14" s="152"/>
    </row>
    <row r="15" spans="1:11" x14ac:dyDescent="0.35">
      <c r="A15" s="157">
        <v>41061</v>
      </c>
      <c r="B15" s="155">
        <v>2047.9761904761906</v>
      </c>
      <c r="C15" s="152"/>
    </row>
    <row r="16" spans="1:11" x14ac:dyDescent="0.35">
      <c r="A16" s="157">
        <v>41091</v>
      </c>
      <c r="B16" s="155">
        <v>1820.4377880184334</v>
      </c>
      <c r="C16" s="152"/>
    </row>
    <row r="17" spans="1:3" x14ac:dyDescent="0.35">
      <c r="A17" s="157">
        <v>41122</v>
      </c>
      <c r="B17" s="155">
        <v>1761.5161290322574</v>
      </c>
      <c r="C17" s="152"/>
    </row>
    <row r="18" spans="1:3" x14ac:dyDescent="0.35">
      <c r="A18" s="157">
        <v>41153</v>
      </c>
      <c r="B18" s="155">
        <v>1970.3380952380955</v>
      </c>
      <c r="C18" s="152"/>
    </row>
    <row r="19" spans="1:3" x14ac:dyDescent="0.35">
      <c r="A19" s="157">
        <v>41183</v>
      </c>
      <c r="B19" s="155">
        <v>2221.5622119815657</v>
      </c>
      <c r="C19" s="152"/>
    </row>
    <row r="20" spans="1:3" x14ac:dyDescent="0.35">
      <c r="A20" s="157">
        <v>41214</v>
      </c>
      <c r="B20" s="155">
        <v>2333.8095238095243</v>
      </c>
      <c r="C20" s="152"/>
    </row>
    <row r="21" spans="1:3" x14ac:dyDescent="0.35">
      <c r="A21" s="157">
        <v>41244</v>
      </c>
      <c r="B21" s="155">
        <v>3135.0506912442384</v>
      </c>
      <c r="C21" s="152"/>
    </row>
    <row r="22" spans="1:3" x14ac:dyDescent="0.35">
      <c r="A22" s="157">
        <v>41275</v>
      </c>
      <c r="B22" s="155">
        <v>3050.36866359447</v>
      </c>
      <c r="C22" s="152"/>
    </row>
    <row r="23" spans="1:3" x14ac:dyDescent="0.35">
      <c r="A23" s="157">
        <v>41306</v>
      </c>
      <c r="B23" s="155">
        <v>3361.1530612244901</v>
      </c>
      <c r="C23" s="152"/>
    </row>
    <row r="24" spans="1:3" x14ac:dyDescent="0.35">
      <c r="A24" s="157">
        <v>41334</v>
      </c>
      <c r="B24" s="155">
        <v>3903.0645161290331</v>
      </c>
      <c r="C24" s="152">
        <v>2478.487447882379</v>
      </c>
    </row>
    <row r="25" spans="1:3" x14ac:dyDescent="0.35">
      <c r="A25" s="157">
        <v>41365</v>
      </c>
      <c r="B25" s="155">
        <v>4004.0571428571429</v>
      </c>
      <c r="C25" s="152">
        <v>2632.8227653426961</v>
      </c>
    </row>
    <row r="26" spans="1:3" x14ac:dyDescent="0.35">
      <c r="A26" s="157">
        <v>41395</v>
      </c>
      <c r="B26" s="155">
        <v>2091.073732718894</v>
      </c>
      <c r="C26" s="152">
        <v>2641.700645527028</v>
      </c>
    </row>
    <row r="27" spans="1:3" x14ac:dyDescent="0.35">
      <c r="A27" s="157">
        <v>41426</v>
      </c>
      <c r="B27" s="155">
        <v>1877.9999999999993</v>
      </c>
      <c r="C27" s="152">
        <v>2627.5359629873456</v>
      </c>
    </row>
    <row r="28" spans="1:3" x14ac:dyDescent="0.35">
      <c r="A28" s="157">
        <v>41456</v>
      </c>
      <c r="B28" s="155">
        <v>2115.7649769585255</v>
      </c>
      <c r="C28" s="152">
        <v>2652.1465620656868</v>
      </c>
    </row>
    <row r="29" spans="1:3" x14ac:dyDescent="0.35">
      <c r="A29" s="157">
        <v>41487</v>
      </c>
      <c r="B29" s="155">
        <v>2206.3271889400921</v>
      </c>
      <c r="C29" s="152">
        <v>2689.2141503913394</v>
      </c>
    </row>
    <row r="30" spans="1:3" x14ac:dyDescent="0.35">
      <c r="A30" s="157">
        <v>41518</v>
      </c>
      <c r="B30" s="155">
        <v>2484.790476190477</v>
      </c>
      <c r="C30" s="152">
        <v>2732.0851821373712</v>
      </c>
    </row>
    <row r="31" spans="1:3" x14ac:dyDescent="0.35">
      <c r="A31" s="157">
        <v>41548</v>
      </c>
      <c r="B31" s="155">
        <v>2556.4516129032249</v>
      </c>
      <c r="C31" s="152">
        <v>2759.992632214176</v>
      </c>
    </row>
    <row r="32" spans="1:3" x14ac:dyDescent="0.35">
      <c r="A32" s="157">
        <v>41579</v>
      </c>
      <c r="B32" s="155">
        <v>2359.3714285714282</v>
      </c>
      <c r="C32" s="152">
        <v>2762.1227909443346</v>
      </c>
    </row>
    <row r="33" spans="1:3" x14ac:dyDescent="0.35">
      <c r="A33" s="157">
        <v>41609</v>
      </c>
      <c r="B33" s="155">
        <v>2711.2672811059897</v>
      </c>
      <c r="C33" s="152">
        <v>2726.8075067661471</v>
      </c>
    </row>
    <row r="34" spans="1:3" x14ac:dyDescent="0.35">
      <c r="A34" s="157">
        <v>41640</v>
      </c>
      <c r="B34" s="155">
        <v>2709.5391705069128</v>
      </c>
      <c r="C34" s="152">
        <v>2698.4050490088507</v>
      </c>
    </row>
    <row r="35" spans="1:3" x14ac:dyDescent="0.35">
      <c r="A35" s="157">
        <v>41671</v>
      </c>
      <c r="B35" s="155">
        <v>3182.1887755102039</v>
      </c>
      <c r="C35" s="152">
        <v>2683.4913585326599</v>
      </c>
    </row>
    <row r="36" spans="1:3" x14ac:dyDescent="0.35">
      <c r="A36" s="157">
        <v>41699</v>
      </c>
      <c r="B36" s="155">
        <v>2768.6682027649772</v>
      </c>
      <c r="C36" s="152">
        <v>2588.9583324189884</v>
      </c>
    </row>
    <row r="37" spans="1:3" x14ac:dyDescent="0.35">
      <c r="A37" s="157">
        <v>41730</v>
      </c>
      <c r="B37" s="155">
        <v>2965.238095238094</v>
      </c>
      <c r="C37" s="152">
        <v>2502.390078450735</v>
      </c>
    </row>
    <row r="38" spans="1:3" x14ac:dyDescent="0.35">
      <c r="A38" s="157">
        <v>41760</v>
      </c>
      <c r="B38" s="155">
        <v>3296.4423963133631</v>
      </c>
      <c r="C38" s="152">
        <v>2602.8374670836074</v>
      </c>
    </row>
    <row r="39" spans="1:3" x14ac:dyDescent="0.35">
      <c r="A39" s="157">
        <v>41791</v>
      </c>
      <c r="B39" s="155">
        <v>3095.4571428571426</v>
      </c>
      <c r="C39" s="152">
        <v>2704.2922289883695</v>
      </c>
    </row>
    <row r="40" spans="1:3" x14ac:dyDescent="0.35">
      <c r="A40" s="157">
        <v>41821</v>
      </c>
      <c r="B40" s="155">
        <v>3105.5483870967741</v>
      </c>
      <c r="C40" s="152">
        <v>2786.7741798332231</v>
      </c>
    </row>
    <row r="41" spans="1:3" x14ac:dyDescent="0.35">
      <c r="A41" s="157">
        <v>41852</v>
      </c>
      <c r="B41" s="155">
        <v>2867.087557603686</v>
      </c>
      <c r="C41" s="152">
        <v>2841.8375438885228</v>
      </c>
    </row>
    <row r="42" spans="1:3" x14ac:dyDescent="0.35">
      <c r="A42" s="157">
        <v>41883</v>
      </c>
      <c r="B42" s="155">
        <v>3328.3238095238112</v>
      </c>
      <c r="C42" s="152">
        <v>2912.131988332967</v>
      </c>
    </row>
    <row r="43" spans="1:3" x14ac:dyDescent="0.35">
      <c r="A43" s="157">
        <v>41913</v>
      </c>
      <c r="B43" s="155">
        <v>3838.004608294932</v>
      </c>
      <c r="C43" s="152">
        <v>3018.9280712822761</v>
      </c>
    </row>
    <row r="44" spans="1:3" x14ac:dyDescent="0.35">
      <c r="A44" s="157">
        <v>41944</v>
      </c>
      <c r="B44" s="155">
        <v>3991.038095238097</v>
      </c>
      <c r="C44" s="152">
        <v>3154.9002935044987</v>
      </c>
    </row>
    <row r="45" spans="1:3" x14ac:dyDescent="0.35">
      <c r="A45" s="157">
        <v>41974</v>
      </c>
      <c r="B45" s="155">
        <v>6198.5483870967764</v>
      </c>
      <c r="C45" s="152">
        <v>3445.5070523370646</v>
      </c>
    </row>
    <row r="46" spans="1:3" x14ac:dyDescent="0.35">
      <c r="A46" s="157">
        <v>42005</v>
      </c>
      <c r="B46" s="155">
        <v>4940.5299539170501</v>
      </c>
      <c r="C46" s="152">
        <v>3631.4229509545762</v>
      </c>
    </row>
    <row r="47" spans="1:3" x14ac:dyDescent="0.35">
      <c r="A47" s="157">
        <v>42036</v>
      </c>
      <c r="B47" s="155">
        <v>4745.2806122448983</v>
      </c>
      <c r="C47" s="152">
        <v>3761.6806040158008</v>
      </c>
    </row>
    <row r="48" spans="1:3" x14ac:dyDescent="0.35">
      <c r="A48" s="157">
        <v>42064</v>
      </c>
      <c r="B48" s="155">
        <v>4554.6451612903256</v>
      </c>
      <c r="C48" s="152">
        <v>3910.5120172262464</v>
      </c>
    </row>
    <row r="49" spans="1:3" x14ac:dyDescent="0.35">
      <c r="A49" s="157">
        <v>42095</v>
      </c>
      <c r="B49" s="155">
        <v>4193.3095238095211</v>
      </c>
      <c r="C49" s="152">
        <v>4012.8513029405312</v>
      </c>
    </row>
    <row r="50" spans="1:3" x14ac:dyDescent="0.35">
      <c r="A50" s="157">
        <v>42125</v>
      </c>
      <c r="B50" s="155">
        <v>3557.5622119815807</v>
      </c>
      <c r="C50" s="152">
        <v>4034.6112875795493</v>
      </c>
    </row>
    <row r="51" spans="1:3" x14ac:dyDescent="0.35">
      <c r="A51" s="157">
        <v>42156</v>
      </c>
      <c r="B51" s="155">
        <v>3310.7999999999965</v>
      </c>
      <c r="C51" s="152">
        <v>4052.5565256747868</v>
      </c>
    </row>
    <row r="52" spans="1:3" x14ac:dyDescent="0.35">
      <c r="A52" s="157">
        <v>42186</v>
      </c>
      <c r="B52" s="155">
        <v>3144.3548387096776</v>
      </c>
      <c r="C52" s="152">
        <v>4055.7903966425288</v>
      </c>
    </row>
    <row r="53" spans="1:3" x14ac:dyDescent="0.35">
      <c r="A53" s="157">
        <v>42217</v>
      </c>
      <c r="B53" s="155">
        <v>3434.6774193548385</v>
      </c>
      <c r="C53" s="152">
        <v>4103.0895517884583</v>
      </c>
    </row>
    <row r="54" spans="1:3" x14ac:dyDescent="0.35">
      <c r="A54" s="157">
        <v>42248</v>
      </c>
      <c r="B54" s="155">
        <v>4103.7</v>
      </c>
      <c r="C54" s="152">
        <v>4167.70423432814</v>
      </c>
    </row>
    <row r="55" spans="1:3" x14ac:dyDescent="0.35">
      <c r="A55" s="157">
        <v>42278</v>
      </c>
      <c r="B55" s="155">
        <v>4759.8064516129034</v>
      </c>
      <c r="C55" s="152">
        <v>4244.5210546046383</v>
      </c>
    </row>
    <row r="56" spans="1:3" x14ac:dyDescent="0.35">
      <c r="A56" s="157">
        <v>42309</v>
      </c>
      <c r="B56" s="155">
        <v>5449.0666666666666</v>
      </c>
      <c r="C56" s="152">
        <v>4366.0234355570192</v>
      </c>
    </row>
    <row r="57" spans="1:3" x14ac:dyDescent="0.35">
      <c r="A57" s="158">
        <v>42339</v>
      </c>
      <c r="B57" s="155">
        <v>5438.8387096774195</v>
      </c>
      <c r="C57" s="152">
        <v>4302.7142957720725</v>
      </c>
    </row>
    <row r="58" spans="1:3" x14ac:dyDescent="0.35">
      <c r="A58" s="157">
        <v>42370</v>
      </c>
      <c r="B58" s="155">
        <v>6976.9677419354839</v>
      </c>
      <c r="C58" s="152">
        <v>4472.4174447736086</v>
      </c>
    </row>
    <row r="59" spans="1:3" x14ac:dyDescent="0.35">
      <c r="A59" s="158">
        <v>42401</v>
      </c>
      <c r="B59" s="155">
        <v>7899.3448275862065</v>
      </c>
      <c r="C59" s="152">
        <v>4735.2561293853842</v>
      </c>
    </row>
    <row r="60" spans="1:3" x14ac:dyDescent="0.35">
      <c r="A60" s="158">
        <v>42430</v>
      </c>
      <c r="B60" s="155">
        <v>8575.2903225806458</v>
      </c>
      <c r="C60" s="152">
        <v>5070.3098928262452</v>
      </c>
    </row>
    <row r="61" spans="1:3" x14ac:dyDescent="0.35">
      <c r="A61" s="162">
        <v>42461</v>
      </c>
      <c r="B61" s="155">
        <v>6204.0666666666666</v>
      </c>
      <c r="C61" s="152">
        <v>5237.8729880643396</v>
      </c>
    </row>
    <row r="62" spans="1:3" x14ac:dyDescent="0.35">
      <c r="A62" s="162">
        <v>42491</v>
      </c>
      <c r="B62" s="155">
        <v>6494.4838709677415</v>
      </c>
      <c r="C62" s="152">
        <v>5482.6164596465196</v>
      </c>
    </row>
    <row r="63" spans="1:3" x14ac:dyDescent="0.35">
      <c r="A63" s="162">
        <v>42522</v>
      </c>
      <c r="B63" s="155">
        <v>6163.7333333333336</v>
      </c>
      <c r="C63" s="152">
        <v>5720.3609040909651</v>
      </c>
    </row>
    <row r="64" spans="1:3" x14ac:dyDescent="0.35">
      <c r="A64" s="162">
        <v>42552</v>
      </c>
      <c r="B64" s="155">
        <v>6515.2580645161288</v>
      </c>
      <c r="C64" s="152">
        <v>6001.2695062415032</v>
      </c>
    </row>
    <row r="65" spans="1:3" x14ac:dyDescent="0.35">
      <c r="A65" s="162">
        <v>42583</v>
      </c>
      <c r="B65" s="155">
        <v>5626.4193548387093</v>
      </c>
      <c r="C65" s="152">
        <v>6183.9146675318252</v>
      </c>
    </row>
    <row r="66" spans="1:3" x14ac:dyDescent="0.35">
      <c r="A66" s="162">
        <v>42614</v>
      </c>
      <c r="B66" s="155">
        <v>6086.5666666666666</v>
      </c>
      <c r="C66" s="152">
        <v>6349.1535564207143</v>
      </c>
    </row>
    <row r="67" spans="1:3" x14ac:dyDescent="0.35">
      <c r="A67" s="162">
        <v>42644</v>
      </c>
      <c r="B67" s="155">
        <v>7068.9354838709678</v>
      </c>
      <c r="C67" s="152">
        <v>6541.5809757755533</v>
      </c>
    </row>
    <row r="68" spans="1:3" x14ac:dyDescent="0.35">
      <c r="A68" s="162">
        <v>42675</v>
      </c>
      <c r="B68" s="155">
        <v>7390.4333333333334</v>
      </c>
      <c r="C68" s="152">
        <v>6703.3615313311093</v>
      </c>
    </row>
    <row r="69" spans="1:3" x14ac:dyDescent="0.35">
      <c r="A69" s="162">
        <v>42705</v>
      </c>
      <c r="B69" s="155">
        <v>8671.5483870967746</v>
      </c>
      <c r="C69" s="152">
        <v>6972.754004449388</v>
      </c>
    </row>
    <row r="70" spans="1:3" x14ac:dyDescent="0.35">
      <c r="A70" s="162">
        <v>42736</v>
      </c>
      <c r="B70" s="155">
        <v>9084.2580645161288</v>
      </c>
      <c r="C70" s="152">
        <v>7148.3615313311093</v>
      </c>
    </row>
    <row r="71" spans="1:3" x14ac:dyDescent="0.35">
      <c r="A71" s="162">
        <v>42767</v>
      </c>
      <c r="B71" s="155">
        <v>7729.1428571428569</v>
      </c>
      <c r="C71" s="152">
        <v>7134.1780337941636</v>
      </c>
    </row>
    <row r="72" spans="1:3" x14ac:dyDescent="0.35">
      <c r="A72" s="162">
        <v>42795</v>
      </c>
      <c r="B72" s="155">
        <v>6496.5161290322585</v>
      </c>
      <c r="C72" s="152">
        <v>6960.9468509984627</v>
      </c>
    </row>
    <row r="73" spans="1:3" x14ac:dyDescent="0.35">
      <c r="A73" s="162">
        <v>42826</v>
      </c>
      <c r="B73" s="155">
        <v>6164.333333333333</v>
      </c>
      <c r="C73" s="152">
        <v>6957.6357398873524</v>
      </c>
    </row>
    <row r="74" spans="1:3" x14ac:dyDescent="0.35">
      <c r="A74" s="162">
        <v>42856</v>
      </c>
      <c r="B74" s="155">
        <v>6866.8387096774195</v>
      </c>
      <c r="C74" s="152">
        <v>6988.6653097798262</v>
      </c>
    </row>
    <row r="75" spans="1:3" x14ac:dyDescent="0.35">
      <c r="A75" s="162">
        <v>42887</v>
      </c>
      <c r="B75" s="155">
        <v>6164.833333333333</v>
      </c>
      <c r="C75" s="152">
        <v>6988.7569764464924</v>
      </c>
    </row>
    <row r="76" spans="1:3" x14ac:dyDescent="0.35">
      <c r="A76" s="162">
        <v>42917</v>
      </c>
      <c r="B76" s="155">
        <v>6457.4516129032254</v>
      </c>
      <c r="C76" s="152">
        <v>6983.9397721454179</v>
      </c>
    </row>
    <row r="77" spans="1:3" x14ac:dyDescent="0.35">
      <c r="A77" s="162">
        <v>42948</v>
      </c>
      <c r="B77" s="155">
        <v>6022.8064516129034</v>
      </c>
      <c r="C77" s="152">
        <v>7016.972030209934</v>
      </c>
    </row>
    <row r="78" spans="1:3" x14ac:dyDescent="0.35">
      <c r="A78" s="162">
        <v>42979</v>
      </c>
      <c r="B78" s="155">
        <v>6634.2333333333336</v>
      </c>
      <c r="C78" s="152">
        <v>7062.6109190988236</v>
      </c>
    </row>
    <row r="79" spans="1:3" x14ac:dyDescent="0.35">
      <c r="A79" s="162">
        <v>43009</v>
      </c>
      <c r="B79" s="155">
        <v>6632.322580645161</v>
      </c>
      <c r="C79" s="152">
        <v>7026.2265104966727</v>
      </c>
    </row>
    <row r="80" spans="1:3" x14ac:dyDescent="0.35">
      <c r="A80" s="162">
        <v>43040</v>
      </c>
      <c r="B80" s="155">
        <v>7402.7333333333336</v>
      </c>
      <c r="C80" s="152">
        <v>7027.2515104966724</v>
      </c>
    </row>
    <row r="81" spans="1:3" x14ac:dyDescent="0.35">
      <c r="A81" s="162">
        <v>43070</v>
      </c>
      <c r="B81" s="155">
        <v>9706.2258064516136</v>
      </c>
      <c r="C81" s="152">
        <v>7113.4746287762418</v>
      </c>
    </row>
    <row r="82" spans="1:3" x14ac:dyDescent="0.35">
      <c r="A82" s="162">
        <v>43101</v>
      </c>
      <c r="B82" s="155">
        <v>9484.8064516129034</v>
      </c>
      <c r="C82" s="152">
        <v>7146.8536610343072</v>
      </c>
    </row>
    <row r="83" spans="1:3" x14ac:dyDescent="0.35">
      <c r="A83" s="162">
        <v>43132</v>
      </c>
      <c r="B83" s="155">
        <v>9720.9642857142862</v>
      </c>
      <c r="C83" s="152">
        <v>7312.8387800819255</v>
      </c>
    </row>
    <row r="84" spans="1:3" x14ac:dyDescent="0.35">
      <c r="A84" s="162">
        <v>43160</v>
      </c>
      <c r="B84" s="155">
        <v>10168.774193548386</v>
      </c>
      <c r="C84" s="152">
        <v>7618.8602854582687</v>
      </c>
    </row>
    <row r="85" spans="1:3" x14ac:dyDescent="0.35">
      <c r="A85" s="162">
        <v>43191</v>
      </c>
      <c r="B85" s="155">
        <v>7558.8</v>
      </c>
      <c r="C85" s="152">
        <v>7735.0658410138267</v>
      </c>
    </row>
    <row r="86" spans="1:3" x14ac:dyDescent="0.35">
      <c r="A86" s="162">
        <v>43221</v>
      </c>
      <c r="B86" s="155">
        <v>6709.7419354838712</v>
      </c>
      <c r="C86" s="152">
        <v>7721.974443164363</v>
      </c>
    </row>
    <row r="87" spans="1:3" x14ac:dyDescent="0.35">
      <c r="A87" s="162">
        <v>43252</v>
      </c>
      <c r="B87" s="155">
        <v>6447.2666666666664</v>
      </c>
      <c r="C87" s="152">
        <v>7745.5105542754727</v>
      </c>
    </row>
    <row r="88" spans="1:3" x14ac:dyDescent="0.35">
      <c r="A88" s="162">
        <v>43282</v>
      </c>
      <c r="B88" s="155">
        <v>7510.4516129032254</v>
      </c>
      <c r="C88" s="152">
        <v>7833.2605542754718</v>
      </c>
    </row>
    <row r="89" spans="1:3" x14ac:dyDescent="0.35">
      <c r="A89" s="162">
        <v>43313</v>
      </c>
      <c r="B89" s="155">
        <v>6620.6129032258068</v>
      </c>
      <c r="C89" s="152">
        <v>7883.0777585765491</v>
      </c>
    </row>
    <row r="90" spans="1:3" x14ac:dyDescent="0.35">
      <c r="A90" s="162">
        <v>43344</v>
      </c>
      <c r="B90" s="155">
        <v>7391.8666666666668</v>
      </c>
      <c r="C90" s="152">
        <v>7946.21386968766</v>
      </c>
    </row>
    <row r="91" spans="1:3" x14ac:dyDescent="0.35">
      <c r="A91" s="162">
        <v>43374</v>
      </c>
      <c r="B91" s="155">
        <v>7372.5806451612907</v>
      </c>
      <c r="C91" s="152">
        <v>8007.902041730671</v>
      </c>
    </row>
    <row r="92" spans="1:3" x14ac:dyDescent="0.35">
      <c r="A92" s="162">
        <v>43405</v>
      </c>
      <c r="B92" s="155">
        <v>8420.0666666666675</v>
      </c>
      <c r="C92" s="152">
        <v>8092.6798195084484</v>
      </c>
    </row>
    <row r="93" spans="1:3" x14ac:dyDescent="0.35">
      <c r="A93" s="162">
        <v>43435</v>
      </c>
      <c r="B93" s="155">
        <v>8952.0645161290322</v>
      </c>
      <c r="C93" s="152">
        <v>8029.8330453149001</v>
      </c>
    </row>
    <row r="94" spans="1:3" x14ac:dyDescent="0.35">
      <c r="A94" s="162">
        <v>43466</v>
      </c>
      <c r="B94" s="155">
        <v>10667.612903225807</v>
      </c>
      <c r="C94" s="152">
        <v>8128.4002496159746</v>
      </c>
    </row>
    <row r="95" spans="1:3" x14ac:dyDescent="0.35">
      <c r="A95" s="162">
        <v>43497</v>
      </c>
      <c r="B95" s="155">
        <v>11013.857142857143</v>
      </c>
      <c r="C95" s="152">
        <v>8236.1413210445462</v>
      </c>
    </row>
    <row r="96" spans="1:3" x14ac:dyDescent="0.35">
      <c r="A96" s="162">
        <v>43525</v>
      </c>
      <c r="B96" s="155">
        <v>9362.9032258064508</v>
      </c>
      <c r="C96" s="152">
        <v>8168.9854070660522</v>
      </c>
    </row>
    <row r="97" spans="1:3" x14ac:dyDescent="0.35">
      <c r="A97" s="162">
        <v>43556</v>
      </c>
      <c r="B97" s="155">
        <v>10472.700000000001</v>
      </c>
      <c r="C97" s="152">
        <v>8411.810407066052</v>
      </c>
    </row>
    <row r="98" spans="1:3" x14ac:dyDescent="0.35">
      <c r="A98" s="162">
        <v>43586</v>
      </c>
      <c r="B98" s="155">
        <v>8434.354838709678</v>
      </c>
      <c r="C98" s="152">
        <v>8555.5281490015368</v>
      </c>
    </row>
    <row r="99" spans="1:3" x14ac:dyDescent="0.35">
      <c r="A99" s="162">
        <v>43617</v>
      </c>
      <c r="B99" s="155">
        <v>8619.4</v>
      </c>
      <c r="C99" s="152">
        <v>8736.5392601126478</v>
      </c>
    </row>
    <row r="100" spans="1:3" x14ac:dyDescent="0.35">
      <c r="A100" s="162">
        <v>43647</v>
      </c>
      <c r="B100" s="155">
        <v>8887.5806451612898</v>
      </c>
      <c r="C100" s="152">
        <v>8851.3000128008189</v>
      </c>
    </row>
    <row r="101" spans="1:3" x14ac:dyDescent="0.35">
      <c r="A101" s="162">
        <v>43678</v>
      </c>
      <c r="B101" s="155">
        <v>8475.1612903225814</v>
      </c>
      <c r="C101" s="152">
        <v>9005.8457117255493</v>
      </c>
    </row>
    <row r="102" spans="1:3" x14ac:dyDescent="0.35">
      <c r="A102" s="162">
        <v>43709</v>
      </c>
      <c r="B102" s="155">
        <v>9406.5666666666675</v>
      </c>
      <c r="C102" s="152">
        <v>9173.7373783922176</v>
      </c>
    </row>
    <row r="103" spans="1:3" x14ac:dyDescent="0.35">
      <c r="A103" s="162">
        <v>43739</v>
      </c>
      <c r="B103" s="155">
        <v>10323.387096774193</v>
      </c>
      <c r="C103" s="152">
        <v>9419.6379160266242</v>
      </c>
    </row>
    <row r="104" spans="1:3" x14ac:dyDescent="0.35">
      <c r="A104" s="162">
        <v>43770</v>
      </c>
      <c r="B104" s="155">
        <v>11937.6</v>
      </c>
      <c r="C104" s="152">
        <v>9712.7656938044038</v>
      </c>
    </row>
    <row r="105" spans="1:3" x14ac:dyDescent="0.35">
      <c r="A105" s="162">
        <v>43800</v>
      </c>
      <c r="B105" s="155">
        <v>12780.58064516129</v>
      </c>
      <c r="C105" s="152">
        <v>10031.808704557092</v>
      </c>
    </row>
    <row r="106" spans="1:3" x14ac:dyDescent="0.35">
      <c r="A106" s="162">
        <v>43831</v>
      </c>
      <c r="B106" s="155">
        <v>11250.838709677419</v>
      </c>
      <c r="C106" s="152">
        <v>10080.410855094728</v>
      </c>
    </row>
    <row r="107" spans="1:3" x14ac:dyDescent="0.35">
      <c r="A107" s="162">
        <v>43862</v>
      </c>
      <c r="B107" s="155">
        <v>10527.827586206897</v>
      </c>
      <c r="C107" s="152">
        <v>10039.908392040539</v>
      </c>
    </row>
    <row r="108" spans="1:3" x14ac:dyDescent="0.35">
      <c r="A108" s="162">
        <v>43891</v>
      </c>
      <c r="B108" s="155">
        <v>6993.5806451612907</v>
      </c>
      <c r="C108" s="152">
        <v>9842.4648436534426</v>
      </c>
    </row>
    <row r="109" spans="1:3" x14ac:dyDescent="0.35">
      <c r="A109" s="159">
        <v>43922</v>
      </c>
      <c r="B109" s="155">
        <v>2604.5</v>
      </c>
      <c r="C109" s="153">
        <v>9186.7815103201083</v>
      </c>
    </row>
    <row r="110" spans="1:3" x14ac:dyDescent="0.35">
      <c r="A110" s="159">
        <v>43952</v>
      </c>
      <c r="B110" s="155">
        <v>2350.3548387096776</v>
      </c>
      <c r="C110" s="153">
        <v>8679.7815103201101</v>
      </c>
    </row>
    <row r="111" spans="1:3" x14ac:dyDescent="0.35">
      <c r="A111" s="159">
        <v>43983</v>
      </c>
      <c r="B111" s="155">
        <v>3023.7</v>
      </c>
      <c r="C111" s="153">
        <v>8213.473176986774</v>
      </c>
    </row>
    <row r="112" spans="1:3" x14ac:dyDescent="0.35">
      <c r="A112" s="159">
        <v>44013</v>
      </c>
      <c r="B112" s="155">
        <v>3654.1290322580644</v>
      </c>
      <c r="C112" s="153">
        <v>7777.3522092448393</v>
      </c>
    </row>
    <row r="113" spans="1:3" x14ac:dyDescent="0.35">
      <c r="A113" s="159">
        <v>44044</v>
      </c>
      <c r="B113" s="155">
        <v>5358.0322580645161</v>
      </c>
      <c r="C113" s="153">
        <v>7517.5914565566673</v>
      </c>
    </row>
    <row r="114" spans="1:3" x14ac:dyDescent="0.35">
      <c r="A114" s="159">
        <v>44075</v>
      </c>
      <c r="B114" s="155">
        <v>6403.1333333333332</v>
      </c>
      <c r="C114" s="153">
        <v>7267.3053454455558</v>
      </c>
    </row>
    <row r="115" spans="1:3" x14ac:dyDescent="0.35">
      <c r="A115" s="159">
        <v>44105</v>
      </c>
      <c r="B115" s="155">
        <v>7129.0967741935483</v>
      </c>
      <c r="C115" s="153">
        <v>7001.1144852305015</v>
      </c>
    </row>
    <row r="116" spans="1:3" x14ac:dyDescent="0.35">
      <c r="A116" s="159">
        <v>44136</v>
      </c>
      <c r="B116" s="155">
        <v>7091.7666666666664</v>
      </c>
      <c r="C116" s="153">
        <v>6597.2950407860562</v>
      </c>
    </row>
    <row r="117" spans="1:3" x14ac:dyDescent="0.35">
      <c r="A117" s="159">
        <v>44166</v>
      </c>
      <c r="B117" s="155">
        <v>8317.8709677419356</v>
      </c>
      <c r="C117" s="153">
        <v>6225.4025676677784</v>
      </c>
    </row>
    <row r="118" spans="1:3" x14ac:dyDescent="0.35">
      <c r="A118" s="159">
        <v>44197</v>
      </c>
      <c r="B118" s="155">
        <v>8058.4193548387093</v>
      </c>
      <c r="C118" s="153">
        <v>5959.3676214312209</v>
      </c>
    </row>
    <row r="119" spans="1:3" x14ac:dyDescent="0.35">
      <c r="A119" s="159">
        <v>44228</v>
      </c>
      <c r="B119" s="155">
        <v>6511.9642857142853</v>
      </c>
      <c r="C119" s="153">
        <v>5624.7123463901698</v>
      </c>
    </row>
    <row r="120" spans="1:3" x14ac:dyDescent="0.35">
      <c r="A120" s="159">
        <v>44256</v>
      </c>
      <c r="B120" s="155">
        <v>6720.2903225806449</v>
      </c>
      <c r="C120" s="153">
        <v>5601.9381528417825</v>
      </c>
    </row>
    <row r="121" spans="1:3" x14ac:dyDescent="0.35">
      <c r="A121" s="159">
        <v>44287</v>
      </c>
      <c r="B121" s="155">
        <v>8097.3666666666668</v>
      </c>
      <c r="C121" s="153">
        <v>6059.6770417306716</v>
      </c>
    </row>
    <row r="122" spans="1:3" x14ac:dyDescent="0.35">
      <c r="A122" s="159">
        <v>44317</v>
      </c>
      <c r="B122" s="155">
        <v>9706.7096774193542</v>
      </c>
      <c r="C122" s="153">
        <v>6672.7066116231435</v>
      </c>
    </row>
    <row r="123" spans="1:3" x14ac:dyDescent="0.35">
      <c r="A123" s="159">
        <v>44348</v>
      </c>
      <c r="B123" s="155">
        <v>11961.266666666666</v>
      </c>
      <c r="C123" s="153">
        <v>7417.5038338453642</v>
      </c>
    </row>
    <row r="124" spans="1:3" x14ac:dyDescent="0.35">
      <c r="A124" s="159">
        <v>44378</v>
      </c>
      <c r="B124" s="155">
        <v>13806.548387096775</v>
      </c>
      <c r="C124" s="153">
        <v>8263.5387800819244</v>
      </c>
    </row>
    <row r="125" spans="1:3" x14ac:dyDescent="0.35">
      <c r="A125" s="159">
        <v>44409</v>
      </c>
      <c r="B125" s="155">
        <v>13428.290322580646</v>
      </c>
      <c r="C125" s="153">
        <v>8936.0602854582685</v>
      </c>
    </row>
    <row r="126" spans="1:3" x14ac:dyDescent="0.35">
      <c r="A126" s="159">
        <v>44440</v>
      </c>
      <c r="B126" s="155">
        <v>15607</v>
      </c>
      <c r="C126" s="153">
        <v>9703.0491743471594</v>
      </c>
    </row>
    <row r="127" spans="1:3" x14ac:dyDescent="0.35">
      <c r="A127" s="159">
        <v>44470</v>
      </c>
      <c r="B127" s="155">
        <v>16182</v>
      </c>
      <c r="C127" s="153">
        <v>10457.457776497697</v>
      </c>
    </row>
    <row r="128" spans="1:3" x14ac:dyDescent="0.35">
      <c r="A128" s="159">
        <v>44501</v>
      </c>
      <c r="B128" s="155">
        <v>15699.333333333334</v>
      </c>
      <c r="C128" s="153">
        <v>11174.754998719918</v>
      </c>
    </row>
    <row r="129" spans="1:3" x14ac:dyDescent="0.35">
      <c r="A129" s="159">
        <v>44531</v>
      </c>
      <c r="B129" s="155">
        <v>14298.290322580646</v>
      </c>
      <c r="C129" s="153">
        <v>11673.12327828981</v>
      </c>
    </row>
    <row r="130" spans="1:3" x14ac:dyDescent="0.35">
      <c r="A130" s="159">
        <v>44562</v>
      </c>
      <c r="B130" s="155">
        <v>13793.677419354839</v>
      </c>
      <c r="C130" s="153">
        <v>12151.061450332823</v>
      </c>
    </row>
    <row r="131" spans="1:3" x14ac:dyDescent="0.35">
      <c r="A131" s="159">
        <v>44593</v>
      </c>
      <c r="B131" s="155">
        <v>15492.392857142857</v>
      </c>
      <c r="C131" s="153">
        <v>12899.430497951871</v>
      </c>
    </row>
    <row r="132" spans="1:3" x14ac:dyDescent="0.35">
      <c r="A132" s="159">
        <v>44621</v>
      </c>
      <c r="B132" s="155">
        <v>17734.612903225807</v>
      </c>
      <c r="C132" s="153">
        <v>13817.290713005634</v>
      </c>
    </row>
    <row r="133" spans="1:3" x14ac:dyDescent="0.35">
      <c r="A133" s="159">
        <v>44652</v>
      </c>
      <c r="B133" s="155">
        <v>16782.366666666665</v>
      </c>
      <c r="C133" s="153">
        <v>14541.040713005634</v>
      </c>
    </row>
    <row r="134" spans="1:3" x14ac:dyDescent="0.35">
      <c r="A134" s="159">
        <v>44682</v>
      </c>
      <c r="B134" s="155">
        <v>16957.451612903227</v>
      </c>
      <c r="C134" s="153">
        <v>15145.269207629288</v>
      </c>
    </row>
    <row r="135" spans="1:3" x14ac:dyDescent="0.35">
      <c r="A135" s="159">
        <v>44713</v>
      </c>
      <c r="B135" s="155">
        <v>18106.400000000001</v>
      </c>
      <c r="C135" s="153">
        <v>15657.363652073733</v>
      </c>
    </row>
    <row r="136" spans="1:3" x14ac:dyDescent="0.35">
      <c r="A136" s="159">
        <v>44743</v>
      </c>
      <c r="B136" s="155">
        <v>18038.16129032258</v>
      </c>
      <c r="C136" s="153">
        <v>16009.998060675882</v>
      </c>
    </row>
    <row r="137" spans="1:3" x14ac:dyDescent="0.35">
      <c r="A137" s="159">
        <v>44774</v>
      </c>
      <c r="B137" s="155">
        <v>16320.838709677419</v>
      </c>
      <c r="C137" s="153">
        <v>16251.043759600614</v>
      </c>
    </row>
    <row r="138" spans="1:3" x14ac:dyDescent="0.35">
      <c r="A138" s="159">
        <v>44805</v>
      </c>
      <c r="B138" s="155">
        <v>17277.533333333333</v>
      </c>
      <c r="C138" s="153">
        <v>16390.254870711728</v>
      </c>
    </row>
    <row r="139" spans="1:3" x14ac:dyDescent="0.35">
      <c r="A139" s="159">
        <v>44835</v>
      </c>
      <c r="B139" s="155">
        <v>19173.83870967742</v>
      </c>
      <c r="C139" s="153">
        <v>16639.574763184846</v>
      </c>
    </row>
    <row r="140" spans="1:3" x14ac:dyDescent="0.35">
      <c r="A140" s="159">
        <v>44866</v>
      </c>
      <c r="B140" s="155">
        <v>20050.366666666665</v>
      </c>
      <c r="C140" s="153">
        <v>17002.160874295954</v>
      </c>
    </row>
    <row r="141" spans="1:3" x14ac:dyDescent="0.35">
      <c r="A141" s="159">
        <v>44896</v>
      </c>
      <c r="B141" s="155">
        <v>22944.225806451614</v>
      </c>
      <c r="C141" s="153">
        <v>17722.65549795187</v>
      </c>
    </row>
    <row r="142" spans="1:3" x14ac:dyDescent="0.35">
      <c r="A142" s="159">
        <v>44927</v>
      </c>
      <c r="B142" s="155">
        <v>15568.967741935483</v>
      </c>
      <c r="C142" s="153">
        <v>17870.596358166924</v>
      </c>
    </row>
    <row r="143" spans="1:3" x14ac:dyDescent="0.35">
      <c r="A143" s="159">
        <v>44958</v>
      </c>
      <c r="B143" s="155">
        <v>17359.928571428572</v>
      </c>
      <c r="C143" s="153">
        <v>18026.224334357397</v>
      </c>
    </row>
    <row r="144" spans="1:3" x14ac:dyDescent="0.35">
      <c r="A144" s="159">
        <v>44986</v>
      </c>
      <c r="B144" s="155">
        <v>17760.225806451614</v>
      </c>
      <c r="C144" s="153">
        <v>18028.35874295955</v>
      </c>
    </row>
    <row r="145" spans="1:3" x14ac:dyDescent="0.35">
      <c r="A145" s="159">
        <v>45017</v>
      </c>
      <c r="B145" s="155">
        <v>15359.6</v>
      </c>
      <c r="C145" s="153">
        <v>17909.79485407066</v>
      </c>
    </row>
    <row r="146" spans="1:3" x14ac:dyDescent="0.35">
      <c r="A146" s="159">
        <v>45047</v>
      </c>
      <c r="B146" s="155">
        <v>16783.645161290322</v>
      </c>
      <c r="C146" s="153">
        <v>17895.310983102921</v>
      </c>
    </row>
    <row r="147" spans="1:3" x14ac:dyDescent="0.35">
      <c r="A147" s="159">
        <v>45078</v>
      </c>
      <c r="B147" s="155">
        <v>19749.033333333333</v>
      </c>
      <c r="C147" s="153">
        <v>18032.197094214029</v>
      </c>
    </row>
    <row r="148" spans="1:3" x14ac:dyDescent="0.35">
      <c r="A148" s="159">
        <v>45108</v>
      </c>
      <c r="B148" s="155">
        <v>18428.16129032258</v>
      </c>
      <c r="C148" s="153">
        <v>18064.697094214029</v>
      </c>
    </row>
    <row r="149" spans="1:3" x14ac:dyDescent="0.35">
      <c r="A149" s="159">
        <v>45139</v>
      </c>
      <c r="B149" s="155">
        <v>18355.419354838708</v>
      </c>
      <c r="C149" s="153">
        <v>18234.245481310802</v>
      </c>
    </row>
    <row r="150" spans="1:3" x14ac:dyDescent="0.35">
      <c r="A150" s="159">
        <v>45170</v>
      </c>
      <c r="B150" s="155">
        <v>20471.766666666666</v>
      </c>
      <c r="C150" s="153">
        <v>18500.431592421915</v>
      </c>
    </row>
    <row r="151" spans="1:3" x14ac:dyDescent="0.35">
      <c r="A151" s="159">
        <v>45200</v>
      </c>
      <c r="B151" s="155">
        <v>21299.967741935485</v>
      </c>
      <c r="C151" s="153">
        <v>18677.609011776753</v>
      </c>
    </row>
    <row r="152" spans="1:3" x14ac:dyDescent="0.35">
      <c r="A152" s="159">
        <v>45231</v>
      </c>
      <c r="B152" s="155">
        <v>21806.666666666668</v>
      </c>
      <c r="C152" s="153">
        <v>18823.967345110086</v>
      </c>
    </row>
    <row r="153" spans="1:3" x14ac:dyDescent="0.35">
      <c r="A153" s="159">
        <v>45261</v>
      </c>
      <c r="B153" s="155">
        <v>21492.322580645163</v>
      </c>
      <c r="C153" s="153">
        <v>18702.975409626215</v>
      </c>
    </row>
    <row r="154" spans="1:3" x14ac:dyDescent="0.35">
      <c r="A154" s="159">
        <v>45292</v>
      </c>
      <c r="B154" s="155">
        <v>21326.032258064515</v>
      </c>
      <c r="C154" s="153">
        <v>19182.730785970303</v>
      </c>
    </row>
    <row r="155" spans="1:3" x14ac:dyDescent="0.35">
      <c r="A155" s="159">
        <v>45323</v>
      </c>
      <c r="B155" s="155">
        <v>21583.862068965518</v>
      </c>
      <c r="C155" s="153">
        <v>19534.725244098376</v>
      </c>
    </row>
    <row r="156" spans="1:3" x14ac:dyDescent="0.35">
      <c r="A156" s="159">
        <v>45352</v>
      </c>
      <c r="B156" s="155">
        <v>19615.290322580644</v>
      </c>
      <c r="C156" s="153">
        <v>19689.3139537758</v>
      </c>
    </row>
    <row r="157" spans="1:3" x14ac:dyDescent="0.35">
      <c r="A157" s="159">
        <v>45383</v>
      </c>
      <c r="B157" s="155">
        <v>19056.166666666668</v>
      </c>
      <c r="C157" s="153">
        <v>19997.361175998019</v>
      </c>
    </row>
    <row r="158" spans="1:3" x14ac:dyDescent="0.35">
      <c r="A158" s="159">
        <v>45413</v>
      </c>
      <c r="B158" s="155">
        <v>20296.290322580644</v>
      </c>
      <c r="C158" s="153">
        <v>20290.081606105548</v>
      </c>
    </row>
    <row r="159" spans="1:3" x14ac:dyDescent="0.35">
      <c r="A159" s="159">
        <v>45444</v>
      </c>
      <c r="B159" s="155">
        <v>19431.866666666665</v>
      </c>
      <c r="C159" s="153">
        <v>20263.65105054999</v>
      </c>
    </row>
    <row r="160" spans="1:3" x14ac:dyDescent="0.35">
      <c r="A160" s="159">
        <v>45474</v>
      </c>
      <c r="B160" s="155">
        <v>18585.83870967742</v>
      </c>
      <c r="C160" s="153">
        <v>20276.790835496231</v>
      </c>
    </row>
    <row r="161" spans="1:3" x14ac:dyDescent="0.35">
      <c r="A161" s="159">
        <v>45505</v>
      </c>
      <c r="B161" s="155">
        <v>16496.258064516129</v>
      </c>
      <c r="C161" s="153">
        <v>20121.86072796935</v>
      </c>
    </row>
    <row r="162" spans="1:3" x14ac:dyDescent="0.35">
      <c r="A162" s="159">
        <v>45536</v>
      </c>
      <c r="B162" s="155">
        <v>19029.599999999999</v>
      </c>
      <c r="C162" s="153">
        <v>20001.680172413795</v>
      </c>
    </row>
    <row r="163" spans="1:3" x14ac:dyDescent="0.35">
      <c r="A163" s="159">
        <v>45566</v>
      </c>
      <c r="B163" s="155">
        <v>20494.903225806451</v>
      </c>
      <c r="C163" s="153">
        <v>19934.591462736375</v>
      </c>
    </row>
    <row r="164" spans="1:3" x14ac:dyDescent="0.35">
      <c r="A164" s="159">
        <v>45597</v>
      </c>
      <c r="B164" s="155">
        <v>21466.533333333333</v>
      </c>
      <c r="C164" s="153">
        <v>19906.247018291931</v>
      </c>
    </row>
    <row r="165" spans="1:3" x14ac:dyDescent="0.35">
      <c r="A165" s="159">
        <v>45627</v>
      </c>
      <c r="B165" s="155">
        <v>21853.967741935485</v>
      </c>
      <c r="C165" s="153">
        <v>19936.384115066121</v>
      </c>
    </row>
    <row r="166" spans="1:3" x14ac:dyDescent="0.35">
      <c r="A166" s="159">
        <v>45658</v>
      </c>
      <c r="B166" s="155">
        <v>19314.387096774193</v>
      </c>
      <c r="C166" s="153">
        <v>19768.747018291928</v>
      </c>
    </row>
    <row r="167" spans="1:3" x14ac:dyDescent="0.35">
      <c r="A167" s="159">
        <v>45689</v>
      </c>
      <c r="B167" s="155">
        <v>19790.928571428572</v>
      </c>
      <c r="C167" s="153">
        <v>19619.335893497184</v>
      </c>
    </row>
    <row r="168" spans="1:3" ht="15" thickBot="1" x14ac:dyDescent="0.4">
      <c r="A168" s="160">
        <v>45717</v>
      </c>
      <c r="B168" s="280">
        <v>19282.193548387098</v>
      </c>
      <c r="C168" s="281">
        <v>19591.577828981055</v>
      </c>
    </row>
  </sheetData>
  <mergeCells count="8">
    <mergeCell ref="A10:G10"/>
    <mergeCell ref="A6:H6"/>
    <mergeCell ref="A7:H7"/>
    <mergeCell ref="A1:F1"/>
    <mergeCell ref="A3:G3"/>
    <mergeCell ref="A4:G4"/>
    <mergeCell ref="A9:G9"/>
    <mergeCell ref="A5:F5"/>
  </mergeCells>
  <hyperlinks>
    <hyperlink ref="A7" r:id="rId1" xr:uid="{40769CE3-448F-4E87-9B0C-46441FFA1497}"/>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23F1E-673C-4B85-AF47-E7CD92260A3F}">
  <dimension ref="A1:K136"/>
  <sheetViews>
    <sheetView showGridLines="0" zoomScaleNormal="100" workbookViewId="0">
      <selection activeCell="A3" sqref="A3:G3"/>
    </sheetView>
  </sheetViews>
  <sheetFormatPr defaultColWidth="8.84375" defaultRowHeight="14.5" x14ac:dyDescent="0.35"/>
  <cols>
    <col min="1" max="1" width="13" style="4" customWidth="1"/>
    <col min="2" max="2" width="58.07421875" style="4" bestFit="1" customWidth="1"/>
    <col min="3" max="3" width="11.69140625" style="4" customWidth="1"/>
    <col min="4" max="4" width="13.07421875" style="4" customWidth="1"/>
    <col min="5" max="5" width="15.84375" style="4" customWidth="1"/>
    <col min="6" max="6" width="15.3046875" style="4" customWidth="1"/>
    <col min="7" max="7" width="8.4609375" style="4" customWidth="1"/>
    <col min="8" max="8" width="23.07421875" style="4" customWidth="1"/>
    <col min="9" max="16384" width="8.84375" style="4"/>
  </cols>
  <sheetData>
    <row r="1" spans="1:11" ht="84" customHeight="1" x14ac:dyDescent="0.35">
      <c r="A1" s="363"/>
      <c r="B1" s="363"/>
      <c r="C1" s="363"/>
      <c r="D1" s="363"/>
      <c r="E1" s="363"/>
      <c r="F1" s="363"/>
    </row>
    <row r="2" spans="1:11" x14ac:dyDescent="0.35">
      <c r="A2" s="3" t="s">
        <v>0</v>
      </c>
      <c r="B2" s="3" t="s">
        <v>0</v>
      </c>
      <c r="C2" s="3" t="s">
        <v>0</v>
      </c>
      <c r="D2" s="3" t="s">
        <v>0</v>
      </c>
      <c r="E2" s="3" t="s">
        <v>0</v>
      </c>
      <c r="F2" s="3" t="s">
        <v>0</v>
      </c>
      <c r="G2" s="3" t="s">
        <v>0</v>
      </c>
    </row>
    <row r="3" spans="1:11" ht="24.65" customHeight="1" x14ac:dyDescent="0.35">
      <c r="A3" s="369" t="s">
        <v>44</v>
      </c>
      <c r="B3" s="369"/>
      <c r="C3" s="369"/>
      <c r="D3" s="369"/>
      <c r="E3" s="369"/>
      <c r="F3" s="369"/>
      <c r="G3" s="369"/>
    </row>
    <row r="4" spans="1:11" ht="29.25" customHeight="1" x14ac:dyDescent="0.35">
      <c r="A4" s="370" t="s">
        <v>269</v>
      </c>
      <c r="B4" s="370"/>
      <c r="C4" s="370"/>
      <c r="D4" s="370"/>
      <c r="E4" s="370"/>
      <c r="F4" s="370"/>
      <c r="G4" s="370"/>
    </row>
    <row r="5" spans="1:11" ht="40.5" customHeight="1" x14ac:dyDescent="0.35">
      <c r="A5" s="371" t="s">
        <v>636</v>
      </c>
      <c r="B5" s="371"/>
      <c r="C5" s="371"/>
      <c r="D5" s="371"/>
      <c r="E5" s="371"/>
      <c r="F5" s="26"/>
      <c r="G5" s="26"/>
      <c r="H5" s="26"/>
      <c r="I5" s="26"/>
      <c r="J5" s="26"/>
      <c r="K5" s="26"/>
    </row>
    <row r="6" spans="1:11" ht="14.5" customHeight="1" x14ac:dyDescent="0.35">
      <c r="A6" s="361" t="s">
        <v>592</v>
      </c>
      <c r="B6" s="361"/>
      <c r="C6" s="361"/>
      <c r="D6" s="361"/>
      <c r="E6" s="361"/>
      <c r="F6" s="361"/>
      <c r="G6" s="361"/>
      <c r="H6" s="361"/>
      <c r="I6" s="26"/>
      <c r="J6" s="26"/>
      <c r="K6" s="26"/>
    </row>
    <row r="7" spans="1:11" ht="14.5" customHeight="1" x14ac:dyDescent="0.35">
      <c r="A7" s="368" t="s">
        <v>620</v>
      </c>
      <c r="B7" s="372"/>
      <c r="C7" s="372"/>
      <c r="D7" s="372"/>
      <c r="E7" s="372"/>
      <c r="F7" s="372"/>
      <c r="G7" s="372"/>
      <c r="H7" s="372"/>
      <c r="I7" s="26"/>
      <c r="J7" s="26"/>
      <c r="K7" s="26"/>
    </row>
    <row r="8" spans="1:11" x14ac:dyDescent="0.35">
      <c r="A8" s="10" t="s">
        <v>617</v>
      </c>
    </row>
    <row r="9" spans="1:11" x14ac:dyDescent="0.35">
      <c r="A9" s="362" t="s">
        <v>2</v>
      </c>
      <c r="B9" s="363"/>
      <c r="C9" s="363"/>
      <c r="D9" s="363"/>
      <c r="E9" s="363"/>
      <c r="F9" s="363"/>
      <c r="G9" s="363"/>
    </row>
    <row r="10" spans="1:11" x14ac:dyDescent="0.35">
      <c r="A10" s="362" t="s">
        <v>1</v>
      </c>
      <c r="B10" s="363"/>
      <c r="C10" s="363"/>
      <c r="D10" s="363"/>
      <c r="E10" s="363"/>
      <c r="F10" s="363"/>
      <c r="G10" s="363"/>
    </row>
    <row r="11" spans="1:11" ht="15" thickBot="1" x14ac:dyDescent="0.4">
      <c r="A11" s="3" t="s">
        <v>0</v>
      </c>
      <c r="B11" s="3" t="s">
        <v>0</v>
      </c>
      <c r="C11" s="374"/>
      <c r="D11" s="374"/>
      <c r="E11" s="374"/>
      <c r="F11" s="374"/>
      <c r="G11" s="3" t="s">
        <v>0</v>
      </c>
    </row>
    <row r="12" spans="1:11" ht="39.5" thickBot="1" x14ac:dyDescent="0.4">
      <c r="A12" s="29" t="s">
        <v>46</v>
      </c>
      <c r="B12" s="30" t="s">
        <v>47</v>
      </c>
      <c r="C12" s="31" t="s">
        <v>48</v>
      </c>
      <c r="D12" s="21" t="s">
        <v>49</v>
      </c>
      <c r="E12" s="21" t="s">
        <v>50</v>
      </c>
      <c r="F12" s="18" t="s">
        <v>51</v>
      </c>
    </row>
    <row r="13" spans="1:11" x14ac:dyDescent="0.35">
      <c r="A13" s="32" t="s">
        <v>52</v>
      </c>
      <c r="B13" s="202" t="s">
        <v>53</v>
      </c>
      <c r="C13" s="282">
        <v>334249</v>
      </c>
      <c r="D13" s="283">
        <v>182205</v>
      </c>
      <c r="E13" s="283">
        <v>152044</v>
      </c>
      <c r="F13" s="284">
        <v>0.54511756205702933</v>
      </c>
    </row>
    <row r="14" spans="1:11" x14ac:dyDescent="0.35">
      <c r="A14" s="33" t="s">
        <v>54</v>
      </c>
      <c r="B14" s="203" t="s">
        <v>55</v>
      </c>
      <c r="C14" s="285">
        <v>143128</v>
      </c>
      <c r="D14" s="286">
        <v>75889</v>
      </c>
      <c r="E14" s="286">
        <v>67239</v>
      </c>
      <c r="F14" s="287">
        <v>0.53021770722709738</v>
      </c>
    </row>
    <row r="15" spans="1:11" x14ac:dyDescent="0.35">
      <c r="A15" s="33" t="s">
        <v>403</v>
      </c>
      <c r="B15" s="203" t="s">
        <v>402</v>
      </c>
      <c r="C15" s="285">
        <v>157843</v>
      </c>
      <c r="D15" s="286">
        <v>95050</v>
      </c>
      <c r="E15" s="286">
        <v>62793</v>
      </c>
      <c r="F15" s="287">
        <v>0.60218064785894843</v>
      </c>
    </row>
    <row r="16" spans="1:11" x14ac:dyDescent="0.35">
      <c r="A16" s="33" t="s">
        <v>56</v>
      </c>
      <c r="B16" s="203" t="s">
        <v>57</v>
      </c>
      <c r="C16" s="285">
        <v>51674</v>
      </c>
      <c r="D16" s="286">
        <v>29670</v>
      </c>
      <c r="E16" s="286">
        <v>22004</v>
      </c>
      <c r="F16" s="287">
        <v>0.57417656848705345</v>
      </c>
    </row>
    <row r="17" spans="1:6" x14ac:dyDescent="0.35">
      <c r="A17" s="33" t="s">
        <v>58</v>
      </c>
      <c r="B17" s="203" t="s">
        <v>59</v>
      </c>
      <c r="C17" s="285">
        <v>296021</v>
      </c>
      <c r="D17" s="286">
        <v>158340</v>
      </c>
      <c r="E17" s="286">
        <v>137681</v>
      </c>
      <c r="F17" s="287">
        <v>0.53489448383729532</v>
      </c>
    </row>
    <row r="18" spans="1:6" x14ac:dyDescent="0.35">
      <c r="A18" s="33" t="s">
        <v>60</v>
      </c>
      <c r="B18" s="203" t="s">
        <v>508</v>
      </c>
      <c r="C18" s="285">
        <v>160274</v>
      </c>
      <c r="D18" s="286">
        <v>77411</v>
      </c>
      <c r="E18" s="286">
        <v>82863</v>
      </c>
      <c r="F18" s="287">
        <v>0.48299162683903812</v>
      </c>
    </row>
    <row r="19" spans="1:6" x14ac:dyDescent="0.35">
      <c r="A19" s="33" t="s">
        <v>62</v>
      </c>
      <c r="B19" s="203" t="s">
        <v>63</v>
      </c>
      <c r="C19" s="285">
        <v>88052</v>
      </c>
      <c r="D19" s="286">
        <v>63897</v>
      </c>
      <c r="E19" s="286">
        <v>24155</v>
      </c>
      <c r="F19" s="287">
        <v>0.7256734656793713</v>
      </c>
    </row>
    <row r="20" spans="1:6" x14ac:dyDescent="0.35">
      <c r="A20" s="33" t="s">
        <v>64</v>
      </c>
      <c r="B20" s="203" t="s">
        <v>65</v>
      </c>
      <c r="C20" s="285">
        <v>183498</v>
      </c>
      <c r="D20" s="286">
        <v>116416</v>
      </c>
      <c r="E20" s="286">
        <v>67082</v>
      </c>
      <c r="F20" s="287">
        <v>0.63442653325921805</v>
      </c>
    </row>
    <row r="21" spans="1:6" x14ac:dyDescent="0.35">
      <c r="A21" s="33" t="s">
        <v>66</v>
      </c>
      <c r="B21" s="203" t="s">
        <v>67</v>
      </c>
      <c r="C21" s="285">
        <v>80042</v>
      </c>
      <c r="D21" s="286">
        <v>42463</v>
      </c>
      <c r="E21" s="286">
        <v>37579</v>
      </c>
      <c r="F21" s="287">
        <v>0.53050898278403835</v>
      </c>
    </row>
    <row r="22" spans="1:6" x14ac:dyDescent="0.35">
      <c r="A22" s="33" t="s">
        <v>68</v>
      </c>
      <c r="B22" s="203" t="s">
        <v>69</v>
      </c>
      <c r="C22" s="285">
        <v>111214</v>
      </c>
      <c r="D22" s="286">
        <v>83188</v>
      </c>
      <c r="E22" s="286">
        <v>28026</v>
      </c>
      <c r="F22" s="287">
        <v>0.74799935259949291</v>
      </c>
    </row>
    <row r="23" spans="1:6" x14ac:dyDescent="0.35">
      <c r="A23" s="33" t="s">
        <v>70</v>
      </c>
      <c r="B23" s="203" t="s">
        <v>71</v>
      </c>
      <c r="C23" s="285">
        <v>360524</v>
      </c>
      <c r="D23" s="286">
        <v>239751</v>
      </c>
      <c r="E23" s="286">
        <v>120773</v>
      </c>
      <c r="F23" s="287">
        <v>0.66500704530072896</v>
      </c>
    </row>
    <row r="24" spans="1:6" x14ac:dyDescent="0.35">
      <c r="A24" s="33" t="s">
        <v>72</v>
      </c>
      <c r="B24" s="203" t="s">
        <v>73</v>
      </c>
      <c r="C24" s="285">
        <v>233703</v>
      </c>
      <c r="D24" s="286">
        <v>144973</v>
      </c>
      <c r="E24" s="286">
        <v>88730</v>
      </c>
      <c r="F24" s="287">
        <v>0.62033007706362353</v>
      </c>
    </row>
    <row r="25" spans="1:6" x14ac:dyDescent="0.35">
      <c r="A25" s="33" t="s">
        <v>74</v>
      </c>
      <c r="B25" s="203" t="s">
        <v>75</v>
      </c>
      <c r="C25" s="285">
        <v>73654</v>
      </c>
      <c r="D25" s="286">
        <v>32432</v>
      </c>
      <c r="E25" s="286">
        <v>41222</v>
      </c>
      <c r="F25" s="287">
        <v>0.44032910636217992</v>
      </c>
    </row>
    <row r="26" spans="1:6" x14ac:dyDescent="0.35">
      <c r="A26" s="33" t="s">
        <v>76</v>
      </c>
      <c r="B26" s="203" t="s">
        <v>77</v>
      </c>
      <c r="C26" s="285">
        <v>72239</v>
      </c>
      <c r="D26" s="286">
        <v>31640</v>
      </c>
      <c r="E26" s="286">
        <v>40599</v>
      </c>
      <c r="F26" s="287">
        <v>0.43799055911626683</v>
      </c>
    </row>
    <row r="27" spans="1:6" x14ac:dyDescent="0.35">
      <c r="A27" s="33" t="s">
        <v>78</v>
      </c>
      <c r="B27" s="203" t="s">
        <v>79</v>
      </c>
      <c r="C27" s="285">
        <v>84752</v>
      </c>
      <c r="D27" s="286">
        <v>44146</v>
      </c>
      <c r="E27" s="286">
        <v>40606</v>
      </c>
      <c r="F27" s="287">
        <v>0.5208844629035303</v>
      </c>
    </row>
    <row r="28" spans="1:6" x14ac:dyDescent="0.35">
      <c r="A28" s="33" t="s">
        <v>80</v>
      </c>
      <c r="B28" s="203" t="s">
        <v>81</v>
      </c>
      <c r="C28" s="285">
        <v>54467</v>
      </c>
      <c r="D28" s="286">
        <v>33047</v>
      </c>
      <c r="E28" s="286">
        <v>21420</v>
      </c>
      <c r="F28" s="287">
        <v>0.60673435291093691</v>
      </c>
    </row>
    <row r="29" spans="1:6" x14ac:dyDescent="0.35">
      <c r="A29" s="33" t="s">
        <v>82</v>
      </c>
      <c r="B29" s="203" t="s">
        <v>83</v>
      </c>
      <c r="C29" s="285">
        <v>109753</v>
      </c>
      <c r="D29" s="286">
        <v>72837</v>
      </c>
      <c r="E29" s="286">
        <v>36916</v>
      </c>
      <c r="F29" s="287">
        <v>0.66364472952903342</v>
      </c>
    </row>
    <row r="30" spans="1:6" x14ac:dyDescent="0.35">
      <c r="A30" s="33" t="s">
        <v>84</v>
      </c>
      <c r="B30" s="203" t="s">
        <v>85</v>
      </c>
      <c r="C30" s="285">
        <v>90621</v>
      </c>
      <c r="D30" s="286">
        <v>40871</v>
      </c>
      <c r="E30" s="286">
        <v>49750</v>
      </c>
      <c r="F30" s="287">
        <v>0.45101025148696217</v>
      </c>
    </row>
    <row r="31" spans="1:6" x14ac:dyDescent="0.35">
      <c r="A31" s="33" t="s">
        <v>86</v>
      </c>
      <c r="B31" s="204" t="s">
        <v>492</v>
      </c>
      <c r="C31" s="285">
        <v>206462</v>
      </c>
      <c r="D31" s="286">
        <v>128856</v>
      </c>
      <c r="E31" s="286">
        <v>77606</v>
      </c>
      <c r="F31" s="287">
        <v>0.6241148492216485</v>
      </c>
    </row>
    <row r="32" spans="1:6" x14ac:dyDescent="0.35">
      <c r="A32" s="33" t="s">
        <v>87</v>
      </c>
      <c r="B32" s="203" t="s">
        <v>88</v>
      </c>
      <c r="C32" s="285">
        <v>67676</v>
      </c>
      <c r="D32" s="286">
        <v>55919</v>
      </c>
      <c r="E32" s="286">
        <v>11757</v>
      </c>
      <c r="F32" s="287">
        <v>0.82627519356935986</v>
      </c>
    </row>
    <row r="33" spans="1:6" x14ac:dyDescent="0.35">
      <c r="A33" s="33" t="s">
        <v>89</v>
      </c>
      <c r="B33" s="203" t="s">
        <v>90</v>
      </c>
      <c r="C33" s="285">
        <v>85015</v>
      </c>
      <c r="D33" s="286">
        <v>36583</v>
      </c>
      <c r="E33" s="286">
        <v>48432</v>
      </c>
      <c r="F33" s="287">
        <v>0.43031229782979474</v>
      </c>
    </row>
    <row r="34" spans="1:6" x14ac:dyDescent="0.35">
      <c r="A34" s="33" t="s">
        <v>409</v>
      </c>
      <c r="B34" s="203" t="s">
        <v>408</v>
      </c>
      <c r="C34" s="285">
        <v>193756</v>
      </c>
      <c r="D34" s="286">
        <v>114565</v>
      </c>
      <c r="E34" s="286">
        <v>79191</v>
      </c>
      <c r="F34" s="287">
        <v>0.59128491504779201</v>
      </c>
    </row>
    <row r="35" spans="1:6" x14ac:dyDescent="0.35">
      <c r="A35" s="33" t="s">
        <v>91</v>
      </c>
      <c r="B35" s="203" t="s">
        <v>509</v>
      </c>
      <c r="C35" s="285">
        <v>128915</v>
      </c>
      <c r="D35" s="286">
        <v>55932</v>
      </c>
      <c r="E35" s="286">
        <v>72983</v>
      </c>
      <c r="F35" s="287">
        <v>0.43386727688787186</v>
      </c>
    </row>
    <row r="36" spans="1:6" x14ac:dyDescent="0.35">
      <c r="A36" s="33" t="s">
        <v>93</v>
      </c>
      <c r="B36" s="203" t="s">
        <v>94</v>
      </c>
      <c r="C36" s="285">
        <v>63592</v>
      </c>
      <c r="D36" s="286">
        <v>43633</v>
      </c>
      <c r="E36" s="286">
        <v>19959</v>
      </c>
      <c r="F36" s="287">
        <v>0.68613976600830295</v>
      </c>
    </row>
    <row r="37" spans="1:6" x14ac:dyDescent="0.35">
      <c r="A37" s="33" t="s">
        <v>95</v>
      </c>
      <c r="B37" s="203" t="s">
        <v>96</v>
      </c>
      <c r="C37" s="285">
        <v>75454</v>
      </c>
      <c r="D37" s="286">
        <v>46722</v>
      </c>
      <c r="E37" s="286">
        <v>28732</v>
      </c>
      <c r="F37" s="287">
        <v>0.61921170514485646</v>
      </c>
    </row>
    <row r="38" spans="1:6" x14ac:dyDescent="0.35">
      <c r="A38" s="33" t="s">
        <v>97</v>
      </c>
      <c r="B38" s="203" t="s">
        <v>98</v>
      </c>
      <c r="C38" s="285">
        <v>57741</v>
      </c>
      <c r="D38" s="286">
        <v>52278</v>
      </c>
      <c r="E38" s="286">
        <v>5463</v>
      </c>
      <c r="F38" s="287">
        <v>0.90538785265236144</v>
      </c>
    </row>
    <row r="39" spans="1:6" x14ac:dyDescent="0.35">
      <c r="A39" s="33" t="s">
        <v>99</v>
      </c>
      <c r="B39" s="203" t="s">
        <v>100</v>
      </c>
      <c r="C39" s="285">
        <v>79824</v>
      </c>
      <c r="D39" s="286">
        <v>47952</v>
      </c>
      <c r="E39" s="286">
        <v>31872</v>
      </c>
      <c r="F39" s="287">
        <v>0.6007215874924835</v>
      </c>
    </row>
    <row r="40" spans="1:6" x14ac:dyDescent="0.35">
      <c r="A40" s="33" t="s">
        <v>101</v>
      </c>
      <c r="B40" s="203" t="s">
        <v>102</v>
      </c>
      <c r="C40" s="285">
        <v>101464</v>
      </c>
      <c r="D40" s="286">
        <v>60883</v>
      </c>
      <c r="E40" s="286">
        <v>40581</v>
      </c>
      <c r="F40" s="287">
        <v>0.60004533627690615</v>
      </c>
    </row>
    <row r="41" spans="1:6" x14ac:dyDescent="0.35">
      <c r="A41" s="33" t="s">
        <v>103</v>
      </c>
      <c r="B41" s="203" t="s">
        <v>104</v>
      </c>
      <c r="C41" s="285">
        <v>105541</v>
      </c>
      <c r="D41" s="286">
        <v>62731</v>
      </c>
      <c r="E41" s="286">
        <v>42810</v>
      </c>
      <c r="F41" s="287">
        <v>0.59437564548374566</v>
      </c>
    </row>
    <row r="42" spans="1:6" x14ac:dyDescent="0.35">
      <c r="A42" s="33" t="s">
        <v>105</v>
      </c>
      <c r="B42" s="203" t="s">
        <v>510</v>
      </c>
      <c r="C42" s="285">
        <v>174617</v>
      </c>
      <c r="D42" s="286">
        <v>94303</v>
      </c>
      <c r="E42" s="286">
        <v>80314</v>
      </c>
      <c r="F42" s="287">
        <v>0.54005623736520503</v>
      </c>
    </row>
    <row r="43" spans="1:6" x14ac:dyDescent="0.35">
      <c r="A43" s="33" t="s">
        <v>413</v>
      </c>
      <c r="B43" s="203" t="s">
        <v>412</v>
      </c>
      <c r="C43" s="285">
        <v>269612</v>
      </c>
      <c r="D43" s="286">
        <v>154425</v>
      </c>
      <c r="E43" s="286">
        <v>115187</v>
      </c>
      <c r="F43" s="287">
        <v>0.57276753260240643</v>
      </c>
    </row>
    <row r="44" spans="1:6" x14ac:dyDescent="0.35">
      <c r="A44" s="33" t="s">
        <v>107</v>
      </c>
      <c r="B44" s="203" t="s">
        <v>108</v>
      </c>
      <c r="C44" s="285">
        <v>76158</v>
      </c>
      <c r="D44" s="286">
        <v>33350</v>
      </c>
      <c r="E44" s="286">
        <v>42808</v>
      </c>
      <c r="F44" s="287">
        <v>0.43790540717981041</v>
      </c>
    </row>
    <row r="45" spans="1:6" x14ac:dyDescent="0.35">
      <c r="A45" s="33" t="s">
        <v>109</v>
      </c>
      <c r="B45" s="203" t="s">
        <v>110</v>
      </c>
      <c r="C45" s="285">
        <v>188706</v>
      </c>
      <c r="D45" s="286">
        <v>99474</v>
      </c>
      <c r="E45" s="286">
        <v>89232</v>
      </c>
      <c r="F45" s="287">
        <v>0.52713745190931927</v>
      </c>
    </row>
    <row r="46" spans="1:6" x14ac:dyDescent="0.35">
      <c r="A46" s="33" t="s">
        <v>111</v>
      </c>
      <c r="B46" s="203" t="s">
        <v>112</v>
      </c>
      <c r="C46" s="285">
        <v>157718</v>
      </c>
      <c r="D46" s="286">
        <v>87874</v>
      </c>
      <c r="E46" s="286">
        <v>69844</v>
      </c>
      <c r="F46" s="287">
        <v>0.55715897995155916</v>
      </c>
    </row>
    <row r="47" spans="1:6" x14ac:dyDescent="0.35">
      <c r="A47" s="33" t="s">
        <v>113</v>
      </c>
      <c r="B47" s="203" t="s">
        <v>114</v>
      </c>
      <c r="C47" s="285">
        <v>106878</v>
      </c>
      <c r="D47" s="286">
        <v>72135</v>
      </c>
      <c r="E47" s="286">
        <v>34743</v>
      </c>
      <c r="F47" s="287">
        <v>0.67492842306180878</v>
      </c>
    </row>
    <row r="48" spans="1:6" x14ac:dyDescent="0.35">
      <c r="A48" s="33" t="s">
        <v>417</v>
      </c>
      <c r="B48" s="203" t="s">
        <v>416</v>
      </c>
      <c r="C48" s="285">
        <v>104709</v>
      </c>
      <c r="D48" s="286">
        <v>67219</v>
      </c>
      <c r="E48" s="286">
        <v>37490</v>
      </c>
      <c r="F48" s="287">
        <v>0.64196009894087425</v>
      </c>
    </row>
    <row r="49" spans="1:6" x14ac:dyDescent="0.35">
      <c r="A49" s="33" t="s">
        <v>115</v>
      </c>
      <c r="B49" s="203" t="s">
        <v>116</v>
      </c>
      <c r="C49" s="285">
        <v>86471</v>
      </c>
      <c r="D49" s="286">
        <v>45541</v>
      </c>
      <c r="E49" s="286">
        <v>40930</v>
      </c>
      <c r="F49" s="287">
        <v>0.52666211793549278</v>
      </c>
    </row>
    <row r="50" spans="1:6" x14ac:dyDescent="0.35">
      <c r="A50" s="33" t="s">
        <v>117</v>
      </c>
      <c r="B50" s="203" t="s">
        <v>118</v>
      </c>
      <c r="C50" s="285">
        <v>174061</v>
      </c>
      <c r="D50" s="286">
        <v>102247</v>
      </c>
      <c r="E50" s="286">
        <v>71814</v>
      </c>
      <c r="F50" s="287">
        <v>0.58742050200791673</v>
      </c>
    </row>
    <row r="51" spans="1:6" x14ac:dyDescent="0.35">
      <c r="A51" s="33" t="s">
        <v>119</v>
      </c>
      <c r="B51" s="203" t="s">
        <v>120</v>
      </c>
      <c r="C51" s="285">
        <v>87260</v>
      </c>
      <c r="D51" s="286">
        <v>50476</v>
      </c>
      <c r="E51" s="286">
        <v>36784</v>
      </c>
      <c r="F51" s="287">
        <v>0.57845519138207657</v>
      </c>
    </row>
    <row r="52" spans="1:6" x14ac:dyDescent="0.35">
      <c r="A52" s="33" t="s">
        <v>419</v>
      </c>
      <c r="B52" s="203" t="s">
        <v>418</v>
      </c>
      <c r="C52" s="285">
        <v>91969</v>
      </c>
      <c r="D52" s="286">
        <v>60363</v>
      </c>
      <c r="E52" s="286">
        <v>31606</v>
      </c>
      <c r="F52" s="287">
        <v>0.65634072350465922</v>
      </c>
    </row>
    <row r="53" spans="1:6" x14ac:dyDescent="0.35">
      <c r="A53" s="33" t="s">
        <v>421</v>
      </c>
      <c r="B53" s="203" t="s">
        <v>420</v>
      </c>
      <c r="C53" s="285">
        <v>129089</v>
      </c>
      <c r="D53" s="286">
        <v>66976</v>
      </c>
      <c r="E53" s="286">
        <v>62113</v>
      </c>
      <c r="F53" s="287">
        <v>0.51883584193850751</v>
      </c>
    </row>
    <row r="54" spans="1:6" x14ac:dyDescent="0.35">
      <c r="A54" s="33" t="s">
        <v>121</v>
      </c>
      <c r="B54" s="203" t="s">
        <v>122</v>
      </c>
      <c r="C54" s="285">
        <v>152451</v>
      </c>
      <c r="D54" s="286">
        <v>86501</v>
      </c>
      <c r="E54" s="286">
        <v>65950</v>
      </c>
      <c r="F54" s="287">
        <v>0.56740198490006621</v>
      </c>
    </row>
    <row r="55" spans="1:6" x14ac:dyDescent="0.35">
      <c r="A55" s="33" t="s">
        <v>123</v>
      </c>
      <c r="B55" s="203" t="s">
        <v>422</v>
      </c>
      <c r="C55" s="285">
        <v>161723</v>
      </c>
      <c r="D55" s="286">
        <v>97610</v>
      </c>
      <c r="E55" s="286">
        <v>64113</v>
      </c>
      <c r="F55" s="287">
        <v>0.60356288221217758</v>
      </c>
    </row>
    <row r="56" spans="1:6" x14ac:dyDescent="0.35">
      <c r="A56" s="33" t="s">
        <v>125</v>
      </c>
      <c r="B56" s="203" t="s">
        <v>126</v>
      </c>
      <c r="C56" s="285">
        <v>143096</v>
      </c>
      <c r="D56" s="286">
        <v>89875</v>
      </c>
      <c r="E56" s="286">
        <v>53221</v>
      </c>
      <c r="F56" s="287">
        <v>0.62807485883602621</v>
      </c>
    </row>
    <row r="57" spans="1:6" x14ac:dyDescent="0.35">
      <c r="A57" s="33" t="s">
        <v>127</v>
      </c>
      <c r="B57" s="203" t="s">
        <v>128</v>
      </c>
      <c r="C57" s="285">
        <v>112305</v>
      </c>
      <c r="D57" s="286">
        <v>53557</v>
      </c>
      <c r="E57" s="286">
        <v>58748</v>
      </c>
      <c r="F57" s="287">
        <v>0.47688882952673523</v>
      </c>
    </row>
    <row r="58" spans="1:6" x14ac:dyDescent="0.35">
      <c r="A58" s="33" t="s">
        <v>424</v>
      </c>
      <c r="B58" s="203" t="s">
        <v>423</v>
      </c>
      <c r="C58" s="285">
        <v>137115</v>
      </c>
      <c r="D58" s="286">
        <v>71600</v>
      </c>
      <c r="E58" s="286">
        <v>65515</v>
      </c>
      <c r="F58" s="287">
        <v>0.52218940305582906</v>
      </c>
    </row>
    <row r="59" spans="1:6" x14ac:dyDescent="0.35">
      <c r="A59" s="33" t="s">
        <v>129</v>
      </c>
      <c r="B59" s="203" t="s">
        <v>130</v>
      </c>
      <c r="C59" s="285">
        <v>146408</v>
      </c>
      <c r="D59" s="286">
        <v>93364</v>
      </c>
      <c r="E59" s="286">
        <v>53044</v>
      </c>
      <c r="F59" s="287">
        <v>0.63769739358504995</v>
      </c>
    </row>
    <row r="60" spans="1:6" x14ac:dyDescent="0.35">
      <c r="A60" s="33" t="s">
        <v>131</v>
      </c>
      <c r="B60" s="203" t="s">
        <v>132</v>
      </c>
      <c r="C60" s="285">
        <v>123111</v>
      </c>
      <c r="D60" s="286">
        <v>72977</v>
      </c>
      <c r="E60" s="286">
        <v>50134</v>
      </c>
      <c r="F60" s="287">
        <v>0.59277400069855657</v>
      </c>
    </row>
    <row r="61" spans="1:6" x14ac:dyDescent="0.35">
      <c r="A61" s="33" t="s">
        <v>133</v>
      </c>
      <c r="B61" s="203" t="s">
        <v>134</v>
      </c>
      <c r="C61" s="285">
        <v>169016</v>
      </c>
      <c r="D61" s="286">
        <v>81955</v>
      </c>
      <c r="E61" s="286">
        <v>87061</v>
      </c>
      <c r="F61" s="287">
        <v>0.48489492119089317</v>
      </c>
    </row>
    <row r="62" spans="1:6" x14ac:dyDescent="0.35">
      <c r="A62" s="33" t="s">
        <v>135</v>
      </c>
      <c r="B62" s="203" t="s">
        <v>136</v>
      </c>
      <c r="C62" s="285">
        <v>155579</v>
      </c>
      <c r="D62" s="286">
        <v>99970</v>
      </c>
      <c r="E62" s="286">
        <v>55609</v>
      </c>
      <c r="F62" s="287">
        <v>0.64256744162129853</v>
      </c>
    </row>
    <row r="63" spans="1:6" x14ac:dyDescent="0.35">
      <c r="A63" s="33" t="s">
        <v>137</v>
      </c>
      <c r="B63" s="203" t="s">
        <v>138</v>
      </c>
      <c r="C63" s="285">
        <v>113255</v>
      </c>
      <c r="D63" s="286">
        <v>82136</v>
      </c>
      <c r="E63" s="286">
        <v>31119</v>
      </c>
      <c r="F63" s="287">
        <v>0.72523067414242193</v>
      </c>
    </row>
    <row r="64" spans="1:6" x14ac:dyDescent="0.35">
      <c r="A64" s="33" t="s">
        <v>139</v>
      </c>
      <c r="B64" s="203" t="s">
        <v>140</v>
      </c>
      <c r="C64" s="285">
        <v>98646</v>
      </c>
      <c r="D64" s="286">
        <v>66925</v>
      </c>
      <c r="E64" s="286">
        <v>31721</v>
      </c>
      <c r="F64" s="287">
        <v>0.67843602376173384</v>
      </c>
    </row>
    <row r="65" spans="1:6" x14ac:dyDescent="0.35">
      <c r="A65" s="33" t="s">
        <v>141</v>
      </c>
      <c r="B65" s="203" t="s">
        <v>142</v>
      </c>
      <c r="C65" s="285">
        <v>170148</v>
      </c>
      <c r="D65" s="286">
        <v>82340</v>
      </c>
      <c r="E65" s="286">
        <v>87808</v>
      </c>
      <c r="F65" s="287">
        <v>0.48393163598749322</v>
      </c>
    </row>
    <row r="66" spans="1:6" x14ac:dyDescent="0.35">
      <c r="A66" s="33" t="s">
        <v>143</v>
      </c>
      <c r="B66" s="203" t="s">
        <v>144</v>
      </c>
      <c r="C66" s="285">
        <v>112456</v>
      </c>
      <c r="D66" s="286">
        <v>58279</v>
      </c>
      <c r="E66" s="286">
        <v>54177</v>
      </c>
      <c r="F66" s="287">
        <v>0.51823824429110055</v>
      </c>
    </row>
    <row r="67" spans="1:6" x14ac:dyDescent="0.35">
      <c r="A67" s="33" t="s">
        <v>145</v>
      </c>
      <c r="B67" s="203" t="s">
        <v>146</v>
      </c>
      <c r="C67" s="285">
        <v>52484</v>
      </c>
      <c r="D67" s="286">
        <v>26971</v>
      </c>
      <c r="E67" s="286">
        <v>25513</v>
      </c>
      <c r="F67" s="287">
        <v>0.51388994741254479</v>
      </c>
    </row>
    <row r="68" spans="1:6" x14ac:dyDescent="0.35">
      <c r="A68" s="33" t="s">
        <v>147</v>
      </c>
      <c r="B68" s="203" t="s">
        <v>148</v>
      </c>
      <c r="C68" s="285">
        <v>60536</v>
      </c>
      <c r="D68" s="286">
        <v>27867</v>
      </c>
      <c r="E68" s="286">
        <v>32669</v>
      </c>
      <c r="F68" s="287">
        <v>0.46033765032377427</v>
      </c>
    </row>
    <row r="69" spans="1:6" x14ac:dyDescent="0.35">
      <c r="A69" s="33" t="s">
        <v>149</v>
      </c>
      <c r="B69" s="203" t="s">
        <v>150</v>
      </c>
      <c r="C69" s="285">
        <v>185473</v>
      </c>
      <c r="D69" s="286">
        <v>103613</v>
      </c>
      <c r="E69" s="286">
        <v>81860</v>
      </c>
      <c r="F69" s="287">
        <v>0.5586419586678385</v>
      </c>
    </row>
    <row r="70" spans="1:6" x14ac:dyDescent="0.35">
      <c r="A70" s="33" t="s">
        <v>151</v>
      </c>
      <c r="B70" s="203" t="s">
        <v>152</v>
      </c>
      <c r="C70" s="285">
        <v>131784</v>
      </c>
      <c r="D70" s="286">
        <v>77978</v>
      </c>
      <c r="E70" s="286">
        <v>53806</v>
      </c>
      <c r="F70" s="287">
        <v>0.59171067807928124</v>
      </c>
    </row>
    <row r="71" spans="1:6" x14ac:dyDescent="0.35">
      <c r="A71" s="33" t="s">
        <v>426</v>
      </c>
      <c r="B71" s="203" t="s">
        <v>425</v>
      </c>
      <c r="C71" s="285">
        <v>108066</v>
      </c>
      <c r="D71" s="286">
        <v>50053</v>
      </c>
      <c r="E71" s="286">
        <v>58013</v>
      </c>
      <c r="F71" s="287">
        <v>0.46317065497011084</v>
      </c>
    </row>
    <row r="72" spans="1:6" x14ac:dyDescent="0.35">
      <c r="A72" s="33" t="s">
        <v>153</v>
      </c>
      <c r="B72" s="203" t="s">
        <v>154</v>
      </c>
      <c r="C72" s="285">
        <v>141422</v>
      </c>
      <c r="D72" s="286">
        <v>73025</v>
      </c>
      <c r="E72" s="286">
        <v>68397</v>
      </c>
      <c r="F72" s="287">
        <v>0.51636237643365246</v>
      </c>
    </row>
    <row r="73" spans="1:6" x14ac:dyDescent="0.35">
      <c r="A73" s="33" t="s">
        <v>155</v>
      </c>
      <c r="B73" s="203" t="s">
        <v>156</v>
      </c>
      <c r="C73" s="285">
        <v>109331</v>
      </c>
      <c r="D73" s="286">
        <v>77424</v>
      </c>
      <c r="E73" s="286">
        <v>31907</v>
      </c>
      <c r="F73" s="287">
        <v>0.70816145466519098</v>
      </c>
    </row>
    <row r="74" spans="1:6" x14ac:dyDescent="0.35">
      <c r="A74" s="33" t="s">
        <v>157</v>
      </c>
      <c r="B74" s="203" t="s">
        <v>158</v>
      </c>
      <c r="C74" s="285">
        <v>153433</v>
      </c>
      <c r="D74" s="286">
        <v>106030</v>
      </c>
      <c r="E74" s="286">
        <v>47403</v>
      </c>
      <c r="F74" s="287">
        <v>0.69105081696897019</v>
      </c>
    </row>
    <row r="75" spans="1:6" x14ac:dyDescent="0.35">
      <c r="A75" s="33" t="s">
        <v>159</v>
      </c>
      <c r="B75" s="203" t="s">
        <v>160</v>
      </c>
      <c r="C75" s="285">
        <v>73603</v>
      </c>
      <c r="D75" s="286">
        <v>43585</v>
      </c>
      <c r="E75" s="286">
        <v>30018</v>
      </c>
      <c r="F75" s="287">
        <v>0.59216336290640326</v>
      </c>
    </row>
    <row r="76" spans="1:6" x14ac:dyDescent="0.35">
      <c r="A76" s="33" t="s">
        <v>161</v>
      </c>
      <c r="B76" s="203" t="s">
        <v>162</v>
      </c>
      <c r="C76" s="285">
        <v>82221</v>
      </c>
      <c r="D76" s="286">
        <v>54124</v>
      </c>
      <c r="E76" s="286">
        <v>28097</v>
      </c>
      <c r="F76" s="287">
        <v>0.65827465002858154</v>
      </c>
    </row>
    <row r="77" spans="1:6" x14ac:dyDescent="0.35">
      <c r="A77" s="33" t="s">
        <v>163</v>
      </c>
      <c r="B77" s="203" t="s">
        <v>164</v>
      </c>
      <c r="C77" s="285">
        <v>146086</v>
      </c>
      <c r="D77" s="286">
        <v>99073</v>
      </c>
      <c r="E77" s="286">
        <v>47013</v>
      </c>
      <c r="F77" s="287">
        <v>0.67818271429158172</v>
      </c>
    </row>
    <row r="78" spans="1:6" x14ac:dyDescent="0.35">
      <c r="A78" s="33" t="s">
        <v>165</v>
      </c>
      <c r="B78" s="203" t="s">
        <v>427</v>
      </c>
      <c r="C78" s="285">
        <v>301260</v>
      </c>
      <c r="D78" s="286">
        <v>168645</v>
      </c>
      <c r="E78" s="286">
        <v>132615</v>
      </c>
      <c r="F78" s="287">
        <v>0.55979884485162323</v>
      </c>
    </row>
    <row r="79" spans="1:6" x14ac:dyDescent="0.35">
      <c r="A79" s="33" t="s">
        <v>166</v>
      </c>
      <c r="B79" s="203" t="s">
        <v>167</v>
      </c>
      <c r="C79" s="285">
        <v>95378</v>
      </c>
      <c r="D79" s="286">
        <v>48478</v>
      </c>
      <c r="E79" s="286">
        <v>46900</v>
      </c>
      <c r="F79" s="287">
        <v>0.50827234792090414</v>
      </c>
    </row>
    <row r="80" spans="1:6" x14ac:dyDescent="0.35">
      <c r="A80" s="33" t="s">
        <v>168</v>
      </c>
      <c r="B80" s="203" t="s">
        <v>169</v>
      </c>
      <c r="C80" s="285">
        <v>106151</v>
      </c>
      <c r="D80" s="286">
        <v>57997</v>
      </c>
      <c r="E80" s="286">
        <v>48154</v>
      </c>
      <c r="F80" s="287">
        <v>0.54636319959303259</v>
      </c>
    </row>
    <row r="81" spans="1:6" x14ac:dyDescent="0.35">
      <c r="A81" s="33" t="s">
        <v>170</v>
      </c>
      <c r="B81" s="203" t="s">
        <v>171</v>
      </c>
      <c r="C81" s="285">
        <v>65330</v>
      </c>
      <c r="D81" s="286">
        <v>35981</v>
      </c>
      <c r="E81" s="286">
        <v>29349</v>
      </c>
      <c r="F81" s="287">
        <v>0.55075769171896527</v>
      </c>
    </row>
    <row r="82" spans="1:6" x14ac:dyDescent="0.35">
      <c r="A82" s="33" t="s">
        <v>172</v>
      </c>
      <c r="B82" s="203" t="s">
        <v>173</v>
      </c>
      <c r="C82" s="285">
        <v>141902</v>
      </c>
      <c r="D82" s="286">
        <v>82339</v>
      </c>
      <c r="E82" s="286">
        <v>59563</v>
      </c>
      <c r="F82" s="287">
        <v>0.58025256867415542</v>
      </c>
    </row>
    <row r="83" spans="1:6" x14ac:dyDescent="0.35">
      <c r="A83" s="33" t="s">
        <v>174</v>
      </c>
      <c r="B83" s="203" t="s">
        <v>175</v>
      </c>
      <c r="C83" s="285">
        <v>134444</v>
      </c>
      <c r="D83" s="286">
        <v>90691</v>
      </c>
      <c r="E83" s="286">
        <v>43753</v>
      </c>
      <c r="F83" s="287">
        <v>0.67456338698640328</v>
      </c>
    </row>
    <row r="84" spans="1:6" x14ac:dyDescent="0.35">
      <c r="A84" s="33" t="s">
        <v>176</v>
      </c>
      <c r="B84" s="203" t="s">
        <v>177</v>
      </c>
      <c r="C84" s="285">
        <v>111727</v>
      </c>
      <c r="D84" s="286">
        <v>80040</v>
      </c>
      <c r="E84" s="286">
        <v>31687</v>
      </c>
      <c r="F84" s="287">
        <v>0.71638905546555443</v>
      </c>
    </row>
    <row r="85" spans="1:6" x14ac:dyDescent="0.35">
      <c r="A85" s="33" t="s">
        <v>178</v>
      </c>
      <c r="B85" s="203" t="s">
        <v>179</v>
      </c>
      <c r="C85" s="285">
        <v>109239</v>
      </c>
      <c r="D85" s="286">
        <v>61458</v>
      </c>
      <c r="E85" s="286">
        <v>47781</v>
      </c>
      <c r="F85" s="287">
        <v>0.56260126877763439</v>
      </c>
    </row>
    <row r="86" spans="1:6" x14ac:dyDescent="0.35">
      <c r="A86" s="33" t="s">
        <v>429</v>
      </c>
      <c r="B86" s="203" t="s">
        <v>428</v>
      </c>
      <c r="C86" s="285">
        <v>120767</v>
      </c>
      <c r="D86" s="286">
        <v>77091</v>
      </c>
      <c r="E86" s="286">
        <v>43676</v>
      </c>
      <c r="F86" s="287">
        <v>0.638344912103472</v>
      </c>
    </row>
    <row r="87" spans="1:6" x14ac:dyDescent="0.35">
      <c r="A87" s="33" t="s">
        <v>180</v>
      </c>
      <c r="B87" s="203" t="s">
        <v>181</v>
      </c>
      <c r="C87" s="285">
        <v>132426</v>
      </c>
      <c r="D87" s="286">
        <v>83885</v>
      </c>
      <c r="E87" s="286">
        <v>48541</v>
      </c>
      <c r="F87" s="287">
        <v>0.6334481144186187</v>
      </c>
    </row>
    <row r="88" spans="1:6" x14ac:dyDescent="0.35">
      <c r="A88" s="33" t="s">
        <v>182</v>
      </c>
      <c r="B88" s="203" t="s">
        <v>183</v>
      </c>
      <c r="C88" s="285">
        <v>56868</v>
      </c>
      <c r="D88" s="286">
        <v>32681</v>
      </c>
      <c r="E88" s="286">
        <v>24187</v>
      </c>
      <c r="F88" s="287">
        <v>0.57468171906872056</v>
      </c>
    </row>
    <row r="89" spans="1:6" x14ac:dyDescent="0.35">
      <c r="A89" s="33" t="s">
        <v>184</v>
      </c>
      <c r="B89" s="203" t="s">
        <v>185</v>
      </c>
      <c r="C89" s="285">
        <v>160609</v>
      </c>
      <c r="D89" s="286">
        <v>102296</v>
      </c>
      <c r="E89" s="286">
        <v>58313</v>
      </c>
      <c r="F89" s="287">
        <v>0.63692570154848105</v>
      </c>
    </row>
    <row r="90" spans="1:6" x14ac:dyDescent="0.35">
      <c r="A90" s="33" t="s">
        <v>186</v>
      </c>
      <c r="B90" s="203" t="s">
        <v>187</v>
      </c>
      <c r="C90" s="285">
        <v>108129</v>
      </c>
      <c r="D90" s="286">
        <v>71609</v>
      </c>
      <c r="E90" s="286">
        <v>36520</v>
      </c>
      <c r="F90" s="287">
        <v>0.66225526916923305</v>
      </c>
    </row>
    <row r="91" spans="1:6" x14ac:dyDescent="0.35">
      <c r="A91" s="33" t="s">
        <v>188</v>
      </c>
      <c r="B91" s="203" t="s">
        <v>189</v>
      </c>
      <c r="C91" s="285">
        <v>61982</v>
      </c>
      <c r="D91" s="286">
        <v>49373</v>
      </c>
      <c r="E91" s="286">
        <v>12609</v>
      </c>
      <c r="F91" s="287">
        <v>0.7965699719273337</v>
      </c>
    </row>
    <row r="92" spans="1:6" x14ac:dyDescent="0.35">
      <c r="A92" s="33" t="s">
        <v>437</v>
      </c>
      <c r="B92" s="203" t="s">
        <v>436</v>
      </c>
      <c r="C92" s="285">
        <v>240068</v>
      </c>
      <c r="D92" s="286">
        <v>172640</v>
      </c>
      <c r="E92" s="286">
        <v>67428</v>
      </c>
      <c r="F92" s="287">
        <v>0.71912957995234683</v>
      </c>
    </row>
    <row r="93" spans="1:6" x14ac:dyDescent="0.35">
      <c r="A93" s="33" t="s">
        <v>190</v>
      </c>
      <c r="B93" s="203" t="s">
        <v>191</v>
      </c>
      <c r="C93" s="285">
        <v>96768</v>
      </c>
      <c r="D93" s="286">
        <v>47396</v>
      </c>
      <c r="E93" s="286">
        <v>49372</v>
      </c>
      <c r="F93" s="287">
        <v>0.48979001322751325</v>
      </c>
    </row>
    <row r="94" spans="1:6" x14ac:dyDescent="0.35">
      <c r="A94" s="33" t="s">
        <v>192</v>
      </c>
      <c r="B94" s="203" t="s">
        <v>511</v>
      </c>
      <c r="C94" s="285">
        <v>131757</v>
      </c>
      <c r="D94" s="286">
        <v>107077</v>
      </c>
      <c r="E94" s="286">
        <v>24680</v>
      </c>
      <c r="F94" s="287">
        <v>0.81268547401656077</v>
      </c>
    </row>
    <row r="95" spans="1:6" x14ac:dyDescent="0.35">
      <c r="A95" s="33" t="s">
        <v>194</v>
      </c>
      <c r="B95" s="203" t="s">
        <v>195</v>
      </c>
      <c r="C95" s="285">
        <v>70988</v>
      </c>
      <c r="D95" s="286">
        <v>39347</v>
      </c>
      <c r="E95" s="286">
        <v>31641</v>
      </c>
      <c r="F95" s="287">
        <v>0.55427677917394491</v>
      </c>
    </row>
    <row r="96" spans="1:6" x14ac:dyDescent="0.35">
      <c r="A96" s="33" t="s">
        <v>196</v>
      </c>
      <c r="B96" s="203" t="s">
        <v>197</v>
      </c>
      <c r="C96" s="285">
        <v>209160</v>
      </c>
      <c r="D96" s="286">
        <v>122710</v>
      </c>
      <c r="E96" s="286">
        <v>86450</v>
      </c>
      <c r="F96" s="287">
        <v>0.58668005354752339</v>
      </c>
    </row>
    <row r="97" spans="1:6" x14ac:dyDescent="0.35">
      <c r="A97" s="33" t="s">
        <v>198</v>
      </c>
      <c r="B97" s="204" t="s">
        <v>199</v>
      </c>
      <c r="C97" s="285">
        <v>85408</v>
      </c>
      <c r="D97" s="286">
        <v>42462</v>
      </c>
      <c r="E97" s="286">
        <v>42946</v>
      </c>
      <c r="F97" s="287">
        <v>0.49716654177594605</v>
      </c>
    </row>
    <row r="98" spans="1:6" x14ac:dyDescent="0.35">
      <c r="A98" s="33" t="s">
        <v>200</v>
      </c>
      <c r="B98" s="203" t="s">
        <v>201</v>
      </c>
      <c r="C98" s="285">
        <v>404795</v>
      </c>
      <c r="D98" s="286">
        <v>238035</v>
      </c>
      <c r="E98" s="286">
        <v>166760</v>
      </c>
      <c r="F98" s="287">
        <v>0.58803838980224554</v>
      </c>
    </row>
    <row r="99" spans="1:6" x14ac:dyDescent="0.35">
      <c r="A99" s="33" t="s">
        <v>202</v>
      </c>
      <c r="B99" s="203" t="s">
        <v>203</v>
      </c>
      <c r="C99" s="285">
        <v>159163</v>
      </c>
      <c r="D99" s="286">
        <v>114052</v>
      </c>
      <c r="E99" s="286">
        <v>45111</v>
      </c>
      <c r="F99" s="287">
        <v>0.71657357551692291</v>
      </c>
    </row>
    <row r="100" spans="1:6" x14ac:dyDescent="0.35">
      <c r="A100" s="33" t="s">
        <v>204</v>
      </c>
      <c r="B100" s="203" t="s">
        <v>205</v>
      </c>
      <c r="C100" s="285">
        <v>145860</v>
      </c>
      <c r="D100" s="286">
        <v>87614</v>
      </c>
      <c r="E100" s="286">
        <v>58246</v>
      </c>
      <c r="F100" s="287">
        <v>0.60067187714246539</v>
      </c>
    </row>
    <row r="101" spans="1:6" x14ac:dyDescent="0.35">
      <c r="A101" s="33" t="s">
        <v>206</v>
      </c>
      <c r="B101" s="203" t="s">
        <v>207</v>
      </c>
      <c r="C101" s="285">
        <v>155224</v>
      </c>
      <c r="D101" s="286">
        <v>94585</v>
      </c>
      <c r="E101" s="286">
        <v>60639</v>
      </c>
      <c r="F101" s="287">
        <v>0.60934520434984285</v>
      </c>
    </row>
    <row r="102" spans="1:6" x14ac:dyDescent="0.35">
      <c r="A102" s="33" t="s">
        <v>208</v>
      </c>
      <c r="B102" s="203" t="s">
        <v>209</v>
      </c>
      <c r="C102" s="285">
        <v>116469</v>
      </c>
      <c r="D102" s="286">
        <v>84005</v>
      </c>
      <c r="E102" s="286">
        <v>32464</v>
      </c>
      <c r="F102" s="287">
        <v>0.72126488593531324</v>
      </c>
    </row>
    <row r="103" spans="1:6" x14ac:dyDescent="0.35">
      <c r="A103" s="33" t="s">
        <v>210</v>
      </c>
      <c r="B103" s="203" t="s">
        <v>512</v>
      </c>
      <c r="C103" s="285">
        <v>253226</v>
      </c>
      <c r="D103" s="286">
        <v>142434</v>
      </c>
      <c r="E103" s="286">
        <v>110792</v>
      </c>
      <c r="F103" s="287">
        <v>0.5624777866411822</v>
      </c>
    </row>
    <row r="104" spans="1:6" x14ac:dyDescent="0.35">
      <c r="A104" s="33" t="s">
        <v>212</v>
      </c>
      <c r="B104" s="203" t="s">
        <v>213</v>
      </c>
      <c r="C104" s="285">
        <v>163761</v>
      </c>
      <c r="D104" s="286">
        <v>104609</v>
      </c>
      <c r="E104" s="286">
        <v>59152</v>
      </c>
      <c r="F104" s="287">
        <v>0.63879067665683531</v>
      </c>
    </row>
    <row r="105" spans="1:6" x14ac:dyDescent="0.35">
      <c r="A105" s="33" t="s">
        <v>214</v>
      </c>
      <c r="B105" s="203" t="s">
        <v>215</v>
      </c>
      <c r="C105" s="285">
        <v>120886</v>
      </c>
      <c r="D105" s="286">
        <v>80672</v>
      </c>
      <c r="E105" s="286">
        <v>40214</v>
      </c>
      <c r="F105" s="287">
        <v>0.6673394768624985</v>
      </c>
    </row>
    <row r="106" spans="1:6" x14ac:dyDescent="0.35">
      <c r="A106" s="33" t="s">
        <v>216</v>
      </c>
      <c r="B106" s="203" t="s">
        <v>217</v>
      </c>
      <c r="C106" s="285">
        <v>124839</v>
      </c>
      <c r="D106" s="286">
        <v>82032</v>
      </c>
      <c r="E106" s="286">
        <v>42807</v>
      </c>
      <c r="F106" s="287">
        <v>0.65710234782399735</v>
      </c>
    </row>
    <row r="107" spans="1:6" x14ac:dyDescent="0.35">
      <c r="A107" s="33" t="s">
        <v>218</v>
      </c>
      <c r="B107" s="203" t="s">
        <v>219</v>
      </c>
      <c r="C107" s="285">
        <v>90247</v>
      </c>
      <c r="D107" s="286">
        <v>43774</v>
      </c>
      <c r="E107" s="286">
        <v>46473</v>
      </c>
      <c r="F107" s="287">
        <v>0.4850465943466265</v>
      </c>
    </row>
    <row r="108" spans="1:6" x14ac:dyDescent="0.35">
      <c r="A108" s="33" t="s">
        <v>220</v>
      </c>
      <c r="B108" s="203" t="s">
        <v>221</v>
      </c>
      <c r="C108" s="285">
        <v>109793</v>
      </c>
      <c r="D108" s="286">
        <v>73991</v>
      </c>
      <c r="E108" s="286">
        <v>35802</v>
      </c>
      <c r="F108" s="287">
        <v>0.6739136374814424</v>
      </c>
    </row>
    <row r="109" spans="1:6" x14ac:dyDescent="0.35">
      <c r="A109" s="33" t="s">
        <v>222</v>
      </c>
      <c r="B109" s="203" t="s">
        <v>223</v>
      </c>
      <c r="C109" s="285">
        <v>106784</v>
      </c>
      <c r="D109" s="286">
        <v>65019</v>
      </c>
      <c r="E109" s="286">
        <v>41765</v>
      </c>
      <c r="F109" s="287">
        <v>0.60888335331135746</v>
      </c>
    </row>
    <row r="110" spans="1:6" x14ac:dyDescent="0.35">
      <c r="A110" s="33" t="s">
        <v>224</v>
      </c>
      <c r="B110" s="203" t="s">
        <v>225</v>
      </c>
      <c r="C110" s="285">
        <v>136706</v>
      </c>
      <c r="D110" s="286">
        <v>98392</v>
      </c>
      <c r="E110" s="286">
        <v>38314</v>
      </c>
      <c r="F110" s="287">
        <v>0.71973432036633356</v>
      </c>
    </row>
    <row r="111" spans="1:6" x14ac:dyDescent="0.35">
      <c r="A111" s="33" t="s">
        <v>226</v>
      </c>
      <c r="B111" s="203" t="s">
        <v>227</v>
      </c>
      <c r="C111" s="285">
        <v>154314</v>
      </c>
      <c r="D111" s="286">
        <v>81761</v>
      </c>
      <c r="E111" s="286">
        <v>72553</v>
      </c>
      <c r="F111" s="287">
        <v>0.52983527094106819</v>
      </c>
    </row>
    <row r="112" spans="1:6" x14ac:dyDescent="0.35">
      <c r="A112" s="33" t="s">
        <v>443</v>
      </c>
      <c r="B112" s="203" t="s">
        <v>442</v>
      </c>
      <c r="C112" s="285">
        <v>57400</v>
      </c>
      <c r="D112" s="286">
        <v>29845</v>
      </c>
      <c r="E112" s="286">
        <v>27555</v>
      </c>
      <c r="F112" s="287">
        <v>0.51994773519163762</v>
      </c>
    </row>
    <row r="113" spans="1:6" x14ac:dyDescent="0.35">
      <c r="A113" s="33" t="s">
        <v>228</v>
      </c>
      <c r="B113" s="203" t="s">
        <v>513</v>
      </c>
      <c r="C113" s="285">
        <v>110011</v>
      </c>
      <c r="D113" s="286">
        <v>47443</v>
      </c>
      <c r="E113" s="286">
        <v>62568</v>
      </c>
      <c r="F113" s="287">
        <v>0.43125687431256876</v>
      </c>
    </row>
    <row r="114" spans="1:6" x14ac:dyDescent="0.35">
      <c r="A114" s="33" t="s">
        <v>230</v>
      </c>
      <c r="B114" s="203" t="s">
        <v>231</v>
      </c>
      <c r="C114" s="285">
        <v>138219</v>
      </c>
      <c r="D114" s="286">
        <v>61922</v>
      </c>
      <c r="E114" s="286">
        <v>76297</v>
      </c>
      <c r="F114" s="287">
        <v>0.44799918969172109</v>
      </c>
    </row>
    <row r="115" spans="1:6" x14ac:dyDescent="0.35">
      <c r="A115" s="33" t="s">
        <v>232</v>
      </c>
      <c r="B115" s="203" t="s">
        <v>233</v>
      </c>
      <c r="C115" s="285">
        <v>260616</v>
      </c>
      <c r="D115" s="286">
        <v>148979</v>
      </c>
      <c r="E115" s="286">
        <v>111637</v>
      </c>
      <c r="F115" s="287">
        <v>0.57164180249869545</v>
      </c>
    </row>
    <row r="116" spans="1:6" x14ac:dyDescent="0.35">
      <c r="A116" s="33" t="s">
        <v>234</v>
      </c>
      <c r="B116" s="203" t="s">
        <v>235</v>
      </c>
      <c r="C116" s="285">
        <v>225162</v>
      </c>
      <c r="D116" s="286">
        <v>182429</v>
      </c>
      <c r="E116" s="286">
        <v>42733</v>
      </c>
      <c r="F116" s="287">
        <v>0.81021220276956152</v>
      </c>
    </row>
    <row r="117" spans="1:6" x14ac:dyDescent="0.35">
      <c r="A117" s="33" t="s">
        <v>236</v>
      </c>
      <c r="B117" s="203" t="s">
        <v>448</v>
      </c>
      <c r="C117" s="285">
        <v>99026</v>
      </c>
      <c r="D117" s="286">
        <v>62639</v>
      </c>
      <c r="E117" s="286">
        <v>36387</v>
      </c>
      <c r="F117" s="287">
        <v>0.63255104719972532</v>
      </c>
    </row>
    <row r="118" spans="1:6" x14ac:dyDescent="0.35">
      <c r="A118" s="33" t="s">
        <v>238</v>
      </c>
      <c r="B118" s="203" t="s">
        <v>239</v>
      </c>
      <c r="C118" s="285">
        <v>107900</v>
      </c>
      <c r="D118" s="286">
        <v>50131</v>
      </c>
      <c r="E118" s="286">
        <v>57769</v>
      </c>
      <c r="F118" s="287">
        <v>0.46460611677479147</v>
      </c>
    </row>
    <row r="119" spans="1:6" x14ac:dyDescent="0.35">
      <c r="A119" s="33" t="s">
        <v>240</v>
      </c>
      <c r="B119" s="203" t="s">
        <v>241</v>
      </c>
      <c r="C119" s="285">
        <v>97132</v>
      </c>
      <c r="D119" s="286">
        <v>57098</v>
      </c>
      <c r="E119" s="286">
        <v>40034</v>
      </c>
      <c r="F119" s="287">
        <v>0.58783922909031006</v>
      </c>
    </row>
    <row r="120" spans="1:6" x14ac:dyDescent="0.35">
      <c r="A120" s="33" t="s">
        <v>242</v>
      </c>
      <c r="B120" s="203" t="s">
        <v>243</v>
      </c>
      <c r="C120" s="285">
        <v>155956</v>
      </c>
      <c r="D120" s="286">
        <v>74853</v>
      </c>
      <c r="E120" s="286">
        <v>81103</v>
      </c>
      <c r="F120" s="287">
        <v>0.47996229705814458</v>
      </c>
    </row>
    <row r="121" spans="1:6" x14ac:dyDescent="0.35">
      <c r="A121" s="33" t="s">
        <v>244</v>
      </c>
      <c r="B121" s="203" t="s">
        <v>449</v>
      </c>
      <c r="C121" s="285">
        <v>84722</v>
      </c>
      <c r="D121" s="286">
        <v>42159</v>
      </c>
      <c r="E121" s="286">
        <v>42563</v>
      </c>
      <c r="F121" s="287">
        <v>0.49761573145109889</v>
      </c>
    </row>
    <row r="122" spans="1:6" x14ac:dyDescent="0.35">
      <c r="A122" s="33" t="s">
        <v>246</v>
      </c>
      <c r="B122" s="205" t="s">
        <v>247</v>
      </c>
      <c r="C122" s="285">
        <v>184579</v>
      </c>
      <c r="D122" s="286">
        <v>127710</v>
      </c>
      <c r="E122" s="286">
        <v>56869</v>
      </c>
      <c r="F122" s="288">
        <v>0.69189886173400006</v>
      </c>
    </row>
    <row r="123" spans="1:6" x14ac:dyDescent="0.35">
      <c r="A123" s="33" t="s">
        <v>453</v>
      </c>
      <c r="B123" s="205" t="s">
        <v>452</v>
      </c>
      <c r="C123" s="285">
        <v>187871</v>
      </c>
      <c r="D123" s="286">
        <v>93804</v>
      </c>
      <c r="E123" s="289">
        <v>94067</v>
      </c>
      <c r="F123" s="290">
        <v>0.49930005163117247</v>
      </c>
    </row>
    <row r="124" spans="1:6" x14ac:dyDescent="0.35">
      <c r="A124" s="33" t="s">
        <v>248</v>
      </c>
      <c r="B124" s="205" t="s">
        <v>249</v>
      </c>
      <c r="C124" s="285">
        <v>123781</v>
      </c>
      <c r="D124" s="286">
        <v>80807</v>
      </c>
      <c r="E124" s="289">
        <v>42974</v>
      </c>
      <c r="F124" s="290">
        <v>0.65282232329679035</v>
      </c>
    </row>
    <row r="125" spans="1:6" x14ac:dyDescent="0.35">
      <c r="A125" s="33" t="s">
        <v>455</v>
      </c>
      <c r="B125" s="205" t="s">
        <v>454</v>
      </c>
      <c r="C125" s="285">
        <v>199209</v>
      </c>
      <c r="D125" s="286">
        <v>118400</v>
      </c>
      <c r="E125" s="289">
        <v>80809</v>
      </c>
      <c r="F125" s="290">
        <v>0.59435065684783317</v>
      </c>
    </row>
    <row r="126" spans="1:6" x14ac:dyDescent="0.35">
      <c r="A126" s="33" t="s">
        <v>250</v>
      </c>
      <c r="B126" s="205" t="s">
        <v>251</v>
      </c>
      <c r="C126" s="285">
        <v>167776</v>
      </c>
      <c r="D126" s="286">
        <v>92746</v>
      </c>
      <c r="E126" s="289">
        <v>75030</v>
      </c>
      <c r="F126" s="290">
        <v>0.55279658592408931</v>
      </c>
    </row>
    <row r="127" spans="1:6" x14ac:dyDescent="0.35">
      <c r="A127" s="33" t="s">
        <v>252</v>
      </c>
      <c r="B127" s="205" t="s">
        <v>253</v>
      </c>
      <c r="C127" s="285">
        <v>108225</v>
      </c>
      <c r="D127" s="286">
        <v>58733</v>
      </c>
      <c r="E127" s="289">
        <v>49492</v>
      </c>
      <c r="F127" s="290">
        <v>0.54269346269346275</v>
      </c>
    </row>
    <row r="128" spans="1:6" x14ac:dyDescent="0.35">
      <c r="A128" s="33" t="s">
        <v>254</v>
      </c>
      <c r="B128" s="205" t="s">
        <v>255</v>
      </c>
      <c r="C128" s="285">
        <v>144230</v>
      </c>
      <c r="D128" s="286">
        <v>89349</v>
      </c>
      <c r="E128" s="289">
        <v>54881</v>
      </c>
      <c r="F128" s="290">
        <v>0.61948970394508773</v>
      </c>
    </row>
    <row r="129" spans="1:6" x14ac:dyDescent="0.35">
      <c r="A129" s="33" t="s">
        <v>256</v>
      </c>
      <c r="B129" s="205" t="s">
        <v>257</v>
      </c>
      <c r="C129" s="285">
        <v>153436</v>
      </c>
      <c r="D129" s="286">
        <v>88052</v>
      </c>
      <c r="E129" s="289">
        <v>65384</v>
      </c>
      <c r="F129" s="290">
        <v>0.57386793190646268</v>
      </c>
    </row>
    <row r="130" spans="1:6" x14ac:dyDescent="0.35">
      <c r="A130" s="33" t="s">
        <v>258</v>
      </c>
      <c r="B130" s="205" t="s">
        <v>259</v>
      </c>
      <c r="C130" s="285">
        <v>123233</v>
      </c>
      <c r="D130" s="286">
        <v>77985</v>
      </c>
      <c r="E130" s="289">
        <v>45248</v>
      </c>
      <c r="F130" s="290">
        <v>0.63282562300682443</v>
      </c>
    </row>
    <row r="131" spans="1:6" x14ac:dyDescent="0.35">
      <c r="A131" s="33" t="s">
        <v>260</v>
      </c>
      <c r="B131" s="205" t="s">
        <v>261</v>
      </c>
      <c r="C131" s="285">
        <v>155298</v>
      </c>
      <c r="D131" s="286">
        <v>101113</v>
      </c>
      <c r="E131" s="289">
        <v>54185</v>
      </c>
      <c r="F131" s="290">
        <v>0.65109016213988591</v>
      </c>
    </row>
    <row r="132" spans="1:6" x14ac:dyDescent="0.35">
      <c r="A132" s="33" t="s">
        <v>262</v>
      </c>
      <c r="B132" s="205" t="s">
        <v>456</v>
      </c>
      <c r="C132" s="285">
        <v>124200</v>
      </c>
      <c r="D132" s="286">
        <v>53100</v>
      </c>
      <c r="E132" s="289">
        <v>71100</v>
      </c>
      <c r="F132" s="290">
        <v>0.42753623188405798</v>
      </c>
    </row>
    <row r="133" spans="1:6" x14ac:dyDescent="0.35">
      <c r="A133" s="33" t="s">
        <v>469</v>
      </c>
      <c r="B133" s="205" t="s">
        <v>468</v>
      </c>
      <c r="C133" s="285">
        <v>142021</v>
      </c>
      <c r="D133" s="286">
        <v>82527</v>
      </c>
      <c r="E133" s="289">
        <v>59494</v>
      </c>
      <c r="F133" s="290">
        <v>0.58109012047514097</v>
      </c>
    </row>
    <row r="134" spans="1:6" ht="15" thickBot="1" x14ac:dyDescent="0.4">
      <c r="A134" s="34" t="s">
        <v>264</v>
      </c>
      <c r="B134" s="206" t="s">
        <v>265</v>
      </c>
      <c r="C134" s="291">
        <v>292691</v>
      </c>
      <c r="D134" s="292">
        <v>171100</v>
      </c>
      <c r="E134" s="293">
        <v>121591</v>
      </c>
      <c r="F134" s="294">
        <v>0.5845755421246297</v>
      </c>
    </row>
    <row r="135" spans="1:6" x14ac:dyDescent="0.35">
      <c r="C135" s="194"/>
      <c r="D135" s="194"/>
      <c r="E135" s="194"/>
    </row>
    <row r="136" spans="1:6" x14ac:dyDescent="0.35">
      <c r="E136" s="194"/>
    </row>
  </sheetData>
  <mergeCells count="9">
    <mergeCell ref="C11:F11"/>
    <mergeCell ref="A10:G10"/>
    <mergeCell ref="A6:H6"/>
    <mergeCell ref="A7:H7"/>
    <mergeCell ref="A1:F1"/>
    <mergeCell ref="A3:G3"/>
    <mergeCell ref="A4:G4"/>
    <mergeCell ref="A9:G9"/>
    <mergeCell ref="A5:E5"/>
  </mergeCells>
  <hyperlinks>
    <hyperlink ref="A7" r:id="rId1" xr:uid="{1B2E49EF-3219-4EF2-84EB-311604F9C177}"/>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6ED76-47F7-4BBC-A717-8D20B32AA5C2}">
  <dimension ref="A1:N13"/>
  <sheetViews>
    <sheetView showGridLines="0" zoomScaleNormal="100" workbookViewId="0">
      <selection activeCell="A3" sqref="A3"/>
    </sheetView>
  </sheetViews>
  <sheetFormatPr defaultColWidth="8.84375" defaultRowHeight="14.5" x14ac:dyDescent="0.35"/>
  <cols>
    <col min="1" max="1" width="13.53515625" style="4" customWidth="1"/>
    <col min="2" max="2" width="6.84375" style="4" customWidth="1"/>
    <col min="3" max="3" width="6.3046875" style="4" customWidth="1"/>
    <col min="4" max="9" width="6.4609375" style="4" bestFit="1" customWidth="1"/>
    <col min="10" max="13" width="7.07421875" style="4" customWidth="1"/>
    <col min="14" max="14" width="7.84375" style="4" customWidth="1"/>
    <col min="15" max="16384" width="8.84375" style="4"/>
  </cols>
  <sheetData>
    <row r="1" spans="1:14" ht="84" customHeight="1" x14ac:dyDescent="0.35">
      <c r="A1" s="363"/>
      <c r="B1" s="363"/>
      <c r="C1" s="363"/>
      <c r="D1" s="363"/>
      <c r="E1" s="363"/>
      <c r="F1" s="363"/>
    </row>
    <row r="2" spans="1:14" x14ac:dyDescent="0.35">
      <c r="A2" s="3" t="s">
        <v>0</v>
      </c>
      <c r="B2" s="3" t="s">
        <v>0</v>
      </c>
      <c r="C2" s="3" t="s">
        <v>0</v>
      </c>
      <c r="D2" s="3" t="s">
        <v>0</v>
      </c>
      <c r="E2" s="3" t="s">
        <v>0</v>
      </c>
      <c r="F2" s="3" t="s">
        <v>0</v>
      </c>
      <c r="G2" s="3" t="s">
        <v>0</v>
      </c>
    </row>
    <row r="3" spans="1:14" ht="23" x14ac:dyDescent="0.35">
      <c r="A3" s="196" t="s">
        <v>268</v>
      </c>
      <c r="B3" s="196"/>
      <c r="C3" s="196"/>
      <c r="D3" s="196"/>
      <c r="E3" s="196"/>
      <c r="F3" s="196"/>
      <c r="G3" s="196"/>
    </row>
    <row r="4" spans="1:14" ht="29.25" customHeight="1" x14ac:dyDescent="0.35">
      <c r="A4" s="370" t="s">
        <v>624</v>
      </c>
      <c r="B4" s="370"/>
      <c r="C4" s="370"/>
      <c r="D4" s="370"/>
      <c r="E4" s="370"/>
      <c r="F4" s="370"/>
      <c r="G4" s="370"/>
      <c r="H4" s="370"/>
      <c r="I4" s="370"/>
    </row>
    <row r="5" spans="1:14" x14ac:dyDescent="0.35">
      <c r="A5" s="371" t="s">
        <v>26</v>
      </c>
      <c r="B5" s="371"/>
      <c r="C5" s="371"/>
      <c r="D5" s="371"/>
      <c r="E5" s="371"/>
      <c r="F5" s="371"/>
      <c r="G5" s="371"/>
      <c r="H5" s="371"/>
      <c r="I5" s="371"/>
      <c r="J5" s="371"/>
      <c r="K5" s="371"/>
    </row>
    <row r="6" spans="1:14" ht="14.5" customHeight="1" x14ac:dyDescent="0.35">
      <c r="A6" s="361" t="s">
        <v>592</v>
      </c>
      <c r="B6" s="361"/>
      <c r="C6" s="361"/>
      <c r="D6" s="361"/>
      <c r="E6" s="361"/>
      <c r="F6" s="361"/>
      <c r="G6" s="361"/>
      <c r="H6" s="361"/>
      <c r="I6" s="26"/>
      <c r="J6" s="26"/>
      <c r="K6" s="26"/>
    </row>
    <row r="7" spans="1:14" x14ac:dyDescent="0.35">
      <c r="A7" s="368" t="s">
        <v>620</v>
      </c>
      <c r="B7" s="372"/>
      <c r="C7" s="372"/>
      <c r="D7" s="372"/>
      <c r="E7" s="372"/>
      <c r="F7" s="372"/>
      <c r="G7" s="372"/>
      <c r="H7" s="372"/>
      <c r="I7" s="376"/>
      <c r="J7" s="376"/>
      <c r="K7" s="376"/>
      <c r="L7" s="376"/>
      <c r="M7" s="376"/>
      <c r="N7" s="376"/>
    </row>
    <row r="8" spans="1:14" x14ac:dyDescent="0.35">
      <c r="A8" s="10" t="s">
        <v>617</v>
      </c>
    </row>
    <row r="9" spans="1:14" ht="15.5" x14ac:dyDescent="0.35">
      <c r="A9" s="362" t="s">
        <v>2</v>
      </c>
      <c r="B9" s="375"/>
      <c r="C9" s="375"/>
      <c r="D9" s="375"/>
      <c r="E9" s="375"/>
      <c r="F9" s="375"/>
      <c r="G9" s="375"/>
      <c r="H9" s="373"/>
      <c r="I9" s="373"/>
      <c r="J9" s="373"/>
    </row>
    <row r="10" spans="1:14" ht="15.5" x14ac:dyDescent="0.35">
      <c r="A10" s="362" t="s">
        <v>1</v>
      </c>
      <c r="B10" s="375"/>
      <c r="C10" s="375"/>
      <c r="D10" s="375"/>
      <c r="E10" s="375"/>
      <c r="F10" s="375"/>
      <c r="G10" s="375"/>
      <c r="H10" s="373"/>
      <c r="I10" s="373"/>
      <c r="J10" s="373"/>
    </row>
    <row r="11" spans="1:14" ht="15" thickBot="1" x14ac:dyDescent="0.4">
      <c r="A11" s="3" t="s">
        <v>0</v>
      </c>
      <c r="B11" s="3" t="s">
        <v>0</v>
      </c>
      <c r="C11" s="3" t="s">
        <v>0</v>
      </c>
      <c r="D11" s="3" t="s">
        <v>0</v>
      </c>
      <c r="E11" s="3" t="s">
        <v>0</v>
      </c>
      <c r="F11" s="3" t="s">
        <v>0</v>
      </c>
      <c r="G11" s="3" t="s">
        <v>0</v>
      </c>
    </row>
    <row r="12" spans="1:14" ht="15" thickBot="1" x14ac:dyDescent="0.4">
      <c r="A12" s="27"/>
      <c r="B12" s="21" t="s">
        <v>496</v>
      </c>
      <c r="C12" s="21" t="s">
        <v>497</v>
      </c>
      <c r="D12" s="21" t="s">
        <v>498</v>
      </c>
      <c r="E12" s="21" t="s">
        <v>499</v>
      </c>
      <c r="F12" s="21" t="s">
        <v>500</v>
      </c>
      <c r="G12" s="21" t="s">
        <v>501</v>
      </c>
      <c r="H12" s="21" t="s">
        <v>502</v>
      </c>
      <c r="I12" s="21" t="s">
        <v>503</v>
      </c>
      <c r="J12" s="21" t="s">
        <v>17</v>
      </c>
      <c r="K12" s="21" t="s">
        <v>18</v>
      </c>
      <c r="L12" s="21" t="s">
        <v>21</v>
      </c>
      <c r="M12" s="21" t="s">
        <v>507</v>
      </c>
      <c r="N12" s="28" t="s">
        <v>616</v>
      </c>
    </row>
    <row r="13" spans="1:14" ht="25.5" thickBot="1" x14ac:dyDescent="0.4">
      <c r="A13" s="19" t="s">
        <v>270</v>
      </c>
      <c r="B13" s="35">
        <v>170</v>
      </c>
      <c r="C13" s="35">
        <v>240</v>
      </c>
      <c r="D13" s="35">
        <v>1243</v>
      </c>
      <c r="E13" s="35">
        <v>1014</v>
      </c>
      <c r="F13" s="35">
        <v>3502</v>
      </c>
      <c r="G13" s="35">
        <v>3471</v>
      </c>
      <c r="H13" s="35">
        <v>3262</v>
      </c>
      <c r="I13" s="35">
        <v>25504</v>
      </c>
      <c r="J13" s="35">
        <v>14150</v>
      </c>
      <c r="K13" s="35">
        <v>98564</v>
      </c>
      <c r="L13" s="35">
        <v>410092</v>
      </c>
      <c r="M13" s="35">
        <v>439411</v>
      </c>
      <c r="N13" s="36">
        <v>532451</v>
      </c>
    </row>
  </sheetData>
  <mergeCells count="7">
    <mergeCell ref="A10:J10"/>
    <mergeCell ref="A9:J9"/>
    <mergeCell ref="A6:H6"/>
    <mergeCell ref="A1:F1"/>
    <mergeCell ref="A5:K5"/>
    <mergeCell ref="A7:N7"/>
    <mergeCell ref="A4:I4"/>
  </mergeCells>
  <hyperlinks>
    <hyperlink ref="A7" r:id="rId1" xr:uid="{8486D528-3FC3-4009-99C3-51B6D252311D}"/>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5AE28-57AB-4465-9AAC-878725F16ADA}">
  <dimension ref="A1:N23"/>
  <sheetViews>
    <sheetView showGridLines="0" zoomScaleNormal="100" workbookViewId="0">
      <selection activeCell="A3" sqref="A3"/>
    </sheetView>
  </sheetViews>
  <sheetFormatPr defaultColWidth="8.84375" defaultRowHeight="14.5" x14ac:dyDescent="0.35"/>
  <cols>
    <col min="1" max="1" width="13" style="4" customWidth="1"/>
    <col min="2" max="7" width="9.4609375" style="4" customWidth="1"/>
    <col min="8" max="16384" width="8.84375" style="4"/>
  </cols>
  <sheetData>
    <row r="1" spans="1:14" ht="84" customHeight="1" x14ac:dyDescent="0.35">
      <c r="A1" s="363"/>
      <c r="B1" s="363"/>
      <c r="C1" s="363"/>
      <c r="D1" s="363"/>
    </row>
    <row r="2" spans="1:14" x14ac:dyDescent="0.35">
      <c r="A2" s="3" t="s">
        <v>0</v>
      </c>
      <c r="B2" s="3" t="s">
        <v>0</v>
      </c>
      <c r="C2" s="3" t="s">
        <v>0</v>
      </c>
      <c r="D2" s="3" t="s">
        <v>0</v>
      </c>
      <c r="E2" s="3" t="s">
        <v>0</v>
      </c>
    </row>
    <row r="3" spans="1:14" ht="23" x14ac:dyDescent="0.35">
      <c r="A3" s="196" t="s">
        <v>271</v>
      </c>
      <c r="B3" s="196"/>
      <c r="C3" s="196"/>
      <c r="D3" s="196"/>
      <c r="E3" s="196"/>
    </row>
    <row r="4" spans="1:14" ht="29.25" customHeight="1" x14ac:dyDescent="0.35">
      <c r="A4" s="370" t="s">
        <v>285</v>
      </c>
      <c r="B4" s="370"/>
      <c r="C4" s="370"/>
      <c r="D4" s="370"/>
      <c r="E4" s="370"/>
    </row>
    <row r="5" spans="1:14" ht="14.5" customHeight="1" x14ac:dyDescent="0.35">
      <c r="A5" s="361" t="s">
        <v>592</v>
      </c>
      <c r="B5" s="361"/>
      <c r="C5" s="361"/>
      <c r="D5" s="361"/>
      <c r="E5" s="361"/>
      <c r="F5" s="361"/>
      <c r="G5" s="361"/>
      <c r="H5" s="361"/>
      <c r="I5" s="26"/>
    </row>
    <row r="6" spans="1:14" x14ac:dyDescent="0.35">
      <c r="A6" s="368" t="s">
        <v>620</v>
      </c>
      <c r="B6" s="372"/>
      <c r="C6" s="372"/>
      <c r="D6" s="372"/>
      <c r="E6" s="372"/>
      <c r="F6" s="372"/>
      <c r="G6" s="372"/>
      <c r="H6" s="372"/>
      <c r="I6" s="376"/>
      <c r="J6" s="376"/>
      <c r="K6" s="376"/>
      <c r="L6" s="376"/>
      <c r="M6" s="376"/>
      <c r="N6" s="376"/>
    </row>
    <row r="7" spans="1:14" x14ac:dyDescent="0.35">
      <c r="A7" s="10" t="s">
        <v>617</v>
      </c>
    </row>
    <row r="8" spans="1:14" ht="15.5" x14ac:dyDescent="0.35">
      <c r="A8" s="362" t="s">
        <v>26</v>
      </c>
      <c r="B8" s="375"/>
      <c r="C8" s="375"/>
      <c r="D8" s="375"/>
      <c r="E8" s="375"/>
      <c r="F8" s="373"/>
      <c r="G8" s="373"/>
      <c r="H8" s="373"/>
    </row>
    <row r="9" spans="1:14" ht="15.5" x14ac:dyDescent="0.35">
      <c r="A9" s="362" t="s">
        <v>1</v>
      </c>
      <c r="B9" s="375"/>
      <c r="C9" s="375"/>
      <c r="D9" s="375"/>
      <c r="E9" s="375"/>
      <c r="F9" s="373"/>
      <c r="G9" s="373"/>
    </row>
    <row r="10" spans="1:14" ht="15" thickBot="1" x14ac:dyDescent="0.4">
      <c r="A10" s="3" t="s">
        <v>0</v>
      </c>
      <c r="B10" s="3" t="s">
        <v>0</v>
      </c>
      <c r="C10" s="3" t="s">
        <v>0</v>
      </c>
      <c r="D10" s="3" t="s">
        <v>0</v>
      </c>
      <c r="E10" s="3" t="s">
        <v>0</v>
      </c>
    </row>
    <row r="11" spans="1:14" ht="15" thickBot="1" x14ac:dyDescent="0.4">
      <c r="A11" s="207"/>
      <c r="B11" s="347" t="s">
        <v>502</v>
      </c>
      <c r="C11" s="348" t="s">
        <v>503</v>
      </c>
      <c r="D11" s="348" t="s">
        <v>17</v>
      </c>
      <c r="E11" s="348" t="s">
        <v>18</v>
      </c>
      <c r="F11" s="348" t="s">
        <v>21</v>
      </c>
      <c r="G11" s="348" t="s">
        <v>507</v>
      </c>
      <c r="H11" s="349" t="s">
        <v>616</v>
      </c>
    </row>
    <row r="12" spans="1:14" x14ac:dyDescent="0.35">
      <c r="A12" s="37" t="s">
        <v>273</v>
      </c>
      <c r="B12" s="208">
        <v>66145.633333333331</v>
      </c>
      <c r="C12" s="208">
        <v>70405.5</v>
      </c>
      <c r="D12" s="208">
        <v>30552.5</v>
      </c>
      <c r="E12" s="208">
        <v>62207.73333333333</v>
      </c>
      <c r="F12" s="208">
        <v>67626.53333333334</v>
      </c>
      <c r="G12" s="208">
        <v>67801.333333333328</v>
      </c>
      <c r="H12" s="295">
        <v>74688.933333333334</v>
      </c>
    </row>
    <row r="13" spans="1:14" x14ac:dyDescent="0.35">
      <c r="A13" s="38" t="s">
        <v>274</v>
      </c>
      <c r="B13" s="164">
        <v>69821.225806451606</v>
      </c>
      <c r="C13" s="164">
        <v>70064.709677419349</v>
      </c>
      <c r="D13" s="164">
        <v>40704.419354838712</v>
      </c>
      <c r="E13" s="164">
        <v>66952.967741935485</v>
      </c>
      <c r="F13" s="164">
        <v>72033.967741935485</v>
      </c>
      <c r="G13" s="164">
        <v>72449</v>
      </c>
      <c r="H13" s="296">
        <v>77944.903225806454</v>
      </c>
    </row>
    <row r="14" spans="1:14" x14ac:dyDescent="0.35">
      <c r="A14" s="38" t="s">
        <v>275</v>
      </c>
      <c r="B14" s="164">
        <v>69798.066666666666</v>
      </c>
      <c r="C14" s="164">
        <v>70266.233333333337</v>
      </c>
      <c r="D14" s="164">
        <v>47020.066666666666</v>
      </c>
      <c r="E14" s="164">
        <v>71904.399999999994</v>
      </c>
      <c r="F14" s="164">
        <v>73056.366666666669</v>
      </c>
      <c r="G14" s="164">
        <v>74190.866666666669</v>
      </c>
      <c r="H14" s="296">
        <v>76468.833333333328</v>
      </c>
    </row>
    <row r="15" spans="1:14" x14ac:dyDescent="0.35">
      <c r="A15" s="38" t="s">
        <v>276</v>
      </c>
      <c r="B15" s="164">
        <v>70319.225806451606</v>
      </c>
      <c r="C15" s="164">
        <v>73066.129032258061</v>
      </c>
      <c r="D15" s="164">
        <v>51235.032258064515</v>
      </c>
      <c r="E15" s="164">
        <v>69681.548387096773</v>
      </c>
      <c r="F15" s="164">
        <v>70375.967741935485</v>
      </c>
      <c r="G15" s="164">
        <v>70960.870967741939</v>
      </c>
      <c r="H15" s="296">
        <v>74994.580645161288</v>
      </c>
    </row>
    <row r="16" spans="1:14" x14ac:dyDescent="0.35">
      <c r="A16" s="38" t="s">
        <v>277</v>
      </c>
      <c r="B16" s="164">
        <v>64446.903225806454</v>
      </c>
      <c r="C16" s="164">
        <v>68562.419354838712</v>
      </c>
      <c r="D16" s="164">
        <v>55451.709677419356</v>
      </c>
      <c r="E16" s="164">
        <v>65676.354838709682</v>
      </c>
      <c r="F16" s="164">
        <v>64376.741935483871</v>
      </c>
      <c r="G16" s="164">
        <v>68060.032258064515</v>
      </c>
      <c r="H16" s="296">
        <v>69702.93548387097</v>
      </c>
    </row>
    <row r="17" spans="1:8" x14ac:dyDescent="0.35">
      <c r="A17" s="38" t="s">
        <v>278</v>
      </c>
      <c r="B17" s="164">
        <v>66856.5</v>
      </c>
      <c r="C17" s="164">
        <v>70778.166666666672</v>
      </c>
      <c r="D17" s="164">
        <v>56462.666666666664</v>
      </c>
      <c r="E17" s="164">
        <v>70906.8</v>
      </c>
      <c r="F17" s="164">
        <v>66949.633333333331</v>
      </c>
      <c r="G17" s="164">
        <v>72334.866666666669</v>
      </c>
      <c r="H17" s="296">
        <v>73807.233333333337</v>
      </c>
    </row>
    <row r="18" spans="1:8" x14ac:dyDescent="0.35">
      <c r="A18" s="39" t="s">
        <v>279</v>
      </c>
      <c r="B18" s="164">
        <v>67080.387096774197</v>
      </c>
      <c r="C18" s="164">
        <v>70028.548387096773</v>
      </c>
      <c r="D18" s="164">
        <v>51591.838709677417</v>
      </c>
      <c r="E18" s="164">
        <v>69832.322580645166</v>
      </c>
      <c r="F18" s="164">
        <v>70581.548387096773</v>
      </c>
      <c r="G18" s="164">
        <v>71752.258064516136</v>
      </c>
      <c r="H18" s="296">
        <v>76146.322580645166</v>
      </c>
    </row>
    <row r="19" spans="1:8" x14ac:dyDescent="0.35">
      <c r="A19" s="39" t="s">
        <v>280</v>
      </c>
      <c r="B19" s="164">
        <v>67928.233333333337</v>
      </c>
      <c r="C19" s="164">
        <v>71450.166666666672</v>
      </c>
      <c r="D19" s="164">
        <v>49505.866666666669</v>
      </c>
      <c r="E19" s="164">
        <v>67931.833333333328</v>
      </c>
      <c r="F19" s="164">
        <v>72626.8</v>
      </c>
      <c r="G19" s="164">
        <v>72252.800000000003</v>
      </c>
      <c r="H19" s="296">
        <v>77166.600000000006</v>
      </c>
    </row>
    <row r="20" spans="1:8" x14ac:dyDescent="0.35">
      <c r="A20" s="39" t="s">
        <v>281</v>
      </c>
      <c r="B20" s="164">
        <v>66048.967741935485</v>
      </c>
      <c r="C20" s="164">
        <v>70339.903225806454</v>
      </c>
      <c r="D20" s="164">
        <v>47570.129032258068</v>
      </c>
      <c r="E20" s="164">
        <v>60472.322580645159</v>
      </c>
      <c r="F20" s="164">
        <v>74002.548387096773</v>
      </c>
      <c r="G20" s="164">
        <v>70481.225806451606</v>
      </c>
      <c r="H20" s="296">
        <v>75675.290322580651</v>
      </c>
    </row>
    <row r="21" spans="1:8" x14ac:dyDescent="0.35">
      <c r="A21" s="39" t="s">
        <v>282</v>
      </c>
      <c r="B21" s="164">
        <v>68174.612903225803</v>
      </c>
      <c r="C21" s="164">
        <v>68216.419354838712</v>
      </c>
      <c r="D21" s="164">
        <v>42284.06451612903</v>
      </c>
      <c r="E21" s="164">
        <v>60490.387096774197</v>
      </c>
      <c r="F21" s="164">
        <v>63494.774193548386</v>
      </c>
      <c r="G21" s="164">
        <v>71962.096774193546</v>
      </c>
      <c r="H21" s="296">
        <v>71552.580645161288</v>
      </c>
    </row>
    <row r="22" spans="1:8" x14ac:dyDescent="0.35">
      <c r="A22" s="39" t="s">
        <v>283</v>
      </c>
      <c r="B22" s="164">
        <v>69819.53571428571</v>
      </c>
      <c r="C22" s="164">
        <v>67920.379310344826</v>
      </c>
      <c r="D22" s="164">
        <v>45646.107142857145</v>
      </c>
      <c r="E22" s="164">
        <v>65191.535714285717</v>
      </c>
      <c r="F22" s="164">
        <v>68367.107142857145</v>
      </c>
      <c r="G22" s="164">
        <v>74407.655172413797</v>
      </c>
      <c r="H22" s="296">
        <v>74573.96428571429</v>
      </c>
    </row>
    <row r="23" spans="1:8" ht="15" thickBot="1" x14ac:dyDescent="0.4">
      <c r="A23" s="40" t="s">
        <v>284</v>
      </c>
      <c r="B23" s="165">
        <v>69920.967741935485</v>
      </c>
      <c r="C23" s="165">
        <v>49412.93548387097</v>
      </c>
      <c r="D23" s="165">
        <v>54557.483870967742</v>
      </c>
      <c r="E23" s="165">
        <v>70154.774193548394</v>
      </c>
      <c r="F23" s="165">
        <v>69869.387096774197</v>
      </c>
      <c r="G23" s="165">
        <v>76458.741935483864</v>
      </c>
      <c r="H23" s="297">
        <v>77066.580645161288</v>
      </c>
    </row>
  </sheetData>
  <mergeCells count="6">
    <mergeCell ref="A5:H5"/>
    <mergeCell ref="A1:D1"/>
    <mergeCell ref="A4:E4"/>
    <mergeCell ref="A8:H8"/>
    <mergeCell ref="A9:G9"/>
    <mergeCell ref="A6:N6"/>
  </mergeCells>
  <hyperlinks>
    <hyperlink ref="A6" r:id="rId1" xr:uid="{D2F7798A-81D2-4463-A4BC-C13C8B5D9AA3}"/>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02856-5038-48C6-8D4B-C22A9E413B08}">
  <dimension ref="A1:X24"/>
  <sheetViews>
    <sheetView showGridLines="0" zoomScaleNormal="100" workbookViewId="0">
      <selection activeCell="A3" sqref="A3"/>
    </sheetView>
  </sheetViews>
  <sheetFormatPr defaultColWidth="8.84375" defaultRowHeight="14.5" x14ac:dyDescent="0.35"/>
  <cols>
    <col min="1" max="1" width="13" style="4" customWidth="1"/>
    <col min="2" max="16" width="10.3046875" style="4" customWidth="1"/>
    <col min="17" max="22" width="9.765625" style="4" customWidth="1"/>
    <col min="23" max="23" width="9.765625" style="4" bestFit="1" customWidth="1"/>
    <col min="24" max="16384" width="8.84375" style="4"/>
  </cols>
  <sheetData>
    <row r="1" spans="1:24" ht="84" customHeight="1" x14ac:dyDescent="0.35">
      <c r="A1" s="363"/>
      <c r="B1" s="363"/>
      <c r="C1" s="363"/>
      <c r="D1" s="363"/>
    </row>
    <row r="2" spans="1:24" x14ac:dyDescent="0.35">
      <c r="A2" s="3" t="s">
        <v>0</v>
      </c>
      <c r="B2" s="3" t="s">
        <v>0</v>
      </c>
      <c r="C2" s="3" t="s">
        <v>0</v>
      </c>
      <c r="D2" s="3" t="s">
        <v>0</v>
      </c>
      <c r="E2" s="3" t="s">
        <v>0</v>
      </c>
    </row>
    <row r="3" spans="1:24" ht="23" x14ac:dyDescent="0.35">
      <c r="A3" s="197" t="s">
        <v>287</v>
      </c>
      <c r="B3" s="197"/>
      <c r="C3" s="197"/>
      <c r="D3" s="197"/>
      <c r="E3" s="197"/>
    </row>
    <row r="4" spans="1:24" ht="29.25" customHeight="1" x14ac:dyDescent="0.35">
      <c r="A4" s="370" t="s">
        <v>292</v>
      </c>
      <c r="B4" s="370"/>
      <c r="C4" s="370"/>
      <c r="D4" s="370"/>
      <c r="E4" s="370"/>
    </row>
    <row r="5" spans="1:24" ht="14.5" customHeight="1" x14ac:dyDescent="0.35">
      <c r="A5" s="361" t="s">
        <v>592</v>
      </c>
      <c r="B5" s="361"/>
      <c r="C5" s="361"/>
      <c r="D5" s="361"/>
      <c r="E5" s="361"/>
      <c r="F5" s="361"/>
      <c r="G5" s="361"/>
      <c r="H5" s="361"/>
      <c r="I5" s="26"/>
    </row>
    <row r="6" spans="1:24" x14ac:dyDescent="0.35">
      <c r="A6" s="368" t="s">
        <v>620</v>
      </c>
      <c r="B6" s="372"/>
      <c r="C6" s="372"/>
      <c r="D6" s="372"/>
      <c r="E6" s="372"/>
      <c r="F6" s="372"/>
      <c r="G6" s="372"/>
      <c r="H6" s="372"/>
      <c r="I6" s="376"/>
      <c r="J6" s="376"/>
    </row>
    <row r="7" spans="1:24" x14ac:dyDescent="0.35">
      <c r="A7" s="10" t="s">
        <v>617</v>
      </c>
    </row>
    <row r="8" spans="1:24" ht="15.5" x14ac:dyDescent="0.35">
      <c r="A8" s="362" t="s">
        <v>2</v>
      </c>
      <c r="B8" s="375"/>
      <c r="C8" s="375"/>
      <c r="D8" s="375"/>
      <c r="E8" s="375"/>
      <c r="F8" s="373"/>
      <c r="G8" s="373"/>
    </row>
    <row r="9" spans="1:24" ht="14.5" customHeight="1" x14ac:dyDescent="0.35">
      <c r="A9" s="362" t="s">
        <v>1</v>
      </c>
      <c r="B9" s="375"/>
      <c r="C9" s="375"/>
      <c r="D9" s="375"/>
      <c r="E9" s="375"/>
      <c r="F9" s="373"/>
      <c r="G9" s="373"/>
    </row>
    <row r="10" spans="1:24" ht="15" thickBot="1" x14ac:dyDescent="0.4">
      <c r="A10" s="3" t="s">
        <v>0</v>
      </c>
      <c r="B10" s="3" t="s">
        <v>0</v>
      </c>
      <c r="C10" s="3" t="s">
        <v>0</v>
      </c>
      <c r="D10" s="3" t="s">
        <v>0</v>
      </c>
      <c r="E10" s="3" t="s">
        <v>0</v>
      </c>
    </row>
    <row r="11" spans="1:24" ht="15" thickBot="1" x14ac:dyDescent="0.4">
      <c r="A11" s="104"/>
      <c r="B11" s="383" t="s">
        <v>502</v>
      </c>
      <c r="C11" s="384"/>
      <c r="D11" s="385"/>
      <c r="E11" s="383" t="s">
        <v>503</v>
      </c>
      <c r="F11" s="384"/>
      <c r="G11" s="385"/>
      <c r="H11" s="380" t="s">
        <v>17</v>
      </c>
      <c r="I11" s="381"/>
      <c r="J11" s="382"/>
      <c r="K11" s="380" t="s">
        <v>18</v>
      </c>
      <c r="L11" s="381"/>
      <c r="M11" s="382"/>
      <c r="N11" s="380" t="s">
        <v>21</v>
      </c>
      <c r="O11" s="381"/>
      <c r="P11" s="382"/>
      <c r="Q11" s="377" t="s">
        <v>507</v>
      </c>
      <c r="R11" s="378"/>
      <c r="S11" s="379"/>
      <c r="T11" s="377" t="s">
        <v>616</v>
      </c>
      <c r="U11" s="378"/>
      <c r="V11" s="379"/>
    </row>
    <row r="12" spans="1:24" ht="39.5" thickBot="1" x14ac:dyDescent="0.4">
      <c r="A12" s="41" t="s">
        <v>288</v>
      </c>
      <c r="B12" s="166" t="s">
        <v>289</v>
      </c>
      <c r="C12" s="167" t="s">
        <v>290</v>
      </c>
      <c r="D12" s="168" t="s">
        <v>291</v>
      </c>
      <c r="E12" s="166" t="s">
        <v>289</v>
      </c>
      <c r="F12" s="167" t="s">
        <v>290</v>
      </c>
      <c r="G12" s="168" t="s">
        <v>291</v>
      </c>
      <c r="H12" s="42" t="s">
        <v>289</v>
      </c>
      <c r="I12" s="43" t="s">
        <v>290</v>
      </c>
      <c r="J12" s="44" t="s">
        <v>291</v>
      </c>
      <c r="K12" s="42" t="s">
        <v>289</v>
      </c>
      <c r="L12" s="43" t="s">
        <v>290</v>
      </c>
      <c r="M12" s="44" t="s">
        <v>291</v>
      </c>
      <c r="N12" s="42" t="s">
        <v>289</v>
      </c>
      <c r="O12" s="43" t="s">
        <v>290</v>
      </c>
      <c r="P12" s="44" t="s">
        <v>291</v>
      </c>
      <c r="Q12" s="42" t="s">
        <v>289</v>
      </c>
      <c r="R12" s="43" t="s">
        <v>290</v>
      </c>
      <c r="S12" s="44" t="s">
        <v>291</v>
      </c>
      <c r="T12" s="42" t="s">
        <v>289</v>
      </c>
      <c r="U12" s="43" t="s">
        <v>290</v>
      </c>
      <c r="V12" s="44" t="s">
        <v>291</v>
      </c>
    </row>
    <row r="13" spans="1:24" x14ac:dyDescent="0.35">
      <c r="A13" s="37" t="s">
        <v>273</v>
      </c>
      <c r="B13" s="169">
        <v>375850</v>
      </c>
      <c r="C13" s="170">
        <v>1984369</v>
      </c>
      <c r="D13" s="171">
        <v>0.18940529709948101</v>
      </c>
      <c r="E13" s="169">
        <v>405439</v>
      </c>
      <c r="F13" s="170">
        <v>2112165</v>
      </c>
      <c r="G13" s="171">
        <v>0.19195422706085935</v>
      </c>
      <c r="H13" s="105">
        <v>257928</v>
      </c>
      <c r="I13" s="106">
        <v>916575</v>
      </c>
      <c r="J13" s="107">
        <v>0.28140414041404138</v>
      </c>
      <c r="K13" s="105">
        <v>392276</v>
      </c>
      <c r="L13" s="106">
        <v>1866232</v>
      </c>
      <c r="M13" s="107">
        <v>0.2101968029698344</v>
      </c>
      <c r="N13" s="105">
        <v>359931</v>
      </c>
      <c r="O13" s="106">
        <v>2028796</v>
      </c>
      <c r="P13" s="107">
        <v>0.17741113448567525</v>
      </c>
      <c r="Q13" s="105">
        <v>370115</v>
      </c>
      <c r="R13" s="106">
        <v>2034040</v>
      </c>
      <c r="S13" s="107">
        <v>0.18196053174962143</v>
      </c>
      <c r="T13" s="105">
        <v>403934</v>
      </c>
      <c r="U13" s="106">
        <v>2240668</v>
      </c>
      <c r="V13" s="107">
        <v>0.18027391831364575</v>
      </c>
      <c r="X13" s="265"/>
    </row>
    <row r="14" spans="1:24" x14ac:dyDescent="0.35">
      <c r="A14" s="38" t="s">
        <v>274</v>
      </c>
      <c r="B14" s="172">
        <v>398703</v>
      </c>
      <c r="C14" s="173">
        <v>2164458</v>
      </c>
      <c r="D14" s="174">
        <v>0.18420454450952617</v>
      </c>
      <c r="E14" s="172">
        <v>412841</v>
      </c>
      <c r="F14" s="173">
        <v>2172006</v>
      </c>
      <c r="G14" s="174">
        <v>0.19007360016500877</v>
      </c>
      <c r="H14" s="108">
        <v>312719</v>
      </c>
      <c r="I14" s="109">
        <v>1261837</v>
      </c>
      <c r="J14" s="110">
        <v>0.24782836451934759</v>
      </c>
      <c r="K14" s="108">
        <v>418466</v>
      </c>
      <c r="L14" s="109">
        <v>2075542</v>
      </c>
      <c r="M14" s="110">
        <v>0.20161769793143189</v>
      </c>
      <c r="N14" s="108">
        <v>384787</v>
      </c>
      <c r="O14" s="109">
        <v>2233053</v>
      </c>
      <c r="P14" s="110">
        <v>0.17231431587158924</v>
      </c>
      <c r="Q14" s="108">
        <v>395088</v>
      </c>
      <c r="R14" s="109">
        <v>2245919</v>
      </c>
      <c r="S14" s="110">
        <v>0.17591373509017913</v>
      </c>
      <c r="T14" s="108">
        <v>420204</v>
      </c>
      <c r="U14" s="109">
        <v>2416292</v>
      </c>
      <c r="V14" s="110">
        <v>0.17390447843224247</v>
      </c>
      <c r="X14" s="265"/>
    </row>
    <row r="15" spans="1:24" x14ac:dyDescent="0.35">
      <c r="A15" s="38" t="s">
        <v>275</v>
      </c>
      <c r="B15" s="172">
        <v>382934</v>
      </c>
      <c r="C15" s="173">
        <v>2093942</v>
      </c>
      <c r="D15" s="174">
        <v>0.18287708064502264</v>
      </c>
      <c r="E15" s="172">
        <v>398670</v>
      </c>
      <c r="F15" s="173">
        <v>2107987</v>
      </c>
      <c r="G15" s="174">
        <v>0.18912355721358812</v>
      </c>
      <c r="H15" s="108">
        <v>337709</v>
      </c>
      <c r="I15" s="109">
        <v>1410602</v>
      </c>
      <c r="J15" s="110">
        <v>0.23940771386968118</v>
      </c>
      <c r="K15" s="108">
        <v>407919</v>
      </c>
      <c r="L15" s="109">
        <v>2157132</v>
      </c>
      <c r="M15" s="110">
        <v>0.18910247495285407</v>
      </c>
      <c r="N15" s="108">
        <v>373928</v>
      </c>
      <c r="O15" s="109">
        <v>2191691</v>
      </c>
      <c r="P15" s="110">
        <v>0.17061164187834874</v>
      </c>
      <c r="Q15" s="108">
        <v>387972</v>
      </c>
      <c r="R15" s="109">
        <v>2225726</v>
      </c>
      <c r="S15" s="110">
        <v>0.1743125613844651</v>
      </c>
      <c r="T15" s="108">
        <v>402055</v>
      </c>
      <c r="U15" s="109">
        <v>2294065</v>
      </c>
      <c r="V15" s="110">
        <v>0.17525876555372233</v>
      </c>
      <c r="X15" s="265"/>
    </row>
    <row r="16" spans="1:24" x14ac:dyDescent="0.35">
      <c r="A16" s="38" t="s">
        <v>276</v>
      </c>
      <c r="B16" s="172">
        <v>396725</v>
      </c>
      <c r="C16" s="173">
        <v>2179896</v>
      </c>
      <c r="D16" s="174">
        <v>0.18199262717120449</v>
      </c>
      <c r="E16" s="172">
        <v>415693</v>
      </c>
      <c r="F16" s="173">
        <v>2265050</v>
      </c>
      <c r="G16" s="174">
        <v>0.18352486700072845</v>
      </c>
      <c r="H16" s="108">
        <v>363383</v>
      </c>
      <c r="I16" s="109">
        <v>1588286</v>
      </c>
      <c r="J16" s="110">
        <v>0.22878939939028614</v>
      </c>
      <c r="K16" s="108">
        <v>410568</v>
      </c>
      <c r="L16" s="109">
        <v>2160128</v>
      </c>
      <c r="M16" s="110">
        <v>0.19006651457691395</v>
      </c>
      <c r="N16" s="108">
        <v>369369</v>
      </c>
      <c r="O16" s="109">
        <v>2181655</v>
      </c>
      <c r="P16" s="110">
        <v>0.16930678773683283</v>
      </c>
      <c r="Q16" s="108">
        <v>400414</v>
      </c>
      <c r="R16" s="109">
        <v>2199787</v>
      </c>
      <c r="S16" s="110">
        <v>0.18202398686781948</v>
      </c>
      <c r="T16" s="108">
        <v>411782</v>
      </c>
      <c r="U16" s="109">
        <v>2324832</v>
      </c>
      <c r="V16" s="110">
        <v>0.17712333622386478</v>
      </c>
      <c r="X16" s="265"/>
    </row>
    <row r="17" spans="1:24" x14ac:dyDescent="0.35">
      <c r="A17" s="38" t="s">
        <v>277</v>
      </c>
      <c r="B17" s="172">
        <v>389074</v>
      </c>
      <c r="C17" s="173">
        <v>1997854</v>
      </c>
      <c r="D17" s="174">
        <v>0.19474596241767417</v>
      </c>
      <c r="E17" s="172">
        <v>399953</v>
      </c>
      <c r="F17" s="173">
        <v>2125435</v>
      </c>
      <c r="G17" s="174">
        <v>0.18817465601159292</v>
      </c>
      <c r="H17" s="108">
        <v>370208</v>
      </c>
      <c r="I17" s="109">
        <v>1719003</v>
      </c>
      <c r="J17" s="110">
        <v>0.21536204416164487</v>
      </c>
      <c r="K17" s="108">
        <v>388791</v>
      </c>
      <c r="L17" s="109">
        <v>2035967</v>
      </c>
      <c r="M17" s="110">
        <v>0.19096134662300518</v>
      </c>
      <c r="N17" s="108">
        <v>357088</v>
      </c>
      <c r="O17" s="109">
        <v>1995679</v>
      </c>
      <c r="P17" s="110">
        <v>0.17893057951704658</v>
      </c>
      <c r="Q17" s="108">
        <v>389842</v>
      </c>
      <c r="R17" s="109">
        <v>2109861</v>
      </c>
      <c r="S17" s="110">
        <v>0.18477141385143381</v>
      </c>
      <c r="T17" s="108">
        <v>396515</v>
      </c>
      <c r="U17" s="109">
        <v>2160791</v>
      </c>
      <c r="V17" s="110">
        <v>0.18350455921003003</v>
      </c>
      <c r="X17" s="265"/>
    </row>
    <row r="18" spans="1:24" x14ac:dyDescent="0.35">
      <c r="A18" s="38" t="s">
        <v>278</v>
      </c>
      <c r="B18" s="172">
        <v>385975</v>
      </c>
      <c r="C18" s="173">
        <v>2005695</v>
      </c>
      <c r="D18" s="174">
        <v>0.19243952844275924</v>
      </c>
      <c r="E18" s="172">
        <v>399724</v>
      </c>
      <c r="F18" s="173">
        <v>2123345</v>
      </c>
      <c r="G18" s="174">
        <v>0.1882520268726938</v>
      </c>
      <c r="H18" s="108">
        <v>370595</v>
      </c>
      <c r="I18" s="109">
        <v>1693880</v>
      </c>
      <c r="J18" s="110">
        <v>0.21878468368479467</v>
      </c>
      <c r="K18" s="108">
        <v>385723</v>
      </c>
      <c r="L18" s="109">
        <v>2127204</v>
      </c>
      <c r="M18" s="110">
        <v>0.18132863608755906</v>
      </c>
      <c r="N18" s="108">
        <v>360757</v>
      </c>
      <c r="O18" s="109">
        <v>2008489</v>
      </c>
      <c r="P18" s="110">
        <v>0.17961611938128613</v>
      </c>
      <c r="Q18" s="108">
        <v>388931</v>
      </c>
      <c r="R18" s="109">
        <v>2170046</v>
      </c>
      <c r="S18" s="110">
        <v>0.17922707629239196</v>
      </c>
      <c r="T18" s="108">
        <v>399406</v>
      </c>
      <c r="U18" s="109">
        <v>2214217</v>
      </c>
      <c r="V18" s="110">
        <v>0.18038250090212476</v>
      </c>
      <c r="X18" s="265"/>
    </row>
    <row r="19" spans="1:24" x14ac:dyDescent="0.35">
      <c r="A19" s="39" t="s">
        <v>279</v>
      </c>
      <c r="B19" s="172">
        <v>405094</v>
      </c>
      <c r="C19" s="173">
        <v>2079492</v>
      </c>
      <c r="D19" s="174">
        <v>0.19480430797521703</v>
      </c>
      <c r="E19" s="172">
        <v>421106</v>
      </c>
      <c r="F19" s="173">
        <v>2170885</v>
      </c>
      <c r="G19" s="174">
        <v>0.19397895328402934</v>
      </c>
      <c r="H19" s="108">
        <v>371959</v>
      </c>
      <c r="I19" s="109">
        <v>1599347</v>
      </c>
      <c r="J19" s="110">
        <v>0.23256929234243726</v>
      </c>
      <c r="K19" s="108">
        <v>395708</v>
      </c>
      <c r="L19" s="109">
        <v>2164802</v>
      </c>
      <c r="M19" s="110">
        <v>0.18279177495216653</v>
      </c>
      <c r="N19" s="108">
        <v>374741</v>
      </c>
      <c r="O19" s="109">
        <v>2188028</v>
      </c>
      <c r="P19" s="110">
        <v>0.17126883202591558</v>
      </c>
      <c r="Q19" s="108">
        <v>407341</v>
      </c>
      <c r="R19" s="109">
        <v>2224320</v>
      </c>
      <c r="S19" s="110">
        <v>0.18313057473744784</v>
      </c>
      <c r="T19" s="108">
        <v>422048</v>
      </c>
      <c r="U19" s="109">
        <v>2360536</v>
      </c>
      <c r="V19" s="110">
        <v>0.17879329101526095</v>
      </c>
      <c r="X19" s="265"/>
    </row>
    <row r="20" spans="1:24" x14ac:dyDescent="0.35">
      <c r="A20" s="39" t="s">
        <v>280</v>
      </c>
      <c r="B20" s="172">
        <v>403516</v>
      </c>
      <c r="C20" s="173">
        <v>2037847</v>
      </c>
      <c r="D20" s="174">
        <v>0.19801093997733882</v>
      </c>
      <c r="E20" s="172">
        <v>416459</v>
      </c>
      <c r="F20" s="173">
        <v>2143505</v>
      </c>
      <c r="G20" s="174">
        <v>0.19428879335480906</v>
      </c>
      <c r="H20" s="108">
        <v>348677</v>
      </c>
      <c r="I20" s="109">
        <v>1485176</v>
      </c>
      <c r="J20" s="110">
        <v>0.23477150182873949</v>
      </c>
      <c r="K20" s="108">
        <v>381508</v>
      </c>
      <c r="L20" s="109">
        <v>2037955</v>
      </c>
      <c r="M20" s="110">
        <v>0.18720138570282466</v>
      </c>
      <c r="N20" s="108">
        <v>376826</v>
      </c>
      <c r="O20" s="109">
        <v>2178804</v>
      </c>
      <c r="P20" s="110">
        <v>0.17295084826354276</v>
      </c>
      <c r="Q20" s="108">
        <v>402526</v>
      </c>
      <c r="R20" s="109">
        <v>2167584</v>
      </c>
      <c r="S20" s="110">
        <v>0.18570260714232989</v>
      </c>
      <c r="T20" s="108">
        <v>414109</v>
      </c>
      <c r="U20" s="109">
        <v>2314998</v>
      </c>
      <c r="V20" s="110">
        <v>0.17888093207855904</v>
      </c>
      <c r="X20" s="265"/>
    </row>
    <row r="21" spans="1:24" x14ac:dyDescent="0.35">
      <c r="A21" s="39" t="s">
        <v>281</v>
      </c>
      <c r="B21" s="172">
        <v>413632</v>
      </c>
      <c r="C21" s="173">
        <v>2047518</v>
      </c>
      <c r="D21" s="174">
        <v>0.20201629485064357</v>
      </c>
      <c r="E21" s="172">
        <v>424634</v>
      </c>
      <c r="F21" s="173">
        <v>2180537</v>
      </c>
      <c r="G21" s="174">
        <v>0.19473826860080798</v>
      </c>
      <c r="H21" s="108">
        <v>356505</v>
      </c>
      <c r="I21" s="109">
        <v>1474674</v>
      </c>
      <c r="J21" s="110">
        <v>0.24175173631595864</v>
      </c>
      <c r="K21" s="108">
        <v>379964</v>
      </c>
      <c r="L21" s="109">
        <v>1874642</v>
      </c>
      <c r="M21" s="110">
        <v>0.20268616621200208</v>
      </c>
      <c r="N21" s="108">
        <v>385732</v>
      </c>
      <c r="O21" s="109">
        <v>2294079</v>
      </c>
      <c r="P21" s="110">
        <v>0.16814242229670381</v>
      </c>
      <c r="Q21" s="108">
        <v>412324</v>
      </c>
      <c r="R21" s="109">
        <v>2184918</v>
      </c>
      <c r="S21" s="110">
        <v>0.18871371831803299</v>
      </c>
      <c r="T21" s="108">
        <v>417067</v>
      </c>
      <c r="U21" s="109">
        <v>2345934</v>
      </c>
      <c r="V21" s="110">
        <v>0.17778292142916211</v>
      </c>
      <c r="X21" s="265"/>
    </row>
    <row r="22" spans="1:24" x14ac:dyDescent="0.35">
      <c r="A22" s="39" t="s">
        <v>282</v>
      </c>
      <c r="B22" s="172">
        <v>421473</v>
      </c>
      <c r="C22" s="173">
        <v>2113413</v>
      </c>
      <c r="D22" s="174">
        <v>0.19942765564515785</v>
      </c>
      <c r="E22" s="172">
        <v>416541</v>
      </c>
      <c r="F22" s="173">
        <v>2114709</v>
      </c>
      <c r="G22" s="174">
        <v>0.19697320056802142</v>
      </c>
      <c r="H22" s="108">
        <v>348045</v>
      </c>
      <c r="I22" s="109">
        <v>1310806</v>
      </c>
      <c r="J22" s="110">
        <v>0.26551984046456911</v>
      </c>
      <c r="K22" s="108">
        <v>365492</v>
      </c>
      <c r="L22" s="109">
        <v>1875202</v>
      </c>
      <c r="M22" s="110">
        <v>0.19490806857074597</v>
      </c>
      <c r="N22" s="108">
        <v>371203</v>
      </c>
      <c r="O22" s="109">
        <v>1968338</v>
      </c>
      <c r="P22" s="110">
        <v>0.18858702113153331</v>
      </c>
      <c r="Q22" s="108">
        <v>409168</v>
      </c>
      <c r="R22" s="109">
        <v>2230825</v>
      </c>
      <c r="S22" s="110">
        <v>0.18341555254222092</v>
      </c>
      <c r="T22" s="108">
        <v>406228</v>
      </c>
      <c r="U22" s="109">
        <v>2218130</v>
      </c>
      <c r="V22" s="110">
        <v>0.18313985203752711</v>
      </c>
      <c r="X22" s="265"/>
    </row>
    <row r="23" spans="1:24" x14ac:dyDescent="0.35">
      <c r="A23" s="39" t="s">
        <v>283</v>
      </c>
      <c r="B23" s="172">
        <v>377502</v>
      </c>
      <c r="C23" s="173">
        <v>1954947</v>
      </c>
      <c r="D23" s="174">
        <v>0.1931008871340246</v>
      </c>
      <c r="E23" s="172">
        <v>382277</v>
      </c>
      <c r="F23" s="173">
        <v>1969691</v>
      </c>
      <c r="G23" s="174">
        <v>0.19407968051841634</v>
      </c>
      <c r="H23" s="108">
        <v>323046</v>
      </c>
      <c r="I23" s="109">
        <v>1278091</v>
      </c>
      <c r="J23" s="110">
        <v>0.25275665034805817</v>
      </c>
      <c r="K23" s="108">
        <v>341197</v>
      </c>
      <c r="L23" s="109">
        <v>1825363</v>
      </c>
      <c r="M23" s="110">
        <v>0.18692008110167677</v>
      </c>
      <c r="N23" s="108">
        <v>346122</v>
      </c>
      <c r="O23" s="109">
        <v>1914279</v>
      </c>
      <c r="P23" s="110">
        <v>0.18081063418655274</v>
      </c>
      <c r="Q23" s="108">
        <v>387828</v>
      </c>
      <c r="R23" s="109">
        <v>2157822</v>
      </c>
      <c r="S23" s="110">
        <v>0.1797312289892308</v>
      </c>
      <c r="T23" s="108">
        <v>367578</v>
      </c>
      <c r="U23" s="109">
        <v>2088071</v>
      </c>
      <c r="V23" s="110">
        <v>0.17603711751180875</v>
      </c>
      <c r="X23" s="265"/>
    </row>
    <row r="24" spans="1:24" ht="15" thickBot="1" x14ac:dyDescent="0.4">
      <c r="A24" s="40" t="s">
        <v>284</v>
      </c>
      <c r="B24" s="175">
        <v>415964</v>
      </c>
      <c r="C24" s="112">
        <v>2167551</v>
      </c>
      <c r="D24" s="176">
        <v>0.19190514636340569</v>
      </c>
      <c r="E24" s="175">
        <v>325833</v>
      </c>
      <c r="F24" s="112">
        <v>1531801</v>
      </c>
      <c r="G24" s="176">
        <v>0.21271235623948542</v>
      </c>
      <c r="H24" s="111">
        <v>382922</v>
      </c>
      <c r="I24" s="112">
        <v>1691282</v>
      </c>
      <c r="J24" s="113">
        <v>0.22640931553697136</v>
      </c>
      <c r="K24" s="111">
        <v>381548</v>
      </c>
      <c r="L24" s="112">
        <v>2174798</v>
      </c>
      <c r="M24" s="113">
        <v>0.17544066161546956</v>
      </c>
      <c r="N24" s="111">
        <v>388367</v>
      </c>
      <c r="O24" s="112">
        <v>2165951</v>
      </c>
      <c r="P24" s="113">
        <v>0.17930553368935861</v>
      </c>
      <c r="Q24" s="111">
        <v>426154</v>
      </c>
      <c r="R24" s="112">
        <v>2370221</v>
      </c>
      <c r="S24" s="113">
        <v>0.17979504864736243</v>
      </c>
      <c r="T24" s="111">
        <v>410289</v>
      </c>
      <c r="U24" s="112">
        <v>2389064</v>
      </c>
      <c r="V24" s="113">
        <v>0.17173629505111626</v>
      </c>
      <c r="X24" s="265"/>
    </row>
  </sheetData>
  <mergeCells count="13">
    <mergeCell ref="T11:V11"/>
    <mergeCell ref="Q11:S11"/>
    <mergeCell ref="A6:J6"/>
    <mergeCell ref="A1:D1"/>
    <mergeCell ref="A4:E4"/>
    <mergeCell ref="H11:J11"/>
    <mergeCell ref="K11:M11"/>
    <mergeCell ref="N11:P11"/>
    <mergeCell ref="A5:H5"/>
    <mergeCell ref="B11:D11"/>
    <mergeCell ref="E11:G11"/>
    <mergeCell ref="A8:G8"/>
    <mergeCell ref="A9:G9"/>
  </mergeCells>
  <hyperlinks>
    <hyperlink ref="A6" r:id="rId1" xr:uid="{35521F4D-0758-42F1-9108-164F48358F84}"/>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3C907-CFEB-4F51-99E2-AD101FF8E77F}">
  <dimension ref="A1:O14"/>
  <sheetViews>
    <sheetView showGridLines="0" zoomScaleNormal="100" workbookViewId="0">
      <selection activeCell="A3" sqref="A3"/>
    </sheetView>
  </sheetViews>
  <sheetFormatPr defaultColWidth="8.84375" defaultRowHeight="14.5" x14ac:dyDescent="0.35"/>
  <cols>
    <col min="1" max="1" width="24.4609375" style="4" customWidth="1"/>
    <col min="2" max="10" width="8.4609375" style="4" bestFit="1" customWidth="1"/>
    <col min="11" max="16384" width="8.84375" style="4"/>
  </cols>
  <sheetData>
    <row r="1" spans="1:15" ht="84" customHeight="1" x14ac:dyDescent="0.35">
      <c r="A1" s="363"/>
      <c r="B1" s="363"/>
      <c r="C1" s="363"/>
      <c r="D1" s="363"/>
    </row>
    <row r="2" spans="1:15" x14ac:dyDescent="0.35">
      <c r="A2" s="3" t="s">
        <v>0</v>
      </c>
      <c r="B2" s="3" t="s">
        <v>0</v>
      </c>
      <c r="C2" s="3" t="s">
        <v>0</v>
      </c>
      <c r="D2" s="3" t="s">
        <v>0</v>
      </c>
      <c r="E2" s="3" t="s">
        <v>0</v>
      </c>
    </row>
    <row r="3" spans="1:15" ht="27" customHeight="1" x14ac:dyDescent="0.35">
      <c r="A3" s="197" t="s">
        <v>293</v>
      </c>
      <c r="B3" s="197"/>
      <c r="C3" s="197"/>
      <c r="D3" s="197"/>
      <c r="E3" s="197"/>
    </row>
    <row r="4" spans="1:15" ht="28.4" customHeight="1" x14ac:dyDescent="0.35">
      <c r="A4" s="370" t="s">
        <v>295</v>
      </c>
      <c r="B4" s="370"/>
      <c r="C4" s="370"/>
      <c r="D4" s="370"/>
      <c r="E4" s="370"/>
    </row>
    <row r="5" spans="1:15" ht="14.5" customHeight="1" x14ac:dyDescent="0.35">
      <c r="A5" s="361" t="s">
        <v>592</v>
      </c>
      <c r="B5" s="361"/>
      <c r="C5" s="361"/>
      <c r="D5" s="361"/>
      <c r="E5" s="361"/>
      <c r="F5" s="361"/>
      <c r="G5" s="361"/>
      <c r="H5" s="361"/>
      <c r="I5" s="26"/>
    </row>
    <row r="6" spans="1:15" x14ac:dyDescent="0.35">
      <c r="A6" s="368" t="s">
        <v>620</v>
      </c>
      <c r="B6" s="372"/>
      <c r="C6" s="372"/>
      <c r="D6" s="372"/>
      <c r="E6" s="372"/>
      <c r="F6" s="372"/>
      <c r="G6" s="372"/>
      <c r="H6" s="372"/>
      <c r="I6" s="376"/>
      <c r="J6" s="376"/>
    </row>
    <row r="7" spans="1:15" x14ac:dyDescent="0.35">
      <c r="A7" s="10" t="s">
        <v>617</v>
      </c>
    </row>
    <row r="8" spans="1:15" ht="14.5" customHeight="1" x14ac:dyDescent="0.35">
      <c r="A8" s="371" t="s">
        <v>26</v>
      </c>
      <c r="B8" s="371"/>
      <c r="C8" s="371"/>
      <c r="D8" s="371"/>
      <c r="E8" s="371"/>
      <c r="F8" s="371"/>
      <c r="G8" s="371"/>
      <c r="H8" s="371"/>
      <c r="I8" s="371"/>
    </row>
    <row r="9" spans="1:15" ht="15.5" x14ac:dyDescent="0.35">
      <c r="A9" s="362" t="s">
        <v>1</v>
      </c>
      <c r="B9" s="362"/>
      <c r="C9" s="362"/>
      <c r="D9" s="362"/>
      <c r="E9" s="362"/>
      <c r="F9" s="365"/>
      <c r="G9" s="365"/>
    </row>
    <row r="10" spans="1:15" ht="15" thickBot="1" x14ac:dyDescent="0.4">
      <c r="A10" s="3" t="s">
        <v>0</v>
      </c>
      <c r="B10" s="3" t="s">
        <v>0</v>
      </c>
      <c r="C10" s="3" t="s">
        <v>0</v>
      </c>
      <c r="D10" s="3" t="s">
        <v>0</v>
      </c>
      <c r="E10" s="3" t="s">
        <v>0</v>
      </c>
    </row>
    <row r="11" spans="1:15" ht="15" thickBot="1" x14ac:dyDescent="0.4">
      <c r="A11" s="45"/>
      <c r="B11" s="163" t="s">
        <v>495</v>
      </c>
      <c r="C11" s="177" t="s">
        <v>496</v>
      </c>
      <c r="D11" s="178" t="s">
        <v>497</v>
      </c>
      <c r="E11" s="178" t="s">
        <v>498</v>
      </c>
      <c r="F11" s="178" t="s">
        <v>499</v>
      </c>
      <c r="G11" s="178" t="s">
        <v>500</v>
      </c>
      <c r="H11" s="178" t="s">
        <v>501</v>
      </c>
      <c r="I11" s="178" t="s">
        <v>502</v>
      </c>
      <c r="J11" s="178" t="s">
        <v>503</v>
      </c>
      <c r="K11" s="49" t="s">
        <v>17</v>
      </c>
      <c r="L11" s="49" t="s">
        <v>18</v>
      </c>
      <c r="M11" s="49" t="s">
        <v>21</v>
      </c>
      <c r="N11" s="49" t="s">
        <v>507</v>
      </c>
      <c r="O11" s="50" t="s">
        <v>616</v>
      </c>
    </row>
    <row r="12" spans="1:15" x14ac:dyDescent="0.35">
      <c r="A12" s="46" t="s">
        <v>289</v>
      </c>
      <c r="B12" s="179">
        <v>3663756</v>
      </c>
      <c r="C12" s="180">
        <v>3781335</v>
      </c>
      <c r="D12" s="181">
        <v>3836320</v>
      </c>
      <c r="E12" s="181">
        <v>4020138</v>
      </c>
      <c r="F12" s="181">
        <v>4145054</v>
      </c>
      <c r="G12" s="181">
        <v>4263276</v>
      </c>
      <c r="H12" s="181">
        <v>4464166</v>
      </c>
      <c r="I12" s="181">
        <v>4766442</v>
      </c>
      <c r="J12" s="181">
        <v>4819170</v>
      </c>
      <c r="K12" s="51">
        <v>4143696</v>
      </c>
      <c r="L12" s="51">
        <v>4649160</v>
      </c>
      <c r="M12" s="51">
        <v>4448851</v>
      </c>
      <c r="N12" s="51">
        <v>4777703</v>
      </c>
      <c r="O12" s="298">
        <v>4871215</v>
      </c>
    </row>
    <row r="13" spans="1:15" x14ac:dyDescent="0.35">
      <c r="A13" s="47" t="s">
        <v>33</v>
      </c>
      <c r="B13" s="182">
        <v>21481402</v>
      </c>
      <c r="C13" s="183">
        <v>21738637</v>
      </c>
      <c r="D13" s="184">
        <v>21778657</v>
      </c>
      <c r="E13" s="184">
        <v>22354781</v>
      </c>
      <c r="F13" s="184">
        <v>22920435</v>
      </c>
      <c r="G13" s="184">
        <v>23362301</v>
      </c>
      <c r="H13" s="184">
        <v>23830120</v>
      </c>
      <c r="I13" s="184">
        <v>24826982</v>
      </c>
      <c r="J13" s="184">
        <v>25017116</v>
      </c>
      <c r="K13" s="52">
        <v>17429559</v>
      </c>
      <c r="L13" s="52">
        <v>24374967</v>
      </c>
      <c r="M13" s="52">
        <v>25348842</v>
      </c>
      <c r="N13" s="52">
        <v>26321069</v>
      </c>
      <c r="O13" s="299">
        <v>27367598</v>
      </c>
    </row>
    <row r="14" spans="1:15" ht="15" thickBot="1" x14ac:dyDescent="0.4">
      <c r="A14" s="48" t="s">
        <v>294</v>
      </c>
      <c r="B14" s="185">
        <v>0.17055478967341145</v>
      </c>
      <c r="C14" s="185">
        <v>0.17399999999999999</v>
      </c>
      <c r="D14" s="185">
        <v>0.17599999999999999</v>
      </c>
      <c r="E14" s="185">
        <v>0.18</v>
      </c>
      <c r="F14" s="185">
        <v>0.18099999999999999</v>
      </c>
      <c r="G14" s="185">
        <v>0.182</v>
      </c>
      <c r="H14" s="185">
        <v>0.187</v>
      </c>
      <c r="I14" s="185">
        <v>0.192</v>
      </c>
      <c r="J14" s="185">
        <v>0.193</v>
      </c>
      <c r="K14" s="53">
        <v>0.23799999999999999</v>
      </c>
      <c r="L14" s="53">
        <v>0.191</v>
      </c>
      <c r="M14" s="53">
        <v>0.17597908417276023</v>
      </c>
      <c r="N14" s="53">
        <v>0.182</v>
      </c>
      <c r="O14" s="300">
        <v>0.17799205469182935</v>
      </c>
    </row>
  </sheetData>
  <mergeCells count="6">
    <mergeCell ref="A9:G9"/>
    <mergeCell ref="A5:H5"/>
    <mergeCell ref="A1:D1"/>
    <mergeCell ref="A4:E4"/>
    <mergeCell ref="A6:J6"/>
    <mergeCell ref="A8:I8"/>
  </mergeCells>
  <hyperlinks>
    <hyperlink ref="A6" r:id="rId1" xr:uid="{CE7EC144-8A28-47BE-9C86-73A1C07E29B4}"/>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7CA14-0DA1-4694-A5CA-E5E799C99244}">
  <dimension ref="A1:P20"/>
  <sheetViews>
    <sheetView showGridLines="0" zoomScaleNormal="100" workbookViewId="0">
      <selection activeCell="A3" sqref="A3:I3"/>
    </sheetView>
  </sheetViews>
  <sheetFormatPr defaultColWidth="8.84375" defaultRowHeight="14.5" x14ac:dyDescent="0.35"/>
  <cols>
    <col min="1" max="1" width="30.84375" style="4" customWidth="1"/>
    <col min="2" max="16" width="9.69140625" style="4" customWidth="1"/>
    <col min="17" max="16384" width="8.84375" style="4"/>
  </cols>
  <sheetData>
    <row r="1" spans="1:16" ht="84" customHeight="1" x14ac:dyDescent="0.35">
      <c r="A1" s="363"/>
      <c r="B1" s="363"/>
      <c r="C1" s="363"/>
      <c r="D1" s="363"/>
    </row>
    <row r="2" spans="1:16" x14ac:dyDescent="0.35">
      <c r="A2" s="3" t="s">
        <v>0</v>
      </c>
      <c r="B2" s="3" t="s">
        <v>0</v>
      </c>
      <c r="C2" s="3" t="s">
        <v>0</v>
      </c>
      <c r="D2" s="3" t="s">
        <v>0</v>
      </c>
      <c r="E2" s="3" t="s">
        <v>0</v>
      </c>
    </row>
    <row r="3" spans="1:16" ht="39" customHeight="1" x14ac:dyDescent="0.35">
      <c r="A3" s="386" t="s">
        <v>297</v>
      </c>
      <c r="B3" s="386"/>
      <c r="C3" s="386"/>
      <c r="D3" s="386"/>
      <c r="E3" s="386"/>
      <c r="F3" s="386"/>
      <c r="G3" s="386"/>
      <c r="H3" s="386"/>
      <c r="I3" s="386"/>
    </row>
    <row r="4" spans="1:16" ht="29.25" customHeight="1" x14ac:dyDescent="0.35">
      <c r="A4" s="370" t="s">
        <v>315</v>
      </c>
      <c r="B4" s="370"/>
      <c r="C4" s="370"/>
      <c r="D4" s="370"/>
      <c r="E4" s="370"/>
    </row>
    <row r="5" spans="1:16" ht="45.65" customHeight="1" x14ac:dyDescent="0.35">
      <c r="A5" s="370" t="s">
        <v>538</v>
      </c>
      <c r="B5" s="373"/>
      <c r="C5" s="373"/>
      <c r="D5" s="373"/>
      <c r="E5" s="373"/>
      <c r="F5" s="373"/>
    </row>
    <row r="6" spans="1:16" ht="32.5" customHeight="1" x14ac:dyDescent="0.35">
      <c r="A6" s="370" t="s">
        <v>635</v>
      </c>
      <c r="B6" s="373"/>
      <c r="C6" s="373"/>
      <c r="D6" s="373"/>
      <c r="E6" s="373"/>
      <c r="F6" s="373"/>
      <c r="G6" s="373"/>
      <c r="H6" s="373"/>
    </row>
    <row r="7" spans="1:16" x14ac:dyDescent="0.35">
      <c r="A7" s="361" t="s">
        <v>504</v>
      </c>
      <c r="B7" s="361"/>
      <c r="C7" s="361"/>
      <c r="D7" s="361"/>
      <c r="E7" s="361"/>
      <c r="F7" s="361"/>
      <c r="G7" s="361"/>
      <c r="H7" s="361"/>
      <c r="I7" s="26"/>
    </row>
    <row r="8" spans="1:16" x14ac:dyDescent="0.35">
      <c r="A8" s="368" t="s">
        <v>620</v>
      </c>
      <c r="B8" s="372"/>
      <c r="C8" s="372"/>
      <c r="D8" s="372"/>
      <c r="E8" s="372"/>
      <c r="F8" s="372"/>
      <c r="G8" s="372"/>
      <c r="H8" s="372"/>
      <c r="I8" s="376"/>
      <c r="J8" s="376"/>
    </row>
    <row r="9" spans="1:16" x14ac:dyDescent="0.35">
      <c r="A9" s="10" t="s">
        <v>617</v>
      </c>
    </row>
    <row r="10" spans="1:16" x14ac:dyDescent="0.35">
      <c r="A10" s="362" t="s">
        <v>2</v>
      </c>
      <c r="B10" s="362"/>
      <c r="C10" s="362"/>
      <c r="D10" s="362"/>
      <c r="E10" s="362"/>
    </row>
    <row r="11" spans="1:16" x14ac:dyDescent="0.35">
      <c r="A11" s="362" t="s">
        <v>1</v>
      </c>
      <c r="B11" s="362"/>
      <c r="C11" s="362"/>
      <c r="D11" s="362"/>
      <c r="E11" s="362"/>
    </row>
    <row r="12" spans="1:16" ht="15" thickBot="1" x14ac:dyDescent="0.4">
      <c r="A12" s="3" t="s">
        <v>0</v>
      </c>
      <c r="B12" s="3" t="s">
        <v>0</v>
      </c>
      <c r="C12" s="3" t="s">
        <v>0</v>
      </c>
      <c r="D12" s="3" t="s">
        <v>0</v>
      </c>
      <c r="E12" s="3" t="s">
        <v>0</v>
      </c>
    </row>
    <row r="13" spans="1:16" ht="16.399999999999999" customHeight="1" thickBot="1" x14ac:dyDescent="0.4">
      <c r="A13" s="186"/>
      <c r="B13" s="387" t="s">
        <v>17</v>
      </c>
      <c r="C13" s="388"/>
      <c r="D13" s="389"/>
      <c r="E13" s="390" t="s">
        <v>18</v>
      </c>
      <c r="F13" s="390"/>
      <c r="G13" s="390"/>
      <c r="H13" s="387" t="s">
        <v>21</v>
      </c>
      <c r="I13" s="388"/>
      <c r="J13" s="389"/>
      <c r="K13" s="387" t="s">
        <v>507</v>
      </c>
      <c r="L13" s="388"/>
      <c r="M13" s="389"/>
      <c r="N13" s="387" t="s">
        <v>616</v>
      </c>
      <c r="O13" s="388"/>
      <c r="P13" s="389"/>
    </row>
    <row r="14" spans="1:16" ht="26.5" thickBot="1" x14ac:dyDescent="0.4">
      <c r="A14" s="54" t="s">
        <v>303</v>
      </c>
      <c r="B14" s="55" t="s">
        <v>304</v>
      </c>
      <c r="C14" s="56" t="s">
        <v>19</v>
      </c>
      <c r="D14" s="57" t="s">
        <v>595</v>
      </c>
      <c r="E14" s="55" t="s">
        <v>304</v>
      </c>
      <c r="F14" s="58" t="s">
        <v>19</v>
      </c>
      <c r="G14" s="57" t="s">
        <v>595</v>
      </c>
      <c r="H14" s="55" t="s">
        <v>304</v>
      </c>
      <c r="I14" s="58" t="s">
        <v>19</v>
      </c>
      <c r="J14" s="57" t="s">
        <v>595</v>
      </c>
      <c r="K14" s="55" t="s">
        <v>304</v>
      </c>
      <c r="L14" s="58" t="s">
        <v>19</v>
      </c>
      <c r="M14" s="57" t="s">
        <v>595</v>
      </c>
      <c r="N14" s="55" t="s">
        <v>304</v>
      </c>
      <c r="O14" s="58" t="s">
        <v>19</v>
      </c>
      <c r="P14" s="57" t="s">
        <v>595</v>
      </c>
    </row>
    <row r="15" spans="1:16" x14ac:dyDescent="0.35">
      <c r="A15" s="59" t="s">
        <v>305</v>
      </c>
      <c r="B15" s="60">
        <v>12461910</v>
      </c>
      <c r="C15" s="61">
        <v>12287284</v>
      </c>
      <c r="D15" s="62">
        <v>1.0142119283643154</v>
      </c>
      <c r="E15" s="60">
        <v>16259352</v>
      </c>
      <c r="F15" s="61">
        <v>16137559</v>
      </c>
      <c r="G15" s="62">
        <v>1.0075471761249641</v>
      </c>
      <c r="H15" s="60">
        <v>16193488</v>
      </c>
      <c r="I15" s="61">
        <v>16202978</v>
      </c>
      <c r="J15" s="63">
        <v>0.99941430519747698</v>
      </c>
      <c r="K15" s="60">
        <v>16594607</v>
      </c>
      <c r="L15" s="61">
        <v>16525835</v>
      </c>
      <c r="M15" s="63">
        <v>1.0041614841247053</v>
      </c>
      <c r="N15" s="60">
        <v>17026295</v>
      </c>
      <c r="O15" s="61">
        <v>16763266</v>
      </c>
      <c r="P15" s="240">
        <v>1.0156907967695554</v>
      </c>
    </row>
    <row r="16" spans="1:16" x14ac:dyDescent="0.35">
      <c r="A16" s="64" t="s">
        <v>306</v>
      </c>
      <c r="B16" s="65">
        <v>333403</v>
      </c>
      <c r="C16" s="66">
        <v>359478</v>
      </c>
      <c r="D16" s="62">
        <v>0.92746426763251155</v>
      </c>
      <c r="E16" s="65">
        <v>433302</v>
      </c>
      <c r="F16" s="66">
        <v>463028</v>
      </c>
      <c r="G16" s="62">
        <v>0.93580085869537044</v>
      </c>
      <c r="H16" s="65">
        <v>473143</v>
      </c>
      <c r="I16" s="66">
        <v>492576</v>
      </c>
      <c r="J16" s="63">
        <v>0.9605482199701163</v>
      </c>
      <c r="K16" s="65">
        <v>485772</v>
      </c>
      <c r="L16" s="66">
        <v>528762</v>
      </c>
      <c r="M16" s="63">
        <v>0.9186968806381699</v>
      </c>
      <c r="N16" s="65">
        <v>479396</v>
      </c>
      <c r="O16" s="66">
        <v>587969</v>
      </c>
      <c r="P16" s="240">
        <v>0.81534230546168251</v>
      </c>
    </row>
    <row r="17" spans="1:16" ht="15" thickBot="1" x14ac:dyDescent="0.4">
      <c r="A17" s="64" t="s">
        <v>308</v>
      </c>
      <c r="B17" s="212">
        <v>3358135</v>
      </c>
      <c r="C17" s="213">
        <v>4782797</v>
      </c>
      <c r="D17" s="214">
        <v>0.70212785531144228</v>
      </c>
      <c r="E17" s="65">
        <v>5922440</v>
      </c>
      <c r="F17" s="66">
        <v>7774380</v>
      </c>
      <c r="G17" s="62">
        <v>0.7617893645538294</v>
      </c>
      <c r="H17" s="65">
        <v>6602884</v>
      </c>
      <c r="I17" s="66">
        <v>8653288</v>
      </c>
      <c r="J17" s="63">
        <v>0.76304914386300327</v>
      </c>
      <c r="K17" s="65">
        <v>7583733</v>
      </c>
      <c r="L17" s="66">
        <v>9266472</v>
      </c>
      <c r="M17" s="63">
        <v>0.81840564564377904</v>
      </c>
      <c r="N17" s="65">
        <v>8316485</v>
      </c>
      <c r="O17" s="66">
        <v>10016363</v>
      </c>
      <c r="P17" s="240">
        <v>0.83028989664212449</v>
      </c>
    </row>
    <row r="18" spans="1:16" ht="15" thickBot="1" x14ac:dyDescent="0.4">
      <c r="A18" s="211" t="s">
        <v>307</v>
      </c>
      <c r="B18" s="215">
        <v>16153448</v>
      </c>
      <c r="C18" s="216">
        <v>17429559</v>
      </c>
      <c r="D18" s="217">
        <v>0.92678466506238055</v>
      </c>
      <c r="E18" s="215">
        <v>22615094</v>
      </c>
      <c r="F18" s="216">
        <v>24374967</v>
      </c>
      <c r="G18" s="217">
        <v>0.92779998430356847</v>
      </c>
      <c r="H18" s="215">
        <v>23269548</v>
      </c>
      <c r="I18" s="216">
        <v>25348842</v>
      </c>
      <c r="J18" s="217">
        <v>0.91797282100697142</v>
      </c>
      <c r="K18" s="215">
        <v>24664177</v>
      </c>
      <c r="L18" s="216">
        <v>26321069</v>
      </c>
      <c r="M18" s="217">
        <v>0.93705073300784247</v>
      </c>
      <c r="N18" s="215">
        <v>25822265</v>
      </c>
      <c r="O18" s="216">
        <v>27367598</v>
      </c>
      <c r="P18" s="241">
        <v>0.94353095949450883</v>
      </c>
    </row>
    <row r="19" spans="1:16" x14ac:dyDescent="0.35">
      <c r="A19" s="218"/>
      <c r="B19" s="218"/>
      <c r="C19" s="218"/>
      <c r="D19" s="218"/>
      <c r="E19" s="218"/>
      <c r="F19" s="218"/>
      <c r="G19" s="218"/>
      <c r="H19" s="218"/>
      <c r="I19" s="218"/>
      <c r="J19" s="218"/>
      <c r="K19" s="301"/>
      <c r="L19" s="218"/>
      <c r="M19" s="218"/>
    </row>
    <row r="20" spans="1:16" x14ac:dyDescent="0.35">
      <c r="D20" s="67"/>
      <c r="G20" s="67"/>
      <c r="J20" s="67"/>
    </row>
  </sheetData>
  <mergeCells count="14">
    <mergeCell ref="N13:P13"/>
    <mergeCell ref="K13:M13"/>
    <mergeCell ref="B13:D13"/>
    <mergeCell ref="E13:G13"/>
    <mergeCell ref="H13:J13"/>
    <mergeCell ref="A1:D1"/>
    <mergeCell ref="A4:E4"/>
    <mergeCell ref="A10:E10"/>
    <mergeCell ref="A11:E11"/>
    <mergeCell ref="A3:I3"/>
    <mergeCell ref="A7:H7"/>
    <mergeCell ref="A8:J8"/>
    <mergeCell ref="A5:F5"/>
    <mergeCell ref="A6:H6"/>
  </mergeCells>
  <hyperlinks>
    <hyperlink ref="A8" r:id="rId1" xr:uid="{5EC06AFD-F5CA-455D-A054-9896943E491C}"/>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9DDF-85A7-41F6-A098-9C5C2F41C399}">
  <dimension ref="A1:Q31"/>
  <sheetViews>
    <sheetView showGridLines="0" zoomScaleNormal="100" workbookViewId="0">
      <selection activeCell="A3" sqref="A3:J3"/>
    </sheetView>
  </sheetViews>
  <sheetFormatPr defaultColWidth="8.84375" defaultRowHeight="14.5" x14ac:dyDescent="0.35"/>
  <cols>
    <col min="1" max="1" width="24.4609375" style="4" customWidth="1"/>
    <col min="2" max="11" width="11.23046875" style="4" customWidth="1"/>
    <col min="12" max="16384" width="8.84375" style="4"/>
  </cols>
  <sheetData>
    <row r="1" spans="1:11" ht="84" customHeight="1" x14ac:dyDescent="0.35">
      <c r="A1" s="363"/>
      <c r="B1" s="363"/>
      <c r="C1" s="363"/>
      <c r="D1" s="363"/>
    </row>
    <row r="2" spans="1:11" x14ac:dyDescent="0.35">
      <c r="A2" s="3" t="s">
        <v>0</v>
      </c>
      <c r="B2" s="3" t="s">
        <v>0</v>
      </c>
      <c r="C2" s="3" t="s">
        <v>0</v>
      </c>
      <c r="D2" s="3" t="s">
        <v>0</v>
      </c>
      <c r="E2" s="3" t="s">
        <v>0</v>
      </c>
    </row>
    <row r="3" spans="1:11" ht="48" customHeight="1" x14ac:dyDescent="0.35">
      <c r="A3" s="397" t="s">
        <v>299</v>
      </c>
      <c r="B3" s="397"/>
      <c r="C3" s="397"/>
      <c r="D3" s="397"/>
      <c r="E3" s="397"/>
      <c r="F3" s="397"/>
      <c r="G3" s="397"/>
      <c r="H3" s="397"/>
      <c r="I3" s="397"/>
      <c r="J3" s="397"/>
    </row>
    <row r="4" spans="1:11" ht="29.25" customHeight="1" x14ac:dyDescent="0.35">
      <c r="A4" s="370" t="s">
        <v>317</v>
      </c>
      <c r="B4" s="370"/>
      <c r="C4" s="370"/>
      <c r="D4" s="370"/>
      <c r="E4" s="370"/>
      <c r="F4" s="370"/>
    </row>
    <row r="5" spans="1:11" x14ac:dyDescent="0.35">
      <c r="A5" s="371" t="s">
        <v>26</v>
      </c>
      <c r="B5" s="371"/>
      <c r="C5" s="371"/>
      <c r="D5" s="371"/>
      <c r="E5" s="371"/>
      <c r="F5" s="371"/>
      <c r="G5" s="371"/>
      <c r="H5" s="371"/>
      <c r="I5" s="371"/>
    </row>
    <row r="6" spans="1:11" ht="68.5" customHeight="1" x14ac:dyDescent="0.35">
      <c r="A6" s="398" t="s">
        <v>505</v>
      </c>
      <c r="B6" s="399"/>
      <c r="C6" s="399"/>
      <c r="D6" s="399"/>
      <c r="E6" s="399"/>
      <c r="F6" s="399"/>
      <c r="G6" s="373"/>
      <c r="H6" s="373"/>
      <c r="I6" s="26"/>
    </row>
    <row r="7" spans="1:11" ht="31.75" customHeight="1" x14ac:dyDescent="0.35">
      <c r="A7" s="370" t="s">
        <v>635</v>
      </c>
      <c r="B7" s="373"/>
      <c r="C7" s="373"/>
      <c r="D7" s="373"/>
      <c r="E7" s="373"/>
      <c r="F7" s="373"/>
      <c r="G7" s="373"/>
      <c r="H7" s="373"/>
      <c r="I7" s="26"/>
    </row>
    <row r="8" spans="1:11" x14ac:dyDescent="0.35">
      <c r="A8" s="77"/>
      <c r="B8" s="1"/>
      <c r="C8" s="1"/>
      <c r="D8" s="1"/>
      <c r="E8" s="1"/>
      <c r="F8" s="1"/>
      <c r="G8" s="26"/>
      <c r="H8" s="26"/>
      <c r="I8" s="26"/>
    </row>
    <row r="9" spans="1:11" ht="14.5" customHeight="1" x14ac:dyDescent="0.35">
      <c r="A9" s="361" t="s">
        <v>504</v>
      </c>
      <c r="B9" s="361"/>
      <c r="C9" s="361"/>
      <c r="D9" s="361"/>
      <c r="E9" s="361"/>
      <c r="F9" s="361"/>
      <c r="G9" s="361"/>
      <c r="H9" s="361"/>
      <c r="I9" s="26"/>
    </row>
    <row r="10" spans="1:11" ht="17.149999999999999" customHeight="1" x14ac:dyDescent="0.35">
      <c r="A10" s="400" t="s">
        <v>620</v>
      </c>
      <c r="B10" s="401"/>
      <c r="C10" s="401"/>
      <c r="D10" s="401"/>
      <c r="E10" s="401"/>
      <c r="F10" s="401"/>
      <c r="G10" s="401"/>
      <c r="H10" s="401"/>
      <c r="I10" s="402"/>
    </row>
    <row r="11" spans="1:11" x14ac:dyDescent="0.35">
      <c r="A11" s="10" t="s">
        <v>617</v>
      </c>
    </row>
    <row r="12" spans="1:11" x14ac:dyDescent="0.35">
      <c r="A12" s="362" t="s">
        <v>2</v>
      </c>
      <c r="B12" s="362"/>
      <c r="C12" s="362"/>
      <c r="D12" s="362"/>
      <c r="E12" s="362"/>
    </row>
    <row r="13" spans="1:11" x14ac:dyDescent="0.35">
      <c r="A13" s="362" t="s">
        <v>1</v>
      </c>
      <c r="B13" s="362"/>
      <c r="C13" s="362"/>
      <c r="D13" s="362"/>
      <c r="E13" s="362"/>
    </row>
    <row r="14" spans="1:11" ht="15" thickBot="1" x14ac:dyDescent="0.4"/>
    <row r="15" spans="1:11" ht="16.399999999999999" customHeight="1" thickBot="1" x14ac:dyDescent="0.4">
      <c r="A15" s="2"/>
      <c r="B15" s="391" t="s">
        <v>17</v>
      </c>
      <c r="C15" s="392"/>
      <c r="D15" s="393" t="s">
        <v>18</v>
      </c>
      <c r="E15" s="394"/>
      <c r="F15" s="395" t="s">
        <v>21</v>
      </c>
      <c r="G15" s="396"/>
      <c r="H15" s="395" t="s">
        <v>507</v>
      </c>
      <c r="I15" s="396"/>
      <c r="J15" s="395" t="s">
        <v>616</v>
      </c>
      <c r="K15" s="396"/>
    </row>
    <row r="16" spans="1:11" ht="15" thickBot="1" x14ac:dyDescent="0.4">
      <c r="A16" s="68"/>
      <c r="B16" s="189" t="s">
        <v>309</v>
      </c>
      <c r="C16" s="193" t="s">
        <v>19</v>
      </c>
      <c r="D16" s="191" t="s">
        <v>309</v>
      </c>
      <c r="E16" s="190" t="s">
        <v>19</v>
      </c>
      <c r="F16" s="191" t="s">
        <v>309</v>
      </c>
      <c r="G16" s="192" t="s">
        <v>19</v>
      </c>
      <c r="H16" s="191" t="s">
        <v>309</v>
      </c>
      <c r="I16" s="192" t="s">
        <v>19</v>
      </c>
      <c r="J16" s="191" t="s">
        <v>309</v>
      </c>
      <c r="K16" s="192" t="s">
        <v>19</v>
      </c>
    </row>
    <row r="17" spans="1:17" ht="15" thickBot="1" x14ac:dyDescent="0.4">
      <c r="A17" s="69" t="s">
        <v>310</v>
      </c>
      <c r="B17" s="232">
        <v>221</v>
      </c>
      <c r="C17" s="188">
        <v>222</v>
      </c>
      <c r="D17" s="187">
        <v>194</v>
      </c>
      <c r="E17" s="188">
        <v>212</v>
      </c>
      <c r="F17" s="187">
        <v>190</v>
      </c>
      <c r="G17" s="188">
        <v>204</v>
      </c>
      <c r="H17" s="187">
        <v>187</v>
      </c>
      <c r="I17" s="188">
        <v>204</v>
      </c>
      <c r="J17" s="187"/>
      <c r="K17" s="302">
        <v>200</v>
      </c>
      <c r="Q17" s="194"/>
    </row>
    <row r="18" spans="1:17" x14ac:dyDescent="0.35">
      <c r="A18" s="72" t="s">
        <v>311</v>
      </c>
      <c r="B18" s="233">
        <v>183</v>
      </c>
      <c r="C18" s="74">
        <v>159</v>
      </c>
      <c r="D18" s="73">
        <v>153</v>
      </c>
      <c r="E18" s="74">
        <v>156</v>
      </c>
      <c r="F18" s="73">
        <v>149</v>
      </c>
      <c r="G18" s="74">
        <v>154</v>
      </c>
      <c r="H18" s="73">
        <v>144</v>
      </c>
      <c r="I18" s="74">
        <v>152</v>
      </c>
      <c r="J18" s="73">
        <v>145</v>
      </c>
      <c r="K18" s="303">
        <v>151</v>
      </c>
      <c r="Q18" s="194"/>
    </row>
    <row r="19" spans="1:17" x14ac:dyDescent="0.35">
      <c r="A19" s="72" t="s">
        <v>312</v>
      </c>
      <c r="B19" s="233">
        <v>1</v>
      </c>
      <c r="C19" s="74">
        <v>24</v>
      </c>
      <c r="D19" s="73">
        <v>1</v>
      </c>
      <c r="E19" s="74">
        <v>20</v>
      </c>
      <c r="F19" s="73">
        <v>0</v>
      </c>
      <c r="G19" s="74">
        <v>14</v>
      </c>
      <c r="H19" s="73">
        <v>2</v>
      </c>
      <c r="I19" s="74">
        <v>15</v>
      </c>
      <c r="J19" s="73">
        <v>2</v>
      </c>
      <c r="K19" s="303">
        <v>13</v>
      </c>
      <c r="Q19" s="194"/>
    </row>
    <row r="20" spans="1:17" ht="15" thickBot="1" x14ac:dyDescent="0.4">
      <c r="A20" s="72" t="s">
        <v>313</v>
      </c>
      <c r="B20" s="233">
        <v>37</v>
      </c>
      <c r="C20" s="74">
        <v>39</v>
      </c>
      <c r="D20" s="73">
        <v>40</v>
      </c>
      <c r="E20" s="74">
        <v>36</v>
      </c>
      <c r="F20" s="73">
        <v>41</v>
      </c>
      <c r="G20" s="74">
        <v>36</v>
      </c>
      <c r="H20" s="73">
        <v>41</v>
      </c>
      <c r="I20" s="74">
        <v>37</v>
      </c>
      <c r="J20" s="73">
        <v>45</v>
      </c>
      <c r="K20" s="303">
        <v>36</v>
      </c>
      <c r="Q20" s="194"/>
    </row>
    <row r="21" spans="1:17" ht="15" thickBot="1" x14ac:dyDescent="0.4">
      <c r="A21" s="343" t="s">
        <v>314</v>
      </c>
      <c r="B21" s="234">
        <v>16153448</v>
      </c>
      <c r="C21" s="71">
        <v>17429559</v>
      </c>
      <c r="D21" s="70">
        <v>22615094</v>
      </c>
      <c r="E21" s="71">
        <v>24374967</v>
      </c>
      <c r="F21" s="70">
        <v>23269548</v>
      </c>
      <c r="G21" s="71">
        <v>25348842</v>
      </c>
      <c r="H21" s="70">
        <v>24664177</v>
      </c>
      <c r="I21" s="71">
        <v>26321069</v>
      </c>
      <c r="J21" s="70">
        <v>25822265</v>
      </c>
      <c r="K21" s="304">
        <v>27367598</v>
      </c>
      <c r="Q21" s="194"/>
    </row>
    <row r="22" spans="1:17" x14ac:dyDescent="0.35">
      <c r="A22" s="344" t="s">
        <v>311</v>
      </c>
      <c r="B22" s="233">
        <v>15136659</v>
      </c>
      <c r="C22" s="74">
        <v>16539519</v>
      </c>
      <c r="D22" s="73">
        <v>20833229</v>
      </c>
      <c r="E22" s="74">
        <v>23011134</v>
      </c>
      <c r="F22" s="73">
        <v>21577729</v>
      </c>
      <c r="G22" s="74">
        <v>23837582</v>
      </c>
      <c r="H22" s="73">
        <v>22750719</v>
      </c>
      <c r="I22" s="74">
        <v>24713788</v>
      </c>
      <c r="J22" s="73">
        <v>23777986</v>
      </c>
      <c r="K22" s="303">
        <v>25876300</v>
      </c>
      <c r="Q22" s="194"/>
    </row>
    <row r="23" spans="1:17" x14ac:dyDescent="0.35">
      <c r="A23" s="345" t="s">
        <v>312</v>
      </c>
      <c r="B23" s="233">
        <v>1835</v>
      </c>
      <c r="C23" s="74">
        <v>310394</v>
      </c>
      <c r="D23" s="73">
        <v>2120</v>
      </c>
      <c r="E23" s="74">
        <v>463091</v>
      </c>
      <c r="F23" s="73">
        <v>0</v>
      </c>
      <c r="G23" s="74">
        <v>452822</v>
      </c>
      <c r="H23" s="73">
        <v>4989</v>
      </c>
      <c r="I23" s="74">
        <v>430621</v>
      </c>
      <c r="J23" s="73">
        <v>4881</v>
      </c>
      <c r="K23" s="303">
        <v>335936</v>
      </c>
      <c r="Q23" s="194"/>
    </row>
    <row r="24" spans="1:17" ht="15" thickBot="1" x14ac:dyDescent="0.4">
      <c r="A24" s="346" t="s">
        <v>313</v>
      </c>
      <c r="B24" s="235">
        <v>1014954</v>
      </c>
      <c r="C24" s="76">
        <v>579646</v>
      </c>
      <c r="D24" s="75">
        <v>1779745</v>
      </c>
      <c r="E24" s="76">
        <v>900742</v>
      </c>
      <c r="F24" s="75">
        <v>1691819</v>
      </c>
      <c r="G24" s="76">
        <v>1058438</v>
      </c>
      <c r="H24" s="75">
        <v>1908469</v>
      </c>
      <c r="I24" s="76">
        <v>1176660</v>
      </c>
      <c r="J24" s="75">
        <v>2039398</v>
      </c>
      <c r="K24" s="305">
        <v>1155362</v>
      </c>
      <c r="Q24" s="194"/>
    </row>
    <row r="26" spans="1:17" x14ac:dyDescent="0.35">
      <c r="A26" s="218"/>
    </row>
    <row r="28" spans="1:17" x14ac:dyDescent="0.35">
      <c r="A28" s="231" t="s">
        <v>593</v>
      </c>
    </row>
    <row r="29" spans="1:17" x14ac:dyDescent="0.35">
      <c r="A29" s="4" t="s">
        <v>597</v>
      </c>
    </row>
    <row r="30" spans="1:17" x14ac:dyDescent="0.35">
      <c r="A30" s="4" t="s">
        <v>596</v>
      </c>
    </row>
    <row r="31" spans="1:17" x14ac:dyDescent="0.35">
      <c r="A31" s="4" t="s">
        <v>594</v>
      </c>
    </row>
  </sheetData>
  <sortState xmlns:xlrd2="http://schemas.microsoft.com/office/spreadsheetml/2017/richdata2" ref="J17:L24">
    <sortCondition ref="J17:J24"/>
  </sortState>
  <mergeCells count="15">
    <mergeCell ref="B15:C15"/>
    <mergeCell ref="D15:E15"/>
    <mergeCell ref="F15:G15"/>
    <mergeCell ref="A1:D1"/>
    <mergeCell ref="A5:I5"/>
    <mergeCell ref="A12:E12"/>
    <mergeCell ref="A13:E13"/>
    <mergeCell ref="A3:J3"/>
    <mergeCell ref="A9:H9"/>
    <mergeCell ref="H15:I15"/>
    <mergeCell ref="A7:H7"/>
    <mergeCell ref="A6:H6"/>
    <mergeCell ref="A10:I10"/>
    <mergeCell ref="J15:K15"/>
    <mergeCell ref="A4:F4"/>
  </mergeCells>
  <hyperlinks>
    <hyperlink ref="A10" r:id="rId1" xr:uid="{C6B1B0B9-EBC6-4EDC-ACDA-74847CEAF1A4}"/>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F88D8-C4A7-4EEF-A6C8-5563BCA3E996}">
  <dimension ref="A1:L249"/>
  <sheetViews>
    <sheetView showGridLines="0" zoomScaleNormal="100" workbookViewId="0">
      <selection sqref="A1:D1"/>
    </sheetView>
  </sheetViews>
  <sheetFormatPr defaultColWidth="8.84375" defaultRowHeight="14.5" x14ac:dyDescent="0.35"/>
  <cols>
    <col min="1" max="1" width="58.07421875" style="4" bestFit="1" customWidth="1"/>
    <col min="2" max="2" width="7.84375" style="4" bestFit="1" customWidth="1"/>
    <col min="3" max="3" width="13.3046875" style="4" customWidth="1"/>
    <col min="4" max="4" width="17.69140625" style="4" customWidth="1"/>
    <col min="5" max="5" width="17.07421875" style="4" customWidth="1"/>
    <col min="6" max="6" width="13.07421875" style="4" customWidth="1"/>
    <col min="7" max="7" width="12.53515625" style="4" customWidth="1"/>
    <col min="8" max="8" width="20.84375" style="4" customWidth="1"/>
    <col min="9" max="9" width="15.69140625" style="4" customWidth="1"/>
    <col min="10" max="10" width="14.3046875" style="4" customWidth="1"/>
    <col min="11" max="11" width="10.4609375" style="4" bestFit="1" customWidth="1"/>
    <col min="12" max="16384" width="8.84375" style="4"/>
  </cols>
  <sheetData>
    <row r="1" spans="1:12" ht="84" customHeight="1" x14ac:dyDescent="0.35">
      <c r="A1" s="363"/>
      <c r="B1" s="363"/>
      <c r="C1" s="363"/>
      <c r="D1" s="363"/>
    </row>
    <row r="2" spans="1:12" x14ac:dyDescent="0.35">
      <c r="A2" s="3" t="s">
        <v>0</v>
      </c>
      <c r="B2" s="3" t="s">
        <v>0</v>
      </c>
      <c r="C2" s="3" t="s">
        <v>0</v>
      </c>
      <c r="D2" s="3" t="s">
        <v>0</v>
      </c>
      <c r="E2" s="3" t="s">
        <v>0</v>
      </c>
    </row>
    <row r="3" spans="1:12" ht="50.25" customHeight="1" x14ac:dyDescent="0.35">
      <c r="A3" s="386" t="s">
        <v>302</v>
      </c>
      <c r="B3" s="386"/>
      <c r="C3" s="386"/>
      <c r="D3" s="386"/>
      <c r="E3" s="386"/>
      <c r="F3" s="386"/>
      <c r="G3" s="386"/>
      <c r="H3" s="386"/>
      <c r="I3" s="386"/>
      <c r="J3" s="386"/>
    </row>
    <row r="4" spans="1:12" ht="29.25" customHeight="1" x14ac:dyDescent="0.35">
      <c r="A4" s="370" t="s">
        <v>601</v>
      </c>
      <c r="B4" s="370"/>
      <c r="C4" s="370"/>
      <c r="D4" s="370"/>
      <c r="E4" s="370"/>
    </row>
    <row r="5" spans="1:12" x14ac:dyDescent="0.35">
      <c r="A5" s="371" t="s">
        <v>26</v>
      </c>
      <c r="B5" s="371"/>
      <c r="C5" s="371"/>
      <c r="D5" s="371"/>
      <c r="E5" s="371"/>
      <c r="F5" s="371"/>
      <c r="G5" s="371"/>
      <c r="H5" s="371"/>
      <c r="I5" s="371"/>
    </row>
    <row r="6" spans="1:12" ht="106.5" customHeight="1" x14ac:dyDescent="0.35">
      <c r="A6" s="407" t="s">
        <v>598</v>
      </c>
      <c r="B6" s="407"/>
      <c r="C6" s="407"/>
      <c r="D6" s="407"/>
      <c r="E6" s="407"/>
      <c r="F6" s="407"/>
      <c r="G6" s="407"/>
      <c r="H6" s="407"/>
      <c r="I6" s="26"/>
    </row>
    <row r="7" spans="1:12" x14ac:dyDescent="0.35">
      <c r="A7" s="408" t="s">
        <v>316</v>
      </c>
      <c r="B7" s="408"/>
      <c r="C7" s="408"/>
      <c r="D7" s="408"/>
      <c r="E7" s="408"/>
      <c r="F7" s="408"/>
      <c r="G7" s="408"/>
      <c r="H7" s="408"/>
      <c r="I7" s="26"/>
    </row>
    <row r="8" spans="1:12" x14ac:dyDescent="0.35">
      <c r="A8" s="361" t="s">
        <v>504</v>
      </c>
      <c r="B8" s="361"/>
      <c r="C8" s="361"/>
      <c r="D8" s="361"/>
      <c r="E8" s="361"/>
      <c r="F8" s="361"/>
      <c r="G8" s="361"/>
      <c r="H8" s="361"/>
      <c r="I8" s="26"/>
    </row>
    <row r="9" spans="1:12" x14ac:dyDescent="0.35">
      <c r="A9" s="368" t="s">
        <v>620</v>
      </c>
      <c r="B9" s="372"/>
      <c r="C9" s="372"/>
      <c r="D9" s="372"/>
      <c r="E9" s="372"/>
      <c r="F9" s="372"/>
      <c r="G9" s="372"/>
      <c r="H9" s="372"/>
    </row>
    <row r="10" spans="1:12" x14ac:dyDescent="0.35">
      <c r="A10" s="78"/>
      <c r="B10" s="78"/>
      <c r="C10" s="78"/>
      <c r="D10" s="78"/>
      <c r="E10" s="78"/>
      <c r="F10" s="78"/>
      <c r="G10" s="78"/>
      <c r="H10" s="78"/>
    </row>
    <row r="11" spans="1:12" x14ac:dyDescent="0.35">
      <c r="A11" s="10" t="s">
        <v>617</v>
      </c>
    </row>
    <row r="12" spans="1:12" x14ac:dyDescent="0.35">
      <c r="A12" s="362" t="s">
        <v>2</v>
      </c>
      <c r="B12" s="362"/>
      <c r="C12" s="362"/>
      <c r="D12" s="362"/>
      <c r="E12" s="362"/>
    </row>
    <row r="13" spans="1:12" x14ac:dyDescent="0.35">
      <c r="A13" s="406"/>
      <c r="B13" s="362"/>
      <c r="C13" s="362"/>
      <c r="D13" s="362"/>
      <c r="E13" s="362"/>
      <c r="K13" s="194"/>
    </row>
    <row r="14" spans="1:12" ht="15" thickBot="1" x14ac:dyDescent="0.4">
      <c r="A14" s="3"/>
      <c r="B14" s="3"/>
      <c r="C14" s="195"/>
      <c r="D14" s="194"/>
      <c r="E14" s="194"/>
      <c r="F14" s="194"/>
      <c r="G14" s="409"/>
      <c r="H14" s="409"/>
      <c r="I14" s="409"/>
      <c r="J14" s="409"/>
      <c r="K14" s="195"/>
    </row>
    <row r="15" spans="1:12" ht="16.399999999999999" customHeight="1" thickBot="1" x14ac:dyDescent="0.4">
      <c r="A15" s="81"/>
      <c r="B15" s="82"/>
      <c r="C15" s="403" t="s">
        <v>643</v>
      </c>
      <c r="D15" s="404"/>
      <c r="E15" s="404"/>
      <c r="F15" s="405"/>
      <c r="G15" s="403" t="s">
        <v>629</v>
      </c>
      <c r="H15" s="404"/>
      <c r="I15" s="404"/>
      <c r="J15" s="405"/>
      <c r="K15" s="194"/>
      <c r="L15" s="194"/>
    </row>
    <row r="16" spans="1:12" ht="65.5" thickBot="1" x14ac:dyDescent="0.4">
      <c r="A16" s="83" t="s">
        <v>321</v>
      </c>
      <c r="B16" s="83" t="s">
        <v>322</v>
      </c>
      <c r="C16" s="84" t="s">
        <v>323</v>
      </c>
      <c r="D16" s="85" t="s">
        <v>324</v>
      </c>
      <c r="E16" s="86" t="s">
        <v>599</v>
      </c>
      <c r="F16" s="87" t="s">
        <v>325</v>
      </c>
      <c r="G16" s="306" t="s">
        <v>323</v>
      </c>
      <c r="H16" s="307" t="s">
        <v>324</v>
      </c>
      <c r="I16" s="86" t="s">
        <v>599</v>
      </c>
      <c r="J16" s="308" t="s">
        <v>325</v>
      </c>
    </row>
    <row r="17" spans="1:11" ht="15" thickBot="1" x14ac:dyDescent="0.4">
      <c r="A17" s="88" t="s">
        <v>326</v>
      </c>
      <c r="B17" s="89" t="s">
        <v>327</v>
      </c>
      <c r="C17" s="327">
        <v>25822265</v>
      </c>
      <c r="D17" s="328">
        <v>18313531</v>
      </c>
      <c r="E17" s="329">
        <v>7508734</v>
      </c>
      <c r="F17" s="330">
        <v>0.70921474161929632</v>
      </c>
      <c r="G17" s="254">
        <v>27367598</v>
      </c>
      <c r="H17" s="255">
        <v>20217888</v>
      </c>
      <c r="I17" s="257">
        <v>7149710</v>
      </c>
      <c r="J17" s="258">
        <v>0.73875273964488952</v>
      </c>
      <c r="K17" s="194"/>
    </row>
    <row r="18" spans="1:11" x14ac:dyDescent="0.35">
      <c r="A18" s="90" t="s">
        <v>328</v>
      </c>
      <c r="B18" s="91" t="s">
        <v>329</v>
      </c>
      <c r="C18" s="331">
        <v>4186020</v>
      </c>
      <c r="D18" s="332">
        <v>2950725</v>
      </c>
      <c r="E18" s="333">
        <v>1235295</v>
      </c>
      <c r="F18" s="334">
        <v>0.70489988103257983</v>
      </c>
      <c r="G18" s="253">
        <v>4816425</v>
      </c>
      <c r="H18" s="256">
        <v>3655553</v>
      </c>
      <c r="I18" s="256">
        <v>1160872</v>
      </c>
      <c r="J18" s="94">
        <v>0.75897641923210679</v>
      </c>
    </row>
    <row r="19" spans="1:11" x14ac:dyDescent="0.35">
      <c r="A19" s="92" t="s">
        <v>330</v>
      </c>
      <c r="B19" s="93" t="s">
        <v>331</v>
      </c>
      <c r="C19" s="335">
        <v>2147355</v>
      </c>
      <c r="D19" s="336">
        <v>1502710</v>
      </c>
      <c r="E19" s="337">
        <v>644645</v>
      </c>
      <c r="F19" s="338">
        <v>0.69979579529234803</v>
      </c>
      <c r="G19" s="242">
        <v>2360347</v>
      </c>
      <c r="H19" s="250">
        <v>1716286</v>
      </c>
      <c r="I19" s="250">
        <v>644061</v>
      </c>
      <c r="J19" s="94">
        <v>0.72713291732105489</v>
      </c>
    </row>
    <row r="20" spans="1:11" x14ac:dyDescent="0.35">
      <c r="A20" s="92" t="s">
        <v>332</v>
      </c>
      <c r="B20" s="93" t="s">
        <v>333</v>
      </c>
      <c r="C20" s="335">
        <v>3497665</v>
      </c>
      <c r="D20" s="336">
        <v>2521405</v>
      </c>
      <c r="E20" s="337">
        <v>976260</v>
      </c>
      <c r="F20" s="338">
        <v>0.72088236008880213</v>
      </c>
      <c r="G20" s="242">
        <v>4179688</v>
      </c>
      <c r="H20" s="250">
        <v>3198435</v>
      </c>
      <c r="I20" s="250">
        <v>981253</v>
      </c>
      <c r="J20" s="94">
        <v>0.76523295518708578</v>
      </c>
    </row>
    <row r="21" spans="1:11" x14ac:dyDescent="0.35">
      <c r="A21" s="92" t="s">
        <v>334</v>
      </c>
      <c r="B21" s="93" t="s">
        <v>335</v>
      </c>
      <c r="C21" s="335">
        <v>4258840</v>
      </c>
      <c r="D21" s="336">
        <v>2833045</v>
      </c>
      <c r="E21" s="337">
        <v>1425795</v>
      </c>
      <c r="F21" s="338">
        <v>0.66521517596340785</v>
      </c>
      <c r="G21" s="242">
        <v>5118407</v>
      </c>
      <c r="H21" s="250">
        <v>3708685</v>
      </c>
      <c r="I21" s="250">
        <v>1409722</v>
      </c>
      <c r="J21" s="94">
        <v>0.7245779790469965</v>
      </c>
    </row>
    <row r="22" spans="1:11" x14ac:dyDescent="0.35">
      <c r="A22" s="92" t="s">
        <v>336</v>
      </c>
      <c r="B22" s="93" t="s">
        <v>337</v>
      </c>
      <c r="C22" s="335">
        <v>2492500</v>
      </c>
      <c r="D22" s="336">
        <v>1696385</v>
      </c>
      <c r="E22" s="337">
        <v>796115</v>
      </c>
      <c r="F22" s="338">
        <v>0.68059578736208626</v>
      </c>
      <c r="G22" s="242">
        <v>2816730</v>
      </c>
      <c r="H22" s="250">
        <v>2049418</v>
      </c>
      <c r="I22" s="250">
        <v>767312</v>
      </c>
      <c r="J22" s="94">
        <v>0.7275876637093367</v>
      </c>
    </row>
    <row r="23" spans="1:11" x14ac:dyDescent="0.35">
      <c r="A23" s="92" t="s">
        <v>338</v>
      </c>
      <c r="B23" s="93" t="s">
        <v>339</v>
      </c>
      <c r="C23" s="335">
        <v>3461620</v>
      </c>
      <c r="D23" s="336">
        <v>2337315</v>
      </c>
      <c r="E23" s="337">
        <v>1124305</v>
      </c>
      <c r="F23" s="338">
        <v>0.675208428423686</v>
      </c>
      <c r="G23" s="242">
        <v>3817583</v>
      </c>
      <c r="H23" s="250">
        <v>2733900</v>
      </c>
      <c r="I23" s="250">
        <v>1083683</v>
      </c>
      <c r="J23" s="94">
        <v>0.71613374221333237</v>
      </c>
    </row>
    <row r="24" spans="1:11" x14ac:dyDescent="0.35">
      <c r="A24" s="92" t="s">
        <v>340</v>
      </c>
      <c r="B24" s="93" t="s">
        <v>341</v>
      </c>
      <c r="C24" s="335">
        <v>3735440</v>
      </c>
      <c r="D24" s="336">
        <v>2640260</v>
      </c>
      <c r="E24" s="337">
        <v>1095180</v>
      </c>
      <c r="F24" s="338">
        <v>0.70681365515173578</v>
      </c>
      <c r="G24" s="242">
        <v>4258418</v>
      </c>
      <c r="H24" s="250">
        <v>3155611</v>
      </c>
      <c r="I24" s="250">
        <v>1102807</v>
      </c>
      <c r="J24" s="94">
        <v>0.74102894549102505</v>
      </c>
    </row>
    <row r="25" spans="1:11" ht="15" thickBot="1" x14ac:dyDescent="0.4">
      <c r="A25" s="97" t="s">
        <v>494</v>
      </c>
      <c r="B25" s="98"/>
      <c r="C25" s="339">
        <v>2042830</v>
      </c>
      <c r="D25" s="340">
        <v>1831690</v>
      </c>
      <c r="E25" s="341">
        <v>211135</v>
      </c>
      <c r="F25" s="342">
        <v>0.89664338197500526</v>
      </c>
      <c r="G25" s="247" t="s">
        <v>388</v>
      </c>
      <c r="H25" s="252" t="s">
        <v>388</v>
      </c>
      <c r="I25" s="252" t="s">
        <v>388</v>
      </c>
      <c r="J25" s="99" t="s">
        <v>388</v>
      </c>
    </row>
    <row r="26" spans="1:11" x14ac:dyDescent="0.35">
      <c r="A26" s="221" t="s">
        <v>515</v>
      </c>
      <c r="B26" s="222" t="s">
        <v>342</v>
      </c>
      <c r="C26" s="309">
        <v>29595</v>
      </c>
      <c r="D26" s="309">
        <v>26145</v>
      </c>
      <c r="E26" s="310">
        <v>3450</v>
      </c>
      <c r="F26" s="311">
        <v>0.88342625443487077</v>
      </c>
      <c r="G26" s="243">
        <v>22742</v>
      </c>
      <c r="H26" s="248">
        <v>22742</v>
      </c>
      <c r="I26" s="259">
        <v>0</v>
      </c>
      <c r="J26" s="220">
        <v>1</v>
      </c>
      <c r="K26" s="194" t="str">
        <f>IF(C26=0,IF(G26=0,1,""),"")</f>
        <v/>
      </c>
    </row>
    <row r="27" spans="1:11" x14ac:dyDescent="0.35">
      <c r="A27" s="96" t="s">
        <v>625</v>
      </c>
      <c r="B27" s="223" t="s">
        <v>626</v>
      </c>
      <c r="C27" s="312">
        <v>0</v>
      </c>
      <c r="D27" s="313">
        <v>0</v>
      </c>
      <c r="E27" s="314">
        <v>0</v>
      </c>
      <c r="F27" s="315">
        <v>0</v>
      </c>
      <c r="G27" s="260">
        <v>3681</v>
      </c>
      <c r="H27" s="244">
        <v>2217</v>
      </c>
      <c r="I27" s="250">
        <v>1464</v>
      </c>
      <c r="J27" s="219">
        <v>0.6022819885900571</v>
      </c>
      <c r="K27" s="194" t="str">
        <f t="shared" ref="K27:K84" si="0">IF(C27=0,IF(G27=0,1,""),"")</f>
        <v/>
      </c>
    </row>
    <row r="28" spans="1:11" x14ac:dyDescent="0.35">
      <c r="A28" s="96" t="s">
        <v>343</v>
      </c>
      <c r="B28" s="223" t="s">
        <v>344</v>
      </c>
      <c r="C28" s="312">
        <v>0</v>
      </c>
      <c r="D28" s="313">
        <v>0</v>
      </c>
      <c r="E28" s="314">
        <v>0</v>
      </c>
      <c r="F28" s="315">
        <v>0</v>
      </c>
      <c r="G28" s="261">
        <v>6876</v>
      </c>
      <c r="H28" s="245">
        <v>6876</v>
      </c>
      <c r="I28" s="250">
        <v>0</v>
      </c>
      <c r="J28" s="219">
        <v>1</v>
      </c>
      <c r="K28" s="194" t="str">
        <f t="shared" si="0"/>
        <v/>
      </c>
    </row>
    <row r="29" spans="1:11" x14ac:dyDescent="0.35">
      <c r="A29" s="96" t="s">
        <v>345</v>
      </c>
      <c r="B29" s="223" t="s">
        <v>346</v>
      </c>
      <c r="C29" s="312">
        <v>58630</v>
      </c>
      <c r="D29" s="313">
        <v>58630</v>
      </c>
      <c r="E29" s="314">
        <v>0</v>
      </c>
      <c r="F29" s="316">
        <v>1</v>
      </c>
      <c r="G29" s="262">
        <v>62199</v>
      </c>
      <c r="H29" s="249">
        <v>62199</v>
      </c>
      <c r="I29" s="250">
        <v>0</v>
      </c>
      <c r="J29" s="219">
        <v>1</v>
      </c>
      <c r="K29" s="194" t="str">
        <f t="shared" si="0"/>
        <v/>
      </c>
    </row>
    <row r="30" spans="1:11" x14ac:dyDescent="0.35">
      <c r="A30" s="96" t="s">
        <v>539</v>
      </c>
      <c r="B30" s="223" t="s">
        <v>540</v>
      </c>
      <c r="C30" s="312">
        <v>84195</v>
      </c>
      <c r="D30" s="313">
        <v>75625</v>
      </c>
      <c r="E30" s="314">
        <v>8565</v>
      </c>
      <c r="F30" s="316">
        <v>0.89821248292653955</v>
      </c>
      <c r="G30" s="242">
        <v>0</v>
      </c>
      <c r="H30" s="250">
        <v>0</v>
      </c>
      <c r="I30" s="250">
        <v>0</v>
      </c>
      <c r="J30" s="219">
        <v>0</v>
      </c>
      <c r="K30" s="194" t="str">
        <f t="shared" si="0"/>
        <v/>
      </c>
    </row>
    <row r="31" spans="1:11" x14ac:dyDescent="0.35">
      <c r="A31" s="96" t="s">
        <v>347</v>
      </c>
      <c r="B31" s="223" t="s">
        <v>348</v>
      </c>
      <c r="C31" s="312">
        <v>45755</v>
      </c>
      <c r="D31" s="313">
        <v>43400</v>
      </c>
      <c r="E31" s="314">
        <v>2355</v>
      </c>
      <c r="F31" s="316">
        <v>0.94853021527701886</v>
      </c>
      <c r="G31" s="242">
        <v>44164</v>
      </c>
      <c r="H31" s="250">
        <v>43733</v>
      </c>
      <c r="I31" s="250">
        <v>431</v>
      </c>
      <c r="J31" s="219">
        <v>0.99024092020650301</v>
      </c>
      <c r="K31" s="194" t="str">
        <f t="shared" si="0"/>
        <v/>
      </c>
    </row>
    <row r="32" spans="1:11" x14ac:dyDescent="0.35">
      <c r="A32" s="96" t="s">
        <v>541</v>
      </c>
      <c r="B32" s="223" t="s">
        <v>542</v>
      </c>
      <c r="C32" s="312">
        <v>98555</v>
      </c>
      <c r="D32" s="313">
        <v>93545</v>
      </c>
      <c r="E32" s="314">
        <v>5010</v>
      </c>
      <c r="F32" s="316">
        <v>0.94916544061691444</v>
      </c>
      <c r="G32" s="242">
        <v>0</v>
      </c>
      <c r="H32" s="250">
        <v>0</v>
      </c>
      <c r="I32" s="250">
        <v>0</v>
      </c>
      <c r="J32" s="219">
        <v>0</v>
      </c>
      <c r="K32" s="194" t="str">
        <f t="shared" si="0"/>
        <v/>
      </c>
    </row>
    <row r="33" spans="1:11" x14ac:dyDescent="0.35">
      <c r="A33" s="96" t="s">
        <v>349</v>
      </c>
      <c r="B33" s="223" t="s">
        <v>350</v>
      </c>
      <c r="C33" s="312">
        <v>0</v>
      </c>
      <c r="D33" s="313">
        <v>0</v>
      </c>
      <c r="E33" s="314">
        <v>0</v>
      </c>
      <c r="F33" s="316">
        <v>0</v>
      </c>
      <c r="G33" s="242">
        <v>3953</v>
      </c>
      <c r="H33" s="250">
        <v>3953</v>
      </c>
      <c r="I33" s="250">
        <v>0</v>
      </c>
      <c r="J33" s="219">
        <v>1</v>
      </c>
      <c r="K33" s="194" t="str">
        <f t="shared" si="0"/>
        <v/>
      </c>
    </row>
    <row r="34" spans="1:11" x14ac:dyDescent="0.35">
      <c r="A34" s="96" t="s">
        <v>543</v>
      </c>
      <c r="B34" s="223" t="s">
        <v>544</v>
      </c>
      <c r="C34" s="312">
        <v>194050</v>
      </c>
      <c r="D34" s="313">
        <v>157085</v>
      </c>
      <c r="E34" s="314">
        <v>36965</v>
      </c>
      <c r="F34" s="316">
        <v>0.80950785879927856</v>
      </c>
      <c r="G34" s="242">
        <v>0</v>
      </c>
      <c r="H34" s="250">
        <v>0</v>
      </c>
      <c r="I34" s="250">
        <v>0</v>
      </c>
      <c r="J34" s="219">
        <v>0</v>
      </c>
      <c r="K34" s="194" t="str">
        <f t="shared" si="0"/>
        <v/>
      </c>
    </row>
    <row r="35" spans="1:11" x14ac:dyDescent="0.35">
      <c r="A35" s="96" t="s">
        <v>351</v>
      </c>
      <c r="B35" s="223" t="s">
        <v>352</v>
      </c>
      <c r="C35" s="312">
        <v>35600</v>
      </c>
      <c r="D35" s="313">
        <v>34240</v>
      </c>
      <c r="E35" s="314">
        <v>1360</v>
      </c>
      <c r="F35" s="316">
        <v>0.96179775280898872</v>
      </c>
      <c r="G35" s="242">
        <v>34574</v>
      </c>
      <c r="H35" s="250">
        <v>34472</v>
      </c>
      <c r="I35" s="250">
        <v>102</v>
      </c>
      <c r="J35" s="219">
        <v>0.99704980621276107</v>
      </c>
      <c r="K35" s="194" t="str">
        <f t="shared" si="0"/>
        <v/>
      </c>
    </row>
    <row r="36" spans="1:11" x14ac:dyDescent="0.35">
      <c r="A36" s="96" t="s">
        <v>353</v>
      </c>
      <c r="B36" s="223" t="s">
        <v>354</v>
      </c>
      <c r="C36" s="312">
        <v>0</v>
      </c>
      <c r="D36" s="313">
        <v>0</v>
      </c>
      <c r="E36" s="314">
        <v>0</v>
      </c>
      <c r="F36" s="316">
        <v>0</v>
      </c>
      <c r="G36" s="242">
        <v>28926</v>
      </c>
      <c r="H36" s="250">
        <v>28890</v>
      </c>
      <c r="I36" s="250">
        <v>36</v>
      </c>
      <c r="J36" s="219">
        <v>0.99875544492843804</v>
      </c>
      <c r="K36" s="194" t="str">
        <f t="shared" si="0"/>
        <v/>
      </c>
    </row>
    <row r="37" spans="1:11" x14ac:dyDescent="0.35">
      <c r="A37" s="96" t="s">
        <v>545</v>
      </c>
      <c r="B37" s="223" t="s">
        <v>546</v>
      </c>
      <c r="C37" s="312">
        <v>102210</v>
      </c>
      <c r="D37" s="313">
        <v>91260</v>
      </c>
      <c r="E37" s="314">
        <v>10950</v>
      </c>
      <c r="F37" s="316">
        <v>0.89286762547695919</v>
      </c>
      <c r="G37" s="242">
        <v>0</v>
      </c>
      <c r="H37" s="250">
        <v>0</v>
      </c>
      <c r="I37" s="250">
        <v>0</v>
      </c>
      <c r="J37" s="219">
        <v>0</v>
      </c>
      <c r="K37" s="194" t="str">
        <f t="shared" si="0"/>
        <v/>
      </c>
    </row>
    <row r="38" spans="1:11" x14ac:dyDescent="0.35">
      <c r="A38" s="96" t="s">
        <v>486</v>
      </c>
      <c r="B38" s="223" t="s">
        <v>355</v>
      </c>
      <c r="C38" s="312">
        <v>0</v>
      </c>
      <c r="D38" s="313">
        <v>0</v>
      </c>
      <c r="E38" s="314">
        <v>0</v>
      </c>
      <c r="F38" s="316">
        <v>0</v>
      </c>
      <c r="G38" s="242">
        <v>26664</v>
      </c>
      <c r="H38" s="250">
        <v>26207</v>
      </c>
      <c r="I38" s="250">
        <v>457</v>
      </c>
      <c r="J38" s="219">
        <v>0.98286078607860783</v>
      </c>
      <c r="K38" s="194" t="str">
        <f t="shared" si="0"/>
        <v/>
      </c>
    </row>
    <row r="39" spans="1:11" x14ac:dyDescent="0.35">
      <c r="A39" s="96" t="s">
        <v>485</v>
      </c>
      <c r="B39" s="223" t="s">
        <v>547</v>
      </c>
      <c r="C39" s="312">
        <v>99935</v>
      </c>
      <c r="D39" s="313">
        <v>99860</v>
      </c>
      <c r="E39" s="314">
        <v>75</v>
      </c>
      <c r="F39" s="316">
        <v>0.99924951218291891</v>
      </c>
      <c r="G39" s="242">
        <v>0</v>
      </c>
      <c r="H39" s="250">
        <v>0</v>
      </c>
      <c r="I39" s="250">
        <v>0</v>
      </c>
      <c r="J39" s="219">
        <v>0</v>
      </c>
      <c r="K39" s="194" t="str">
        <f t="shared" si="0"/>
        <v/>
      </c>
    </row>
    <row r="40" spans="1:11" x14ac:dyDescent="0.35">
      <c r="A40" s="96" t="s">
        <v>356</v>
      </c>
      <c r="B40" s="223" t="s">
        <v>357</v>
      </c>
      <c r="C40" s="312">
        <v>0</v>
      </c>
      <c r="D40" s="313">
        <v>0</v>
      </c>
      <c r="E40" s="314">
        <v>0</v>
      </c>
      <c r="F40" s="316">
        <v>0</v>
      </c>
      <c r="G40" s="242">
        <v>3525</v>
      </c>
      <c r="H40" s="250">
        <v>3525</v>
      </c>
      <c r="I40" s="250">
        <v>0</v>
      </c>
      <c r="J40" s="219">
        <v>1</v>
      </c>
      <c r="K40" s="194" t="str">
        <f t="shared" si="0"/>
        <v/>
      </c>
    </row>
    <row r="41" spans="1:11" x14ac:dyDescent="0.35">
      <c r="A41" s="96" t="s">
        <v>358</v>
      </c>
      <c r="B41" s="223" t="s">
        <v>359</v>
      </c>
      <c r="C41" s="312">
        <v>0</v>
      </c>
      <c r="D41" s="313">
        <v>0</v>
      </c>
      <c r="E41" s="314">
        <v>0</v>
      </c>
      <c r="F41" s="316">
        <v>0</v>
      </c>
      <c r="G41" s="242">
        <v>3804</v>
      </c>
      <c r="H41" s="250">
        <v>3804</v>
      </c>
      <c r="I41" s="250">
        <v>0</v>
      </c>
      <c r="J41" s="219">
        <v>1</v>
      </c>
      <c r="K41" s="194" t="str">
        <f t="shared" si="0"/>
        <v/>
      </c>
    </row>
    <row r="42" spans="1:11" x14ac:dyDescent="0.35">
      <c r="A42" s="96" t="s">
        <v>516</v>
      </c>
      <c r="B42" s="223" t="s">
        <v>360</v>
      </c>
      <c r="C42" s="312">
        <v>0</v>
      </c>
      <c r="D42" s="313">
        <v>0</v>
      </c>
      <c r="E42" s="314">
        <v>0</v>
      </c>
      <c r="F42" s="316">
        <v>0</v>
      </c>
      <c r="G42" s="242">
        <v>6442</v>
      </c>
      <c r="H42" s="250">
        <v>6442</v>
      </c>
      <c r="I42" s="250">
        <v>0</v>
      </c>
      <c r="J42" s="219">
        <v>1</v>
      </c>
      <c r="K42" s="194" t="str">
        <f t="shared" si="0"/>
        <v/>
      </c>
    </row>
    <row r="43" spans="1:11" x14ac:dyDescent="0.35">
      <c r="A43" s="96" t="s">
        <v>548</v>
      </c>
      <c r="B43" s="223" t="s">
        <v>549</v>
      </c>
      <c r="C43" s="312">
        <v>44625</v>
      </c>
      <c r="D43" s="313">
        <v>44450</v>
      </c>
      <c r="E43" s="314">
        <v>175</v>
      </c>
      <c r="F43" s="316">
        <v>0.99607843137254903</v>
      </c>
      <c r="G43" s="242">
        <v>0</v>
      </c>
      <c r="H43" s="250">
        <v>0</v>
      </c>
      <c r="I43" s="250">
        <v>0</v>
      </c>
      <c r="J43" s="219">
        <v>0</v>
      </c>
      <c r="K43" s="194" t="str">
        <f t="shared" si="0"/>
        <v/>
      </c>
    </row>
    <row r="44" spans="1:11" x14ac:dyDescent="0.35">
      <c r="A44" s="96"/>
      <c r="B44" s="223" t="s">
        <v>644</v>
      </c>
      <c r="C44" s="312">
        <v>3430</v>
      </c>
      <c r="D44" s="313">
        <v>2585</v>
      </c>
      <c r="E44" s="314">
        <v>845</v>
      </c>
      <c r="F44" s="316">
        <v>0.75364431486880468</v>
      </c>
      <c r="G44" s="242">
        <v>0</v>
      </c>
      <c r="H44" s="250">
        <v>0</v>
      </c>
      <c r="I44" s="250">
        <v>0</v>
      </c>
      <c r="J44" s="219">
        <v>0</v>
      </c>
      <c r="K44" s="194" t="str">
        <f t="shared" si="0"/>
        <v/>
      </c>
    </row>
    <row r="45" spans="1:11" x14ac:dyDescent="0.35">
      <c r="A45" s="96"/>
      <c r="B45" s="223" t="s">
        <v>645</v>
      </c>
      <c r="C45" s="312">
        <v>20365</v>
      </c>
      <c r="D45" s="313">
        <v>890</v>
      </c>
      <c r="E45" s="314">
        <v>19475</v>
      </c>
      <c r="F45" s="316">
        <v>4.3702430640805305E-2</v>
      </c>
      <c r="G45" s="242">
        <v>0</v>
      </c>
      <c r="H45" s="250">
        <v>0</v>
      </c>
      <c r="I45" s="250">
        <v>0</v>
      </c>
      <c r="J45" s="219">
        <v>0</v>
      </c>
      <c r="K45" s="410"/>
    </row>
    <row r="46" spans="1:11" x14ac:dyDescent="0.35">
      <c r="A46" s="96" t="s">
        <v>550</v>
      </c>
      <c r="B46" s="223" t="s">
        <v>551</v>
      </c>
      <c r="C46" s="312">
        <v>29530</v>
      </c>
      <c r="D46" s="313">
        <v>29530</v>
      </c>
      <c r="E46" s="314">
        <v>0</v>
      </c>
      <c r="F46" s="316">
        <v>1</v>
      </c>
      <c r="G46" s="242">
        <v>0</v>
      </c>
      <c r="H46" s="250">
        <v>0</v>
      </c>
      <c r="I46" s="250">
        <v>0</v>
      </c>
      <c r="J46" s="219">
        <v>0</v>
      </c>
      <c r="K46" s="194" t="str">
        <f t="shared" si="0"/>
        <v/>
      </c>
    </row>
    <row r="47" spans="1:11" x14ac:dyDescent="0.35">
      <c r="A47" s="96" t="s">
        <v>361</v>
      </c>
      <c r="B47" s="223" t="s">
        <v>362</v>
      </c>
      <c r="C47" s="312">
        <v>0</v>
      </c>
      <c r="D47" s="313">
        <v>0</v>
      </c>
      <c r="E47" s="314">
        <v>0</v>
      </c>
      <c r="F47" s="316">
        <v>0</v>
      </c>
      <c r="G47" s="242">
        <v>26408</v>
      </c>
      <c r="H47" s="250">
        <v>25466</v>
      </c>
      <c r="I47" s="250">
        <v>942</v>
      </c>
      <c r="J47" s="219">
        <v>0.96432899121478344</v>
      </c>
      <c r="K47" s="194" t="str">
        <f t="shared" si="0"/>
        <v/>
      </c>
    </row>
    <row r="48" spans="1:11" x14ac:dyDescent="0.35">
      <c r="A48" s="96" t="s">
        <v>552</v>
      </c>
      <c r="B48" s="223" t="s">
        <v>553</v>
      </c>
      <c r="C48" s="312">
        <v>30615</v>
      </c>
      <c r="D48" s="313">
        <v>26205</v>
      </c>
      <c r="E48" s="314">
        <v>4410</v>
      </c>
      <c r="F48" s="316">
        <v>0.85595296423321898</v>
      </c>
      <c r="G48" s="242">
        <v>0</v>
      </c>
      <c r="H48" s="250">
        <v>0</v>
      </c>
      <c r="I48" s="250">
        <v>0</v>
      </c>
      <c r="J48" s="219">
        <v>0</v>
      </c>
      <c r="K48" s="194" t="str">
        <f t="shared" si="0"/>
        <v/>
      </c>
    </row>
    <row r="49" spans="1:11" x14ac:dyDescent="0.35">
      <c r="A49" s="96" t="s">
        <v>554</v>
      </c>
      <c r="B49" s="223" t="s">
        <v>555</v>
      </c>
      <c r="C49" s="312">
        <v>82090</v>
      </c>
      <c r="D49" s="313">
        <v>78080</v>
      </c>
      <c r="E49" s="314">
        <v>4010</v>
      </c>
      <c r="F49" s="316">
        <v>0.95115117553904249</v>
      </c>
      <c r="G49" s="242">
        <v>0</v>
      </c>
      <c r="H49" s="250">
        <v>0</v>
      </c>
      <c r="I49" s="250">
        <v>0</v>
      </c>
      <c r="J49" s="219">
        <v>0</v>
      </c>
      <c r="K49" s="194" t="str">
        <f t="shared" si="0"/>
        <v/>
      </c>
    </row>
    <row r="50" spans="1:11" x14ac:dyDescent="0.35">
      <c r="A50" s="96" t="s">
        <v>556</v>
      </c>
      <c r="B50" s="223" t="s">
        <v>557</v>
      </c>
      <c r="C50" s="312">
        <v>5300</v>
      </c>
      <c r="D50" s="313">
        <v>5300</v>
      </c>
      <c r="E50" s="314">
        <v>0</v>
      </c>
      <c r="F50" s="316">
        <v>1</v>
      </c>
      <c r="G50" s="242">
        <v>0</v>
      </c>
      <c r="H50" s="250">
        <v>0</v>
      </c>
      <c r="I50" s="250">
        <v>0</v>
      </c>
      <c r="J50" s="219">
        <v>0</v>
      </c>
      <c r="K50" s="194" t="str">
        <f t="shared" si="0"/>
        <v/>
      </c>
    </row>
    <row r="51" spans="1:11" x14ac:dyDescent="0.35">
      <c r="A51" s="96" t="s">
        <v>517</v>
      </c>
      <c r="B51" s="223" t="s">
        <v>518</v>
      </c>
      <c r="C51" s="312">
        <v>0</v>
      </c>
      <c r="D51" s="313">
        <v>0</v>
      </c>
      <c r="E51" s="314">
        <v>0</v>
      </c>
      <c r="F51" s="316">
        <v>0</v>
      </c>
      <c r="G51" s="242">
        <v>33728</v>
      </c>
      <c r="H51" s="250">
        <v>33487</v>
      </c>
      <c r="I51" s="250">
        <v>241</v>
      </c>
      <c r="J51" s="219">
        <v>0.99285460151802651</v>
      </c>
      <c r="K51" s="194" t="str">
        <f t="shared" si="0"/>
        <v/>
      </c>
    </row>
    <row r="52" spans="1:11" x14ac:dyDescent="0.35">
      <c r="A52" s="96" t="s">
        <v>558</v>
      </c>
      <c r="B52" s="223" t="s">
        <v>559</v>
      </c>
      <c r="C52" s="312">
        <v>30</v>
      </c>
      <c r="D52" s="313">
        <v>30</v>
      </c>
      <c r="E52" s="314" t="s">
        <v>591</v>
      </c>
      <c r="F52" s="316">
        <v>1</v>
      </c>
      <c r="G52" s="242">
        <v>0</v>
      </c>
      <c r="H52" s="250">
        <v>0</v>
      </c>
      <c r="I52" s="250">
        <v>0</v>
      </c>
      <c r="J52" s="219">
        <v>0</v>
      </c>
      <c r="K52" s="194" t="str">
        <f t="shared" si="0"/>
        <v/>
      </c>
    </row>
    <row r="53" spans="1:11" x14ac:dyDescent="0.35">
      <c r="A53" s="96" t="s">
        <v>519</v>
      </c>
      <c r="B53" s="223" t="s">
        <v>520</v>
      </c>
      <c r="C53" s="312">
        <v>0</v>
      </c>
      <c r="D53" s="313">
        <v>0</v>
      </c>
      <c r="E53" s="314">
        <v>0</v>
      </c>
      <c r="F53" s="316">
        <v>0</v>
      </c>
      <c r="G53" s="242">
        <v>33648</v>
      </c>
      <c r="H53" s="250">
        <v>33466</v>
      </c>
      <c r="I53" s="250">
        <v>182</v>
      </c>
      <c r="J53" s="219">
        <v>0.99459106038991918</v>
      </c>
      <c r="K53" s="194" t="str">
        <f t="shared" si="0"/>
        <v/>
      </c>
    </row>
    <row r="54" spans="1:11" x14ac:dyDescent="0.35">
      <c r="A54" s="96" t="s">
        <v>363</v>
      </c>
      <c r="B54" s="223" t="s">
        <v>364</v>
      </c>
      <c r="C54" s="312">
        <v>0</v>
      </c>
      <c r="D54" s="313">
        <v>0</v>
      </c>
      <c r="E54" s="314">
        <v>0</v>
      </c>
      <c r="F54" s="316">
        <v>0</v>
      </c>
      <c r="G54" s="242">
        <v>1006</v>
      </c>
      <c r="H54" s="250">
        <v>1006</v>
      </c>
      <c r="I54" s="250">
        <v>0</v>
      </c>
      <c r="J54" s="219">
        <v>1</v>
      </c>
      <c r="K54" s="194" t="str">
        <f t="shared" si="0"/>
        <v/>
      </c>
    </row>
    <row r="55" spans="1:11" x14ac:dyDescent="0.35">
      <c r="A55" s="96" t="s">
        <v>365</v>
      </c>
      <c r="B55" s="223" t="s">
        <v>366</v>
      </c>
      <c r="C55" s="312">
        <v>0</v>
      </c>
      <c r="D55" s="313">
        <v>0</v>
      </c>
      <c r="E55" s="314">
        <v>0</v>
      </c>
      <c r="F55" s="316">
        <v>0</v>
      </c>
      <c r="G55" s="242">
        <v>27086</v>
      </c>
      <c r="H55" s="250">
        <v>27086</v>
      </c>
      <c r="I55" s="250">
        <v>0</v>
      </c>
      <c r="J55" s="219">
        <v>1</v>
      </c>
      <c r="K55" s="194" t="str">
        <f t="shared" si="0"/>
        <v/>
      </c>
    </row>
    <row r="56" spans="1:11" x14ac:dyDescent="0.35">
      <c r="A56" s="96" t="s">
        <v>560</v>
      </c>
      <c r="B56" s="223" t="s">
        <v>561</v>
      </c>
      <c r="C56" s="312">
        <v>50970</v>
      </c>
      <c r="D56" s="313">
        <v>42800</v>
      </c>
      <c r="E56" s="314">
        <v>8165</v>
      </c>
      <c r="F56" s="316">
        <v>0.83970963311752012</v>
      </c>
      <c r="G56" s="242">
        <v>0</v>
      </c>
      <c r="H56" s="250">
        <v>0</v>
      </c>
      <c r="I56" s="250">
        <v>0</v>
      </c>
      <c r="J56" s="219">
        <v>0</v>
      </c>
      <c r="K56" s="194" t="str">
        <f t="shared" si="0"/>
        <v/>
      </c>
    </row>
    <row r="57" spans="1:11" x14ac:dyDescent="0.35">
      <c r="A57" s="96" t="s">
        <v>367</v>
      </c>
      <c r="B57" s="223" t="s">
        <v>368</v>
      </c>
      <c r="C57" s="312">
        <v>0</v>
      </c>
      <c r="D57" s="313">
        <v>0</v>
      </c>
      <c r="E57" s="314">
        <v>0</v>
      </c>
      <c r="F57" s="316">
        <v>0</v>
      </c>
      <c r="G57" s="242">
        <v>48035</v>
      </c>
      <c r="H57" s="250">
        <v>48035</v>
      </c>
      <c r="I57" s="250">
        <v>0</v>
      </c>
      <c r="J57" s="219">
        <v>1</v>
      </c>
      <c r="K57" s="194" t="str">
        <f t="shared" si="0"/>
        <v/>
      </c>
    </row>
    <row r="58" spans="1:11" x14ac:dyDescent="0.35">
      <c r="A58" s="96" t="s">
        <v>562</v>
      </c>
      <c r="B58" s="223" t="s">
        <v>563</v>
      </c>
      <c r="C58" s="312">
        <v>80</v>
      </c>
      <c r="D58" s="313">
        <v>75</v>
      </c>
      <c r="E58" s="314" t="s">
        <v>591</v>
      </c>
      <c r="F58" s="316">
        <v>0.9375</v>
      </c>
      <c r="G58" s="242">
        <v>0</v>
      </c>
      <c r="H58" s="250">
        <v>0</v>
      </c>
      <c r="I58" s="250">
        <v>0</v>
      </c>
      <c r="J58" s="219">
        <v>0</v>
      </c>
      <c r="K58" s="194" t="str">
        <f t="shared" si="0"/>
        <v/>
      </c>
    </row>
    <row r="59" spans="1:11" x14ac:dyDescent="0.35">
      <c r="A59" s="96" t="s">
        <v>564</v>
      </c>
      <c r="B59" s="223" t="s">
        <v>565</v>
      </c>
      <c r="C59" s="312">
        <v>55</v>
      </c>
      <c r="D59" s="313">
        <v>40</v>
      </c>
      <c r="E59" s="314">
        <v>15</v>
      </c>
      <c r="F59" s="316">
        <v>0.72727272727272729</v>
      </c>
      <c r="G59" s="242">
        <v>0</v>
      </c>
      <c r="H59" s="250">
        <v>0</v>
      </c>
      <c r="I59" s="250">
        <v>0</v>
      </c>
      <c r="J59" s="219">
        <v>0</v>
      </c>
      <c r="K59" s="194" t="str">
        <f t="shared" si="0"/>
        <v/>
      </c>
    </row>
    <row r="60" spans="1:11" x14ac:dyDescent="0.35">
      <c r="A60" s="96" t="s">
        <v>369</v>
      </c>
      <c r="B60" s="223" t="s">
        <v>370</v>
      </c>
      <c r="C60" s="312">
        <v>35</v>
      </c>
      <c r="D60" s="313">
        <v>35</v>
      </c>
      <c r="E60" s="314">
        <v>0</v>
      </c>
      <c r="F60" s="316">
        <v>1</v>
      </c>
      <c r="G60" s="242">
        <v>103778</v>
      </c>
      <c r="H60" s="250">
        <v>97824</v>
      </c>
      <c r="I60" s="250">
        <v>5954</v>
      </c>
      <c r="J60" s="219">
        <v>0.9426275318468269</v>
      </c>
      <c r="K60" s="194" t="str">
        <f t="shared" si="0"/>
        <v/>
      </c>
    </row>
    <row r="61" spans="1:11" x14ac:dyDescent="0.35">
      <c r="A61" s="96" t="s">
        <v>566</v>
      </c>
      <c r="B61" s="223" t="s">
        <v>567</v>
      </c>
      <c r="C61" s="312">
        <v>165705</v>
      </c>
      <c r="D61" s="313">
        <v>152150</v>
      </c>
      <c r="E61" s="314">
        <v>13555</v>
      </c>
      <c r="F61" s="316">
        <v>0.91819800247427663</v>
      </c>
      <c r="G61" s="242">
        <v>0</v>
      </c>
      <c r="H61" s="250">
        <v>0</v>
      </c>
      <c r="I61" s="250">
        <v>0</v>
      </c>
      <c r="J61" s="219">
        <v>0</v>
      </c>
      <c r="K61" s="194" t="str">
        <f t="shared" si="0"/>
        <v/>
      </c>
    </row>
    <row r="62" spans="1:11" x14ac:dyDescent="0.35">
      <c r="A62" s="96" t="s">
        <v>521</v>
      </c>
      <c r="B62" s="223" t="s">
        <v>371</v>
      </c>
      <c r="C62" s="312">
        <v>0</v>
      </c>
      <c r="D62" s="313">
        <v>0</v>
      </c>
      <c r="E62" s="314">
        <v>0</v>
      </c>
      <c r="F62" s="316">
        <v>0</v>
      </c>
      <c r="G62" s="242">
        <v>43593</v>
      </c>
      <c r="H62" s="250">
        <v>37963</v>
      </c>
      <c r="I62" s="250">
        <v>5630</v>
      </c>
      <c r="J62" s="219">
        <v>0.87085082467368613</v>
      </c>
      <c r="K62" s="194" t="str">
        <f t="shared" si="0"/>
        <v/>
      </c>
    </row>
    <row r="63" spans="1:11" x14ac:dyDescent="0.35">
      <c r="A63" s="96" t="s">
        <v>628</v>
      </c>
      <c r="B63" s="223" t="s">
        <v>627</v>
      </c>
      <c r="C63" s="312">
        <v>0</v>
      </c>
      <c r="D63" s="313">
        <v>0</v>
      </c>
      <c r="E63" s="314">
        <v>0</v>
      </c>
      <c r="F63" s="316">
        <v>0</v>
      </c>
      <c r="G63" s="246">
        <v>13401</v>
      </c>
      <c r="H63" s="250">
        <v>13103</v>
      </c>
      <c r="I63" s="250">
        <v>298</v>
      </c>
      <c r="J63" s="219">
        <v>0.9777628535183942</v>
      </c>
      <c r="K63" s="194" t="str">
        <f t="shared" si="0"/>
        <v/>
      </c>
    </row>
    <row r="64" spans="1:11" x14ac:dyDescent="0.35">
      <c r="A64" s="96" t="s">
        <v>522</v>
      </c>
      <c r="B64" s="223" t="s">
        <v>372</v>
      </c>
      <c r="C64" s="312">
        <v>0</v>
      </c>
      <c r="D64" s="313">
        <v>0</v>
      </c>
      <c r="E64" s="314">
        <v>0</v>
      </c>
      <c r="F64" s="316">
        <v>0</v>
      </c>
      <c r="G64" s="242">
        <v>33173</v>
      </c>
      <c r="H64" s="250">
        <v>30063</v>
      </c>
      <c r="I64" s="250">
        <v>3110</v>
      </c>
      <c r="J64" s="219">
        <v>0.90624905796883004</v>
      </c>
      <c r="K64" s="194" t="str">
        <f t="shared" si="0"/>
        <v/>
      </c>
    </row>
    <row r="65" spans="1:11" x14ac:dyDescent="0.35">
      <c r="A65" s="96" t="s">
        <v>373</v>
      </c>
      <c r="B65" s="223" t="s">
        <v>374</v>
      </c>
      <c r="C65" s="312">
        <v>0</v>
      </c>
      <c r="D65" s="313">
        <v>0</v>
      </c>
      <c r="E65" s="314">
        <v>0</v>
      </c>
      <c r="F65" s="316">
        <v>0</v>
      </c>
      <c r="G65" s="242">
        <v>18608</v>
      </c>
      <c r="H65" s="250">
        <v>18402</v>
      </c>
      <c r="I65" s="250">
        <v>206</v>
      </c>
      <c r="J65" s="219">
        <v>0.98892949269131558</v>
      </c>
      <c r="K65" s="194" t="str">
        <f t="shared" si="0"/>
        <v/>
      </c>
    </row>
    <row r="66" spans="1:11" x14ac:dyDescent="0.35">
      <c r="A66" s="96" t="s">
        <v>523</v>
      </c>
      <c r="B66" s="223" t="s">
        <v>375</v>
      </c>
      <c r="C66" s="312">
        <v>0</v>
      </c>
      <c r="D66" s="313">
        <v>0</v>
      </c>
      <c r="E66" s="314">
        <v>0</v>
      </c>
      <c r="F66" s="316">
        <v>0</v>
      </c>
      <c r="G66" s="242">
        <v>23882</v>
      </c>
      <c r="H66" s="250">
        <v>23849</v>
      </c>
      <c r="I66" s="250">
        <v>33</v>
      </c>
      <c r="J66" s="219">
        <v>0.99861820618038688</v>
      </c>
      <c r="K66" s="194" t="str">
        <f t="shared" si="0"/>
        <v/>
      </c>
    </row>
    <row r="67" spans="1:11" x14ac:dyDescent="0.35">
      <c r="A67" s="96" t="s">
        <v>376</v>
      </c>
      <c r="B67" s="223" t="s">
        <v>377</v>
      </c>
      <c r="C67" s="312">
        <v>80005</v>
      </c>
      <c r="D67" s="313">
        <v>63540</v>
      </c>
      <c r="E67" s="314">
        <v>16470</v>
      </c>
      <c r="F67" s="316">
        <v>0.79420036247734516</v>
      </c>
      <c r="G67" s="242">
        <v>81563</v>
      </c>
      <c r="H67" s="250">
        <v>81238</v>
      </c>
      <c r="I67" s="250">
        <v>325</v>
      </c>
      <c r="J67" s="219">
        <v>0.99601535009747066</v>
      </c>
      <c r="K67" s="194" t="str">
        <f t="shared" si="0"/>
        <v/>
      </c>
    </row>
    <row r="68" spans="1:11" x14ac:dyDescent="0.35">
      <c r="A68" s="96" t="s">
        <v>378</v>
      </c>
      <c r="B68" s="223" t="s">
        <v>379</v>
      </c>
      <c r="C68" s="312">
        <v>19185</v>
      </c>
      <c r="D68" s="313">
        <v>19180</v>
      </c>
      <c r="E68" s="314" t="s">
        <v>591</v>
      </c>
      <c r="F68" s="316">
        <v>0.99973937972374249</v>
      </c>
      <c r="G68" s="242">
        <v>27351</v>
      </c>
      <c r="H68" s="250">
        <v>27344</v>
      </c>
      <c r="I68" s="250">
        <v>7</v>
      </c>
      <c r="J68" s="219">
        <v>0.99974406785857917</v>
      </c>
      <c r="K68" s="194" t="str">
        <f t="shared" si="0"/>
        <v/>
      </c>
    </row>
    <row r="69" spans="1:11" x14ac:dyDescent="0.35">
      <c r="A69" s="96" t="s">
        <v>380</v>
      </c>
      <c r="B69" s="223" t="s">
        <v>381</v>
      </c>
      <c r="C69" s="312">
        <v>0</v>
      </c>
      <c r="D69" s="313">
        <v>0</v>
      </c>
      <c r="E69" s="314">
        <v>0</v>
      </c>
      <c r="F69" s="316">
        <v>0</v>
      </c>
      <c r="G69" s="242">
        <v>6164</v>
      </c>
      <c r="H69" s="250">
        <v>6164</v>
      </c>
      <c r="I69" s="250">
        <v>0</v>
      </c>
      <c r="J69" s="219">
        <v>1</v>
      </c>
      <c r="K69" s="194" t="str">
        <f t="shared" si="0"/>
        <v/>
      </c>
    </row>
    <row r="70" spans="1:11" x14ac:dyDescent="0.35">
      <c r="A70" s="96" t="s">
        <v>382</v>
      </c>
      <c r="B70" s="223" t="s">
        <v>383</v>
      </c>
      <c r="C70" s="312">
        <v>0</v>
      </c>
      <c r="D70" s="313">
        <v>0</v>
      </c>
      <c r="E70" s="314">
        <v>0</v>
      </c>
      <c r="F70" s="316">
        <v>0</v>
      </c>
      <c r="G70" s="242">
        <v>5462</v>
      </c>
      <c r="H70" s="250">
        <v>5459</v>
      </c>
      <c r="I70" s="250">
        <v>3</v>
      </c>
      <c r="J70" s="219">
        <v>0.99945075064079092</v>
      </c>
      <c r="K70" s="194" t="str">
        <f t="shared" si="0"/>
        <v/>
      </c>
    </row>
    <row r="71" spans="1:11" x14ac:dyDescent="0.35">
      <c r="A71" s="96" t="s">
        <v>384</v>
      </c>
      <c r="B71" s="223" t="s">
        <v>385</v>
      </c>
      <c r="C71" s="312">
        <v>41970</v>
      </c>
      <c r="D71" s="313">
        <v>41965</v>
      </c>
      <c r="E71" s="314">
        <v>10</v>
      </c>
      <c r="F71" s="316">
        <v>0.99988086728615677</v>
      </c>
      <c r="G71" s="242">
        <v>37027</v>
      </c>
      <c r="H71" s="250">
        <v>37023</v>
      </c>
      <c r="I71" s="250">
        <v>4</v>
      </c>
      <c r="J71" s="219">
        <v>0.99989197072406621</v>
      </c>
      <c r="K71" s="194" t="str">
        <f t="shared" si="0"/>
        <v/>
      </c>
    </row>
    <row r="72" spans="1:11" x14ac:dyDescent="0.35">
      <c r="A72" s="96" t="s">
        <v>386</v>
      </c>
      <c r="B72" s="223" t="s">
        <v>387</v>
      </c>
      <c r="C72" s="312">
        <v>0</v>
      </c>
      <c r="D72" s="313">
        <v>0</v>
      </c>
      <c r="E72" s="314">
        <v>0</v>
      </c>
      <c r="F72" s="316">
        <v>0</v>
      </c>
      <c r="G72" s="246">
        <v>5228</v>
      </c>
      <c r="H72" s="250">
        <v>5228</v>
      </c>
      <c r="I72" s="250">
        <v>0</v>
      </c>
      <c r="J72" s="219">
        <v>1</v>
      </c>
      <c r="K72" s="194" t="str">
        <f t="shared" si="0"/>
        <v/>
      </c>
    </row>
    <row r="73" spans="1:11" x14ac:dyDescent="0.35">
      <c r="A73" s="96" t="s">
        <v>568</v>
      </c>
      <c r="B73" s="223" t="s">
        <v>569</v>
      </c>
      <c r="C73" s="312">
        <v>26655</v>
      </c>
      <c r="D73" s="313">
        <v>20485</v>
      </c>
      <c r="E73" s="314">
        <v>6175</v>
      </c>
      <c r="F73" s="316">
        <v>0.76852372913149503</v>
      </c>
      <c r="G73" s="242">
        <v>0</v>
      </c>
      <c r="H73" s="250">
        <v>0</v>
      </c>
      <c r="I73" s="250">
        <v>0</v>
      </c>
      <c r="J73" s="219">
        <v>0</v>
      </c>
      <c r="K73" s="194" t="str">
        <f t="shared" si="0"/>
        <v/>
      </c>
    </row>
    <row r="74" spans="1:11" x14ac:dyDescent="0.35">
      <c r="A74" s="96" t="s">
        <v>389</v>
      </c>
      <c r="B74" s="223" t="s">
        <v>390</v>
      </c>
      <c r="C74" s="312">
        <v>0</v>
      </c>
      <c r="D74" s="313">
        <v>0</v>
      </c>
      <c r="E74" s="314">
        <v>0</v>
      </c>
      <c r="F74" s="316">
        <v>0</v>
      </c>
      <c r="G74" s="242">
        <v>13481</v>
      </c>
      <c r="H74" s="250">
        <v>13481</v>
      </c>
      <c r="I74" s="250">
        <v>0</v>
      </c>
      <c r="J74" s="219">
        <v>1</v>
      </c>
      <c r="K74" s="194" t="str">
        <f t="shared" si="0"/>
        <v/>
      </c>
    </row>
    <row r="75" spans="1:11" x14ac:dyDescent="0.35">
      <c r="A75" s="96" t="s">
        <v>487</v>
      </c>
      <c r="B75" s="223" t="s">
        <v>391</v>
      </c>
      <c r="C75" s="312">
        <v>18505</v>
      </c>
      <c r="D75" s="313">
        <v>18400</v>
      </c>
      <c r="E75" s="314">
        <v>110</v>
      </c>
      <c r="F75" s="316">
        <v>0.99432585787624961</v>
      </c>
      <c r="G75" s="246">
        <v>21412</v>
      </c>
      <c r="H75" s="250">
        <v>21295</v>
      </c>
      <c r="I75" s="250">
        <v>117</v>
      </c>
      <c r="J75" s="219">
        <v>0.99453577433215024</v>
      </c>
      <c r="K75" s="194" t="str">
        <f t="shared" si="0"/>
        <v/>
      </c>
    </row>
    <row r="76" spans="1:11" x14ac:dyDescent="0.35">
      <c r="A76" s="96" t="s">
        <v>539</v>
      </c>
      <c r="B76" s="223" t="s">
        <v>570</v>
      </c>
      <c r="C76" s="312">
        <v>17820</v>
      </c>
      <c r="D76" s="313">
        <v>17420</v>
      </c>
      <c r="E76" s="314">
        <v>400</v>
      </c>
      <c r="F76" s="316">
        <v>0.97755331088664421</v>
      </c>
      <c r="G76" s="242">
        <v>0</v>
      </c>
      <c r="H76" s="250">
        <v>0</v>
      </c>
      <c r="I76" s="250">
        <v>0</v>
      </c>
      <c r="J76" s="219">
        <v>0</v>
      </c>
      <c r="K76" s="194" t="str">
        <f t="shared" si="0"/>
        <v/>
      </c>
    </row>
    <row r="77" spans="1:11" x14ac:dyDescent="0.35">
      <c r="A77" s="96" t="s">
        <v>488</v>
      </c>
      <c r="B77" s="223" t="s">
        <v>392</v>
      </c>
      <c r="C77" s="312">
        <v>9640</v>
      </c>
      <c r="D77" s="313">
        <v>9570</v>
      </c>
      <c r="E77" s="314">
        <v>65</v>
      </c>
      <c r="F77" s="316">
        <v>0.99273858921161828</v>
      </c>
      <c r="G77" s="242">
        <v>11673</v>
      </c>
      <c r="H77" s="250">
        <v>11592</v>
      </c>
      <c r="I77" s="250">
        <v>81</v>
      </c>
      <c r="J77" s="219">
        <v>0.99306090979182726</v>
      </c>
      <c r="K77" s="194" t="str">
        <f t="shared" si="0"/>
        <v/>
      </c>
    </row>
    <row r="78" spans="1:11" x14ac:dyDescent="0.35">
      <c r="A78" s="96" t="s">
        <v>393</v>
      </c>
      <c r="B78" s="223" t="s">
        <v>394</v>
      </c>
      <c r="C78" s="312">
        <v>0</v>
      </c>
      <c r="D78" s="313">
        <v>0</v>
      </c>
      <c r="E78" s="314">
        <v>0</v>
      </c>
      <c r="F78" s="316">
        <v>0</v>
      </c>
      <c r="G78" s="242">
        <v>38063</v>
      </c>
      <c r="H78" s="250">
        <v>38063</v>
      </c>
      <c r="I78" s="250">
        <v>0</v>
      </c>
      <c r="J78" s="219">
        <v>1</v>
      </c>
      <c r="K78" s="194" t="str">
        <f t="shared" si="0"/>
        <v/>
      </c>
    </row>
    <row r="79" spans="1:11" x14ac:dyDescent="0.35">
      <c r="A79" s="96" t="s">
        <v>395</v>
      </c>
      <c r="B79" s="223" t="s">
        <v>396</v>
      </c>
      <c r="C79" s="312">
        <v>0</v>
      </c>
      <c r="D79" s="313">
        <v>0</v>
      </c>
      <c r="E79" s="314">
        <v>0</v>
      </c>
      <c r="F79" s="316">
        <v>0</v>
      </c>
      <c r="G79" s="246">
        <v>66900</v>
      </c>
      <c r="H79" s="250">
        <v>62477</v>
      </c>
      <c r="I79" s="250">
        <v>4423</v>
      </c>
      <c r="J79" s="219">
        <v>0.93388639760837067</v>
      </c>
      <c r="K79" s="194" t="str">
        <f t="shared" si="0"/>
        <v/>
      </c>
    </row>
    <row r="80" spans="1:11" x14ac:dyDescent="0.35">
      <c r="A80" s="96" t="s">
        <v>524</v>
      </c>
      <c r="B80" s="223" t="s">
        <v>397</v>
      </c>
      <c r="C80" s="312">
        <v>0</v>
      </c>
      <c r="D80" s="313">
        <v>0</v>
      </c>
      <c r="E80" s="314">
        <v>0</v>
      </c>
      <c r="F80" s="316">
        <v>0</v>
      </c>
      <c r="G80" s="242">
        <v>63283</v>
      </c>
      <c r="H80" s="250">
        <v>60316</v>
      </c>
      <c r="I80" s="250">
        <v>2967</v>
      </c>
      <c r="J80" s="219">
        <v>0.95311537063666385</v>
      </c>
      <c r="K80" s="194" t="str">
        <f t="shared" si="0"/>
        <v/>
      </c>
    </row>
    <row r="81" spans="1:11" x14ac:dyDescent="0.35">
      <c r="A81" s="96" t="s">
        <v>489</v>
      </c>
      <c r="B81" s="223" t="s">
        <v>398</v>
      </c>
      <c r="C81" s="312">
        <v>63775</v>
      </c>
      <c r="D81" s="313">
        <v>50080</v>
      </c>
      <c r="E81" s="314">
        <v>13695</v>
      </c>
      <c r="F81" s="316">
        <v>0.78526068208545663</v>
      </c>
      <c r="G81" s="246">
        <v>68326</v>
      </c>
      <c r="H81" s="250">
        <v>66777</v>
      </c>
      <c r="I81" s="250">
        <v>1549</v>
      </c>
      <c r="J81" s="219">
        <v>0.97732927436115091</v>
      </c>
      <c r="K81" s="194" t="str">
        <f t="shared" si="0"/>
        <v/>
      </c>
    </row>
    <row r="82" spans="1:11" x14ac:dyDescent="0.35">
      <c r="A82" s="96" t="s">
        <v>571</v>
      </c>
      <c r="B82" s="223" t="s">
        <v>572</v>
      </c>
      <c r="C82" s="312">
        <v>61665</v>
      </c>
      <c r="D82" s="313">
        <v>50875</v>
      </c>
      <c r="E82" s="314">
        <v>10790</v>
      </c>
      <c r="F82" s="316">
        <v>0.82502229789994319</v>
      </c>
      <c r="G82" s="242">
        <v>0</v>
      </c>
      <c r="H82" s="250">
        <v>0</v>
      </c>
      <c r="I82" s="250">
        <v>0</v>
      </c>
      <c r="J82" s="219">
        <v>0</v>
      </c>
      <c r="K82" s="194" t="str">
        <f t="shared" si="0"/>
        <v/>
      </c>
    </row>
    <row r="83" spans="1:11" x14ac:dyDescent="0.35">
      <c r="A83" s="96" t="s">
        <v>573</v>
      </c>
      <c r="B83" s="223" t="s">
        <v>574</v>
      </c>
      <c r="C83" s="312">
        <v>30</v>
      </c>
      <c r="D83" s="313">
        <v>30</v>
      </c>
      <c r="E83" s="314">
        <v>0</v>
      </c>
      <c r="F83" s="316">
        <v>1</v>
      </c>
      <c r="G83" s="242">
        <v>0</v>
      </c>
      <c r="H83" s="250">
        <v>0</v>
      </c>
      <c r="I83" s="250">
        <v>0</v>
      </c>
      <c r="J83" s="219">
        <v>0</v>
      </c>
      <c r="K83" s="194" t="str">
        <f t="shared" si="0"/>
        <v/>
      </c>
    </row>
    <row r="84" spans="1:11" x14ac:dyDescent="0.35">
      <c r="A84" s="96" t="s">
        <v>490</v>
      </c>
      <c r="B84" s="223" t="s">
        <v>399</v>
      </c>
      <c r="C84" s="312">
        <v>28025</v>
      </c>
      <c r="D84" s="313">
        <v>26015</v>
      </c>
      <c r="E84" s="314">
        <v>2015</v>
      </c>
      <c r="F84" s="316">
        <v>0.92827832292595891</v>
      </c>
      <c r="G84" s="242">
        <v>28003</v>
      </c>
      <c r="H84" s="250">
        <v>27223</v>
      </c>
      <c r="I84" s="250">
        <v>780</v>
      </c>
      <c r="J84" s="219">
        <v>0.97214584151698036</v>
      </c>
      <c r="K84" s="194" t="str">
        <f t="shared" si="0"/>
        <v/>
      </c>
    </row>
    <row r="85" spans="1:11" x14ac:dyDescent="0.35">
      <c r="A85" s="96" t="s">
        <v>491</v>
      </c>
      <c r="B85" s="223" t="s">
        <v>400</v>
      </c>
      <c r="C85" s="312">
        <v>29610</v>
      </c>
      <c r="D85" s="313">
        <v>27760</v>
      </c>
      <c r="E85" s="314">
        <v>1850</v>
      </c>
      <c r="F85" s="316">
        <v>0.93752110773387365</v>
      </c>
      <c r="G85" s="242">
        <v>29793</v>
      </c>
      <c r="H85" s="250">
        <v>29135</v>
      </c>
      <c r="I85" s="250">
        <v>658</v>
      </c>
      <c r="J85" s="219">
        <v>0.97791427516530727</v>
      </c>
      <c r="K85" s="194" t="str">
        <f t="shared" ref="K85:K148" si="1">IF(C85=0,IF(G85=0,1,""),"")</f>
        <v/>
      </c>
    </row>
    <row r="86" spans="1:11" x14ac:dyDescent="0.35">
      <c r="A86" s="96" t="s">
        <v>525</v>
      </c>
      <c r="B86" s="223" t="s">
        <v>401</v>
      </c>
      <c r="C86" s="312">
        <v>0</v>
      </c>
      <c r="D86" s="313">
        <v>0</v>
      </c>
      <c r="E86" s="314">
        <v>0</v>
      </c>
      <c r="F86" s="316">
        <v>0</v>
      </c>
      <c r="G86" s="246">
        <v>12514</v>
      </c>
      <c r="H86" s="250">
        <v>12509</v>
      </c>
      <c r="I86" s="250">
        <v>5</v>
      </c>
      <c r="J86" s="219">
        <v>0.99960044749880139</v>
      </c>
      <c r="K86" s="194" t="str">
        <f t="shared" si="1"/>
        <v/>
      </c>
    </row>
    <row r="87" spans="1:11" x14ac:dyDescent="0.35">
      <c r="A87" s="96" t="s">
        <v>575</v>
      </c>
      <c r="B87" s="223" t="s">
        <v>576</v>
      </c>
      <c r="C87" s="312">
        <v>36095</v>
      </c>
      <c r="D87" s="313">
        <v>36095</v>
      </c>
      <c r="E87" s="314">
        <v>0</v>
      </c>
      <c r="F87" s="316">
        <v>1</v>
      </c>
      <c r="G87" s="242">
        <v>0</v>
      </c>
      <c r="H87" s="250">
        <v>0</v>
      </c>
      <c r="I87" s="250">
        <v>0</v>
      </c>
      <c r="J87" s="219">
        <v>0</v>
      </c>
      <c r="K87" s="194" t="str">
        <f t="shared" si="1"/>
        <v/>
      </c>
    </row>
    <row r="88" spans="1:11" x14ac:dyDescent="0.35">
      <c r="A88" s="96" t="s">
        <v>577</v>
      </c>
      <c r="B88" s="223" t="s">
        <v>578</v>
      </c>
      <c r="C88" s="312">
        <v>4695</v>
      </c>
      <c r="D88" s="313">
        <v>4300</v>
      </c>
      <c r="E88" s="314">
        <v>395</v>
      </c>
      <c r="F88" s="316">
        <v>0.91586794462193821</v>
      </c>
      <c r="G88" s="242">
        <v>0</v>
      </c>
      <c r="H88" s="250">
        <v>0</v>
      </c>
      <c r="I88" s="250">
        <v>0</v>
      </c>
      <c r="J88" s="219">
        <v>0</v>
      </c>
      <c r="K88" s="194" t="str">
        <f t="shared" si="1"/>
        <v/>
      </c>
    </row>
    <row r="89" spans="1:11" x14ac:dyDescent="0.35">
      <c r="A89" s="96" t="s">
        <v>539</v>
      </c>
      <c r="B89" s="223" t="s">
        <v>579</v>
      </c>
      <c r="C89" s="312">
        <v>17465</v>
      </c>
      <c r="D89" s="313">
        <v>17115</v>
      </c>
      <c r="E89" s="314">
        <v>350</v>
      </c>
      <c r="F89" s="316">
        <v>0.97995991983967934</v>
      </c>
      <c r="G89" s="242">
        <v>0</v>
      </c>
      <c r="H89" s="250">
        <v>0</v>
      </c>
      <c r="I89" s="250">
        <v>0</v>
      </c>
      <c r="J89" s="219">
        <v>0</v>
      </c>
      <c r="K89" s="194" t="str">
        <f t="shared" si="1"/>
        <v/>
      </c>
    </row>
    <row r="90" spans="1:11" x14ac:dyDescent="0.35">
      <c r="A90" s="96" t="s">
        <v>580</v>
      </c>
      <c r="B90" s="223" t="s">
        <v>581</v>
      </c>
      <c r="C90" s="312">
        <v>32095</v>
      </c>
      <c r="D90" s="313">
        <v>29850</v>
      </c>
      <c r="E90" s="314">
        <v>2245</v>
      </c>
      <c r="F90" s="316">
        <v>0.93005140987692791</v>
      </c>
      <c r="G90" s="242">
        <v>0</v>
      </c>
      <c r="H90" s="250">
        <v>0</v>
      </c>
      <c r="I90" s="250">
        <v>0</v>
      </c>
      <c r="J90" s="219">
        <v>0</v>
      </c>
      <c r="K90" s="194" t="str">
        <f t="shared" si="1"/>
        <v/>
      </c>
    </row>
    <row r="91" spans="1:11" x14ac:dyDescent="0.35">
      <c r="A91" s="96" t="s">
        <v>53</v>
      </c>
      <c r="B91" s="223" t="s">
        <v>52</v>
      </c>
      <c r="C91" s="312">
        <v>517700</v>
      </c>
      <c r="D91" s="313">
        <v>355075</v>
      </c>
      <c r="E91" s="314">
        <v>162625</v>
      </c>
      <c r="F91" s="316">
        <v>0.68587019509368363</v>
      </c>
      <c r="G91" s="242">
        <v>524396</v>
      </c>
      <c r="H91" s="250">
        <v>362183</v>
      </c>
      <c r="I91" s="250">
        <v>162213</v>
      </c>
      <c r="J91" s="219">
        <v>0.69066697686481204</v>
      </c>
      <c r="K91" s="194" t="str">
        <f t="shared" si="1"/>
        <v/>
      </c>
    </row>
    <row r="92" spans="1:11" x14ac:dyDescent="0.35">
      <c r="A92" s="96" t="s">
        <v>55</v>
      </c>
      <c r="B92" s="223" t="s">
        <v>54</v>
      </c>
      <c r="C92" s="312">
        <v>245620</v>
      </c>
      <c r="D92" s="313">
        <v>175155</v>
      </c>
      <c r="E92" s="314">
        <v>70465</v>
      </c>
      <c r="F92" s="316">
        <v>0.71311375295171398</v>
      </c>
      <c r="G92" s="242">
        <v>245151</v>
      </c>
      <c r="H92" s="250">
        <v>174790</v>
      </c>
      <c r="I92" s="250">
        <v>70361</v>
      </c>
      <c r="J92" s="219">
        <v>0.7129891373072107</v>
      </c>
      <c r="K92" s="194" t="str">
        <f t="shared" si="1"/>
        <v/>
      </c>
    </row>
    <row r="93" spans="1:11" x14ac:dyDescent="0.35">
      <c r="A93" s="96" t="s">
        <v>402</v>
      </c>
      <c r="B93" s="223" t="s">
        <v>403</v>
      </c>
      <c r="C93" s="312">
        <v>188620</v>
      </c>
      <c r="D93" s="313">
        <v>125260</v>
      </c>
      <c r="E93" s="314">
        <v>63355</v>
      </c>
      <c r="F93" s="316">
        <v>0.66408652316827488</v>
      </c>
      <c r="G93" s="242">
        <v>217098</v>
      </c>
      <c r="H93" s="250">
        <v>154305</v>
      </c>
      <c r="I93" s="250">
        <v>62793</v>
      </c>
      <c r="J93" s="219">
        <v>0.71076196003648118</v>
      </c>
      <c r="K93" s="194" t="str">
        <f t="shared" si="1"/>
        <v/>
      </c>
    </row>
    <row r="94" spans="1:11" x14ac:dyDescent="0.35">
      <c r="A94" s="96" t="s">
        <v>404</v>
      </c>
      <c r="B94" s="223" t="s">
        <v>405</v>
      </c>
      <c r="C94" s="312">
        <v>37890</v>
      </c>
      <c r="D94" s="313">
        <v>36970</v>
      </c>
      <c r="E94" s="314">
        <v>915</v>
      </c>
      <c r="F94" s="316">
        <v>0.97571918712061234</v>
      </c>
      <c r="G94" s="242">
        <v>37866</v>
      </c>
      <c r="H94" s="250">
        <v>37813</v>
      </c>
      <c r="I94" s="250">
        <v>53</v>
      </c>
      <c r="J94" s="219">
        <v>0.99860032747055405</v>
      </c>
      <c r="K94" s="194" t="str">
        <f t="shared" si="1"/>
        <v/>
      </c>
    </row>
    <row r="95" spans="1:11" x14ac:dyDescent="0.35">
      <c r="A95" s="96" t="s">
        <v>57</v>
      </c>
      <c r="B95" s="223" t="s">
        <v>56</v>
      </c>
      <c r="C95" s="312">
        <v>58780</v>
      </c>
      <c r="D95" s="313">
        <v>36680</v>
      </c>
      <c r="E95" s="314">
        <v>22100</v>
      </c>
      <c r="F95" s="316">
        <v>0.62402177611432463</v>
      </c>
      <c r="G95" s="242">
        <v>73593</v>
      </c>
      <c r="H95" s="250">
        <v>51583</v>
      </c>
      <c r="I95" s="250">
        <v>22010</v>
      </c>
      <c r="J95" s="219">
        <v>0.7009226420991127</v>
      </c>
      <c r="K95" s="194" t="str">
        <f t="shared" si="1"/>
        <v/>
      </c>
    </row>
    <row r="96" spans="1:11" x14ac:dyDescent="0.35">
      <c r="A96" s="96" t="s">
        <v>59</v>
      </c>
      <c r="B96" s="223" t="s">
        <v>58</v>
      </c>
      <c r="C96" s="312">
        <v>362620</v>
      </c>
      <c r="D96" s="313">
        <v>202600</v>
      </c>
      <c r="E96" s="314">
        <v>160020</v>
      </c>
      <c r="F96" s="316">
        <v>0.55871159891897859</v>
      </c>
      <c r="G96" s="242">
        <v>515721</v>
      </c>
      <c r="H96" s="250">
        <v>358498</v>
      </c>
      <c r="I96" s="250">
        <v>157223</v>
      </c>
      <c r="J96" s="219">
        <v>0.69513942616259572</v>
      </c>
      <c r="K96" s="194" t="str">
        <f t="shared" si="1"/>
        <v/>
      </c>
    </row>
    <row r="97" spans="1:11" x14ac:dyDescent="0.35">
      <c r="A97" s="96" t="s">
        <v>61</v>
      </c>
      <c r="B97" s="223" t="s">
        <v>60</v>
      </c>
      <c r="C97" s="312">
        <v>340640</v>
      </c>
      <c r="D97" s="313">
        <v>255275</v>
      </c>
      <c r="E97" s="314">
        <v>85365</v>
      </c>
      <c r="F97" s="316">
        <v>0.74939819163926724</v>
      </c>
      <c r="G97" s="242">
        <v>338508</v>
      </c>
      <c r="H97" s="250">
        <v>253449</v>
      </c>
      <c r="I97" s="250">
        <v>85059</v>
      </c>
      <c r="J97" s="219">
        <v>0.74872381154950551</v>
      </c>
      <c r="K97" s="194" t="str">
        <f t="shared" si="1"/>
        <v/>
      </c>
    </row>
    <row r="98" spans="1:11" x14ac:dyDescent="0.35">
      <c r="A98" s="96"/>
      <c r="B98" s="223" t="s">
        <v>646</v>
      </c>
      <c r="C98" s="312">
        <v>23700</v>
      </c>
      <c r="D98" s="313">
        <v>18940</v>
      </c>
      <c r="E98" s="314">
        <v>4755</v>
      </c>
      <c r="F98" s="316">
        <v>0.79915611814345988</v>
      </c>
      <c r="G98" s="242">
        <v>0</v>
      </c>
      <c r="H98" s="250">
        <v>0</v>
      </c>
      <c r="I98" s="250">
        <v>0</v>
      </c>
      <c r="J98" s="219">
        <v>0</v>
      </c>
      <c r="K98" s="194" t="str">
        <f t="shared" si="1"/>
        <v/>
      </c>
    </row>
    <row r="99" spans="1:11" x14ac:dyDescent="0.35">
      <c r="A99" s="96" t="s">
        <v>63</v>
      </c>
      <c r="B99" s="223" t="s">
        <v>62</v>
      </c>
      <c r="C99" s="312">
        <v>105635</v>
      </c>
      <c r="D99" s="313">
        <v>81355</v>
      </c>
      <c r="E99" s="314">
        <v>24280</v>
      </c>
      <c r="F99" s="316">
        <v>0.77015193827803285</v>
      </c>
      <c r="G99" s="242">
        <v>105164</v>
      </c>
      <c r="H99" s="250">
        <v>81008</v>
      </c>
      <c r="I99" s="250">
        <v>24156</v>
      </c>
      <c r="J99" s="219">
        <v>0.77030162412993042</v>
      </c>
      <c r="K99" s="194" t="str">
        <f t="shared" si="1"/>
        <v/>
      </c>
    </row>
    <row r="100" spans="1:11" x14ac:dyDescent="0.35">
      <c r="A100" s="96" t="s">
        <v>65</v>
      </c>
      <c r="B100" s="223" t="s">
        <v>64</v>
      </c>
      <c r="C100" s="312">
        <v>211000</v>
      </c>
      <c r="D100" s="313">
        <v>142140</v>
      </c>
      <c r="E100" s="314">
        <v>68855</v>
      </c>
      <c r="F100" s="316">
        <v>0.67364928909952604</v>
      </c>
      <c r="G100" s="242">
        <v>211164</v>
      </c>
      <c r="H100" s="250">
        <v>142270</v>
      </c>
      <c r="I100" s="250">
        <v>68894</v>
      </c>
      <c r="J100" s="219">
        <v>0.67374173628080547</v>
      </c>
      <c r="K100" s="194" t="str">
        <f t="shared" si="1"/>
        <v/>
      </c>
    </row>
    <row r="101" spans="1:11" x14ac:dyDescent="0.35">
      <c r="A101" s="96" t="s">
        <v>67</v>
      </c>
      <c r="B101" s="223" t="s">
        <v>66</v>
      </c>
      <c r="C101" s="312">
        <v>121405</v>
      </c>
      <c r="D101" s="313">
        <v>81090</v>
      </c>
      <c r="E101" s="314">
        <v>40320</v>
      </c>
      <c r="F101" s="316">
        <v>0.66792965693340467</v>
      </c>
      <c r="G101" s="242">
        <v>120614</v>
      </c>
      <c r="H101" s="250">
        <v>82771</v>
      </c>
      <c r="I101" s="250">
        <v>37843</v>
      </c>
      <c r="J101" s="219">
        <v>0.68624703599913772</v>
      </c>
      <c r="K101" s="194" t="str">
        <f t="shared" si="1"/>
        <v/>
      </c>
    </row>
    <row r="102" spans="1:11" x14ac:dyDescent="0.35">
      <c r="A102" s="96" t="s">
        <v>69</v>
      </c>
      <c r="B102" s="223" t="s">
        <v>68</v>
      </c>
      <c r="C102" s="312">
        <v>147315</v>
      </c>
      <c r="D102" s="313">
        <v>119190</v>
      </c>
      <c r="E102" s="314">
        <v>28125</v>
      </c>
      <c r="F102" s="316">
        <v>0.80908257814886464</v>
      </c>
      <c r="G102" s="242">
        <v>160647</v>
      </c>
      <c r="H102" s="250">
        <v>132616</v>
      </c>
      <c r="I102" s="250">
        <v>28031</v>
      </c>
      <c r="J102" s="219">
        <v>0.82551183651110815</v>
      </c>
      <c r="K102" s="194" t="str">
        <f t="shared" si="1"/>
        <v/>
      </c>
    </row>
    <row r="103" spans="1:11" x14ac:dyDescent="0.35">
      <c r="A103" s="96" t="s">
        <v>71</v>
      </c>
      <c r="B103" s="223" t="s">
        <v>70</v>
      </c>
      <c r="C103" s="312">
        <v>408040</v>
      </c>
      <c r="D103" s="313">
        <v>262160</v>
      </c>
      <c r="E103" s="314">
        <v>145880</v>
      </c>
      <c r="F103" s="316">
        <v>0.64248603078129596</v>
      </c>
      <c r="G103" s="242">
        <v>423943</v>
      </c>
      <c r="H103" s="250">
        <v>300434</v>
      </c>
      <c r="I103" s="250">
        <v>123509</v>
      </c>
      <c r="J103" s="219">
        <v>0.70866602349844199</v>
      </c>
      <c r="K103" s="194" t="str">
        <f t="shared" si="1"/>
        <v/>
      </c>
    </row>
    <row r="104" spans="1:11" x14ac:dyDescent="0.35">
      <c r="A104" s="96" t="s">
        <v>73</v>
      </c>
      <c r="B104" s="223" t="s">
        <v>72</v>
      </c>
      <c r="C104" s="312">
        <v>356085</v>
      </c>
      <c r="D104" s="313">
        <v>262665</v>
      </c>
      <c r="E104" s="314">
        <v>93415</v>
      </c>
      <c r="F104" s="316">
        <v>0.73764691014785799</v>
      </c>
      <c r="G104" s="242">
        <v>358719</v>
      </c>
      <c r="H104" s="250">
        <v>265594</v>
      </c>
      <c r="I104" s="250">
        <v>93125</v>
      </c>
      <c r="J104" s="219">
        <v>0.74039568575960568</v>
      </c>
      <c r="K104" s="194" t="str">
        <f t="shared" si="1"/>
        <v/>
      </c>
    </row>
    <row r="105" spans="1:11" x14ac:dyDescent="0.35">
      <c r="A105" s="96" t="s">
        <v>75</v>
      </c>
      <c r="B105" s="223" t="s">
        <v>74</v>
      </c>
      <c r="C105" s="312">
        <v>143505</v>
      </c>
      <c r="D105" s="313">
        <v>94815</v>
      </c>
      <c r="E105" s="314">
        <v>48685</v>
      </c>
      <c r="F105" s="316">
        <v>0.66070868610849798</v>
      </c>
      <c r="G105" s="242">
        <v>143536</v>
      </c>
      <c r="H105" s="250">
        <v>94784</v>
      </c>
      <c r="I105" s="250">
        <v>48752</v>
      </c>
      <c r="J105" s="219">
        <v>0.66035001672054394</v>
      </c>
      <c r="K105" s="194" t="str">
        <f t="shared" si="1"/>
        <v/>
      </c>
    </row>
    <row r="106" spans="1:11" x14ac:dyDescent="0.35">
      <c r="A106" s="96" t="s">
        <v>77</v>
      </c>
      <c r="B106" s="223" t="s">
        <v>76</v>
      </c>
      <c r="C106" s="312">
        <v>151440</v>
      </c>
      <c r="D106" s="313">
        <v>104190</v>
      </c>
      <c r="E106" s="314">
        <v>47250</v>
      </c>
      <c r="F106" s="316">
        <v>0.68799524564183834</v>
      </c>
      <c r="G106" s="242">
        <v>151610</v>
      </c>
      <c r="H106" s="250">
        <v>109485</v>
      </c>
      <c r="I106" s="250">
        <v>42125</v>
      </c>
      <c r="J106" s="219">
        <v>0.72214893476683595</v>
      </c>
      <c r="K106" s="194" t="str">
        <f t="shared" si="1"/>
        <v/>
      </c>
    </row>
    <row r="107" spans="1:11" x14ac:dyDescent="0.35">
      <c r="A107" s="96" t="s">
        <v>406</v>
      </c>
      <c r="B107" s="223" t="s">
        <v>407</v>
      </c>
      <c r="C107" s="312">
        <v>39120</v>
      </c>
      <c r="D107" s="313">
        <v>38755</v>
      </c>
      <c r="E107" s="314">
        <v>360</v>
      </c>
      <c r="F107" s="316">
        <v>0.9906697341513292</v>
      </c>
      <c r="G107" s="242">
        <v>5029</v>
      </c>
      <c r="H107" s="250">
        <v>4871</v>
      </c>
      <c r="I107" s="250">
        <v>158</v>
      </c>
      <c r="J107" s="219">
        <v>0.9685822231059853</v>
      </c>
      <c r="K107" s="194" t="str">
        <f t="shared" si="1"/>
        <v/>
      </c>
    </row>
    <row r="108" spans="1:11" x14ac:dyDescent="0.35">
      <c r="A108" s="263" t="s">
        <v>630</v>
      </c>
      <c r="B108" s="223" t="s">
        <v>78</v>
      </c>
      <c r="C108" s="312">
        <v>180635</v>
      </c>
      <c r="D108" s="313">
        <v>111435</v>
      </c>
      <c r="E108" s="314">
        <v>69200</v>
      </c>
      <c r="F108" s="316">
        <v>0.6169070224485842</v>
      </c>
      <c r="G108" s="242">
        <v>182551</v>
      </c>
      <c r="H108" s="250">
        <v>138840</v>
      </c>
      <c r="I108" s="250">
        <v>43711</v>
      </c>
      <c r="J108" s="219">
        <v>0.76055458474618054</v>
      </c>
      <c r="K108" s="194" t="str">
        <f t="shared" si="1"/>
        <v/>
      </c>
    </row>
    <row r="109" spans="1:11" x14ac:dyDescent="0.35">
      <c r="A109" s="96" t="s">
        <v>81</v>
      </c>
      <c r="B109" s="223" t="s">
        <v>80</v>
      </c>
      <c r="C109" s="312">
        <v>106695</v>
      </c>
      <c r="D109" s="313">
        <v>84665</v>
      </c>
      <c r="E109" s="314">
        <v>22030</v>
      </c>
      <c r="F109" s="316">
        <v>0.79352359529499972</v>
      </c>
      <c r="G109" s="242">
        <v>102973</v>
      </c>
      <c r="H109" s="250">
        <v>81468</v>
      </c>
      <c r="I109" s="250">
        <v>21505</v>
      </c>
      <c r="J109" s="219">
        <v>0.79115884746486942</v>
      </c>
      <c r="K109" s="194" t="str">
        <f t="shared" si="1"/>
        <v/>
      </c>
    </row>
    <row r="110" spans="1:11" x14ac:dyDescent="0.35">
      <c r="A110" s="96" t="s">
        <v>83</v>
      </c>
      <c r="B110" s="223" t="s">
        <v>82</v>
      </c>
      <c r="C110" s="312">
        <v>109775</v>
      </c>
      <c r="D110" s="313">
        <v>72830</v>
      </c>
      <c r="E110" s="314">
        <v>36950</v>
      </c>
      <c r="F110" s="316">
        <v>0.6634479617399226</v>
      </c>
      <c r="G110" s="242">
        <v>161458</v>
      </c>
      <c r="H110" s="250">
        <v>122762</v>
      </c>
      <c r="I110" s="250">
        <v>38696</v>
      </c>
      <c r="J110" s="219">
        <v>0.76033395681849147</v>
      </c>
      <c r="K110" s="194" t="str">
        <f t="shared" si="1"/>
        <v/>
      </c>
    </row>
    <row r="111" spans="1:11" x14ac:dyDescent="0.35">
      <c r="A111" s="96" t="s">
        <v>85</v>
      </c>
      <c r="B111" s="223" t="s">
        <v>84</v>
      </c>
      <c r="C111" s="312">
        <v>90920</v>
      </c>
      <c r="D111" s="313">
        <v>40890</v>
      </c>
      <c r="E111" s="314">
        <v>50030</v>
      </c>
      <c r="F111" s="316">
        <v>0.44973603167619886</v>
      </c>
      <c r="G111" s="242">
        <v>127237</v>
      </c>
      <c r="H111" s="250">
        <v>76940</v>
      </c>
      <c r="I111" s="250">
        <v>50297</v>
      </c>
      <c r="J111" s="219">
        <v>0.60469831888522996</v>
      </c>
      <c r="K111" s="194" t="str">
        <f t="shared" si="1"/>
        <v/>
      </c>
    </row>
    <row r="112" spans="1:11" x14ac:dyDescent="0.35">
      <c r="A112" s="96" t="s">
        <v>492</v>
      </c>
      <c r="B112" s="223" t="s">
        <v>86</v>
      </c>
      <c r="C112" s="312">
        <v>256335</v>
      </c>
      <c r="D112" s="313">
        <v>176015</v>
      </c>
      <c r="E112" s="314">
        <v>80320</v>
      </c>
      <c r="F112" s="316">
        <v>0.68666003472019033</v>
      </c>
      <c r="G112" s="242">
        <v>292471</v>
      </c>
      <c r="H112" s="250">
        <v>212906</v>
      </c>
      <c r="I112" s="250">
        <v>79565</v>
      </c>
      <c r="J112" s="219">
        <v>0.72795593409261095</v>
      </c>
      <c r="K112" s="194" t="str">
        <f t="shared" si="1"/>
        <v/>
      </c>
    </row>
    <row r="113" spans="1:11" x14ac:dyDescent="0.35">
      <c r="A113" s="96" t="s">
        <v>88</v>
      </c>
      <c r="B113" s="223" t="s">
        <v>87</v>
      </c>
      <c r="C113" s="312">
        <v>69105</v>
      </c>
      <c r="D113" s="313">
        <v>57080</v>
      </c>
      <c r="E113" s="314">
        <v>12025</v>
      </c>
      <c r="F113" s="316">
        <v>0.82598943636495192</v>
      </c>
      <c r="G113" s="242">
        <v>67676</v>
      </c>
      <c r="H113" s="250">
        <v>55919</v>
      </c>
      <c r="I113" s="250">
        <v>11757</v>
      </c>
      <c r="J113" s="219">
        <v>0.82627519356935986</v>
      </c>
      <c r="K113" s="194" t="str">
        <f t="shared" si="1"/>
        <v/>
      </c>
    </row>
    <row r="114" spans="1:11" x14ac:dyDescent="0.35">
      <c r="A114" s="96" t="s">
        <v>90</v>
      </c>
      <c r="B114" s="223" t="s">
        <v>89</v>
      </c>
      <c r="C114" s="312">
        <v>130315</v>
      </c>
      <c r="D114" s="313">
        <v>81760</v>
      </c>
      <c r="E114" s="314">
        <v>48555</v>
      </c>
      <c r="F114" s="316">
        <v>0.62740283160035304</v>
      </c>
      <c r="G114" s="242">
        <v>119319</v>
      </c>
      <c r="H114" s="250">
        <v>70226</v>
      </c>
      <c r="I114" s="250">
        <v>49093</v>
      </c>
      <c r="J114" s="219">
        <v>0.58855672608721155</v>
      </c>
      <c r="K114" s="194" t="str">
        <f t="shared" si="1"/>
        <v/>
      </c>
    </row>
    <row r="115" spans="1:11" x14ac:dyDescent="0.35">
      <c r="A115" s="96" t="s">
        <v>408</v>
      </c>
      <c r="B115" s="223" t="s">
        <v>409</v>
      </c>
      <c r="C115" s="312">
        <v>301845</v>
      </c>
      <c r="D115" s="313">
        <v>218615</v>
      </c>
      <c r="E115" s="314">
        <v>83230</v>
      </c>
      <c r="F115" s="316">
        <v>0.72426245258327948</v>
      </c>
      <c r="G115" s="242">
        <v>303217</v>
      </c>
      <c r="H115" s="250">
        <v>224026</v>
      </c>
      <c r="I115" s="250">
        <v>79191</v>
      </c>
      <c r="J115" s="219">
        <v>0.73883060646335796</v>
      </c>
      <c r="K115" s="194" t="str">
        <f t="shared" si="1"/>
        <v/>
      </c>
    </row>
    <row r="116" spans="1:11" x14ac:dyDescent="0.35">
      <c r="A116" s="96" t="s">
        <v>92</v>
      </c>
      <c r="B116" s="223" t="s">
        <v>91</v>
      </c>
      <c r="C116" s="312">
        <v>201755</v>
      </c>
      <c r="D116" s="313">
        <v>123280</v>
      </c>
      <c r="E116" s="314">
        <v>78475</v>
      </c>
      <c r="F116" s="316">
        <v>0.6110381403187034</v>
      </c>
      <c r="G116" s="242">
        <v>217389</v>
      </c>
      <c r="H116" s="250">
        <v>141222</v>
      </c>
      <c r="I116" s="250">
        <v>76167</v>
      </c>
      <c r="J116" s="219">
        <v>0.64962808605771216</v>
      </c>
      <c r="K116" s="194" t="str">
        <f t="shared" si="1"/>
        <v/>
      </c>
    </row>
    <row r="117" spans="1:11" x14ac:dyDescent="0.35">
      <c r="A117" s="96" t="s">
        <v>94</v>
      </c>
      <c r="B117" s="223" t="s">
        <v>93</v>
      </c>
      <c r="C117" s="312">
        <v>70775</v>
      </c>
      <c r="D117" s="313">
        <v>51875</v>
      </c>
      <c r="E117" s="314">
        <v>18900</v>
      </c>
      <c r="F117" s="316">
        <v>0.73295655245496294</v>
      </c>
      <c r="G117" s="242">
        <v>75072</v>
      </c>
      <c r="H117" s="250">
        <v>55109</v>
      </c>
      <c r="I117" s="250">
        <v>19963</v>
      </c>
      <c r="J117" s="219">
        <v>0.73408194799658999</v>
      </c>
      <c r="K117" s="194" t="str">
        <f t="shared" si="1"/>
        <v/>
      </c>
    </row>
    <row r="118" spans="1:11" x14ac:dyDescent="0.35">
      <c r="A118" s="96" t="s">
        <v>96</v>
      </c>
      <c r="B118" s="223" t="s">
        <v>95</v>
      </c>
      <c r="C118" s="312">
        <v>75635</v>
      </c>
      <c r="D118" s="313">
        <v>46880</v>
      </c>
      <c r="E118" s="314">
        <v>28755</v>
      </c>
      <c r="F118" s="316">
        <v>0.61981886692668742</v>
      </c>
      <c r="G118" s="242">
        <v>78409</v>
      </c>
      <c r="H118" s="250">
        <v>49677</v>
      </c>
      <c r="I118" s="250">
        <v>28732</v>
      </c>
      <c r="J118" s="219">
        <v>0.63356247369562169</v>
      </c>
      <c r="K118" s="194" t="str">
        <f t="shared" si="1"/>
        <v/>
      </c>
    </row>
    <row r="119" spans="1:11" x14ac:dyDescent="0.35">
      <c r="A119" s="96" t="s">
        <v>98</v>
      </c>
      <c r="B119" s="223" t="s">
        <v>97</v>
      </c>
      <c r="C119" s="312">
        <v>62250</v>
      </c>
      <c r="D119" s="313">
        <v>56790</v>
      </c>
      <c r="E119" s="314">
        <v>5460</v>
      </c>
      <c r="F119" s="316">
        <v>0.912289156626506</v>
      </c>
      <c r="G119" s="242">
        <v>62263</v>
      </c>
      <c r="H119" s="250">
        <v>56790</v>
      </c>
      <c r="I119" s="250">
        <v>5473</v>
      </c>
      <c r="J119" s="219">
        <v>0.91209867818768775</v>
      </c>
      <c r="K119" s="194" t="str">
        <f t="shared" si="1"/>
        <v/>
      </c>
    </row>
    <row r="120" spans="1:11" x14ac:dyDescent="0.35">
      <c r="A120" s="96" t="s">
        <v>100</v>
      </c>
      <c r="B120" s="223" t="s">
        <v>99</v>
      </c>
      <c r="C120" s="312">
        <v>79480</v>
      </c>
      <c r="D120" s="313">
        <v>47590</v>
      </c>
      <c r="E120" s="314">
        <v>31890</v>
      </c>
      <c r="F120" s="316">
        <v>0.5987669854051334</v>
      </c>
      <c r="G120" s="242">
        <v>94028</v>
      </c>
      <c r="H120" s="250">
        <v>62156</v>
      </c>
      <c r="I120" s="250">
        <v>31872</v>
      </c>
      <c r="J120" s="219">
        <v>0.66103713787382479</v>
      </c>
      <c r="K120" s="194" t="str">
        <f t="shared" si="1"/>
        <v/>
      </c>
    </row>
    <row r="121" spans="1:11" x14ac:dyDescent="0.35">
      <c r="A121" s="96" t="s">
        <v>102</v>
      </c>
      <c r="B121" s="223" t="s">
        <v>101</v>
      </c>
      <c r="C121" s="312">
        <v>101570</v>
      </c>
      <c r="D121" s="313">
        <v>60775</v>
      </c>
      <c r="E121" s="314">
        <v>40800</v>
      </c>
      <c r="F121" s="316">
        <v>0.59835581372452495</v>
      </c>
      <c r="G121" s="242">
        <v>101464</v>
      </c>
      <c r="H121" s="250">
        <v>60883</v>
      </c>
      <c r="I121" s="250">
        <v>40581</v>
      </c>
      <c r="J121" s="219">
        <v>0.60004533627690615</v>
      </c>
      <c r="K121" s="194" t="str">
        <f t="shared" si="1"/>
        <v/>
      </c>
    </row>
    <row r="122" spans="1:11" x14ac:dyDescent="0.35">
      <c r="A122" s="96" t="s">
        <v>104</v>
      </c>
      <c r="B122" s="223" t="s">
        <v>103</v>
      </c>
      <c r="C122" s="312">
        <v>105360</v>
      </c>
      <c r="D122" s="313">
        <v>62735</v>
      </c>
      <c r="E122" s="314">
        <v>42625</v>
      </c>
      <c r="F122" s="316">
        <v>0.59543470007593013</v>
      </c>
      <c r="G122" s="242">
        <v>169465</v>
      </c>
      <c r="H122" s="250">
        <v>124035</v>
      </c>
      <c r="I122" s="250">
        <v>45430</v>
      </c>
      <c r="J122" s="219">
        <v>0.73192104564364324</v>
      </c>
      <c r="K122" s="194" t="str">
        <f t="shared" si="1"/>
        <v/>
      </c>
    </row>
    <row r="123" spans="1:11" x14ac:dyDescent="0.35">
      <c r="A123" s="96" t="s">
        <v>106</v>
      </c>
      <c r="B123" s="223" t="s">
        <v>105</v>
      </c>
      <c r="C123" s="312">
        <v>296420</v>
      </c>
      <c r="D123" s="313">
        <v>211795</v>
      </c>
      <c r="E123" s="314">
        <v>84625</v>
      </c>
      <c r="F123" s="316">
        <v>0.71450981715133932</v>
      </c>
      <c r="G123" s="242">
        <v>337452</v>
      </c>
      <c r="H123" s="250">
        <v>253736</v>
      </c>
      <c r="I123" s="250">
        <v>83716</v>
      </c>
      <c r="J123" s="219">
        <v>0.75191730972108628</v>
      </c>
      <c r="K123" s="194" t="str">
        <f t="shared" si="1"/>
        <v/>
      </c>
    </row>
    <row r="124" spans="1:11" x14ac:dyDescent="0.35">
      <c r="A124" s="96" t="s">
        <v>410</v>
      </c>
      <c r="B124" s="223" t="s">
        <v>411</v>
      </c>
      <c r="C124" s="312">
        <v>141980</v>
      </c>
      <c r="D124" s="313">
        <v>140205</v>
      </c>
      <c r="E124" s="314">
        <v>1775</v>
      </c>
      <c r="F124" s="316">
        <v>0.98749823918861812</v>
      </c>
      <c r="G124" s="242">
        <v>142022</v>
      </c>
      <c r="H124" s="250">
        <v>140363</v>
      </c>
      <c r="I124" s="250">
        <v>1659</v>
      </c>
      <c r="J124" s="219">
        <v>0.988318711185591</v>
      </c>
      <c r="K124" s="194" t="str">
        <f t="shared" si="1"/>
        <v/>
      </c>
    </row>
    <row r="125" spans="1:11" x14ac:dyDescent="0.35">
      <c r="A125" s="96" t="s">
        <v>412</v>
      </c>
      <c r="B125" s="223" t="s">
        <v>413</v>
      </c>
      <c r="C125" s="312">
        <v>284000</v>
      </c>
      <c r="D125" s="313">
        <v>168570</v>
      </c>
      <c r="E125" s="314">
        <v>115430</v>
      </c>
      <c r="F125" s="316">
        <v>0.59355633802816898</v>
      </c>
      <c r="G125" s="242">
        <v>419110</v>
      </c>
      <c r="H125" s="250">
        <v>301791</v>
      </c>
      <c r="I125" s="250">
        <v>117319</v>
      </c>
      <c r="J125" s="219">
        <v>0.72007587506859771</v>
      </c>
      <c r="K125" s="194" t="str">
        <f t="shared" si="1"/>
        <v/>
      </c>
    </row>
    <row r="126" spans="1:11" x14ac:dyDescent="0.35">
      <c r="A126" s="96" t="s">
        <v>108</v>
      </c>
      <c r="B126" s="223" t="s">
        <v>107</v>
      </c>
      <c r="C126" s="312">
        <v>218375</v>
      </c>
      <c r="D126" s="313">
        <v>166555</v>
      </c>
      <c r="E126" s="314">
        <v>51820</v>
      </c>
      <c r="F126" s="316">
        <v>0.7627017744705209</v>
      </c>
      <c r="G126" s="242">
        <v>220310</v>
      </c>
      <c r="H126" s="250">
        <v>168294</v>
      </c>
      <c r="I126" s="250">
        <v>52016</v>
      </c>
      <c r="J126" s="219">
        <v>0.76389632790159323</v>
      </c>
      <c r="K126" s="194" t="str">
        <f t="shared" si="1"/>
        <v/>
      </c>
    </row>
    <row r="127" spans="1:11" x14ac:dyDescent="0.35">
      <c r="A127" s="96" t="s">
        <v>110</v>
      </c>
      <c r="B127" s="223" t="s">
        <v>109</v>
      </c>
      <c r="C127" s="312">
        <v>272775</v>
      </c>
      <c r="D127" s="313">
        <v>140120</v>
      </c>
      <c r="E127" s="314">
        <v>132650</v>
      </c>
      <c r="F127" s="316">
        <v>0.51368343873155531</v>
      </c>
      <c r="G127" s="242">
        <v>303637</v>
      </c>
      <c r="H127" s="250">
        <v>210483</v>
      </c>
      <c r="I127" s="250">
        <v>93154</v>
      </c>
      <c r="J127" s="219">
        <v>0.69320603220292654</v>
      </c>
      <c r="K127" s="194" t="str">
        <f t="shared" si="1"/>
        <v/>
      </c>
    </row>
    <row r="128" spans="1:11" x14ac:dyDescent="0.35">
      <c r="A128" s="96" t="s">
        <v>414</v>
      </c>
      <c r="B128" s="223" t="s">
        <v>415</v>
      </c>
      <c r="C128" s="312">
        <v>16570</v>
      </c>
      <c r="D128" s="313">
        <v>14710</v>
      </c>
      <c r="E128" s="314">
        <v>1860</v>
      </c>
      <c r="F128" s="316">
        <v>0.8877489438744719</v>
      </c>
      <c r="G128" s="242">
        <v>18058</v>
      </c>
      <c r="H128" s="250">
        <v>16151</v>
      </c>
      <c r="I128" s="250">
        <v>1907</v>
      </c>
      <c r="J128" s="219">
        <v>0.89439583564071323</v>
      </c>
      <c r="K128" s="194" t="str">
        <f t="shared" si="1"/>
        <v/>
      </c>
    </row>
    <row r="129" spans="1:11" x14ac:dyDescent="0.35">
      <c r="A129" s="96" t="s">
        <v>112</v>
      </c>
      <c r="B129" s="223" t="s">
        <v>111</v>
      </c>
      <c r="C129" s="312">
        <v>182575</v>
      </c>
      <c r="D129" s="313">
        <v>110390</v>
      </c>
      <c r="E129" s="314">
        <v>72185</v>
      </c>
      <c r="F129" s="316">
        <v>0.6046282349719293</v>
      </c>
      <c r="G129" s="242">
        <v>348941</v>
      </c>
      <c r="H129" s="250">
        <v>273227</v>
      </c>
      <c r="I129" s="250">
        <v>75714</v>
      </c>
      <c r="J129" s="219">
        <v>0.78301775944930518</v>
      </c>
      <c r="K129" s="194" t="str">
        <f t="shared" si="1"/>
        <v/>
      </c>
    </row>
    <row r="130" spans="1:11" x14ac:dyDescent="0.35">
      <c r="A130" s="96" t="s">
        <v>114</v>
      </c>
      <c r="B130" s="223" t="s">
        <v>113</v>
      </c>
      <c r="C130" s="312">
        <v>106875</v>
      </c>
      <c r="D130" s="313">
        <v>72140</v>
      </c>
      <c r="E130" s="314">
        <v>34735</v>
      </c>
      <c r="F130" s="316">
        <v>0.67499415204678359</v>
      </c>
      <c r="G130" s="242">
        <v>106878</v>
      </c>
      <c r="H130" s="250">
        <v>72135</v>
      </c>
      <c r="I130" s="250">
        <v>34743</v>
      </c>
      <c r="J130" s="219">
        <v>0.67492842306180878</v>
      </c>
      <c r="K130" s="194" t="str">
        <f t="shared" si="1"/>
        <v/>
      </c>
    </row>
    <row r="131" spans="1:11" x14ac:dyDescent="0.35">
      <c r="A131" s="96" t="s">
        <v>416</v>
      </c>
      <c r="B131" s="223" t="s">
        <v>417</v>
      </c>
      <c r="C131" s="312">
        <v>104885</v>
      </c>
      <c r="D131" s="313">
        <v>67450</v>
      </c>
      <c r="E131" s="314">
        <v>37435</v>
      </c>
      <c r="F131" s="316">
        <v>0.64308528388234731</v>
      </c>
      <c r="G131" s="242">
        <v>104709</v>
      </c>
      <c r="H131" s="250">
        <v>67219</v>
      </c>
      <c r="I131" s="250">
        <v>37490</v>
      </c>
      <c r="J131" s="219">
        <v>0.64196009894087425</v>
      </c>
      <c r="K131" s="194" t="str">
        <f t="shared" si="1"/>
        <v/>
      </c>
    </row>
    <row r="132" spans="1:11" x14ac:dyDescent="0.35">
      <c r="A132" s="96" t="s">
        <v>116</v>
      </c>
      <c r="B132" s="223" t="s">
        <v>115</v>
      </c>
      <c r="C132" s="312">
        <v>106155</v>
      </c>
      <c r="D132" s="313">
        <v>62055</v>
      </c>
      <c r="E132" s="314">
        <v>44105</v>
      </c>
      <c r="F132" s="316">
        <v>0.58456973293768544</v>
      </c>
      <c r="G132" s="242">
        <v>137141</v>
      </c>
      <c r="H132" s="250">
        <v>93084</v>
      </c>
      <c r="I132" s="250">
        <v>44057</v>
      </c>
      <c r="J132" s="219">
        <v>0.6787466913614455</v>
      </c>
      <c r="K132" s="194" t="str">
        <f t="shared" si="1"/>
        <v/>
      </c>
    </row>
    <row r="133" spans="1:11" x14ac:dyDescent="0.35">
      <c r="A133" s="96" t="s">
        <v>118</v>
      </c>
      <c r="B133" s="223" t="s">
        <v>117</v>
      </c>
      <c r="C133" s="312">
        <v>236190</v>
      </c>
      <c r="D133" s="313">
        <v>160565</v>
      </c>
      <c r="E133" s="314">
        <v>75625</v>
      </c>
      <c r="F133" s="316">
        <v>0.67981286252593254</v>
      </c>
      <c r="G133" s="242">
        <v>234255</v>
      </c>
      <c r="H133" s="250">
        <v>158763</v>
      </c>
      <c r="I133" s="250">
        <v>75492</v>
      </c>
      <c r="J133" s="219">
        <v>0.67773580072997375</v>
      </c>
      <c r="K133" s="194" t="str">
        <f t="shared" si="1"/>
        <v/>
      </c>
    </row>
    <row r="134" spans="1:11" x14ac:dyDescent="0.35">
      <c r="A134" s="96" t="s">
        <v>120</v>
      </c>
      <c r="B134" s="223" t="s">
        <v>119</v>
      </c>
      <c r="C134" s="312">
        <v>87635</v>
      </c>
      <c r="D134" s="313">
        <v>50600</v>
      </c>
      <c r="E134" s="314">
        <v>37035</v>
      </c>
      <c r="F134" s="316">
        <v>0.57739487647629373</v>
      </c>
      <c r="G134" s="242">
        <v>104227</v>
      </c>
      <c r="H134" s="250">
        <v>67443</v>
      </c>
      <c r="I134" s="250">
        <v>36784</v>
      </c>
      <c r="J134" s="219">
        <v>0.64707801241520913</v>
      </c>
      <c r="K134" s="194" t="str">
        <f t="shared" si="1"/>
        <v/>
      </c>
    </row>
    <row r="135" spans="1:11" x14ac:dyDescent="0.35">
      <c r="A135" s="96" t="s">
        <v>418</v>
      </c>
      <c r="B135" s="223" t="s">
        <v>419</v>
      </c>
      <c r="C135" s="312">
        <v>101380</v>
      </c>
      <c r="D135" s="313">
        <v>69900</v>
      </c>
      <c r="E135" s="314">
        <v>31480</v>
      </c>
      <c r="F135" s="316">
        <v>0.68948510554349973</v>
      </c>
      <c r="G135" s="242">
        <v>100368</v>
      </c>
      <c r="H135" s="250">
        <v>68762</v>
      </c>
      <c r="I135" s="250">
        <v>31606</v>
      </c>
      <c r="J135" s="219">
        <v>0.68509883628248047</v>
      </c>
      <c r="K135" s="194" t="str">
        <f t="shared" si="1"/>
        <v/>
      </c>
    </row>
    <row r="136" spans="1:11" x14ac:dyDescent="0.35">
      <c r="A136" s="96" t="s">
        <v>420</v>
      </c>
      <c r="B136" s="223" t="s">
        <v>421</v>
      </c>
      <c r="C136" s="312">
        <v>201505</v>
      </c>
      <c r="D136" s="313">
        <v>138160</v>
      </c>
      <c r="E136" s="314">
        <v>63340</v>
      </c>
      <c r="F136" s="316">
        <v>0.68564055482494235</v>
      </c>
      <c r="G136" s="242">
        <v>202610</v>
      </c>
      <c r="H136" s="250">
        <v>139270</v>
      </c>
      <c r="I136" s="250">
        <v>63340</v>
      </c>
      <c r="J136" s="219">
        <v>0.68737969498050444</v>
      </c>
      <c r="K136" s="194" t="str">
        <f t="shared" si="1"/>
        <v/>
      </c>
    </row>
    <row r="137" spans="1:11" x14ac:dyDescent="0.35">
      <c r="A137" s="96" t="s">
        <v>122</v>
      </c>
      <c r="B137" s="223" t="s">
        <v>121</v>
      </c>
      <c r="C137" s="312">
        <v>262520</v>
      </c>
      <c r="D137" s="313">
        <v>195260</v>
      </c>
      <c r="E137" s="314">
        <v>67260</v>
      </c>
      <c r="F137" s="316">
        <v>0.74379094926100864</v>
      </c>
      <c r="G137" s="242">
        <v>267158</v>
      </c>
      <c r="H137" s="250">
        <v>198956</v>
      </c>
      <c r="I137" s="250">
        <v>68202</v>
      </c>
      <c r="J137" s="219">
        <v>0.74471286654339375</v>
      </c>
      <c r="K137" s="194" t="str">
        <f t="shared" si="1"/>
        <v/>
      </c>
    </row>
    <row r="138" spans="1:11" x14ac:dyDescent="0.35">
      <c r="A138" s="96" t="s">
        <v>124</v>
      </c>
      <c r="B138" s="223" t="s">
        <v>123</v>
      </c>
      <c r="C138" s="312">
        <v>212990</v>
      </c>
      <c r="D138" s="313">
        <v>148660</v>
      </c>
      <c r="E138" s="314">
        <v>64330</v>
      </c>
      <c r="F138" s="316">
        <v>0.69796704070613647</v>
      </c>
      <c r="G138" s="242">
        <v>213331</v>
      </c>
      <c r="H138" s="250">
        <v>148868</v>
      </c>
      <c r="I138" s="250">
        <v>64463</v>
      </c>
      <c r="J138" s="219">
        <v>0.69782638247605833</v>
      </c>
      <c r="K138" s="194" t="str">
        <f t="shared" si="1"/>
        <v/>
      </c>
    </row>
    <row r="139" spans="1:11" x14ac:dyDescent="0.35">
      <c r="A139" s="96" t="s">
        <v>126</v>
      </c>
      <c r="B139" s="223" t="s">
        <v>125</v>
      </c>
      <c r="C139" s="312">
        <v>158975</v>
      </c>
      <c r="D139" s="313">
        <v>104540</v>
      </c>
      <c r="E139" s="314">
        <v>54435</v>
      </c>
      <c r="F139" s="316">
        <v>0.65758767101745552</v>
      </c>
      <c r="G139" s="242">
        <v>157793</v>
      </c>
      <c r="H139" s="250">
        <v>103343</v>
      </c>
      <c r="I139" s="250">
        <v>54450</v>
      </c>
      <c r="J139" s="219">
        <v>0.65492765838788791</v>
      </c>
      <c r="K139" s="194" t="str">
        <f t="shared" si="1"/>
        <v/>
      </c>
    </row>
    <row r="140" spans="1:11" x14ac:dyDescent="0.35">
      <c r="A140" s="96" t="s">
        <v>128</v>
      </c>
      <c r="B140" s="223" t="s">
        <v>127</v>
      </c>
      <c r="C140" s="312">
        <v>169540</v>
      </c>
      <c r="D140" s="313">
        <v>104750</v>
      </c>
      <c r="E140" s="314">
        <v>64790</v>
      </c>
      <c r="F140" s="316">
        <v>0.61784829538751918</v>
      </c>
      <c r="G140" s="242">
        <v>226213</v>
      </c>
      <c r="H140" s="250">
        <v>164571</v>
      </c>
      <c r="I140" s="250">
        <v>61642</v>
      </c>
      <c r="J140" s="219">
        <v>0.72750460848845999</v>
      </c>
      <c r="K140" s="194" t="str">
        <f t="shared" si="1"/>
        <v/>
      </c>
    </row>
    <row r="141" spans="1:11" x14ac:dyDescent="0.35">
      <c r="A141" s="96" t="s">
        <v>526</v>
      </c>
      <c r="B141" s="223" t="s">
        <v>424</v>
      </c>
      <c r="C141" s="312">
        <v>189450</v>
      </c>
      <c r="D141" s="313">
        <v>120090</v>
      </c>
      <c r="E141" s="314">
        <v>69360</v>
      </c>
      <c r="F141" s="316">
        <v>0.6338875692794933</v>
      </c>
      <c r="G141" s="242">
        <v>191903</v>
      </c>
      <c r="H141" s="250">
        <v>125406</v>
      </c>
      <c r="I141" s="250">
        <v>66497</v>
      </c>
      <c r="J141" s="219">
        <v>0.65348639677336984</v>
      </c>
      <c r="K141" s="194" t="str">
        <f t="shared" si="1"/>
        <v/>
      </c>
    </row>
    <row r="142" spans="1:11" x14ac:dyDescent="0.35">
      <c r="A142" s="96" t="s">
        <v>130</v>
      </c>
      <c r="B142" s="223" t="s">
        <v>129</v>
      </c>
      <c r="C142" s="312">
        <v>177265</v>
      </c>
      <c r="D142" s="313">
        <v>124195</v>
      </c>
      <c r="E142" s="314">
        <v>53075</v>
      </c>
      <c r="F142" s="316">
        <v>0.70061771923391536</v>
      </c>
      <c r="G142" s="242">
        <v>185295</v>
      </c>
      <c r="H142" s="250">
        <v>132032</v>
      </c>
      <c r="I142" s="250">
        <v>53263</v>
      </c>
      <c r="J142" s="219">
        <v>0.71255025769718561</v>
      </c>
      <c r="K142" s="194" t="str">
        <f t="shared" si="1"/>
        <v/>
      </c>
    </row>
    <row r="143" spans="1:11" x14ac:dyDescent="0.35">
      <c r="A143" s="96" t="s">
        <v>132</v>
      </c>
      <c r="B143" s="223" t="s">
        <v>131</v>
      </c>
      <c r="C143" s="312">
        <v>210950</v>
      </c>
      <c r="D143" s="313">
        <v>156255</v>
      </c>
      <c r="E143" s="314">
        <v>54695</v>
      </c>
      <c r="F143" s="316">
        <v>0.74072054989333969</v>
      </c>
      <c r="G143" s="242">
        <v>211820</v>
      </c>
      <c r="H143" s="250">
        <v>158308</v>
      </c>
      <c r="I143" s="250">
        <v>53512</v>
      </c>
      <c r="J143" s="219">
        <v>0.74737040883769235</v>
      </c>
      <c r="K143" s="194" t="str">
        <f t="shared" si="1"/>
        <v/>
      </c>
    </row>
    <row r="144" spans="1:11" x14ac:dyDescent="0.35">
      <c r="A144" s="96" t="s">
        <v>134</v>
      </c>
      <c r="B144" s="223" t="s">
        <v>133</v>
      </c>
      <c r="C144" s="312">
        <v>234505</v>
      </c>
      <c r="D144" s="313">
        <v>134985</v>
      </c>
      <c r="E144" s="314">
        <v>99520</v>
      </c>
      <c r="F144" s="316">
        <v>0.57561672459009405</v>
      </c>
      <c r="G144" s="242">
        <v>299735</v>
      </c>
      <c r="H144" s="250">
        <v>196534</v>
      </c>
      <c r="I144" s="250">
        <v>103201</v>
      </c>
      <c r="J144" s="219">
        <v>0.65569252840008674</v>
      </c>
      <c r="K144" s="194" t="str">
        <f t="shared" si="1"/>
        <v/>
      </c>
    </row>
    <row r="145" spans="1:11" x14ac:dyDescent="0.35">
      <c r="A145" s="96" t="s">
        <v>136</v>
      </c>
      <c r="B145" s="223" t="s">
        <v>135</v>
      </c>
      <c r="C145" s="312">
        <v>211300</v>
      </c>
      <c r="D145" s="313">
        <v>154845</v>
      </c>
      <c r="E145" s="314">
        <v>56455</v>
      </c>
      <c r="F145" s="316">
        <v>0.73282063416942733</v>
      </c>
      <c r="G145" s="242">
        <v>215829</v>
      </c>
      <c r="H145" s="250">
        <v>160220</v>
      </c>
      <c r="I145" s="250">
        <v>55609</v>
      </c>
      <c r="J145" s="219">
        <v>0.7423469505951471</v>
      </c>
      <c r="K145" s="194" t="str">
        <f t="shared" si="1"/>
        <v/>
      </c>
    </row>
    <row r="146" spans="1:11" x14ac:dyDescent="0.35">
      <c r="A146" s="96" t="s">
        <v>138</v>
      </c>
      <c r="B146" s="223" t="s">
        <v>137</v>
      </c>
      <c r="C146" s="312">
        <v>152425</v>
      </c>
      <c r="D146" s="313">
        <v>118120</v>
      </c>
      <c r="E146" s="314">
        <v>34305</v>
      </c>
      <c r="F146" s="316">
        <v>0.77493849434147943</v>
      </c>
      <c r="G146" s="242">
        <v>152767</v>
      </c>
      <c r="H146" s="250">
        <v>121644</v>
      </c>
      <c r="I146" s="250">
        <v>31123</v>
      </c>
      <c r="J146" s="219">
        <v>0.79627144605837652</v>
      </c>
      <c r="K146" s="194" t="str">
        <f t="shared" si="1"/>
        <v/>
      </c>
    </row>
    <row r="147" spans="1:11" x14ac:dyDescent="0.35">
      <c r="A147" s="96" t="s">
        <v>527</v>
      </c>
      <c r="B147" s="223" t="s">
        <v>139</v>
      </c>
      <c r="C147" s="312">
        <v>103130</v>
      </c>
      <c r="D147" s="313">
        <v>71860</v>
      </c>
      <c r="E147" s="314">
        <v>31270</v>
      </c>
      <c r="F147" s="316">
        <v>0.69679045864442934</v>
      </c>
      <c r="G147" s="242">
        <v>103186</v>
      </c>
      <c r="H147" s="250">
        <v>71465</v>
      </c>
      <c r="I147" s="250">
        <v>31721</v>
      </c>
      <c r="J147" s="219">
        <v>0.6925842653073091</v>
      </c>
      <c r="K147" s="194" t="str">
        <f t="shared" si="1"/>
        <v/>
      </c>
    </row>
    <row r="148" spans="1:11" x14ac:dyDescent="0.35">
      <c r="A148" s="96" t="s">
        <v>142</v>
      </c>
      <c r="B148" s="223" t="s">
        <v>141</v>
      </c>
      <c r="C148" s="312">
        <v>278175</v>
      </c>
      <c r="D148" s="313">
        <v>187845</v>
      </c>
      <c r="E148" s="314">
        <v>90330</v>
      </c>
      <c r="F148" s="316">
        <v>0.67527635481261794</v>
      </c>
      <c r="G148" s="242">
        <v>282927</v>
      </c>
      <c r="H148" s="250">
        <v>192343</v>
      </c>
      <c r="I148" s="250">
        <v>90584</v>
      </c>
      <c r="J148" s="219">
        <v>0.67983260699756476</v>
      </c>
      <c r="K148" s="194" t="str">
        <f t="shared" si="1"/>
        <v/>
      </c>
    </row>
    <row r="149" spans="1:11" x14ac:dyDescent="0.35">
      <c r="A149" s="96" t="s">
        <v>144</v>
      </c>
      <c r="B149" s="223" t="s">
        <v>143</v>
      </c>
      <c r="C149" s="312">
        <v>187425</v>
      </c>
      <c r="D149" s="313">
        <v>133020</v>
      </c>
      <c r="E149" s="314">
        <v>54405</v>
      </c>
      <c r="F149" s="316">
        <v>0.70972388955582233</v>
      </c>
      <c r="G149" s="242">
        <v>190377</v>
      </c>
      <c r="H149" s="250">
        <v>135563</v>
      </c>
      <c r="I149" s="250">
        <v>54814</v>
      </c>
      <c r="J149" s="219">
        <v>0.71207656387063567</v>
      </c>
      <c r="K149" s="194" t="str">
        <f t="shared" ref="K149:K211" si="2">IF(C149=0,IF(G149=0,1,""),"")</f>
        <v/>
      </c>
    </row>
    <row r="150" spans="1:11" x14ac:dyDescent="0.35">
      <c r="A150" s="96" t="s">
        <v>146</v>
      </c>
      <c r="B150" s="223" t="s">
        <v>145</v>
      </c>
      <c r="C150" s="312">
        <v>50850</v>
      </c>
      <c r="D150" s="313">
        <v>25985</v>
      </c>
      <c r="E150" s="314">
        <v>24860</v>
      </c>
      <c r="F150" s="316">
        <v>0.51101278269419859</v>
      </c>
      <c r="G150" s="242">
        <v>53050</v>
      </c>
      <c r="H150" s="250">
        <v>27537</v>
      </c>
      <c r="I150" s="250">
        <v>25513</v>
      </c>
      <c r="J150" s="219">
        <v>0.519076343072573</v>
      </c>
      <c r="K150" s="194" t="str">
        <f t="shared" si="2"/>
        <v/>
      </c>
    </row>
    <row r="151" spans="1:11" x14ac:dyDescent="0.35">
      <c r="A151" s="96" t="s">
        <v>148</v>
      </c>
      <c r="B151" s="223" t="s">
        <v>147</v>
      </c>
      <c r="C151" s="312">
        <v>86235</v>
      </c>
      <c r="D151" s="313">
        <v>51410</v>
      </c>
      <c r="E151" s="314">
        <v>34825</v>
      </c>
      <c r="F151" s="316">
        <v>0.59616165130167564</v>
      </c>
      <c r="G151" s="242">
        <v>86213</v>
      </c>
      <c r="H151" s="250">
        <v>51063</v>
      </c>
      <c r="I151" s="250">
        <v>35150</v>
      </c>
      <c r="J151" s="219">
        <v>0.59228886594829089</v>
      </c>
      <c r="K151" s="194" t="str">
        <f t="shared" si="2"/>
        <v/>
      </c>
    </row>
    <row r="152" spans="1:11" x14ac:dyDescent="0.35">
      <c r="A152" s="96" t="s">
        <v>150</v>
      </c>
      <c r="B152" s="223" t="s">
        <v>149</v>
      </c>
      <c r="C152" s="312">
        <v>282270</v>
      </c>
      <c r="D152" s="313">
        <v>187955</v>
      </c>
      <c r="E152" s="314">
        <v>94315</v>
      </c>
      <c r="F152" s="316">
        <v>0.66586955751585364</v>
      </c>
      <c r="G152" s="242">
        <v>305373</v>
      </c>
      <c r="H152" s="250">
        <v>217164</v>
      </c>
      <c r="I152" s="250">
        <v>88209</v>
      </c>
      <c r="J152" s="219">
        <v>0.71114342132408559</v>
      </c>
      <c r="K152" s="194" t="str">
        <f t="shared" si="2"/>
        <v/>
      </c>
    </row>
    <row r="153" spans="1:11" x14ac:dyDescent="0.35">
      <c r="A153" s="96" t="s">
        <v>152</v>
      </c>
      <c r="B153" s="223" t="s">
        <v>151</v>
      </c>
      <c r="C153" s="312">
        <v>166740</v>
      </c>
      <c r="D153" s="313">
        <v>111390</v>
      </c>
      <c r="E153" s="314">
        <v>55350</v>
      </c>
      <c r="F153" s="316">
        <v>0.66804605973371711</v>
      </c>
      <c r="G153" s="242">
        <v>199786</v>
      </c>
      <c r="H153" s="250">
        <v>141789</v>
      </c>
      <c r="I153" s="250">
        <v>57997</v>
      </c>
      <c r="J153" s="219">
        <v>0.70970438369054889</v>
      </c>
      <c r="K153" s="194" t="str">
        <f t="shared" si="2"/>
        <v/>
      </c>
    </row>
    <row r="154" spans="1:11" x14ac:dyDescent="0.35">
      <c r="A154" s="96" t="s">
        <v>528</v>
      </c>
      <c r="B154" s="223" t="s">
        <v>426</v>
      </c>
      <c r="C154" s="312">
        <v>167210</v>
      </c>
      <c r="D154" s="313">
        <v>107490</v>
      </c>
      <c r="E154" s="314">
        <v>59720</v>
      </c>
      <c r="F154" s="316">
        <v>0.64284432749237486</v>
      </c>
      <c r="G154" s="242">
        <v>170828</v>
      </c>
      <c r="H154" s="250">
        <v>111018</v>
      </c>
      <c r="I154" s="250">
        <v>59810</v>
      </c>
      <c r="J154" s="219">
        <v>0.64988175240592883</v>
      </c>
      <c r="K154" s="194" t="str">
        <f t="shared" si="2"/>
        <v/>
      </c>
    </row>
    <row r="155" spans="1:11" x14ac:dyDescent="0.35">
      <c r="A155" s="96" t="s">
        <v>154</v>
      </c>
      <c r="B155" s="223" t="s">
        <v>153</v>
      </c>
      <c r="C155" s="312">
        <v>234145</v>
      </c>
      <c r="D155" s="313">
        <v>160225</v>
      </c>
      <c r="E155" s="314">
        <v>73925</v>
      </c>
      <c r="F155" s="316">
        <v>0.68429819129172098</v>
      </c>
      <c r="G155" s="242">
        <v>233982</v>
      </c>
      <c r="H155" s="250">
        <v>160002</v>
      </c>
      <c r="I155" s="250">
        <v>73980</v>
      </c>
      <c r="J155" s="219">
        <v>0.68382183244864991</v>
      </c>
      <c r="K155" s="194" t="str">
        <f t="shared" si="2"/>
        <v/>
      </c>
    </row>
    <row r="156" spans="1:11" x14ac:dyDescent="0.35">
      <c r="A156" s="96" t="s">
        <v>156</v>
      </c>
      <c r="B156" s="223" t="s">
        <v>155</v>
      </c>
      <c r="C156" s="312">
        <v>108620</v>
      </c>
      <c r="D156" s="313">
        <v>77025</v>
      </c>
      <c r="E156" s="314">
        <v>31595</v>
      </c>
      <c r="F156" s="316">
        <v>0.70912354999079363</v>
      </c>
      <c r="G156" s="242">
        <v>109331</v>
      </c>
      <c r="H156" s="250">
        <v>77424</v>
      </c>
      <c r="I156" s="250">
        <v>31907</v>
      </c>
      <c r="J156" s="219">
        <v>0.70816145466519098</v>
      </c>
      <c r="K156" s="194" t="str">
        <f t="shared" si="2"/>
        <v/>
      </c>
    </row>
    <row r="157" spans="1:11" x14ac:dyDescent="0.35">
      <c r="A157" s="96" t="s">
        <v>158</v>
      </c>
      <c r="B157" s="223" t="s">
        <v>157</v>
      </c>
      <c r="C157" s="312">
        <v>264120</v>
      </c>
      <c r="D157" s="313">
        <v>209815</v>
      </c>
      <c r="E157" s="314">
        <v>54305</v>
      </c>
      <c r="F157" s="316">
        <v>0.794392700287748</v>
      </c>
      <c r="G157" s="242">
        <v>258814</v>
      </c>
      <c r="H157" s="250">
        <v>209238</v>
      </c>
      <c r="I157" s="250">
        <v>49576</v>
      </c>
      <c r="J157" s="219">
        <v>0.80844931108827189</v>
      </c>
      <c r="K157" s="194" t="str">
        <f t="shared" si="2"/>
        <v/>
      </c>
    </row>
    <row r="158" spans="1:11" x14ac:dyDescent="0.35">
      <c r="A158" s="96" t="s">
        <v>160</v>
      </c>
      <c r="B158" s="223" t="s">
        <v>159</v>
      </c>
      <c r="C158" s="312">
        <v>73585</v>
      </c>
      <c r="D158" s="313">
        <v>41890</v>
      </c>
      <c r="E158" s="314">
        <v>31695</v>
      </c>
      <c r="F158" s="316">
        <v>0.56927362913637292</v>
      </c>
      <c r="G158" s="242">
        <v>88380</v>
      </c>
      <c r="H158" s="250">
        <v>58362</v>
      </c>
      <c r="I158" s="250">
        <v>30018</v>
      </c>
      <c r="J158" s="219">
        <v>0.66035302104548543</v>
      </c>
      <c r="K158" s="194" t="str">
        <f t="shared" si="2"/>
        <v/>
      </c>
    </row>
    <row r="159" spans="1:11" x14ac:dyDescent="0.35">
      <c r="A159" s="96" t="s">
        <v>162</v>
      </c>
      <c r="B159" s="223" t="s">
        <v>161</v>
      </c>
      <c r="C159" s="312">
        <v>102745</v>
      </c>
      <c r="D159" s="313">
        <v>74310</v>
      </c>
      <c r="E159" s="314">
        <v>28435</v>
      </c>
      <c r="F159" s="316">
        <v>0.72324687332716919</v>
      </c>
      <c r="G159" s="242">
        <v>102880</v>
      </c>
      <c r="H159" s="250">
        <v>74394</v>
      </c>
      <c r="I159" s="250">
        <v>28486</v>
      </c>
      <c r="J159" s="219">
        <v>0.72311430793157072</v>
      </c>
      <c r="K159" s="194" t="str">
        <f t="shared" si="2"/>
        <v/>
      </c>
    </row>
    <row r="160" spans="1:11" x14ac:dyDescent="0.35">
      <c r="A160" s="96" t="s">
        <v>164</v>
      </c>
      <c r="B160" s="223" t="s">
        <v>163</v>
      </c>
      <c r="C160" s="312">
        <v>161695</v>
      </c>
      <c r="D160" s="313">
        <v>113960</v>
      </c>
      <c r="E160" s="314">
        <v>47730</v>
      </c>
      <c r="F160" s="316">
        <v>0.70478369770246452</v>
      </c>
      <c r="G160" s="242">
        <v>248229</v>
      </c>
      <c r="H160" s="250">
        <v>201183</v>
      </c>
      <c r="I160" s="250">
        <v>47046</v>
      </c>
      <c r="J160" s="95">
        <v>0.8104733935196935</v>
      </c>
      <c r="K160" s="194" t="str">
        <f t="shared" si="2"/>
        <v/>
      </c>
    </row>
    <row r="161" spans="1:11" x14ac:dyDescent="0.35">
      <c r="A161" s="96" t="s">
        <v>427</v>
      </c>
      <c r="B161" s="223" t="s">
        <v>165</v>
      </c>
      <c r="C161" s="312">
        <v>374435</v>
      </c>
      <c r="D161" s="313">
        <v>232625</v>
      </c>
      <c r="E161" s="314">
        <v>141810</v>
      </c>
      <c r="F161" s="316">
        <v>0.62126937919799163</v>
      </c>
      <c r="G161" s="242">
        <v>408555</v>
      </c>
      <c r="H161" s="250">
        <v>271390</v>
      </c>
      <c r="I161" s="250">
        <v>137165</v>
      </c>
      <c r="J161" s="219">
        <v>0.66426796881692796</v>
      </c>
      <c r="K161" s="194" t="str">
        <f t="shared" si="2"/>
        <v/>
      </c>
    </row>
    <row r="162" spans="1:11" x14ac:dyDescent="0.35">
      <c r="A162" s="96" t="s">
        <v>167</v>
      </c>
      <c r="B162" s="223" t="s">
        <v>166</v>
      </c>
      <c r="C162" s="312">
        <v>138800</v>
      </c>
      <c r="D162" s="313">
        <v>89165</v>
      </c>
      <c r="E162" s="314">
        <v>49635</v>
      </c>
      <c r="F162" s="316">
        <v>0.64239913544668592</v>
      </c>
      <c r="G162" s="242">
        <v>138979</v>
      </c>
      <c r="H162" s="250">
        <v>89590</v>
      </c>
      <c r="I162" s="250">
        <v>49389</v>
      </c>
      <c r="J162" s="219">
        <v>0.64462976420898122</v>
      </c>
      <c r="K162" s="194" t="str">
        <f t="shared" si="2"/>
        <v/>
      </c>
    </row>
    <row r="163" spans="1:11" x14ac:dyDescent="0.35">
      <c r="A163" s="96" t="s">
        <v>169</v>
      </c>
      <c r="B163" s="223" t="s">
        <v>168</v>
      </c>
      <c r="C163" s="312">
        <v>142135</v>
      </c>
      <c r="D163" s="313">
        <v>93760</v>
      </c>
      <c r="E163" s="314">
        <v>48375</v>
      </c>
      <c r="F163" s="316">
        <v>0.65965455376930382</v>
      </c>
      <c r="G163" s="242">
        <v>142168</v>
      </c>
      <c r="H163" s="250">
        <v>93812</v>
      </c>
      <c r="I163" s="250">
        <v>48356</v>
      </c>
      <c r="J163" s="219">
        <v>0.65986719936975968</v>
      </c>
      <c r="K163" s="194" t="str">
        <f t="shared" si="2"/>
        <v/>
      </c>
    </row>
    <row r="164" spans="1:11" x14ac:dyDescent="0.35">
      <c r="A164" s="96" t="s">
        <v>171</v>
      </c>
      <c r="B164" s="223" t="s">
        <v>170</v>
      </c>
      <c r="C164" s="312">
        <v>130510</v>
      </c>
      <c r="D164" s="313">
        <v>97140</v>
      </c>
      <c r="E164" s="314">
        <v>33375</v>
      </c>
      <c r="F164" s="316">
        <v>0.74431078078308177</v>
      </c>
      <c r="G164" s="242">
        <v>131536</v>
      </c>
      <c r="H164" s="250">
        <v>98410</v>
      </c>
      <c r="I164" s="250">
        <v>33126</v>
      </c>
      <c r="J164" s="219">
        <v>0.74816019948911328</v>
      </c>
      <c r="K164" s="194" t="str">
        <f t="shared" si="2"/>
        <v/>
      </c>
    </row>
    <row r="165" spans="1:11" x14ac:dyDescent="0.35">
      <c r="A165" s="96" t="s">
        <v>173</v>
      </c>
      <c r="B165" s="223" t="s">
        <v>172</v>
      </c>
      <c r="C165" s="312">
        <v>160200</v>
      </c>
      <c r="D165" s="313">
        <v>99900</v>
      </c>
      <c r="E165" s="314">
        <v>60300</v>
      </c>
      <c r="F165" s="316">
        <v>0.6235955056179775</v>
      </c>
      <c r="G165" s="242">
        <v>161294</v>
      </c>
      <c r="H165" s="250">
        <v>101254</v>
      </c>
      <c r="I165" s="250">
        <v>60040</v>
      </c>
      <c r="J165" s="219">
        <v>0.62776048706089504</v>
      </c>
      <c r="K165" s="194" t="str">
        <f t="shared" si="2"/>
        <v/>
      </c>
    </row>
    <row r="166" spans="1:11" x14ac:dyDescent="0.35">
      <c r="A166" s="96" t="s">
        <v>175</v>
      </c>
      <c r="B166" s="223" t="s">
        <v>174</v>
      </c>
      <c r="C166" s="312">
        <v>178690</v>
      </c>
      <c r="D166" s="313">
        <v>134480</v>
      </c>
      <c r="E166" s="314">
        <v>44210</v>
      </c>
      <c r="F166" s="316">
        <v>0.75258828138116296</v>
      </c>
      <c r="G166" s="242">
        <v>179898</v>
      </c>
      <c r="H166" s="250">
        <v>135815</v>
      </c>
      <c r="I166" s="250">
        <v>44083</v>
      </c>
      <c r="J166" s="219">
        <v>0.7549555859431456</v>
      </c>
      <c r="K166" s="194" t="str">
        <f t="shared" si="2"/>
        <v/>
      </c>
    </row>
    <row r="167" spans="1:11" x14ac:dyDescent="0.35">
      <c r="A167" s="96" t="s">
        <v>177</v>
      </c>
      <c r="B167" s="223" t="s">
        <v>176</v>
      </c>
      <c r="C167" s="312">
        <v>111365</v>
      </c>
      <c r="D167" s="313">
        <v>79825</v>
      </c>
      <c r="E167" s="314">
        <v>31540</v>
      </c>
      <c r="F167" s="316">
        <v>0.71678714138194222</v>
      </c>
      <c r="G167" s="242">
        <v>174492</v>
      </c>
      <c r="H167" s="250">
        <v>140577</v>
      </c>
      <c r="I167" s="250">
        <v>33915</v>
      </c>
      <c r="J167" s="219">
        <v>0.805635788460216</v>
      </c>
      <c r="K167" s="194" t="str">
        <f t="shared" si="2"/>
        <v/>
      </c>
    </row>
    <row r="168" spans="1:11" x14ac:dyDescent="0.35">
      <c r="A168" s="96" t="s">
        <v>179</v>
      </c>
      <c r="B168" s="223" t="s">
        <v>178</v>
      </c>
      <c r="C168" s="312">
        <v>132325</v>
      </c>
      <c r="D168" s="313">
        <v>82920</v>
      </c>
      <c r="E168" s="314">
        <v>49405</v>
      </c>
      <c r="F168" s="316">
        <v>0.6266389571131683</v>
      </c>
      <c r="G168" s="242">
        <v>132051</v>
      </c>
      <c r="H168" s="250">
        <v>83800</v>
      </c>
      <c r="I168" s="250">
        <v>48251</v>
      </c>
      <c r="J168" s="219">
        <v>0.63460329721092612</v>
      </c>
      <c r="K168" s="194" t="str">
        <f t="shared" si="2"/>
        <v/>
      </c>
    </row>
    <row r="169" spans="1:11" x14ac:dyDescent="0.35">
      <c r="A169" s="96" t="s">
        <v>428</v>
      </c>
      <c r="B169" s="223" t="s">
        <v>429</v>
      </c>
      <c r="C169" s="312">
        <v>119590</v>
      </c>
      <c r="D169" s="313">
        <v>76310</v>
      </c>
      <c r="E169" s="314">
        <v>43280</v>
      </c>
      <c r="F169" s="316">
        <v>0.63809683083869884</v>
      </c>
      <c r="G169" s="242">
        <v>225761</v>
      </c>
      <c r="H169" s="250">
        <v>180358</v>
      </c>
      <c r="I169" s="250">
        <v>45403</v>
      </c>
      <c r="J169" s="219">
        <v>0.79888909067553737</v>
      </c>
      <c r="K169" s="194" t="str">
        <f t="shared" si="2"/>
        <v/>
      </c>
    </row>
    <row r="170" spans="1:11" x14ac:dyDescent="0.35">
      <c r="A170" s="96" t="s">
        <v>181</v>
      </c>
      <c r="B170" s="223" t="s">
        <v>180</v>
      </c>
      <c r="C170" s="312">
        <v>169755</v>
      </c>
      <c r="D170" s="313">
        <v>120215</v>
      </c>
      <c r="E170" s="314">
        <v>49540</v>
      </c>
      <c r="F170" s="316">
        <v>0.7081676533828164</v>
      </c>
      <c r="G170" s="242">
        <v>167566</v>
      </c>
      <c r="H170" s="250">
        <v>117067</v>
      </c>
      <c r="I170" s="250">
        <v>50499</v>
      </c>
      <c r="J170" s="219">
        <v>0.69863218075265865</v>
      </c>
      <c r="K170" s="194" t="str">
        <f t="shared" si="2"/>
        <v/>
      </c>
    </row>
    <row r="171" spans="1:11" x14ac:dyDescent="0.35">
      <c r="A171" s="96" t="s">
        <v>430</v>
      </c>
      <c r="B171" s="223" t="s">
        <v>431</v>
      </c>
      <c r="C171" s="312">
        <v>52240</v>
      </c>
      <c r="D171" s="313">
        <v>49680</v>
      </c>
      <c r="E171" s="314">
        <v>2560</v>
      </c>
      <c r="F171" s="316">
        <v>0.95099540581929554</v>
      </c>
      <c r="G171" s="242">
        <v>45765</v>
      </c>
      <c r="H171" s="250">
        <v>41255</v>
      </c>
      <c r="I171" s="250">
        <v>4510</v>
      </c>
      <c r="J171" s="219">
        <v>0.90145307549437348</v>
      </c>
      <c r="K171" s="194" t="str">
        <f t="shared" si="2"/>
        <v/>
      </c>
    </row>
    <row r="172" spans="1:11" x14ac:dyDescent="0.35">
      <c r="A172" s="96" t="s">
        <v>183</v>
      </c>
      <c r="B172" s="223" t="s">
        <v>182</v>
      </c>
      <c r="C172" s="312">
        <v>56700</v>
      </c>
      <c r="D172" s="313">
        <v>32515</v>
      </c>
      <c r="E172" s="314">
        <v>24185</v>
      </c>
      <c r="F172" s="316">
        <v>0.57345679012345674</v>
      </c>
      <c r="G172" s="242">
        <v>82658</v>
      </c>
      <c r="H172" s="250">
        <v>58471</v>
      </c>
      <c r="I172" s="250">
        <v>24187</v>
      </c>
      <c r="J172" s="219">
        <v>0.70738464516441235</v>
      </c>
      <c r="K172" s="194" t="str">
        <f t="shared" si="2"/>
        <v/>
      </c>
    </row>
    <row r="173" spans="1:11" x14ac:dyDescent="0.35">
      <c r="A173" s="96" t="s">
        <v>185</v>
      </c>
      <c r="B173" s="223" t="s">
        <v>184</v>
      </c>
      <c r="C173" s="312">
        <v>209840</v>
      </c>
      <c r="D173" s="313">
        <v>150115</v>
      </c>
      <c r="E173" s="314">
        <v>59725</v>
      </c>
      <c r="F173" s="316">
        <v>0.7153783835303088</v>
      </c>
      <c r="G173" s="242">
        <v>207684</v>
      </c>
      <c r="H173" s="250">
        <v>149298</v>
      </c>
      <c r="I173" s="250">
        <v>58386</v>
      </c>
      <c r="J173" s="219">
        <v>0.71887097706130465</v>
      </c>
      <c r="K173" s="194" t="str">
        <f t="shared" si="2"/>
        <v/>
      </c>
    </row>
    <row r="174" spans="1:11" x14ac:dyDescent="0.35">
      <c r="A174" s="96" t="s">
        <v>432</v>
      </c>
      <c r="B174" s="223" t="s">
        <v>433</v>
      </c>
      <c r="C174" s="312">
        <v>67225</v>
      </c>
      <c r="D174" s="313">
        <v>65855</v>
      </c>
      <c r="E174" s="314">
        <v>1370</v>
      </c>
      <c r="F174" s="316">
        <v>0.97962067683153586</v>
      </c>
      <c r="G174" s="242">
        <v>68117</v>
      </c>
      <c r="H174" s="250">
        <v>66738</v>
      </c>
      <c r="I174" s="250">
        <v>1379</v>
      </c>
      <c r="J174" s="219">
        <v>0.97975542082005962</v>
      </c>
      <c r="K174" s="194" t="str">
        <f t="shared" si="2"/>
        <v/>
      </c>
    </row>
    <row r="175" spans="1:11" x14ac:dyDescent="0.35">
      <c r="A175" s="96" t="s">
        <v>187</v>
      </c>
      <c r="B175" s="223" t="s">
        <v>186</v>
      </c>
      <c r="C175" s="312">
        <v>152780</v>
      </c>
      <c r="D175" s="313">
        <v>111235</v>
      </c>
      <c r="E175" s="314">
        <v>41545</v>
      </c>
      <c r="F175" s="316">
        <v>0.72807304621023694</v>
      </c>
      <c r="G175" s="242">
        <v>201647</v>
      </c>
      <c r="H175" s="250">
        <v>157284</v>
      </c>
      <c r="I175" s="250">
        <v>44363</v>
      </c>
      <c r="J175" s="219">
        <v>0.77999672695353761</v>
      </c>
      <c r="K175" s="194" t="str">
        <f t="shared" si="2"/>
        <v/>
      </c>
    </row>
    <row r="176" spans="1:11" x14ac:dyDescent="0.35">
      <c r="A176" s="96" t="s">
        <v>434</v>
      </c>
      <c r="B176" s="224" t="s">
        <v>435</v>
      </c>
      <c r="C176" s="312">
        <v>5550</v>
      </c>
      <c r="D176" s="313">
        <v>5495</v>
      </c>
      <c r="E176" s="314">
        <v>55</v>
      </c>
      <c r="F176" s="316">
        <v>0.99009009009009008</v>
      </c>
      <c r="G176" s="242">
        <v>17195</v>
      </c>
      <c r="H176" s="250">
        <v>17069</v>
      </c>
      <c r="I176" s="250">
        <v>126</v>
      </c>
      <c r="J176" s="219">
        <v>0.99267228845594646</v>
      </c>
      <c r="K176" s="194" t="str">
        <f t="shared" si="2"/>
        <v/>
      </c>
    </row>
    <row r="177" spans="1:11" x14ac:dyDescent="0.35">
      <c r="A177" s="96" t="s">
        <v>189</v>
      </c>
      <c r="B177" s="225" t="s">
        <v>188</v>
      </c>
      <c r="C177" s="312">
        <v>61345</v>
      </c>
      <c r="D177" s="313">
        <v>49220</v>
      </c>
      <c r="E177" s="314">
        <v>12125</v>
      </c>
      <c r="F177" s="316">
        <v>0.8023473795745375</v>
      </c>
      <c r="G177" s="242">
        <v>61982</v>
      </c>
      <c r="H177" s="250">
        <v>49373</v>
      </c>
      <c r="I177" s="250">
        <v>12609</v>
      </c>
      <c r="J177" s="219">
        <v>0.7965699719273337</v>
      </c>
      <c r="K177" s="194" t="str">
        <f t="shared" si="2"/>
        <v/>
      </c>
    </row>
    <row r="178" spans="1:11" x14ac:dyDescent="0.35">
      <c r="A178" s="96" t="s">
        <v>436</v>
      </c>
      <c r="B178" s="223" t="s">
        <v>437</v>
      </c>
      <c r="C178" s="312">
        <v>313095</v>
      </c>
      <c r="D178" s="313">
        <v>244575</v>
      </c>
      <c r="E178" s="314">
        <v>68520</v>
      </c>
      <c r="F178" s="316">
        <v>0.78115268528721316</v>
      </c>
      <c r="G178" s="242">
        <v>313951</v>
      </c>
      <c r="H178" s="250">
        <v>244902</v>
      </c>
      <c r="I178" s="250">
        <v>69049</v>
      </c>
      <c r="J178" s="219">
        <v>0.78006440495491336</v>
      </c>
      <c r="K178" s="194" t="str">
        <f t="shared" si="2"/>
        <v/>
      </c>
    </row>
    <row r="179" spans="1:11" x14ac:dyDescent="0.35">
      <c r="A179" s="96" t="s">
        <v>191</v>
      </c>
      <c r="B179" s="223" t="s">
        <v>190</v>
      </c>
      <c r="C179" s="312">
        <v>119645</v>
      </c>
      <c r="D179" s="313">
        <v>69550</v>
      </c>
      <c r="E179" s="314">
        <v>50095</v>
      </c>
      <c r="F179" s="316">
        <v>0.58130302143842205</v>
      </c>
      <c r="G179" s="242">
        <v>127611</v>
      </c>
      <c r="H179" s="250">
        <v>78239</v>
      </c>
      <c r="I179" s="250">
        <v>49372</v>
      </c>
      <c r="J179" s="219">
        <v>0.61310545329164412</v>
      </c>
      <c r="K179" s="194" t="str">
        <f t="shared" si="2"/>
        <v/>
      </c>
    </row>
    <row r="180" spans="1:11" x14ac:dyDescent="0.35">
      <c r="A180" s="96" t="s">
        <v>193</v>
      </c>
      <c r="B180" s="223" t="s">
        <v>192</v>
      </c>
      <c r="C180" s="312">
        <v>131240</v>
      </c>
      <c r="D180" s="313">
        <v>65920</v>
      </c>
      <c r="E180" s="314">
        <v>65320</v>
      </c>
      <c r="F180" s="316">
        <v>0.50228588844864375</v>
      </c>
      <c r="G180" s="242">
        <v>131757</v>
      </c>
      <c r="H180" s="250">
        <v>107077</v>
      </c>
      <c r="I180" s="250">
        <v>24680</v>
      </c>
      <c r="J180" s="219">
        <v>0.81268547401656077</v>
      </c>
      <c r="K180" s="194" t="str">
        <f t="shared" si="2"/>
        <v/>
      </c>
    </row>
    <row r="181" spans="1:11" x14ac:dyDescent="0.35">
      <c r="A181" s="96" t="s">
        <v>195</v>
      </c>
      <c r="B181" s="223" t="s">
        <v>194</v>
      </c>
      <c r="C181" s="312">
        <v>113275</v>
      </c>
      <c r="D181" s="313">
        <v>81205</v>
      </c>
      <c r="E181" s="314">
        <v>32070</v>
      </c>
      <c r="F181" s="316">
        <v>0.71688369013462816</v>
      </c>
      <c r="G181" s="242">
        <v>113294</v>
      </c>
      <c r="H181" s="250">
        <v>81201</v>
      </c>
      <c r="I181" s="250">
        <v>32093</v>
      </c>
      <c r="J181" s="219">
        <v>0.71672815859621863</v>
      </c>
      <c r="K181" s="194" t="str">
        <f t="shared" si="2"/>
        <v/>
      </c>
    </row>
    <row r="182" spans="1:11" x14ac:dyDescent="0.35">
      <c r="A182" s="96" t="s">
        <v>197</v>
      </c>
      <c r="B182" s="223" t="s">
        <v>196</v>
      </c>
      <c r="C182" s="312">
        <v>233075</v>
      </c>
      <c r="D182" s="313">
        <v>146120</v>
      </c>
      <c r="E182" s="314">
        <v>86955</v>
      </c>
      <c r="F182" s="316">
        <v>0.62692266437841893</v>
      </c>
      <c r="G182" s="242">
        <v>358837</v>
      </c>
      <c r="H182" s="250">
        <v>270789</v>
      </c>
      <c r="I182" s="250">
        <v>88048</v>
      </c>
      <c r="J182" s="219">
        <v>0.75462953931729448</v>
      </c>
      <c r="K182" s="194" t="str">
        <f t="shared" si="2"/>
        <v/>
      </c>
    </row>
    <row r="183" spans="1:11" x14ac:dyDescent="0.35">
      <c r="A183" s="96" t="s">
        <v>199</v>
      </c>
      <c r="B183" s="223" t="s">
        <v>198</v>
      </c>
      <c r="C183" s="312">
        <v>147825</v>
      </c>
      <c r="D183" s="313">
        <v>104205</v>
      </c>
      <c r="E183" s="314">
        <v>43625</v>
      </c>
      <c r="F183" s="316">
        <v>0.70492135971588021</v>
      </c>
      <c r="G183" s="242">
        <v>148512</v>
      </c>
      <c r="H183" s="250">
        <v>104858</v>
      </c>
      <c r="I183" s="250">
        <v>43654</v>
      </c>
      <c r="J183" s="219">
        <v>0.70605742296918772</v>
      </c>
      <c r="K183" s="194" t="str">
        <f t="shared" si="2"/>
        <v/>
      </c>
    </row>
    <row r="184" spans="1:11" x14ac:dyDescent="0.35">
      <c r="A184" s="96" t="s">
        <v>201</v>
      </c>
      <c r="B184" s="223" t="s">
        <v>200</v>
      </c>
      <c r="C184" s="312">
        <v>426785</v>
      </c>
      <c r="D184" s="313">
        <v>259780</v>
      </c>
      <c r="E184" s="314">
        <v>167005</v>
      </c>
      <c r="F184" s="316">
        <v>0.60869055847792208</v>
      </c>
      <c r="G184" s="242">
        <v>431316</v>
      </c>
      <c r="H184" s="250">
        <v>264113</v>
      </c>
      <c r="I184" s="250">
        <v>167203</v>
      </c>
      <c r="J184" s="219">
        <v>0.61234222704467256</v>
      </c>
      <c r="K184" s="194" t="str">
        <f t="shared" si="2"/>
        <v/>
      </c>
    </row>
    <row r="185" spans="1:11" x14ac:dyDescent="0.35">
      <c r="A185" s="96" t="s">
        <v>203</v>
      </c>
      <c r="B185" s="223" t="s">
        <v>202</v>
      </c>
      <c r="C185" s="312">
        <v>158490</v>
      </c>
      <c r="D185" s="313">
        <v>113135</v>
      </c>
      <c r="E185" s="314">
        <v>45360</v>
      </c>
      <c r="F185" s="316">
        <v>0.71383052558521043</v>
      </c>
      <c r="G185" s="242">
        <v>159163</v>
      </c>
      <c r="H185" s="250">
        <v>114052</v>
      </c>
      <c r="I185" s="250">
        <v>45111</v>
      </c>
      <c r="J185" s="219">
        <v>0.71657357551692291</v>
      </c>
      <c r="K185" s="194" t="str">
        <f t="shared" si="2"/>
        <v/>
      </c>
    </row>
    <row r="186" spans="1:11" x14ac:dyDescent="0.35">
      <c r="A186" s="96" t="s">
        <v>205</v>
      </c>
      <c r="B186" s="223" t="s">
        <v>204</v>
      </c>
      <c r="C186" s="312">
        <v>237905</v>
      </c>
      <c r="D186" s="313">
        <v>177435</v>
      </c>
      <c r="E186" s="314">
        <v>60470</v>
      </c>
      <c r="F186" s="316">
        <v>0.74582291250709321</v>
      </c>
      <c r="G186" s="242">
        <v>237947</v>
      </c>
      <c r="H186" s="250">
        <v>178240</v>
      </c>
      <c r="I186" s="250">
        <v>59707</v>
      </c>
      <c r="J186" s="219">
        <v>0.7490743737050688</v>
      </c>
      <c r="K186" s="194" t="str">
        <f t="shared" si="2"/>
        <v/>
      </c>
    </row>
    <row r="187" spans="1:11" x14ac:dyDescent="0.35">
      <c r="A187" s="96" t="s">
        <v>207</v>
      </c>
      <c r="B187" s="223" t="s">
        <v>206</v>
      </c>
      <c r="C187" s="312">
        <v>155385</v>
      </c>
      <c r="D187" s="313">
        <v>94510</v>
      </c>
      <c r="E187" s="314">
        <v>60875</v>
      </c>
      <c r="F187" s="316">
        <v>0.60823116774463426</v>
      </c>
      <c r="G187" s="242">
        <v>155224</v>
      </c>
      <c r="H187" s="250">
        <v>94585</v>
      </c>
      <c r="I187" s="250">
        <v>60639</v>
      </c>
      <c r="J187" s="219">
        <v>0.60934520434984285</v>
      </c>
      <c r="K187" s="194" t="str">
        <f t="shared" si="2"/>
        <v/>
      </c>
    </row>
    <row r="188" spans="1:11" x14ac:dyDescent="0.35">
      <c r="A188" s="96" t="s">
        <v>209</v>
      </c>
      <c r="B188" s="223" t="s">
        <v>208</v>
      </c>
      <c r="C188" s="312">
        <v>263555</v>
      </c>
      <c r="D188" s="313">
        <v>230960</v>
      </c>
      <c r="E188" s="314">
        <v>32595</v>
      </c>
      <c r="F188" s="316">
        <v>0.87632562463242969</v>
      </c>
      <c r="G188" s="242">
        <v>263067</v>
      </c>
      <c r="H188" s="250">
        <v>230522</v>
      </c>
      <c r="I188" s="250">
        <v>32545</v>
      </c>
      <c r="J188" s="219">
        <v>0.87628626927740838</v>
      </c>
      <c r="K188" s="194" t="str">
        <f t="shared" si="2"/>
        <v/>
      </c>
    </row>
    <row r="189" spans="1:11" x14ac:dyDescent="0.35">
      <c r="A189" s="96" t="s">
        <v>211</v>
      </c>
      <c r="B189" s="223" t="s">
        <v>210</v>
      </c>
      <c r="C189" s="312">
        <v>309075</v>
      </c>
      <c r="D189" s="313">
        <v>198680</v>
      </c>
      <c r="E189" s="314">
        <v>110395</v>
      </c>
      <c r="F189" s="316">
        <v>0.64282132168567496</v>
      </c>
      <c r="G189" s="242">
        <v>368483</v>
      </c>
      <c r="H189" s="250">
        <v>257568</v>
      </c>
      <c r="I189" s="250">
        <v>110915</v>
      </c>
      <c r="J189" s="219">
        <v>0.69899561173785496</v>
      </c>
      <c r="K189" s="194" t="str">
        <f t="shared" si="2"/>
        <v/>
      </c>
    </row>
    <row r="190" spans="1:11" x14ac:dyDescent="0.35">
      <c r="A190" s="96" t="s">
        <v>213</v>
      </c>
      <c r="B190" s="223" t="s">
        <v>212</v>
      </c>
      <c r="C190" s="312">
        <v>169900</v>
      </c>
      <c r="D190" s="313">
        <v>110660</v>
      </c>
      <c r="E190" s="314">
        <v>59240</v>
      </c>
      <c r="F190" s="316">
        <v>0.65132430841671574</v>
      </c>
      <c r="G190" s="242">
        <v>213066</v>
      </c>
      <c r="H190" s="250">
        <v>153851</v>
      </c>
      <c r="I190" s="250">
        <v>59215</v>
      </c>
      <c r="J190" s="219">
        <v>0.72208142078041548</v>
      </c>
      <c r="K190" s="194" t="str">
        <f t="shared" si="2"/>
        <v/>
      </c>
    </row>
    <row r="191" spans="1:11" x14ac:dyDescent="0.35">
      <c r="A191" s="96" t="s">
        <v>215</v>
      </c>
      <c r="B191" s="223" t="s">
        <v>214</v>
      </c>
      <c r="C191" s="312">
        <v>119425</v>
      </c>
      <c r="D191" s="313">
        <v>79580</v>
      </c>
      <c r="E191" s="314">
        <v>39845</v>
      </c>
      <c r="F191" s="316">
        <v>0.66635963994138581</v>
      </c>
      <c r="G191" s="242">
        <v>120886</v>
      </c>
      <c r="H191" s="250">
        <v>80672</v>
      </c>
      <c r="I191" s="250">
        <v>40214</v>
      </c>
      <c r="J191" s="219">
        <v>0.6673394768624985</v>
      </c>
      <c r="K191" s="194" t="str">
        <f t="shared" si="2"/>
        <v/>
      </c>
    </row>
    <row r="192" spans="1:11" x14ac:dyDescent="0.35">
      <c r="A192" s="96" t="s">
        <v>217</v>
      </c>
      <c r="B192" s="223" t="s">
        <v>216</v>
      </c>
      <c r="C192" s="312">
        <v>124880</v>
      </c>
      <c r="D192" s="313">
        <v>82075</v>
      </c>
      <c r="E192" s="314">
        <v>42805</v>
      </c>
      <c r="F192" s="316">
        <v>0.65723094170403584</v>
      </c>
      <c r="G192" s="242">
        <v>124839</v>
      </c>
      <c r="H192" s="250">
        <v>82032</v>
      </c>
      <c r="I192" s="250">
        <v>42807</v>
      </c>
      <c r="J192" s="219">
        <v>0.65710234782399735</v>
      </c>
      <c r="K192" s="194" t="str">
        <f t="shared" si="2"/>
        <v/>
      </c>
    </row>
    <row r="193" spans="1:11" x14ac:dyDescent="0.35">
      <c r="A193" s="96" t="s">
        <v>438</v>
      </c>
      <c r="B193" s="223" t="s">
        <v>439</v>
      </c>
      <c r="C193" s="312">
        <v>88550</v>
      </c>
      <c r="D193" s="313">
        <v>87995</v>
      </c>
      <c r="E193" s="314">
        <v>560</v>
      </c>
      <c r="F193" s="316">
        <v>0.99373235460191978</v>
      </c>
      <c r="G193" s="242">
        <v>88918</v>
      </c>
      <c r="H193" s="250">
        <v>88341</v>
      </c>
      <c r="I193" s="250">
        <v>577</v>
      </c>
      <c r="J193" s="219">
        <v>0.99351087518837577</v>
      </c>
      <c r="K193" s="194" t="str">
        <f t="shared" si="2"/>
        <v/>
      </c>
    </row>
    <row r="194" spans="1:11" x14ac:dyDescent="0.35">
      <c r="A194" s="96" t="s">
        <v>219</v>
      </c>
      <c r="B194" s="223" t="s">
        <v>218</v>
      </c>
      <c r="C194" s="312">
        <v>216515</v>
      </c>
      <c r="D194" s="313">
        <v>162700</v>
      </c>
      <c r="E194" s="314">
        <v>53815</v>
      </c>
      <c r="F194" s="316">
        <v>0.75144909128697779</v>
      </c>
      <c r="G194" s="242">
        <v>216524</v>
      </c>
      <c r="H194" s="250">
        <v>162512</v>
      </c>
      <c r="I194" s="250">
        <v>54012</v>
      </c>
      <c r="J194" s="219">
        <v>0.75054959265485577</v>
      </c>
      <c r="K194" s="194" t="str">
        <f t="shared" si="2"/>
        <v/>
      </c>
    </row>
    <row r="195" spans="1:11" x14ac:dyDescent="0.35">
      <c r="A195" s="96" t="s">
        <v>221</v>
      </c>
      <c r="B195" s="223" t="s">
        <v>220</v>
      </c>
      <c r="C195" s="312">
        <v>139420</v>
      </c>
      <c r="D195" s="313">
        <v>103060</v>
      </c>
      <c r="E195" s="314">
        <v>36360</v>
      </c>
      <c r="F195" s="316">
        <v>0.73920527901305411</v>
      </c>
      <c r="G195" s="242">
        <v>156856</v>
      </c>
      <c r="H195" s="250">
        <v>119516</v>
      </c>
      <c r="I195" s="250">
        <v>37340</v>
      </c>
      <c r="J195" s="219">
        <v>0.76194726373234045</v>
      </c>
      <c r="K195" s="194" t="str">
        <f t="shared" si="2"/>
        <v/>
      </c>
    </row>
    <row r="196" spans="1:11" x14ac:dyDescent="0.35">
      <c r="A196" s="96" t="s">
        <v>440</v>
      </c>
      <c r="B196" s="223" t="s">
        <v>441</v>
      </c>
      <c r="C196" s="312">
        <v>13520</v>
      </c>
      <c r="D196" s="313">
        <v>13410</v>
      </c>
      <c r="E196" s="314">
        <v>110</v>
      </c>
      <c r="F196" s="316">
        <v>0.99186390532544377</v>
      </c>
      <c r="G196" s="242">
        <v>13500</v>
      </c>
      <c r="H196" s="250">
        <v>13393</v>
      </c>
      <c r="I196" s="250">
        <v>107</v>
      </c>
      <c r="J196" s="219">
        <v>0.99207407407407411</v>
      </c>
      <c r="K196" s="194" t="str">
        <f t="shared" si="2"/>
        <v/>
      </c>
    </row>
    <row r="197" spans="1:11" x14ac:dyDescent="0.35">
      <c r="A197" s="96" t="s">
        <v>223</v>
      </c>
      <c r="B197" s="223" t="s">
        <v>222</v>
      </c>
      <c r="C197" s="312">
        <v>105835</v>
      </c>
      <c r="D197" s="313">
        <v>59975</v>
      </c>
      <c r="E197" s="314">
        <v>45860</v>
      </c>
      <c r="F197" s="316">
        <v>0.56668398922851604</v>
      </c>
      <c r="G197" s="242">
        <v>106784</v>
      </c>
      <c r="H197" s="250">
        <v>65019</v>
      </c>
      <c r="I197" s="250">
        <v>41765</v>
      </c>
      <c r="J197" s="219">
        <v>0.60888335331135746</v>
      </c>
      <c r="K197" s="194" t="str">
        <f t="shared" si="2"/>
        <v/>
      </c>
    </row>
    <row r="198" spans="1:11" x14ac:dyDescent="0.35">
      <c r="A198" s="96" t="s">
        <v>225</v>
      </c>
      <c r="B198" s="223" t="s">
        <v>224</v>
      </c>
      <c r="C198" s="312">
        <v>158385</v>
      </c>
      <c r="D198" s="313">
        <v>119060</v>
      </c>
      <c r="E198" s="314">
        <v>39325</v>
      </c>
      <c r="F198" s="316">
        <v>0.75171259904662691</v>
      </c>
      <c r="G198" s="242">
        <v>158400</v>
      </c>
      <c r="H198" s="250">
        <v>119005</v>
      </c>
      <c r="I198" s="250">
        <v>39395</v>
      </c>
      <c r="J198" s="219">
        <v>0.75129419191919189</v>
      </c>
      <c r="K198" s="194" t="str">
        <f t="shared" si="2"/>
        <v/>
      </c>
    </row>
    <row r="199" spans="1:11" x14ac:dyDescent="0.35">
      <c r="A199" s="96" t="s">
        <v>227</v>
      </c>
      <c r="B199" s="223" t="s">
        <v>226</v>
      </c>
      <c r="C199" s="312">
        <v>305815</v>
      </c>
      <c r="D199" s="313">
        <v>228965</v>
      </c>
      <c r="E199" s="314">
        <v>76855</v>
      </c>
      <c r="F199" s="316">
        <v>0.74870428200055594</v>
      </c>
      <c r="G199" s="242">
        <v>304320</v>
      </c>
      <c r="H199" s="250">
        <v>227666</v>
      </c>
      <c r="I199" s="250">
        <v>76654</v>
      </c>
      <c r="J199" s="219">
        <v>0.74811382754994737</v>
      </c>
      <c r="K199" s="194" t="str">
        <f t="shared" si="2"/>
        <v/>
      </c>
    </row>
    <row r="200" spans="1:11" x14ac:dyDescent="0.35">
      <c r="A200" s="96" t="s">
        <v>442</v>
      </c>
      <c r="B200" s="223" t="s">
        <v>443</v>
      </c>
      <c r="C200" s="312">
        <v>193555</v>
      </c>
      <c r="D200" s="313">
        <v>164945</v>
      </c>
      <c r="E200" s="314">
        <v>28610</v>
      </c>
      <c r="F200" s="316">
        <v>0.85218671695383741</v>
      </c>
      <c r="G200" s="250">
        <v>193693</v>
      </c>
      <c r="H200" s="250">
        <v>165674</v>
      </c>
      <c r="I200" s="250">
        <v>28019</v>
      </c>
      <c r="J200" s="219">
        <v>0.85534324936884654</v>
      </c>
      <c r="K200" s="194" t="str">
        <f t="shared" si="2"/>
        <v/>
      </c>
    </row>
    <row r="201" spans="1:11" x14ac:dyDescent="0.35">
      <c r="A201" s="96" t="s">
        <v>444</v>
      </c>
      <c r="B201" s="223" t="s">
        <v>445</v>
      </c>
      <c r="C201" s="312">
        <v>35765</v>
      </c>
      <c r="D201" s="313">
        <v>33805</v>
      </c>
      <c r="E201" s="314">
        <v>1960</v>
      </c>
      <c r="F201" s="316">
        <v>0.94519781909688239</v>
      </c>
      <c r="G201" s="242">
        <v>34904</v>
      </c>
      <c r="H201" s="250">
        <v>34324</v>
      </c>
      <c r="I201" s="250">
        <v>580</v>
      </c>
      <c r="J201" s="219">
        <v>0.98338299335319734</v>
      </c>
      <c r="K201" s="194" t="str">
        <f t="shared" si="2"/>
        <v/>
      </c>
    </row>
    <row r="202" spans="1:11" x14ac:dyDescent="0.35">
      <c r="A202" s="96" t="s">
        <v>446</v>
      </c>
      <c r="B202" s="223" t="s">
        <v>447</v>
      </c>
      <c r="C202" s="312">
        <v>154620</v>
      </c>
      <c r="D202" s="313">
        <v>151450</v>
      </c>
      <c r="E202" s="314">
        <v>3170</v>
      </c>
      <c r="F202" s="316">
        <v>0.97949812443409645</v>
      </c>
      <c r="G202" s="242">
        <v>150931</v>
      </c>
      <c r="H202" s="250">
        <v>146891</v>
      </c>
      <c r="I202" s="250">
        <v>4040</v>
      </c>
      <c r="J202" s="219">
        <v>0.97323280174384319</v>
      </c>
      <c r="K202" s="194" t="str">
        <f t="shared" si="2"/>
        <v/>
      </c>
    </row>
    <row r="203" spans="1:11" x14ac:dyDescent="0.35">
      <c r="A203" s="96" t="s">
        <v>229</v>
      </c>
      <c r="B203" s="223" t="s">
        <v>228</v>
      </c>
      <c r="C203" s="312">
        <v>127785</v>
      </c>
      <c r="D203" s="313">
        <v>65150</v>
      </c>
      <c r="E203" s="314">
        <v>62635</v>
      </c>
      <c r="F203" s="316">
        <v>0.50984074813162739</v>
      </c>
      <c r="G203" s="242">
        <v>165852</v>
      </c>
      <c r="H203" s="250">
        <v>98992</v>
      </c>
      <c r="I203" s="250">
        <v>66860</v>
      </c>
      <c r="J203" s="219">
        <v>0.59686949810674572</v>
      </c>
      <c r="K203" s="194" t="str">
        <f t="shared" si="2"/>
        <v/>
      </c>
    </row>
    <row r="204" spans="1:11" x14ac:dyDescent="0.35">
      <c r="A204" s="96" t="s">
        <v>631</v>
      </c>
      <c r="B204" s="223" t="s">
        <v>230</v>
      </c>
      <c r="C204" s="312">
        <v>166355</v>
      </c>
      <c r="D204" s="313">
        <v>84855</v>
      </c>
      <c r="E204" s="314">
        <v>81500</v>
      </c>
      <c r="F204" s="316">
        <v>0.51008385681223889</v>
      </c>
      <c r="G204" s="242">
        <v>239489</v>
      </c>
      <c r="H204" s="250">
        <v>150715</v>
      </c>
      <c r="I204" s="250">
        <v>88774</v>
      </c>
      <c r="J204" s="219">
        <v>0.6293190918998367</v>
      </c>
      <c r="K204" s="194" t="str">
        <f t="shared" si="2"/>
        <v/>
      </c>
    </row>
    <row r="205" spans="1:11" x14ac:dyDescent="0.35">
      <c r="A205" s="96" t="s">
        <v>233</v>
      </c>
      <c r="B205" s="223" t="s">
        <v>232</v>
      </c>
      <c r="C205" s="312">
        <v>283110</v>
      </c>
      <c r="D205" s="313">
        <v>170355</v>
      </c>
      <c r="E205" s="314">
        <v>112755</v>
      </c>
      <c r="F205" s="316">
        <v>0.60172724382748755</v>
      </c>
      <c r="G205" s="242">
        <v>283822</v>
      </c>
      <c r="H205" s="250">
        <v>170772</v>
      </c>
      <c r="I205" s="250">
        <v>113050</v>
      </c>
      <c r="J205" s="219">
        <v>0.60168697282099348</v>
      </c>
      <c r="K205" s="194" t="str">
        <f t="shared" si="2"/>
        <v/>
      </c>
    </row>
    <row r="206" spans="1:11" x14ac:dyDescent="0.35">
      <c r="A206" s="96" t="s">
        <v>235</v>
      </c>
      <c r="B206" s="223" t="s">
        <v>234</v>
      </c>
      <c r="C206" s="312">
        <v>243095</v>
      </c>
      <c r="D206" s="313">
        <v>201200</v>
      </c>
      <c r="E206" s="314">
        <v>41895</v>
      </c>
      <c r="F206" s="316">
        <v>0.82765996832514033</v>
      </c>
      <c r="G206" s="242">
        <v>253150</v>
      </c>
      <c r="H206" s="250">
        <v>210118</v>
      </c>
      <c r="I206" s="250">
        <v>43032</v>
      </c>
      <c r="J206" s="219">
        <v>0.83001382579498317</v>
      </c>
      <c r="K206" s="194" t="str">
        <f t="shared" si="2"/>
        <v/>
      </c>
    </row>
    <row r="207" spans="1:11" x14ac:dyDescent="0.35">
      <c r="A207" s="96" t="s">
        <v>237</v>
      </c>
      <c r="B207" s="223" t="s">
        <v>236</v>
      </c>
      <c r="C207" s="312">
        <v>196265</v>
      </c>
      <c r="D207" s="313">
        <v>153105</v>
      </c>
      <c r="E207" s="314">
        <v>43160</v>
      </c>
      <c r="F207" s="316">
        <v>0.78009324128092117</v>
      </c>
      <c r="G207" s="242">
        <v>198538</v>
      </c>
      <c r="H207" s="250">
        <v>159257</v>
      </c>
      <c r="I207" s="250">
        <v>39281</v>
      </c>
      <c r="J207" s="219">
        <v>0.8021487070485247</v>
      </c>
      <c r="K207" s="194" t="str">
        <f t="shared" si="2"/>
        <v/>
      </c>
    </row>
    <row r="208" spans="1:11" x14ac:dyDescent="0.35">
      <c r="A208" s="96" t="s">
        <v>239</v>
      </c>
      <c r="B208" s="223" t="s">
        <v>238</v>
      </c>
      <c r="C208" s="312">
        <v>197040</v>
      </c>
      <c r="D208" s="313">
        <v>137640</v>
      </c>
      <c r="E208" s="314">
        <v>59400</v>
      </c>
      <c r="F208" s="316">
        <v>0.69853836784409262</v>
      </c>
      <c r="G208" s="242">
        <v>196999</v>
      </c>
      <c r="H208" s="251">
        <v>137670</v>
      </c>
      <c r="I208" s="250">
        <v>59329</v>
      </c>
      <c r="J208" s="219">
        <v>0.69883603470068378</v>
      </c>
      <c r="K208" s="194" t="str">
        <f t="shared" si="2"/>
        <v/>
      </c>
    </row>
    <row r="209" spans="1:11" x14ac:dyDescent="0.35">
      <c r="A209" s="96" t="s">
        <v>241</v>
      </c>
      <c r="B209" s="223" t="s">
        <v>240</v>
      </c>
      <c r="C209" s="312">
        <v>110465</v>
      </c>
      <c r="D209" s="313">
        <v>69945</v>
      </c>
      <c r="E209" s="314">
        <v>40515</v>
      </c>
      <c r="F209" s="316">
        <v>0.63318698230208659</v>
      </c>
      <c r="G209" s="242">
        <v>111723</v>
      </c>
      <c r="H209" s="250">
        <v>71222</v>
      </c>
      <c r="I209" s="250">
        <v>40501</v>
      </c>
      <c r="J209" s="219">
        <v>0.63748735712431637</v>
      </c>
      <c r="K209" s="194" t="str">
        <f t="shared" si="2"/>
        <v/>
      </c>
    </row>
    <row r="210" spans="1:11" x14ac:dyDescent="0.35">
      <c r="A210" s="96" t="s">
        <v>243</v>
      </c>
      <c r="B210" s="223" t="s">
        <v>242</v>
      </c>
      <c r="C210" s="312">
        <v>224635</v>
      </c>
      <c r="D210" s="313">
        <v>143415</v>
      </c>
      <c r="E210" s="314">
        <v>81220</v>
      </c>
      <c r="F210" s="316">
        <v>0.6384356845549447</v>
      </c>
      <c r="G210" s="242">
        <v>224546</v>
      </c>
      <c r="H210" s="250">
        <v>143001</v>
      </c>
      <c r="I210" s="250">
        <v>81545</v>
      </c>
      <c r="J210" s="219">
        <v>0.63684501171252217</v>
      </c>
      <c r="K210" s="194" t="str">
        <f t="shared" si="2"/>
        <v/>
      </c>
    </row>
    <row r="211" spans="1:11" x14ac:dyDescent="0.35">
      <c r="A211" s="96" t="s">
        <v>245</v>
      </c>
      <c r="B211" s="223" t="s">
        <v>244</v>
      </c>
      <c r="C211" s="312">
        <v>122105</v>
      </c>
      <c r="D211" s="313">
        <v>77085</v>
      </c>
      <c r="E211" s="314">
        <v>45025</v>
      </c>
      <c r="F211" s="316">
        <v>0.63130092952786532</v>
      </c>
      <c r="G211" s="242">
        <v>122016</v>
      </c>
      <c r="H211" s="250">
        <v>78476</v>
      </c>
      <c r="I211" s="250">
        <v>43540</v>
      </c>
      <c r="J211" s="219">
        <v>0.64316155258326779</v>
      </c>
      <c r="K211" s="194" t="str">
        <f t="shared" si="2"/>
        <v/>
      </c>
    </row>
    <row r="212" spans="1:11" x14ac:dyDescent="0.35">
      <c r="A212" s="96" t="s">
        <v>450</v>
      </c>
      <c r="B212" s="223" t="s">
        <v>451</v>
      </c>
      <c r="C212" s="312">
        <v>16165</v>
      </c>
      <c r="D212" s="313">
        <v>15680</v>
      </c>
      <c r="E212" s="314">
        <v>490</v>
      </c>
      <c r="F212" s="316">
        <v>0.96999690689761831</v>
      </c>
      <c r="G212" s="242">
        <v>17007</v>
      </c>
      <c r="H212" s="250">
        <v>16845</v>
      </c>
      <c r="I212" s="250">
        <v>162</v>
      </c>
      <c r="J212" s="219">
        <v>0.99047451049567825</v>
      </c>
      <c r="K212" s="194" t="str">
        <f t="shared" ref="K212:K249" si="3">IF(C212=0,IF(G212=0,1,""),"")</f>
        <v/>
      </c>
    </row>
    <row r="213" spans="1:11" x14ac:dyDescent="0.35">
      <c r="A213" s="96" t="s">
        <v>247</v>
      </c>
      <c r="B213" s="223" t="s">
        <v>246</v>
      </c>
      <c r="C213" s="312">
        <v>181510</v>
      </c>
      <c r="D213" s="313">
        <v>125805</v>
      </c>
      <c r="E213" s="314">
        <v>55705</v>
      </c>
      <c r="F213" s="316">
        <v>0.69310230841275966</v>
      </c>
      <c r="G213" s="242">
        <v>184579</v>
      </c>
      <c r="H213" s="250">
        <v>127710</v>
      </c>
      <c r="I213" s="250">
        <v>56869</v>
      </c>
      <c r="J213" s="219">
        <v>0.69189886173400006</v>
      </c>
      <c r="K213" s="194" t="str">
        <f t="shared" si="3"/>
        <v/>
      </c>
    </row>
    <row r="214" spans="1:11" x14ac:dyDescent="0.35">
      <c r="A214" s="96" t="s">
        <v>452</v>
      </c>
      <c r="B214" s="223" t="s">
        <v>453</v>
      </c>
      <c r="C214" s="312">
        <v>216800</v>
      </c>
      <c r="D214" s="313">
        <v>119365</v>
      </c>
      <c r="E214" s="314">
        <v>97435</v>
      </c>
      <c r="F214" s="316">
        <v>0.55057656826568269</v>
      </c>
      <c r="G214" s="242">
        <v>214496</v>
      </c>
      <c r="H214" s="250">
        <v>118473</v>
      </c>
      <c r="I214" s="250">
        <v>96023</v>
      </c>
      <c r="J214" s="219">
        <v>0.55233197821870805</v>
      </c>
      <c r="K214" s="194" t="str">
        <f t="shared" si="3"/>
        <v/>
      </c>
    </row>
    <row r="215" spans="1:11" x14ac:dyDescent="0.35">
      <c r="A215" s="96" t="s">
        <v>249</v>
      </c>
      <c r="B215" s="223" t="s">
        <v>248</v>
      </c>
      <c r="C215" s="312">
        <v>169190</v>
      </c>
      <c r="D215" s="313">
        <v>125645</v>
      </c>
      <c r="E215" s="314">
        <v>43545</v>
      </c>
      <c r="F215" s="316">
        <v>0.74262663277971508</v>
      </c>
      <c r="G215" s="242">
        <v>169414</v>
      </c>
      <c r="H215" s="250">
        <v>125746</v>
      </c>
      <c r="I215" s="250">
        <v>43668</v>
      </c>
      <c r="J215" s="219">
        <v>0.74224090098811202</v>
      </c>
      <c r="K215" s="194" t="str">
        <f t="shared" si="3"/>
        <v/>
      </c>
    </row>
    <row r="216" spans="1:11" x14ac:dyDescent="0.35">
      <c r="A216" s="96" t="s">
        <v>529</v>
      </c>
      <c r="B216" s="223" t="s">
        <v>455</v>
      </c>
      <c r="C216" s="312">
        <v>270410</v>
      </c>
      <c r="D216" s="313">
        <v>184145</v>
      </c>
      <c r="E216" s="314">
        <v>86265</v>
      </c>
      <c r="F216" s="316">
        <v>0.68098443104914763</v>
      </c>
      <c r="G216" s="242">
        <v>272067</v>
      </c>
      <c r="H216" s="250">
        <v>186237</v>
      </c>
      <c r="I216" s="250">
        <v>85830</v>
      </c>
      <c r="J216" s="219">
        <v>0.68452623802225188</v>
      </c>
      <c r="K216" s="194" t="str">
        <f t="shared" si="3"/>
        <v/>
      </c>
    </row>
    <row r="217" spans="1:11" x14ac:dyDescent="0.35">
      <c r="A217" s="96" t="s">
        <v>251</v>
      </c>
      <c r="B217" s="223" t="s">
        <v>250</v>
      </c>
      <c r="C217" s="312">
        <v>284795</v>
      </c>
      <c r="D217" s="313">
        <v>185305</v>
      </c>
      <c r="E217" s="314">
        <v>99490</v>
      </c>
      <c r="F217" s="316">
        <v>0.65066100177320529</v>
      </c>
      <c r="G217" s="242">
        <v>282629</v>
      </c>
      <c r="H217" s="250">
        <v>202471</v>
      </c>
      <c r="I217" s="250">
        <v>80158</v>
      </c>
      <c r="J217" s="219">
        <v>0.7163843766917054</v>
      </c>
      <c r="K217" s="194" t="str">
        <f t="shared" si="3"/>
        <v/>
      </c>
    </row>
    <row r="218" spans="1:11" x14ac:dyDescent="0.35">
      <c r="A218" s="96" t="s">
        <v>253</v>
      </c>
      <c r="B218" s="223" t="s">
        <v>252</v>
      </c>
      <c r="C218" s="312">
        <v>80515</v>
      </c>
      <c r="D218" s="313">
        <v>31460</v>
      </c>
      <c r="E218" s="314">
        <v>49055</v>
      </c>
      <c r="F218" s="316">
        <v>0.39073464571818917</v>
      </c>
      <c r="G218" s="242">
        <v>233901</v>
      </c>
      <c r="H218" s="250">
        <v>183494</v>
      </c>
      <c r="I218" s="250">
        <v>50407</v>
      </c>
      <c r="J218" s="219">
        <v>0.78449429459472175</v>
      </c>
      <c r="K218" s="194" t="str">
        <f t="shared" si="3"/>
        <v/>
      </c>
    </row>
    <row r="219" spans="1:11" x14ac:dyDescent="0.35">
      <c r="A219" s="96" t="s">
        <v>255</v>
      </c>
      <c r="B219" s="223" t="s">
        <v>254</v>
      </c>
      <c r="C219" s="312">
        <v>178955</v>
      </c>
      <c r="D219" s="313">
        <v>120960</v>
      </c>
      <c r="E219" s="314">
        <v>57990</v>
      </c>
      <c r="F219" s="316">
        <v>0.67592411500097793</v>
      </c>
      <c r="G219" s="242">
        <v>187271</v>
      </c>
      <c r="H219" s="250">
        <v>130689</v>
      </c>
      <c r="I219" s="250">
        <v>56582</v>
      </c>
      <c r="J219" s="219">
        <v>0.69786032007091325</v>
      </c>
      <c r="K219" s="194" t="str">
        <f t="shared" si="3"/>
        <v/>
      </c>
    </row>
    <row r="220" spans="1:11" x14ac:dyDescent="0.35">
      <c r="A220" s="96" t="s">
        <v>257</v>
      </c>
      <c r="B220" s="223" t="s">
        <v>256</v>
      </c>
      <c r="C220" s="312">
        <v>170085</v>
      </c>
      <c r="D220" s="313">
        <v>104815</v>
      </c>
      <c r="E220" s="314">
        <v>65270</v>
      </c>
      <c r="F220" s="316">
        <v>0.61625069818032163</v>
      </c>
      <c r="G220" s="242">
        <v>290561</v>
      </c>
      <c r="H220" s="250">
        <v>225177</v>
      </c>
      <c r="I220" s="250">
        <v>65384</v>
      </c>
      <c r="J220" s="219">
        <v>0.77497324141918567</v>
      </c>
      <c r="K220" s="194" t="str">
        <f t="shared" si="3"/>
        <v/>
      </c>
    </row>
    <row r="221" spans="1:11" x14ac:dyDescent="0.35">
      <c r="A221" s="96" t="s">
        <v>259</v>
      </c>
      <c r="B221" s="223" t="s">
        <v>258</v>
      </c>
      <c r="C221" s="312">
        <v>169425</v>
      </c>
      <c r="D221" s="313">
        <v>119825</v>
      </c>
      <c r="E221" s="314">
        <v>49600</v>
      </c>
      <c r="F221" s="316">
        <v>0.70724509369927702</v>
      </c>
      <c r="G221" s="242">
        <v>180100</v>
      </c>
      <c r="H221" s="250">
        <v>132261</v>
      </c>
      <c r="I221" s="250">
        <v>47839</v>
      </c>
      <c r="J221" s="219">
        <v>0.73437534702942808</v>
      </c>
      <c r="K221" s="194" t="str">
        <f t="shared" si="3"/>
        <v/>
      </c>
    </row>
    <row r="222" spans="1:11" x14ac:dyDescent="0.35">
      <c r="A222" s="96" t="s">
        <v>261</v>
      </c>
      <c r="B222" s="223" t="s">
        <v>260</v>
      </c>
      <c r="C222" s="312">
        <v>274350</v>
      </c>
      <c r="D222" s="313">
        <v>214145</v>
      </c>
      <c r="E222" s="314">
        <v>60205</v>
      </c>
      <c r="F222" s="316">
        <v>0.78055403681428837</v>
      </c>
      <c r="G222" s="242">
        <v>279252</v>
      </c>
      <c r="H222" s="250">
        <v>218249</v>
      </c>
      <c r="I222" s="250">
        <v>61003</v>
      </c>
      <c r="J222" s="219">
        <v>0.78154856545342555</v>
      </c>
      <c r="K222" s="194" t="str">
        <f t="shared" si="3"/>
        <v/>
      </c>
    </row>
    <row r="223" spans="1:11" x14ac:dyDescent="0.35">
      <c r="A223" s="96" t="s">
        <v>263</v>
      </c>
      <c r="B223" s="223" t="s">
        <v>262</v>
      </c>
      <c r="C223" s="312">
        <v>153255</v>
      </c>
      <c r="D223" s="313">
        <v>71530</v>
      </c>
      <c r="E223" s="314">
        <v>81725</v>
      </c>
      <c r="F223" s="316">
        <v>0.46673844246517243</v>
      </c>
      <c r="G223" s="242">
        <v>153894</v>
      </c>
      <c r="H223" s="250">
        <v>79891</v>
      </c>
      <c r="I223" s="250">
        <v>74003</v>
      </c>
      <c r="J223" s="219">
        <v>0.51913005055427763</v>
      </c>
      <c r="K223" s="194" t="str">
        <f t="shared" si="3"/>
        <v/>
      </c>
    </row>
    <row r="224" spans="1:11" x14ac:dyDescent="0.35">
      <c r="A224" s="96" t="s">
        <v>457</v>
      </c>
      <c r="B224" s="209" t="s">
        <v>458</v>
      </c>
      <c r="C224" s="317">
        <v>39010</v>
      </c>
      <c r="D224" s="318">
        <v>38235</v>
      </c>
      <c r="E224" s="318">
        <v>775</v>
      </c>
      <c r="F224" s="319">
        <v>0.98013329915406311</v>
      </c>
      <c r="G224" s="242">
        <v>39122</v>
      </c>
      <c r="H224" s="250">
        <v>38245</v>
      </c>
      <c r="I224" s="250">
        <v>877</v>
      </c>
      <c r="J224" s="219">
        <v>0.97758294565717496</v>
      </c>
      <c r="K224" s="194" t="str">
        <f t="shared" si="3"/>
        <v/>
      </c>
    </row>
    <row r="225" spans="1:11" x14ac:dyDescent="0.35">
      <c r="A225" s="96" t="s">
        <v>459</v>
      </c>
      <c r="B225" s="209" t="s">
        <v>460</v>
      </c>
      <c r="C225" s="317">
        <v>0</v>
      </c>
      <c r="D225" s="318">
        <v>0</v>
      </c>
      <c r="E225" s="318">
        <v>0</v>
      </c>
      <c r="F225" s="319">
        <v>0</v>
      </c>
      <c r="G225" s="242">
        <v>12847</v>
      </c>
      <c r="H225" s="250">
        <v>12445</v>
      </c>
      <c r="I225" s="250">
        <v>402</v>
      </c>
      <c r="J225" s="219">
        <v>0.96870864793336964</v>
      </c>
      <c r="K225" s="194" t="str">
        <f t="shared" si="3"/>
        <v/>
      </c>
    </row>
    <row r="226" spans="1:11" x14ac:dyDescent="0.35">
      <c r="A226" s="96" t="s">
        <v>461</v>
      </c>
      <c r="B226" s="209" t="s">
        <v>462</v>
      </c>
      <c r="C226" s="317">
        <v>170650</v>
      </c>
      <c r="D226" s="318">
        <v>161025</v>
      </c>
      <c r="E226" s="318">
        <v>9625</v>
      </c>
      <c r="F226" s="319">
        <v>0.94359800761793144</v>
      </c>
      <c r="G226" s="242">
        <v>100781</v>
      </c>
      <c r="H226" s="250">
        <v>97515</v>
      </c>
      <c r="I226" s="250">
        <v>3266</v>
      </c>
      <c r="J226" s="219">
        <v>0.96759309790535919</v>
      </c>
      <c r="K226" s="194" t="str">
        <f t="shared" si="3"/>
        <v/>
      </c>
    </row>
    <row r="227" spans="1:11" x14ac:dyDescent="0.35">
      <c r="A227" s="96" t="s">
        <v>493</v>
      </c>
      <c r="B227" s="209" t="s">
        <v>463</v>
      </c>
      <c r="C227" s="317">
        <v>68180</v>
      </c>
      <c r="D227" s="318">
        <v>68175</v>
      </c>
      <c r="E227" s="318">
        <v>10</v>
      </c>
      <c r="F227" s="319">
        <v>0.99992666471105895</v>
      </c>
      <c r="G227" s="242">
        <v>52771</v>
      </c>
      <c r="H227" s="250">
        <v>50750</v>
      </c>
      <c r="I227" s="250">
        <v>2021</v>
      </c>
      <c r="J227" s="219">
        <v>0.96170245020939527</v>
      </c>
      <c r="K227" s="194" t="str">
        <f t="shared" si="3"/>
        <v/>
      </c>
    </row>
    <row r="228" spans="1:11" x14ac:dyDescent="0.35">
      <c r="A228" s="96" t="s">
        <v>464</v>
      </c>
      <c r="B228" s="209" t="s">
        <v>465</v>
      </c>
      <c r="C228" s="317">
        <v>84860</v>
      </c>
      <c r="D228" s="318">
        <v>83970</v>
      </c>
      <c r="E228" s="318">
        <v>890</v>
      </c>
      <c r="F228" s="319">
        <v>0.98951213763846335</v>
      </c>
      <c r="G228" s="246">
        <v>95535</v>
      </c>
      <c r="H228" s="250">
        <v>94603</v>
      </c>
      <c r="I228" s="250">
        <v>932</v>
      </c>
      <c r="J228" s="219">
        <v>0.99024441304234045</v>
      </c>
      <c r="K228" s="194" t="str">
        <f t="shared" si="3"/>
        <v/>
      </c>
    </row>
    <row r="229" spans="1:11" x14ac:dyDescent="0.35">
      <c r="A229" s="96" t="s">
        <v>466</v>
      </c>
      <c r="B229" s="209" t="s">
        <v>467</v>
      </c>
      <c r="C229" s="317">
        <v>19990</v>
      </c>
      <c r="D229" s="318">
        <v>18680</v>
      </c>
      <c r="E229" s="318">
        <v>1310</v>
      </c>
      <c r="F229" s="319">
        <v>0.93446723361680839</v>
      </c>
      <c r="G229" s="242">
        <v>20290</v>
      </c>
      <c r="H229" s="250">
        <v>19122</v>
      </c>
      <c r="I229" s="250">
        <v>1168</v>
      </c>
      <c r="J229" s="219">
        <v>0.94243469689502213</v>
      </c>
      <c r="K229" s="194" t="str">
        <f t="shared" si="3"/>
        <v/>
      </c>
    </row>
    <row r="230" spans="1:11" x14ac:dyDescent="0.35">
      <c r="A230" s="96" t="s">
        <v>468</v>
      </c>
      <c r="B230" s="223" t="s">
        <v>469</v>
      </c>
      <c r="C230" s="312">
        <v>278735</v>
      </c>
      <c r="D230" s="313">
        <v>213200</v>
      </c>
      <c r="E230" s="314">
        <v>65535</v>
      </c>
      <c r="F230" s="316">
        <v>0.76488420901573184</v>
      </c>
      <c r="G230" s="242">
        <v>279801</v>
      </c>
      <c r="H230" s="250">
        <v>214550</v>
      </c>
      <c r="I230" s="250">
        <v>65251</v>
      </c>
      <c r="J230" s="219">
        <v>0.76679497214091441</v>
      </c>
      <c r="K230" s="194" t="str">
        <f t="shared" si="3"/>
        <v/>
      </c>
    </row>
    <row r="231" spans="1:11" x14ac:dyDescent="0.35">
      <c r="A231" s="96" t="s">
        <v>265</v>
      </c>
      <c r="B231" s="209" t="s">
        <v>264</v>
      </c>
      <c r="C231" s="320">
        <v>370555</v>
      </c>
      <c r="D231" s="321">
        <v>240115</v>
      </c>
      <c r="E231" s="322">
        <v>130440</v>
      </c>
      <c r="F231" s="316">
        <v>0.64798747824209635</v>
      </c>
      <c r="G231" s="242">
        <v>373057</v>
      </c>
      <c r="H231" s="250">
        <v>245074</v>
      </c>
      <c r="I231" s="250">
        <v>127983</v>
      </c>
      <c r="J231" s="219">
        <v>0.65693446309813242</v>
      </c>
      <c r="K231" s="194" t="str">
        <f t="shared" si="3"/>
        <v/>
      </c>
    </row>
    <row r="232" spans="1:11" x14ac:dyDescent="0.35">
      <c r="A232" s="96" t="s">
        <v>470</v>
      </c>
      <c r="B232" s="209" t="s">
        <v>471</v>
      </c>
      <c r="C232" s="317">
        <v>122165</v>
      </c>
      <c r="D232" s="313">
        <v>119665</v>
      </c>
      <c r="E232" s="314">
        <v>2495</v>
      </c>
      <c r="F232" s="316">
        <v>0.97953587361355543</v>
      </c>
      <c r="G232" s="242">
        <v>144135</v>
      </c>
      <c r="H232" s="250">
        <v>140958</v>
      </c>
      <c r="I232" s="250">
        <v>3177</v>
      </c>
      <c r="J232" s="219">
        <v>0.97795816422104276</v>
      </c>
      <c r="K232" s="194" t="str">
        <f t="shared" si="3"/>
        <v/>
      </c>
    </row>
    <row r="233" spans="1:11" x14ac:dyDescent="0.35">
      <c r="A233" s="96" t="s">
        <v>472</v>
      </c>
      <c r="B233" s="209" t="s">
        <v>473</v>
      </c>
      <c r="C233" s="317">
        <v>107895</v>
      </c>
      <c r="D233" s="313">
        <v>107435</v>
      </c>
      <c r="E233" s="314">
        <v>460</v>
      </c>
      <c r="F233" s="316">
        <v>0.99573659576440054</v>
      </c>
      <c r="G233" s="246">
        <v>133855</v>
      </c>
      <c r="H233" s="250">
        <v>133304</v>
      </c>
      <c r="I233" s="250">
        <v>551</v>
      </c>
      <c r="J233" s="219">
        <v>0.99588360539389642</v>
      </c>
      <c r="K233" s="194" t="str">
        <f t="shared" si="3"/>
        <v/>
      </c>
    </row>
    <row r="234" spans="1:11" x14ac:dyDescent="0.35">
      <c r="A234" s="96" t="s">
        <v>582</v>
      </c>
      <c r="B234" s="209" t="s">
        <v>583</v>
      </c>
      <c r="C234" s="317">
        <v>218425</v>
      </c>
      <c r="D234" s="313">
        <v>191735</v>
      </c>
      <c r="E234" s="314">
        <v>26690</v>
      </c>
      <c r="F234" s="316">
        <v>0.87780702758383888</v>
      </c>
      <c r="G234" s="242">
        <v>0</v>
      </c>
      <c r="H234" s="250">
        <v>0</v>
      </c>
      <c r="I234" s="250">
        <v>0</v>
      </c>
      <c r="J234" s="219">
        <v>0</v>
      </c>
      <c r="K234" s="194" t="str">
        <f t="shared" si="3"/>
        <v/>
      </c>
    </row>
    <row r="235" spans="1:11" x14ac:dyDescent="0.35">
      <c r="A235" s="96" t="s">
        <v>584</v>
      </c>
      <c r="B235" s="209" t="s">
        <v>585</v>
      </c>
      <c r="C235" s="317">
        <v>5725</v>
      </c>
      <c r="D235" s="313">
        <v>5660</v>
      </c>
      <c r="E235" s="314">
        <v>65</v>
      </c>
      <c r="F235" s="316">
        <v>0.98864628820960698</v>
      </c>
      <c r="G235" s="242">
        <v>0</v>
      </c>
      <c r="H235" s="250">
        <v>0</v>
      </c>
      <c r="I235" s="250">
        <v>0</v>
      </c>
      <c r="J235" s="219">
        <v>0</v>
      </c>
      <c r="K235" s="194" t="str">
        <f t="shared" si="3"/>
        <v/>
      </c>
    </row>
    <row r="236" spans="1:11" x14ac:dyDescent="0.35">
      <c r="A236" s="96" t="s">
        <v>586</v>
      </c>
      <c r="B236" s="209" t="s">
        <v>586</v>
      </c>
      <c r="C236" s="317">
        <v>79705</v>
      </c>
      <c r="D236" s="313">
        <v>75000</v>
      </c>
      <c r="E236" s="314">
        <v>4710</v>
      </c>
      <c r="F236" s="316">
        <v>0.94096982623423875</v>
      </c>
      <c r="G236" s="242">
        <v>0</v>
      </c>
      <c r="H236" s="250">
        <v>0</v>
      </c>
      <c r="I236" s="250">
        <v>0</v>
      </c>
      <c r="J236" s="219">
        <v>0</v>
      </c>
      <c r="K236" s="194" t="str">
        <f t="shared" si="3"/>
        <v/>
      </c>
    </row>
    <row r="237" spans="1:11" x14ac:dyDescent="0.35">
      <c r="A237" s="96" t="s">
        <v>587</v>
      </c>
      <c r="B237" s="209" t="s">
        <v>588</v>
      </c>
      <c r="C237" s="317">
        <v>18695</v>
      </c>
      <c r="D237" s="313">
        <v>18355</v>
      </c>
      <c r="E237" s="314">
        <v>345</v>
      </c>
      <c r="F237" s="316">
        <v>0.98181331906926983</v>
      </c>
      <c r="G237" s="242">
        <v>0</v>
      </c>
      <c r="H237" s="250">
        <v>0</v>
      </c>
      <c r="I237" s="250">
        <v>0</v>
      </c>
      <c r="J237" s="219">
        <v>0</v>
      </c>
      <c r="K237" s="194" t="str">
        <f t="shared" si="3"/>
        <v/>
      </c>
    </row>
    <row r="238" spans="1:11" x14ac:dyDescent="0.35">
      <c r="A238" s="96" t="s">
        <v>589</v>
      </c>
      <c r="B238" s="209" t="s">
        <v>590</v>
      </c>
      <c r="C238" s="317">
        <v>27980</v>
      </c>
      <c r="D238" s="313">
        <v>27365</v>
      </c>
      <c r="E238" s="314">
        <v>620</v>
      </c>
      <c r="F238" s="316">
        <v>0.97802001429592567</v>
      </c>
      <c r="G238" s="242">
        <v>0</v>
      </c>
      <c r="H238" s="250">
        <v>0</v>
      </c>
      <c r="I238" s="250">
        <v>0</v>
      </c>
      <c r="J238" s="219">
        <v>0</v>
      </c>
      <c r="K238" s="194" t="str">
        <f t="shared" si="3"/>
        <v/>
      </c>
    </row>
    <row r="239" spans="1:11" x14ac:dyDescent="0.35">
      <c r="A239" s="96" t="s">
        <v>474</v>
      </c>
      <c r="B239" s="209" t="s">
        <v>475</v>
      </c>
      <c r="C239" s="317">
        <v>0</v>
      </c>
      <c r="D239" s="313">
        <v>0</v>
      </c>
      <c r="E239" s="314">
        <v>0</v>
      </c>
      <c r="F239" s="316">
        <v>0</v>
      </c>
      <c r="G239" s="242">
        <v>98999</v>
      </c>
      <c r="H239" s="250">
        <v>96451</v>
      </c>
      <c r="I239" s="250">
        <v>2548</v>
      </c>
      <c r="J239" s="219">
        <v>0.97426236628652818</v>
      </c>
      <c r="K239" s="194" t="str">
        <f t="shared" si="3"/>
        <v/>
      </c>
    </row>
    <row r="240" spans="1:11" x14ac:dyDescent="0.35">
      <c r="A240" s="96" t="s">
        <v>530</v>
      </c>
      <c r="B240" s="209" t="s">
        <v>476</v>
      </c>
      <c r="C240" s="317">
        <v>0</v>
      </c>
      <c r="D240" s="313">
        <v>0</v>
      </c>
      <c r="E240" s="314">
        <v>0</v>
      </c>
      <c r="F240" s="316">
        <v>0</v>
      </c>
      <c r="G240" s="242">
        <v>36533</v>
      </c>
      <c r="H240" s="250">
        <v>36533</v>
      </c>
      <c r="I240" s="250">
        <v>0</v>
      </c>
      <c r="J240" s="219">
        <v>1</v>
      </c>
      <c r="K240" s="194" t="str">
        <f t="shared" si="3"/>
        <v/>
      </c>
    </row>
    <row r="241" spans="1:11" x14ac:dyDescent="0.35">
      <c r="A241" s="96" t="s">
        <v>477</v>
      </c>
      <c r="B241" s="209" t="s">
        <v>478</v>
      </c>
      <c r="C241" s="317">
        <v>0</v>
      </c>
      <c r="D241" s="313">
        <v>0</v>
      </c>
      <c r="E241" s="314">
        <v>0</v>
      </c>
      <c r="F241" s="316">
        <v>0</v>
      </c>
      <c r="G241" s="242">
        <v>19543</v>
      </c>
      <c r="H241" s="250">
        <v>19506</v>
      </c>
      <c r="I241" s="250">
        <v>37</v>
      </c>
      <c r="J241" s="219">
        <v>0.99810673898582614</v>
      </c>
      <c r="K241" s="194" t="str">
        <f t="shared" si="3"/>
        <v/>
      </c>
    </row>
    <row r="242" spans="1:11" x14ac:dyDescent="0.35">
      <c r="A242" s="96" t="s">
        <v>479</v>
      </c>
      <c r="B242" s="209" t="s">
        <v>480</v>
      </c>
      <c r="C242" s="317">
        <v>0</v>
      </c>
      <c r="D242" s="313">
        <v>0</v>
      </c>
      <c r="E242" s="314">
        <v>0</v>
      </c>
      <c r="F242" s="316">
        <v>0</v>
      </c>
      <c r="G242" s="242">
        <v>81218</v>
      </c>
      <c r="H242" s="250">
        <v>81218</v>
      </c>
      <c r="I242" s="250">
        <v>0</v>
      </c>
      <c r="J242" s="219">
        <v>1</v>
      </c>
      <c r="K242" s="194" t="str">
        <f t="shared" si="3"/>
        <v/>
      </c>
    </row>
    <row r="243" spans="1:11" x14ac:dyDescent="0.35">
      <c r="A243" s="96" t="s">
        <v>481</v>
      </c>
      <c r="B243" s="209" t="s">
        <v>482</v>
      </c>
      <c r="C243" s="317">
        <v>0</v>
      </c>
      <c r="D243" s="313">
        <v>0</v>
      </c>
      <c r="E243" s="314">
        <v>0</v>
      </c>
      <c r="F243" s="316">
        <v>0</v>
      </c>
      <c r="G243" s="242">
        <v>22838</v>
      </c>
      <c r="H243" s="250">
        <v>22822</v>
      </c>
      <c r="I243" s="250">
        <v>16</v>
      </c>
      <c r="J243" s="219">
        <v>0.99929941325860405</v>
      </c>
      <c r="K243" s="194" t="str">
        <f t="shared" si="3"/>
        <v/>
      </c>
    </row>
    <row r="244" spans="1:11" x14ac:dyDescent="0.35">
      <c r="A244" s="96" t="s">
        <v>531</v>
      </c>
      <c r="B244" s="209" t="s">
        <v>483</v>
      </c>
      <c r="C244" s="317">
        <v>0</v>
      </c>
      <c r="D244" s="313">
        <v>0</v>
      </c>
      <c r="E244" s="314">
        <v>0</v>
      </c>
      <c r="F244" s="316">
        <v>0</v>
      </c>
      <c r="G244" s="242">
        <v>26108</v>
      </c>
      <c r="H244" s="250">
        <v>26108</v>
      </c>
      <c r="I244" s="250">
        <v>0</v>
      </c>
      <c r="J244" s="219">
        <v>1</v>
      </c>
      <c r="K244" s="194" t="str">
        <f t="shared" si="3"/>
        <v/>
      </c>
    </row>
    <row r="245" spans="1:11" x14ac:dyDescent="0.35">
      <c r="A245" s="96" t="s">
        <v>532</v>
      </c>
      <c r="B245" s="209" t="s">
        <v>484</v>
      </c>
      <c r="C245" s="317">
        <v>0</v>
      </c>
      <c r="D245" s="313">
        <v>0</v>
      </c>
      <c r="E245" s="314">
        <v>0</v>
      </c>
      <c r="F245" s="316">
        <v>0</v>
      </c>
      <c r="G245" s="246">
        <v>11092</v>
      </c>
      <c r="H245" s="250">
        <v>11092</v>
      </c>
      <c r="I245" s="250">
        <v>0</v>
      </c>
      <c r="J245" s="219">
        <v>1</v>
      </c>
      <c r="K245" s="194" t="str">
        <f t="shared" si="3"/>
        <v/>
      </c>
    </row>
    <row r="246" spans="1:11" ht="15" thickBot="1" x14ac:dyDescent="0.4">
      <c r="A246" s="100" t="s">
        <v>533</v>
      </c>
      <c r="B246" s="210" t="s">
        <v>534</v>
      </c>
      <c r="C246" s="323">
        <v>0</v>
      </c>
      <c r="D246" s="324">
        <v>0</v>
      </c>
      <c r="E246" s="325">
        <v>0</v>
      </c>
      <c r="F246" s="326">
        <v>0</v>
      </c>
      <c r="G246" s="247">
        <v>24828</v>
      </c>
      <c r="H246" s="252">
        <v>24828</v>
      </c>
      <c r="I246" s="252">
        <v>0</v>
      </c>
      <c r="J246" s="236">
        <v>1</v>
      </c>
      <c r="K246" s="194" t="str">
        <f t="shared" si="3"/>
        <v/>
      </c>
    </row>
    <row r="247" spans="1:11" x14ac:dyDescent="0.35">
      <c r="C247" s="194"/>
      <c r="D247" s="194"/>
      <c r="E247" s="194"/>
      <c r="K247" s="194">
        <f t="shared" si="3"/>
        <v>1</v>
      </c>
    </row>
    <row r="248" spans="1:11" x14ac:dyDescent="0.35">
      <c r="C248" s="194"/>
      <c r="D248" s="194"/>
      <c r="E248" s="194"/>
      <c r="K248" s="194">
        <f t="shared" si="3"/>
        <v>1</v>
      </c>
    </row>
    <row r="249" spans="1:11" x14ac:dyDescent="0.35">
      <c r="C249" s="194"/>
      <c r="D249" s="194"/>
      <c r="E249" s="194"/>
      <c r="K249" s="194">
        <f t="shared" si="3"/>
        <v>1</v>
      </c>
    </row>
  </sheetData>
  <mergeCells count="13">
    <mergeCell ref="G15:J15"/>
    <mergeCell ref="A1:D1"/>
    <mergeCell ref="A4:E4"/>
    <mergeCell ref="A5:I5"/>
    <mergeCell ref="A12:E12"/>
    <mergeCell ref="C15:F15"/>
    <mergeCell ref="A13:E13"/>
    <mergeCell ref="A3:J3"/>
    <mergeCell ref="A6:H6"/>
    <mergeCell ref="A7:H7"/>
    <mergeCell ref="A8:H8"/>
    <mergeCell ref="A9:H9"/>
    <mergeCell ref="G14:J14"/>
  </mergeCells>
  <phoneticPr fontId="35" type="noConversion"/>
  <hyperlinks>
    <hyperlink ref="A9" r:id="rId1" xr:uid="{9D119DAA-B27F-41F0-9E77-1721F3198825}"/>
  </hyperlinks>
  <pageMargins left="0.78740157480314998" right="0.78740157480314998" top="0.78740157480314998" bottom="0.78740157480314998" header="0.78740157480314998" footer="0.78740157480314998"/>
  <pageSetup paperSize="9" orientation="portrait" horizontalDpi="300" verticalDpi="300" r:id="rId2"/>
  <headerFooter alignWithMargins="0"/>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0DD5-D279-4F31-B25A-351B1282DEF9}">
  <dimension ref="A1:Q23"/>
  <sheetViews>
    <sheetView showGridLines="0" zoomScaleNormal="100" workbookViewId="0">
      <selection activeCell="A5" sqref="A5:I5"/>
    </sheetView>
  </sheetViews>
  <sheetFormatPr defaultColWidth="8.84375" defaultRowHeight="14.5" x14ac:dyDescent="0.35"/>
  <cols>
    <col min="1" max="1" width="53.23046875" style="4" customWidth="1"/>
    <col min="2" max="2" width="10.84375" style="4" customWidth="1"/>
    <col min="3" max="3" width="9.07421875" style="4" bestFit="1" customWidth="1"/>
    <col min="4" max="5" width="9.84375" style="4" customWidth="1"/>
    <col min="6" max="14" width="9.07421875" style="4" bestFit="1" customWidth="1"/>
    <col min="15" max="15" width="9.23046875" style="4" bestFit="1" customWidth="1"/>
    <col min="16" max="16384" width="8.84375" style="4"/>
  </cols>
  <sheetData>
    <row r="1" spans="1:17" ht="84" customHeight="1" x14ac:dyDescent="0.35">
      <c r="A1" s="359"/>
      <c r="B1" s="359"/>
      <c r="C1" s="359"/>
      <c r="D1" s="359"/>
      <c r="E1" s="359"/>
      <c r="F1" s="359"/>
      <c r="G1" s="359"/>
    </row>
    <row r="2" spans="1:17" x14ac:dyDescent="0.35">
      <c r="A2" s="3" t="s">
        <v>0</v>
      </c>
      <c r="B2" s="3" t="s">
        <v>0</v>
      </c>
      <c r="C2" s="3" t="s">
        <v>0</v>
      </c>
      <c r="D2" s="3" t="s">
        <v>0</v>
      </c>
      <c r="E2" s="3" t="s">
        <v>0</v>
      </c>
      <c r="F2" s="3" t="s">
        <v>0</v>
      </c>
      <c r="G2" s="3" t="s">
        <v>0</v>
      </c>
    </row>
    <row r="3" spans="1:17" ht="24.65" customHeight="1" x14ac:dyDescent="0.35">
      <c r="A3" s="360" t="s">
        <v>642</v>
      </c>
      <c r="B3" s="360"/>
      <c r="C3" s="360"/>
      <c r="D3" s="360"/>
      <c r="E3" s="360"/>
      <c r="F3" s="360"/>
      <c r="G3" s="17"/>
    </row>
    <row r="4" spans="1:17" ht="13.5" customHeight="1" x14ac:dyDescent="0.35"/>
    <row r="5" spans="1:17" ht="28.5" customHeight="1" x14ac:dyDescent="0.35">
      <c r="A5" s="351" t="s">
        <v>641</v>
      </c>
      <c r="B5" s="351"/>
      <c r="C5" s="351"/>
      <c r="D5" s="351"/>
      <c r="E5" s="351"/>
      <c r="F5" s="351"/>
      <c r="G5" s="351"/>
      <c r="H5" s="351"/>
      <c r="I5" s="351"/>
    </row>
    <row r="6" spans="1:17" x14ac:dyDescent="0.35">
      <c r="A6" s="368" t="s">
        <v>640</v>
      </c>
      <c r="B6" s="368"/>
      <c r="C6" s="368"/>
      <c r="D6" s="368"/>
      <c r="E6" s="368"/>
      <c r="F6" s="368"/>
      <c r="G6" s="368"/>
      <c r="H6" s="368"/>
      <c r="I6" s="266"/>
      <c r="J6" s="266"/>
      <c r="K6" s="266"/>
      <c r="L6" s="266"/>
      <c r="M6" s="266"/>
      <c r="N6" s="266"/>
      <c r="O6" s="266"/>
      <c r="P6" s="266"/>
      <c r="Q6" s="266"/>
    </row>
    <row r="7" spans="1:17" ht="59.25" customHeight="1" x14ac:dyDescent="0.35">
      <c r="A7" s="351" t="s">
        <v>634</v>
      </c>
      <c r="B7" s="351"/>
      <c r="C7" s="351"/>
      <c r="D7" s="351"/>
      <c r="E7" s="351"/>
      <c r="F7" s="351"/>
      <c r="G7" s="351"/>
      <c r="H7" s="351"/>
      <c r="I7" s="351"/>
    </row>
    <row r="8" spans="1:17" ht="15" thickBot="1" x14ac:dyDescent="0.4"/>
    <row r="9" spans="1:17" ht="27.65" customHeight="1" thickBot="1" x14ac:dyDescent="0.4">
      <c r="A9" s="29" t="s">
        <v>638</v>
      </c>
      <c r="B9" s="30" t="s">
        <v>639</v>
      </c>
    </row>
    <row r="10" spans="1:17" x14ac:dyDescent="0.35">
      <c r="A10" s="269" t="s">
        <v>408</v>
      </c>
      <c r="B10" s="270" t="s">
        <v>409</v>
      </c>
    </row>
    <row r="11" spans="1:17" ht="15" customHeight="1" x14ac:dyDescent="0.35">
      <c r="A11" s="271" t="s">
        <v>420</v>
      </c>
      <c r="B11" s="272" t="s">
        <v>421</v>
      </c>
    </row>
    <row r="12" spans="1:17" x14ac:dyDescent="0.35">
      <c r="A12" s="271" t="s">
        <v>436</v>
      </c>
      <c r="B12" s="272" t="s">
        <v>437</v>
      </c>
    </row>
    <row r="13" spans="1:17" x14ac:dyDescent="0.35">
      <c r="A13" s="271" t="s">
        <v>412</v>
      </c>
      <c r="B13" s="272" t="s">
        <v>413</v>
      </c>
    </row>
    <row r="14" spans="1:17" x14ac:dyDescent="0.35">
      <c r="A14" s="271" t="s">
        <v>468</v>
      </c>
      <c r="B14" s="272" t="s">
        <v>469</v>
      </c>
    </row>
    <row r="15" spans="1:17" x14ac:dyDescent="0.35">
      <c r="A15" s="271" t="s">
        <v>428</v>
      </c>
      <c r="B15" s="272" t="s">
        <v>429</v>
      </c>
    </row>
    <row r="16" spans="1:17" x14ac:dyDescent="0.35">
      <c r="A16" s="271" t="s">
        <v>529</v>
      </c>
      <c r="B16" s="272" t="s">
        <v>455</v>
      </c>
    </row>
    <row r="17" spans="1:2" x14ac:dyDescent="0.35">
      <c r="A17" s="271" t="s">
        <v>442</v>
      </c>
      <c r="B17" s="272" t="s">
        <v>443</v>
      </c>
    </row>
    <row r="18" spans="1:2" x14ac:dyDescent="0.35">
      <c r="A18" s="271" t="s">
        <v>452</v>
      </c>
      <c r="B18" s="272" t="s">
        <v>453</v>
      </c>
    </row>
    <row r="19" spans="1:2" ht="14.5" customHeight="1" x14ac:dyDescent="0.35">
      <c r="A19" s="271" t="s">
        <v>526</v>
      </c>
      <c r="B19" s="272" t="s">
        <v>424</v>
      </c>
    </row>
    <row r="20" spans="1:2" ht="14.5" customHeight="1" x14ac:dyDescent="0.35">
      <c r="A20" s="271" t="s">
        <v>416</v>
      </c>
      <c r="B20" s="272" t="s">
        <v>417</v>
      </c>
    </row>
    <row r="21" spans="1:2" ht="15.75" customHeight="1" x14ac:dyDescent="0.35">
      <c r="A21" s="271" t="s">
        <v>402</v>
      </c>
      <c r="B21" s="272" t="s">
        <v>403</v>
      </c>
    </row>
    <row r="22" spans="1:2" x14ac:dyDescent="0.35">
      <c r="A22" s="271" t="s">
        <v>528</v>
      </c>
      <c r="B22" s="272" t="s">
        <v>426</v>
      </c>
    </row>
    <row r="23" spans="1:2" ht="15" thickBot="1" x14ac:dyDescent="0.4">
      <c r="A23" s="268" t="s">
        <v>418</v>
      </c>
      <c r="B23" s="267" t="s">
        <v>419</v>
      </c>
    </row>
  </sheetData>
  <sortState xmlns:xlrd2="http://schemas.microsoft.com/office/spreadsheetml/2017/richdata2" ref="A10:B23">
    <sortCondition ref="A10:A23"/>
  </sortState>
  <mergeCells count="5">
    <mergeCell ref="A5:I5"/>
    <mergeCell ref="A6:H6"/>
    <mergeCell ref="A7:I7"/>
    <mergeCell ref="A1:G1"/>
    <mergeCell ref="A3:F3"/>
  </mergeCells>
  <hyperlinks>
    <hyperlink ref="A6" r:id="rId1" display="https://www.england.nhs.uk/statistics/statistical-work-areas/ae-waiting-times-and-activity/ae-attendances-and-emergency-admissions-2024-25/" xr:uid="{07FD660F-8CB7-487F-807E-B03C4F9A34A5}"/>
    <hyperlink ref="A6:H6" r:id="rId2" display="Impact of CRS on National A&amp;E timeseries" xr:uid="{BBC46201-FEC2-4A90-8ADA-DB7F29E9BFEF}"/>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0A82285E0DA2D46A600399A1F285C23" ma:contentTypeVersion="18" ma:contentTypeDescription="Create a new document." ma:contentTypeScope="" ma:versionID="11d45dbd54e8482001fdc36c241570e0">
  <xsd:schema xmlns:xsd="http://www.w3.org/2001/XMLSchema" xmlns:xs="http://www.w3.org/2001/XMLSchema" xmlns:p="http://schemas.microsoft.com/office/2006/metadata/properties" xmlns:ns1="http://schemas.microsoft.com/sharepoint/v3" xmlns:ns2="95fb9783-1faf-46d3-8810-c8b69aa0f487" xmlns:ns3="c44079d0-8f68-4105-8d53-e90d6dc48a51" targetNamespace="http://schemas.microsoft.com/office/2006/metadata/properties" ma:root="true" ma:fieldsID="a1509dee4e6af8c2f172768870181fd6" ns1:_="" ns2:_="" ns3:_="">
    <xsd:import namespace="http://schemas.microsoft.com/sharepoint/v3"/>
    <xsd:import namespace="95fb9783-1faf-46d3-8810-c8b69aa0f487"/>
    <xsd:import namespace="c44079d0-8f68-4105-8d53-e90d6dc48a51"/>
    <xsd:element name="properties">
      <xsd:complexType>
        <xsd:sequence>
          <xsd:element name="documentManagement">
            <xsd:complexType>
              <xsd:all>
                <xsd:element ref="ns2:SharedWithUsers" minOccurs="0"/>
                <xsd:element ref="ns2:SharedWithDetails" minOccurs="0"/>
                <xsd:element ref="ns3:Date_Time" minOccurs="0"/>
                <xsd:element ref="ns3:MediaServiceMetadata" minOccurs="0"/>
                <xsd:element ref="ns3:MediaServiceFastMetadata" minOccurs="0"/>
                <xsd:element ref="ns3:MediaServiceSearchProperties" minOccurs="0"/>
                <xsd:element ref="ns3:MediaServiceObjectDetectorVersions" minOccurs="0"/>
                <xsd:element ref="ns1:_ip_UnifiedCompliancePolicyProperties" minOccurs="0"/>
                <xsd:element ref="ns1:_ip_UnifiedCompliancePolicyUIAction"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element ref="ns3:MediaServiceLocation"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fb9783-1faf-46d3-8810-c8b69aa0f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4079d0-8f68-4105-8d53-e90d6dc48a51" elementFormDefault="qualified">
    <xsd:import namespace="http://schemas.microsoft.com/office/2006/documentManagement/types"/>
    <xsd:import namespace="http://schemas.microsoft.com/office/infopath/2007/PartnerControls"/>
    <xsd:element name="Date_Time" ma:index="10" nillable="true" ma:displayName="Date_Time" ma:description="Date and time" ma:format="DateTime" ma:internalName="Date_Time">
      <xsd:simpleType>
        <xsd:restriction base="dms:DateTime"/>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Location" ma:index="24" nillable="true" ma:displayName="Location" ma:indexed="true" ma:internalName="MediaServiceLocation" ma:readOnly="true">
      <xsd:simpleType>
        <xsd:restriction base="dms:Text"/>
      </xsd:simpleType>
    </xsd:element>
    <xsd:element name="_Flow_SignoffStatus" ma:index="25" nillable="true" ma:displayName="Sign-off status" ma:internalName="Sign_x002d_off_x0020_status">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Date_Time xmlns="c44079d0-8f68-4105-8d53-e90d6dc48a51" xsi:nil="true"/>
    <lcf76f155ced4ddcb4097134ff3c332f xmlns="c44079d0-8f68-4105-8d53-e90d6dc48a51">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_Flow_SignoffStatus xmlns="c44079d0-8f68-4105-8d53-e90d6dc48a5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4763B9A-444F-4D6D-94EE-F2018C8FFD1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fb9783-1faf-46d3-8810-c8b69aa0f487"/>
    <ds:schemaRef ds:uri="c44079d0-8f68-4105-8d53-e90d6dc48a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7FBA566-F9A3-4116-9EE4-1FA081972940}">
  <ds:schemaRefs>
    <ds:schemaRef ds:uri="http://schemas.microsoft.com/office/2006/metadata/properties"/>
    <ds:schemaRef ds:uri="http://schemas.microsoft.com/office/infopath/2007/PartnerControls"/>
    <ds:schemaRef ds:uri="c44079d0-8f68-4105-8d53-e90d6dc48a51"/>
    <ds:schemaRef ds:uri="http://schemas.microsoft.com/sharepoint/v3"/>
  </ds:schemaRefs>
</ds:datastoreItem>
</file>

<file path=customXml/itemProps3.xml><?xml version="1.0" encoding="utf-8"?>
<ds:datastoreItem xmlns:ds="http://schemas.openxmlformats.org/officeDocument/2006/customXml" ds:itemID="{F3FEBE94-629D-465F-BC5A-F1DAA80067B3}">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 Page</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MITCHELL, Adam (NHS ENGLAND)</cp:lastModifiedBy>
  <dcterms:created xsi:type="dcterms:W3CDTF">2021-08-13T12:40:42Z</dcterms:created>
  <dcterms:modified xsi:type="dcterms:W3CDTF">2025-09-18T13:36:46Z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0x010100D0A82285E0DA2D46A600399A1F285C23</vt:lpwstr>
  </property>
  <property fmtid="{D5CDD505-2E9C-101B-9397-08002B2CF9AE}" pid="3" name="MediaServiceImageTags">
    <vt:lpwstr/>
  </property>
</Properties>
</file>