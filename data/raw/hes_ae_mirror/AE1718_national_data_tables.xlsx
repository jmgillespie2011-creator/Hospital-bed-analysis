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filterPrivacy="1" codeName="ThisWorkbook" defaultThemeVersion="124226"/>
  <xr:revisionPtr revIDLastSave="0" documentId="13_ncr:1_{9A2CAF50-DA4C-4D7F-A747-46062FBF0A33}" xr6:coauthVersionLast="36" xr6:coauthVersionMax="36" xr10:uidLastSave="{00000000-0000-0000-0000-000000000000}"/>
  <bookViews>
    <workbookView xWindow="13956" yWindow="60" windowWidth="7620" windowHeight="5532" tabRatio="818" xr2:uid="{00000000-000D-0000-FFFF-FFFF00000000}"/>
  </bookViews>
  <sheets>
    <sheet name="Title sheet" sheetId="111" r:id="rId1"/>
    <sheet name="Contents" sheetId="71" r:id="rId2"/>
    <sheet name="Table 1" sheetId="42" r:id="rId3"/>
    <sheet name="Table 2" sheetId="43" r:id="rId4"/>
    <sheet name="Table 3" sheetId="44" r:id="rId5"/>
    <sheet name="Table 4" sheetId="45" r:id="rId6"/>
    <sheet name="Table 5" sheetId="46" r:id="rId7"/>
    <sheet name="Table 6" sheetId="47" r:id="rId8"/>
    <sheet name="Table 7" sheetId="73" r:id="rId9"/>
    <sheet name="Table 8" sheetId="48" r:id="rId10"/>
    <sheet name="Table 9" sheetId="49" r:id="rId11"/>
    <sheet name="Table 10" sheetId="50" r:id="rId12"/>
    <sheet name="Table 11" sheetId="51" r:id="rId13"/>
    <sheet name="Table 12" sheetId="52" r:id="rId14"/>
    <sheet name="Table 13" sheetId="110" r:id="rId15"/>
    <sheet name="Table 14" sheetId="195" r:id="rId16"/>
    <sheet name="Table 15" sheetId="194" r:id="rId17"/>
    <sheet name="Table 16" sheetId="53" r:id="rId18"/>
    <sheet name="Table 17" sheetId="54" r:id="rId19"/>
    <sheet name="Table 18" sheetId="55" r:id="rId20"/>
    <sheet name="Table 19" sheetId="56" r:id="rId21"/>
    <sheet name="Table 20" sheetId="57" r:id="rId22"/>
    <sheet name="Table 21" sheetId="79" r:id="rId23"/>
    <sheet name="Table 22" sheetId="58" r:id="rId24"/>
    <sheet name="Table 23" sheetId="103" r:id="rId25"/>
    <sheet name="Table 24" sheetId="109" r:id="rId26"/>
    <sheet name="Table 25" sheetId="200" r:id="rId27"/>
    <sheet name="Table 26" sheetId="201" r:id="rId28"/>
    <sheet name="Table 27" sheetId="196" r:id="rId29"/>
  </sheets>
  <definedNames>
    <definedName name="_xlnm._FilterDatabase" localSheetId="11" hidden="1">'Table 10'!$A$6:$E$6</definedName>
    <definedName name="_xlnm._FilterDatabase" localSheetId="28" hidden="1">'Table 27'!$A$7:$BA$7</definedName>
    <definedName name="_xlnm.Print_Area" localSheetId="1">Contents!$A$1:$I$70</definedName>
    <definedName name="_xlnm.Print_Area" localSheetId="2">'Table 1'!$A$1:$I$21</definedName>
    <definedName name="_xlnm.Print_Area" localSheetId="11">'Table 10'!$A$1:$G$25</definedName>
    <definedName name="_xlnm.Print_Area" localSheetId="12">'Table 11'!$A$1:$G$16</definedName>
    <definedName name="_xlnm.Print_Area" localSheetId="13">'Table 12'!$A$1:$G$36</definedName>
    <definedName name="_xlnm.Print_Area" localSheetId="14">'Table 13'!$A$1:$K$38</definedName>
    <definedName name="_xlnm.Print_Area" localSheetId="15">'Table 14'!$A$1:$G$38</definedName>
    <definedName name="_xlnm.Print_Area" localSheetId="16">'Table 15'!$A$1:$H$18</definedName>
    <definedName name="_xlnm.Print_Area" localSheetId="17">'Table 16'!$A$1:$G$22</definedName>
    <definedName name="_xlnm.Print_Area" localSheetId="18">'Table 17'!$A$1:$I$42</definedName>
    <definedName name="_xlnm.Print_Area" localSheetId="19">'Table 18'!$A$1:$I$56</definedName>
    <definedName name="_xlnm.Print_Area" localSheetId="20">'Table 19'!$A$1:$I$74</definedName>
    <definedName name="_xlnm.Print_Area" localSheetId="3">'Table 2'!$A$1:$G$33</definedName>
    <definedName name="_xlnm.Print_Area" localSheetId="21">'Table 20'!$A$1:$G$28</definedName>
    <definedName name="_xlnm.Print_Area" localSheetId="22">'Table 21'!$A$1:$H$36</definedName>
    <definedName name="_xlnm.Print_Area" localSheetId="23">'Table 22'!$A$1:$J$289</definedName>
    <definedName name="_xlnm.Print_Area" localSheetId="24">'Table 23'!$A$1:$K$40</definedName>
    <definedName name="_xlnm.Print_Area" localSheetId="25">'Table 24'!$A$1:$T$180</definedName>
    <definedName name="_xlnm.Print_Area" localSheetId="28">'Table 27'!$A$1:$AX$234</definedName>
    <definedName name="_xlnm.Print_Area" localSheetId="4">'Table 3'!$A$1:$G$26</definedName>
    <definedName name="_xlnm.Print_Area" localSheetId="5">'Table 4'!$A$1:$G$20</definedName>
    <definedName name="_xlnm.Print_Area" localSheetId="6">'Table 5'!$A$1:$G$16</definedName>
    <definedName name="_xlnm.Print_Area" localSheetId="7">'Table 6'!$A$1:$G$38</definedName>
    <definedName name="_xlnm.Print_Area" localSheetId="8">'Table 7'!$A$1:$R$38</definedName>
    <definedName name="_xlnm.Print_Area" localSheetId="9">'Table 8'!$A$1:$G$25</definedName>
    <definedName name="_xlnm.Print_Area" localSheetId="10">'Table 9'!$A$1:$G$20</definedName>
    <definedName name="_xlnm.Print_Area" localSheetId="0">'Title sheet'!$A$1:$I$25</definedName>
    <definedName name="_xlnm.Print_Titles" localSheetId="28">'Table 27'!$A:$B,'Table 27'!$5:$6</definedName>
  </definedNames>
  <calcPr calcId="179021"/>
  <fileRecoveryPr autoRecover="0"/>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B24" i="201" l="1"/>
  <c r="C24" i="201"/>
  <c r="B17" i="200"/>
  <c r="C17" i="200"/>
</calcChain>
</file>

<file path=xl/sharedStrings.xml><?xml version="1.0" encoding="utf-8"?>
<sst xmlns="http://schemas.openxmlformats.org/spreadsheetml/2006/main" count="3431" uniqueCount="1322">
  <si>
    <t>Attendance by Category</t>
  </si>
  <si>
    <t>Attendance by Assessment, Diagnosis and Treatment</t>
  </si>
  <si>
    <t>Duration and Disposal</t>
  </si>
  <si>
    <t>A&amp;E Department Type</t>
  </si>
  <si>
    <t>HES</t>
  </si>
  <si>
    <t>Type 1 - Consultant led A&amp;E</t>
  </si>
  <si>
    <t>Type 2 - Single specialty A&amp;E</t>
  </si>
  <si>
    <t>Type 3 - Minor Injury/Walk in units</t>
  </si>
  <si>
    <t>Unknown</t>
  </si>
  <si>
    <t>Total (Excluding planned follow-up)¹</t>
  </si>
  <si>
    <t>Responsible statistician:</t>
  </si>
  <si>
    <t>A&amp;E key fields</t>
  </si>
  <si>
    <t>Number of valid records</t>
  </si>
  <si>
    <t>% of valid records</t>
  </si>
  <si>
    <t>Total number of records</t>
  </si>
  <si>
    <t>A&amp;E Arrival Mode</t>
  </si>
  <si>
    <t>A&amp;E Department Type (from April 2007)</t>
  </si>
  <si>
    <t>A&amp;E Attendance Category</t>
  </si>
  <si>
    <t>A&amp;E Attendance Disposal</t>
  </si>
  <si>
    <t>A&amp;E Incident Location Type</t>
  </si>
  <si>
    <t>A&amp;E Patient Group</t>
  </si>
  <si>
    <t>Source of Referral for A&amp;E</t>
  </si>
  <si>
    <t>Arrival Date</t>
  </si>
  <si>
    <t>Arrival Time</t>
  </si>
  <si>
    <t>A&amp;E Initial Assessment Time</t>
  </si>
  <si>
    <t>A&amp;E Time Seen For Treatment</t>
  </si>
  <si>
    <t>A&amp;E Attendance Conclusion Time</t>
  </si>
  <si>
    <t>A&amp;E Departure Time</t>
  </si>
  <si>
    <t>1: An A&amp;E diagnosis is a six-character code made up of diagnosis condition (n2), sub-analysis (n1), anatomical area (n2) and anatomical side (an1).</t>
  </si>
  <si>
    <t>2: An A&amp;E investigation is a six-character code made up of investigation (n2) and local sub-analysis (up to an4).</t>
  </si>
  <si>
    <t>3: An A&amp;E treatment is a six-character code made up of treatment (n2), sub-analysis (n1), local use (up to an3).</t>
  </si>
  <si>
    <t>HES*</t>
  </si>
  <si>
    <t>All Providers</t>
  </si>
  <si>
    <t>NHS Trust</t>
  </si>
  <si>
    <t>Other</t>
  </si>
  <si>
    <t>Private</t>
  </si>
  <si>
    <t>All attendances</t>
  </si>
  <si>
    <t>* HES figures exclude planned follow up attendances</t>
  </si>
  <si>
    <t>Attendance category</t>
  </si>
  <si>
    <t>Number of A&amp;E attendances</t>
  </si>
  <si>
    <t>% of total attendances</t>
  </si>
  <si>
    <t>First Accident and Emergency attendance</t>
  </si>
  <si>
    <t>Follow-up Accident and Emergency attendance - planned</t>
  </si>
  <si>
    <t>Follow-up Accident and Emergency attendance - unplanned</t>
  </si>
  <si>
    <t>Not Known</t>
  </si>
  <si>
    <t>Total (all attendances)</t>
  </si>
  <si>
    <t>Gender</t>
  </si>
  <si>
    <t>Male</t>
  </si>
  <si>
    <t>Female</t>
  </si>
  <si>
    <t>Total</t>
  </si>
  <si>
    <t>Age group</t>
  </si>
  <si>
    <t>0</t>
  </si>
  <si>
    <t>1-4</t>
  </si>
  <si>
    <t>5-9</t>
  </si>
  <si>
    <t>10-14</t>
  </si>
  <si>
    <t>15</t>
  </si>
  <si>
    <t>16</t>
  </si>
  <si>
    <t>17</t>
  </si>
  <si>
    <t>18</t>
  </si>
  <si>
    <t>19</t>
  </si>
  <si>
    <t>20-24</t>
  </si>
  <si>
    <t>25-29</t>
  </si>
  <si>
    <t>30-34</t>
  </si>
  <si>
    <t>35-39</t>
  </si>
  <si>
    <t>40-44</t>
  </si>
  <si>
    <t>45-49</t>
  </si>
  <si>
    <t>50-54</t>
  </si>
  <si>
    <t>55-59</t>
  </si>
  <si>
    <t>60-64</t>
  </si>
  <si>
    <t>65-69</t>
  </si>
  <si>
    <t>70-74</t>
  </si>
  <si>
    <t>75-79</t>
  </si>
  <si>
    <t>80-84</t>
  </si>
  <si>
    <t>85-89</t>
  </si>
  <si>
    <t>90+</t>
  </si>
  <si>
    <t>Month </t>
  </si>
  <si>
    <t>April</t>
  </si>
  <si>
    <t>May</t>
  </si>
  <si>
    <t>June</t>
  </si>
  <si>
    <t>July</t>
  </si>
  <si>
    <t>August</t>
  </si>
  <si>
    <t>September</t>
  </si>
  <si>
    <t>October</t>
  </si>
  <si>
    <t>November</t>
  </si>
  <si>
    <t>December</t>
  </si>
  <si>
    <t>January</t>
  </si>
  <si>
    <t>February</t>
  </si>
  <si>
    <t>March</t>
  </si>
  <si>
    <t>Day</t>
  </si>
  <si>
    <t>Monday</t>
  </si>
  <si>
    <t>Tuesday</t>
  </si>
  <si>
    <t>Wednesday</t>
  </si>
  <si>
    <t>Thursday</t>
  </si>
  <si>
    <t>Friday</t>
  </si>
  <si>
    <t>Saturday</t>
  </si>
  <si>
    <t>Sunday</t>
  </si>
  <si>
    <t>Referral method</t>
  </si>
  <si>
    <t>Self referral</t>
  </si>
  <si>
    <t>Emergency services</t>
  </si>
  <si>
    <t>General medical practitioner</t>
  </si>
  <si>
    <t>Health care provider: same or other</t>
  </si>
  <si>
    <t>Not known</t>
  </si>
  <si>
    <t>Work</t>
  </si>
  <si>
    <t>Police</t>
  </si>
  <si>
    <t>Educational establishment</t>
  </si>
  <si>
    <t>Local authority social services</t>
  </si>
  <si>
    <t>General dental practitioner</t>
  </si>
  <si>
    <t>Community dental service</t>
  </si>
  <si>
    <t>Arrival method</t>
  </si>
  <si>
    <t>Brought in by ambulance (including helicopter / Air Ambulance)</t>
  </si>
  <si>
    <t>Arrival hour</t>
  </si>
  <si>
    <t>Number of A&amp;E attendances that arrived by ambulance</t>
  </si>
  <si>
    <t>00:00</t>
  </si>
  <si>
    <t>01:00</t>
  </si>
  <si>
    <t>02:00</t>
  </si>
  <si>
    <t>03:00</t>
  </si>
  <si>
    <t>04:00</t>
  </si>
  <si>
    <t>05:00</t>
  </si>
  <si>
    <t>06:00</t>
  </si>
  <si>
    <t>07:00</t>
  </si>
  <si>
    <t>08:00</t>
  </si>
  <si>
    <t>09:00</t>
  </si>
  <si>
    <t>10:00</t>
  </si>
  <si>
    <t>11:00</t>
  </si>
  <si>
    <t>12:00</t>
  </si>
  <si>
    <t>13:00</t>
  </si>
  <si>
    <t>14:00</t>
  </si>
  <si>
    <t>15:00</t>
  </si>
  <si>
    <t>16:00</t>
  </si>
  <si>
    <t>17:00</t>
  </si>
  <si>
    <t>18:00</t>
  </si>
  <si>
    <t>19:00</t>
  </si>
  <si>
    <t>20:00</t>
  </si>
  <si>
    <t>21:00</t>
  </si>
  <si>
    <t>22:00</t>
  </si>
  <si>
    <t>23:00</t>
  </si>
  <si>
    <t>Patient group</t>
  </si>
  <si>
    <t>Other accident</t>
  </si>
  <si>
    <t>Sports injury</t>
  </si>
  <si>
    <t>Road traffic accident</t>
  </si>
  <si>
    <t>Assault</t>
  </si>
  <si>
    <t>Deliberate self-harm</t>
  </si>
  <si>
    <t>Firework injury</t>
  </si>
  <si>
    <t>Brought in dead</t>
  </si>
  <si>
    <t>First A&amp;E investigation</t>
  </si>
  <si>
    <t>Percentages (excluding unknowns and unmatched)</t>
  </si>
  <si>
    <t>Arterial/capillary blood gas</t>
  </si>
  <si>
    <t>Bacteriology</t>
  </si>
  <si>
    <t>Biochemistry</t>
  </si>
  <si>
    <t>Blood culture</t>
  </si>
  <si>
    <t>Cardiac enzymes</t>
  </si>
  <si>
    <t>Clotting studies</t>
  </si>
  <si>
    <t>Computerised Tomography - Retired 2006-04-01</t>
  </si>
  <si>
    <t>Computerised Tomography (excludes genitourinary contrast examination/tomography)</t>
  </si>
  <si>
    <t>Cross match blood/group and save serum for later cross match</t>
  </si>
  <si>
    <t>Dental investigation</t>
  </si>
  <si>
    <t>Electrocardiogram</t>
  </si>
  <si>
    <t>Genitourinary contrast examination/tomography</t>
  </si>
  <si>
    <t>Haematology</t>
  </si>
  <si>
    <t>Histology</t>
  </si>
  <si>
    <t>Immunology</t>
  </si>
  <si>
    <t>Magnetic Resonance Imaging</t>
  </si>
  <si>
    <t>None</t>
  </si>
  <si>
    <t>Pregnancy test</t>
  </si>
  <si>
    <t>Refraction, orthoptic tests and computerised visual fields</t>
  </si>
  <si>
    <t>Serology</t>
  </si>
  <si>
    <t>Toxicology</t>
  </si>
  <si>
    <t>Ultrasound</t>
  </si>
  <si>
    <t>Urinalysis</t>
  </si>
  <si>
    <t>X-ray plain film</t>
  </si>
  <si>
    <t>Total Valid records</t>
  </si>
  <si>
    <t>Null/Blank</t>
  </si>
  <si>
    <t>Unmatched</t>
  </si>
  <si>
    <t>Total Invalid records</t>
  </si>
  <si>
    <t>First A&amp;E diagnosis</t>
  </si>
  <si>
    <t>Allergy (inc anaphylaxis)</t>
  </si>
  <si>
    <t>Bites/stings</t>
  </si>
  <si>
    <t>Burns and scalds</t>
  </si>
  <si>
    <t>Cardiac conditions</t>
  </si>
  <si>
    <t>Central nervous system conditions (exc stroke)</t>
  </si>
  <si>
    <t>Cerebro-vascular conditions</t>
  </si>
  <si>
    <t>Contusion/abrasion</t>
  </si>
  <si>
    <t>Dermatological conditions</t>
  </si>
  <si>
    <t>Diabetes and other endocrinological conditions</t>
  </si>
  <si>
    <t>Diagnosis not classifiable</t>
  </si>
  <si>
    <t>Dislocation/fracture/joint injury/amputation</t>
  </si>
  <si>
    <t>Electric shock</t>
  </si>
  <si>
    <t>ENT conditions</t>
  </si>
  <si>
    <t>Facio-maxillary conditions</t>
  </si>
  <si>
    <t>Foreign body</t>
  </si>
  <si>
    <t>Gastrointestinal conditions</t>
  </si>
  <si>
    <t>Gynaecological conditions</t>
  </si>
  <si>
    <t>Haematological conditions</t>
  </si>
  <si>
    <t>Head injury</t>
  </si>
  <si>
    <t>Infectious disease</t>
  </si>
  <si>
    <t>Laceration</t>
  </si>
  <si>
    <t>Local infection</t>
  </si>
  <si>
    <t>Muscle/tendon injury</t>
  </si>
  <si>
    <t>Near drowning</t>
  </si>
  <si>
    <t>Nerve injury</t>
  </si>
  <si>
    <t>Nothing abnormal detected</t>
  </si>
  <si>
    <t>Obstetric conditions</t>
  </si>
  <si>
    <t>Ophthalmological  conditions</t>
  </si>
  <si>
    <t>Other vascular conditions</t>
  </si>
  <si>
    <t>Poisoning (inc overdose)</t>
  </si>
  <si>
    <t>Psychiatric conditions</t>
  </si>
  <si>
    <t>Respiratory conditions</t>
  </si>
  <si>
    <t>Septicaemia</t>
  </si>
  <si>
    <t>Social problems (inc chronic alcoholism and homelessness)</t>
  </si>
  <si>
    <t>Soft tissue inflammation</t>
  </si>
  <si>
    <t>Sprain/ligament injury</t>
  </si>
  <si>
    <t>Urological conditions (inc cystitis)</t>
  </si>
  <si>
    <t>Vascular injury</t>
  </si>
  <si>
    <t>Visceral injury</t>
  </si>
  <si>
    <t>First A&amp;E treatment</t>
  </si>
  <si>
    <t>Active rewarming of the hypothermic patient</t>
  </si>
  <si>
    <t>Anaesthesia</t>
  </si>
  <si>
    <t>Arterial line</t>
  </si>
  <si>
    <t>Bandage/Support</t>
  </si>
  <si>
    <t>Blood product transfusion</t>
  </si>
  <si>
    <t>Burns review</t>
  </si>
  <si>
    <t>Central line</t>
  </si>
  <si>
    <t>Chest drain</t>
  </si>
  <si>
    <t>Cooling - control body temperature</t>
  </si>
  <si>
    <t>Defibrillation / pacing</t>
  </si>
  <si>
    <t>Dental Treatment</t>
  </si>
  <si>
    <t>Dressing</t>
  </si>
  <si>
    <t>Dressing/wound review</t>
  </si>
  <si>
    <t>Epistaxis control</t>
  </si>
  <si>
    <t>Eye</t>
  </si>
  <si>
    <t>Fracture review</t>
  </si>
  <si>
    <t>Guidance/advice only</t>
  </si>
  <si>
    <t>Incision and drainage</t>
  </si>
  <si>
    <t>Infusion fluids</t>
  </si>
  <si>
    <t>Intravenous cannula</t>
  </si>
  <si>
    <t>Joint aspiration</t>
  </si>
  <si>
    <t>Lavage/emesis/charcoal/eye irrigation</t>
  </si>
  <si>
    <t>Loan of walking aid (crutches)</t>
  </si>
  <si>
    <t>Lumbar puncture</t>
  </si>
  <si>
    <t>Manipulation</t>
  </si>
  <si>
    <t>Medication administered</t>
  </si>
  <si>
    <t>Minor plastic procedure/splint skin graft</t>
  </si>
  <si>
    <t>Minor surgery</t>
  </si>
  <si>
    <t>Nasal airway</t>
  </si>
  <si>
    <t>Nebulise/spacer</t>
  </si>
  <si>
    <t>None (consider guidance/advice option)</t>
  </si>
  <si>
    <t>Observation/electrocardiogram pulse oximetry/head injury/trends</t>
  </si>
  <si>
    <t>Occupational therapy</t>
  </si>
  <si>
    <t>Oral airway</t>
  </si>
  <si>
    <t>Other (consider alternatives)</t>
  </si>
  <si>
    <t>Other parenteral drugs</t>
  </si>
  <si>
    <t>Parenteral thrombolysis</t>
  </si>
  <si>
    <t>Pericardiocentesis</t>
  </si>
  <si>
    <t>Physiotherapy</t>
  </si>
  <si>
    <t>Plaster of Paris</t>
  </si>
  <si>
    <t>Prescription (retired 2006)</t>
  </si>
  <si>
    <t>Prescription/medicines prepared to take away</t>
  </si>
  <si>
    <t>Recall/x-ray review</t>
  </si>
  <si>
    <t>Recording vital signs</t>
  </si>
  <si>
    <t>Removal foreign body</t>
  </si>
  <si>
    <t>Resuscitation/cardiopulmonary resuscitation</t>
  </si>
  <si>
    <t>Sling/colar cuff/broad arm sling</t>
  </si>
  <si>
    <t>Social worker intervention</t>
  </si>
  <si>
    <t>Splint</t>
  </si>
  <si>
    <t>Supplemental Oxygen</t>
  </si>
  <si>
    <t>Sutures</t>
  </si>
  <si>
    <t>Tetanus</t>
  </si>
  <si>
    <t>Urinary catherter/suprapubic</t>
  </si>
  <si>
    <t>Wound cleaning</t>
  </si>
  <si>
    <t>Wound closure (exc sutures)</t>
  </si>
  <si>
    <t>Disposal Method</t>
  </si>
  <si>
    <t>Referred to fracture clinic</t>
  </si>
  <si>
    <t>Referred to other outpatient clinic</t>
  </si>
  <si>
    <t>Referred to A&amp;E clinic</t>
  </si>
  <si>
    <t>Referred to other healthcare professional</t>
  </si>
  <si>
    <t>Left department before being treated</t>
  </si>
  <si>
    <t>Transferred to other healthcare provider</t>
  </si>
  <si>
    <t>Left department having refused treatment</t>
  </si>
  <si>
    <t>Died in department</t>
  </si>
  <si>
    <t>Provider description</t>
  </si>
  <si>
    <t>Code</t>
  </si>
  <si>
    <t>Total Attendances </t>
  </si>
  <si>
    <t>Number of attendances with a duration of less than 4 hrs in A&amp;E</t>
  </si>
  <si>
    <t>ENG</t>
  </si>
  <si>
    <t>RTV</t>
  </si>
  <si>
    <t>Aintree University Hospital NHS Foundation Trust</t>
  </si>
  <si>
    <t>REM</t>
  </si>
  <si>
    <t>Airedale NHS Foundation Trust</t>
  </si>
  <si>
    <t>RCF</t>
  </si>
  <si>
    <t>Alder Hey Children's NHS Foundation Trust</t>
  </si>
  <si>
    <t>RBS</t>
  </si>
  <si>
    <t>RTK</t>
  </si>
  <si>
    <t>NQT10</t>
  </si>
  <si>
    <t>RF4</t>
  </si>
  <si>
    <t>Barnsley Hospital NHS Foundation Trust</t>
  </si>
  <si>
    <t>RFF</t>
  </si>
  <si>
    <t>Barts Health NHS Trust</t>
  </si>
  <si>
    <t>R1H</t>
  </si>
  <si>
    <t>RDD</t>
  </si>
  <si>
    <t>NLO03</t>
  </si>
  <si>
    <t>Bedford Hospital NHS Trust</t>
  </si>
  <si>
    <t>RC1</t>
  </si>
  <si>
    <t>Berkshire Healthcare NHS Foundation Trust</t>
  </si>
  <si>
    <t>RWX</t>
  </si>
  <si>
    <t>RQ3</t>
  </si>
  <si>
    <t>Blackpool Teaching Hospitals NHS Foundation Trust</t>
  </si>
  <si>
    <t>RXL</t>
  </si>
  <si>
    <t>Bolton NHS Foundation Trust</t>
  </si>
  <si>
    <t>RMC</t>
  </si>
  <si>
    <t>Bradford Teaching Hospitals NHS Foundation Trust</t>
  </si>
  <si>
    <t>RAE</t>
  </si>
  <si>
    <t>Bransholme Health Centre</t>
  </si>
  <si>
    <t>NNF09</t>
  </si>
  <si>
    <t>Bridgewater Community Healthcare NHS Foundation Trust</t>
  </si>
  <si>
    <t>RY2</t>
  </si>
  <si>
    <t>Bridlington Hospital</t>
  </si>
  <si>
    <t>NNF16</t>
  </si>
  <si>
    <t>RXH</t>
  </si>
  <si>
    <t>Buckinghamshire Healthcare NHS Trust</t>
  </si>
  <si>
    <t>RXQ</t>
  </si>
  <si>
    <t>Burton Hospitals NHS Foundation Trust</t>
  </si>
  <si>
    <t>RJF</t>
  </si>
  <si>
    <t>RWY</t>
  </si>
  <si>
    <t>Cambridge University Hospitals NHS Foundation Trust</t>
  </si>
  <si>
    <t>RGT</t>
  </si>
  <si>
    <t>Central London Community Healthcare NHS Trust</t>
  </si>
  <si>
    <t>RYX</t>
  </si>
  <si>
    <t>Central Manchester University Hospitals NHS Foundation Trust</t>
  </si>
  <si>
    <t>RQM</t>
  </si>
  <si>
    <t>Chesterfield Royal Hospital NHS Foundation Trust</t>
  </si>
  <si>
    <t>RFS</t>
  </si>
  <si>
    <t>City Hospitals Sunderland NHS Foundation Trust</t>
  </si>
  <si>
    <t>RLN</t>
  </si>
  <si>
    <t>Clacton Hospital</t>
  </si>
  <si>
    <t>NQ108</t>
  </si>
  <si>
    <t>Colchester Hospital University NHS Foundation Trust</t>
  </si>
  <si>
    <t>RDE</t>
  </si>
  <si>
    <t>Countess Of Chester Hospital NHS Foundation Trust</t>
  </si>
  <si>
    <t>RJR</t>
  </si>
  <si>
    <t>RXP</t>
  </si>
  <si>
    <t>Croydon Health Services NHS Trust</t>
  </si>
  <si>
    <t>RJ6</t>
  </si>
  <si>
    <t>Cumberland Centre</t>
  </si>
  <si>
    <t>NR502</t>
  </si>
  <si>
    <t>Cumbria Partnership NHS Foundation Trust</t>
  </si>
  <si>
    <t>RNN</t>
  </si>
  <si>
    <t>RTG</t>
  </si>
  <si>
    <t>Derbyshire Community Health Services NHS Foundation Trust</t>
  </si>
  <si>
    <t>RY8</t>
  </si>
  <si>
    <t>RP5</t>
  </si>
  <si>
    <t>Dorset County Hospital NHS Foundation Trust</t>
  </si>
  <si>
    <t>RBD</t>
  </si>
  <si>
    <t>RWH</t>
  </si>
  <si>
    <t>East Cheshire NHS Trust</t>
  </si>
  <si>
    <t>RJN</t>
  </si>
  <si>
    <t>East Kent Hospitals University NHS Foundation Trust</t>
  </si>
  <si>
    <t>RVV</t>
  </si>
  <si>
    <t>East Lancashire Hospitals NHS Trust</t>
  </si>
  <si>
    <t>RXR</t>
  </si>
  <si>
    <t>East Sussex Healthcare NHS Trust</t>
  </si>
  <si>
    <t>RXC</t>
  </si>
  <si>
    <t>Freedom Centre</t>
  </si>
  <si>
    <t>NNF28</t>
  </si>
  <si>
    <t>Frimley Health NHS Foundation Trust</t>
  </si>
  <si>
    <t>RDU</t>
  </si>
  <si>
    <t>Fryatt Hospital</t>
  </si>
  <si>
    <t>NQ106</t>
  </si>
  <si>
    <t>Gateshead Health NHS Foundation Trust</t>
  </si>
  <si>
    <t>George Eliot Hospital NHS Trust</t>
  </si>
  <si>
    <t>RLT</t>
  </si>
  <si>
    <t>Gloucestershire Care Services NHS Trust</t>
  </si>
  <si>
    <t>R1J</t>
  </si>
  <si>
    <t>Gloucestershire Hospitals NHS Foundation Trust</t>
  </si>
  <si>
    <t>RTE</t>
  </si>
  <si>
    <t>Great Western Hospitals NHS Foundation Trust</t>
  </si>
  <si>
    <t>RN3</t>
  </si>
  <si>
    <t>Hampshire Hospitals NHS Foundation Trust</t>
  </si>
  <si>
    <t>RCD</t>
  </si>
  <si>
    <t>Haslemere Minor Injuries Unit</t>
  </si>
  <si>
    <t>NDA57</t>
  </si>
  <si>
    <t>Heart Of England NHS Foundation Trust</t>
  </si>
  <si>
    <t>Hertfordshire Community NHS Trust</t>
  </si>
  <si>
    <t>RY4</t>
  </si>
  <si>
    <t>Homerton University Hospital NHS Foundation Trust</t>
  </si>
  <si>
    <t>RQX</t>
  </si>
  <si>
    <t>RY9</t>
  </si>
  <si>
    <t>RWA</t>
  </si>
  <si>
    <t>Humber NHS Foundation Trust</t>
  </si>
  <si>
    <t>Imperial College Healthcare NHS Trust</t>
  </si>
  <si>
    <t>RYJ</t>
  </si>
  <si>
    <t>Ipswich Hospital NHS Trust</t>
  </si>
  <si>
    <t>RGQ</t>
  </si>
  <si>
    <t>Isle Of Wight NHS Trust</t>
  </si>
  <si>
    <t>James Paget University Hospitals NHS Foundation Trust</t>
  </si>
  <si>
    <t>RGP</t>
  </si>
  <si>
    <t>RYY</t>
  </si>
  <si>
    <t>Kettering General Hospital NHS Foundation Trust</t>
  </si>
  <si>
    <t>RNQ</t>
  </si>
  <si>
    <t>King's College Hospital NHS Foundation Trust</t>
  </si>
  <si>
    <t>RJZ</t>
  </si>
  <si>
    <t>Kingston Hospital NHS Foundation Trust</t>
  </si>
  <si>
    <t>RAX</t>
  </si>
  <si>
    <t>Lancashire Teaching Hospitals NHS Foundation Trust</t>
  </si>
  <si>
    <t>RXN</t>
  </si>
  <si>
    <t>Leeds Teaching Hospitals NHS Trust</t>
  </si>
  <si>
    <t>RR8</t>
  </si>
  <si>
    <t>RJ2</t>
  </si>
  <si>
    <t>Lincolnshire Community Health Services NHS Trust</t>
  </si>
  <si>
    <t>RY5</t>
  </si>
  <si>
    <t>Liverpool Community Health NHS Trust</t>
  </si>
  <si>
    <t>RY1</t>
  </si>
  <si>
    <t>Liverpool Women's NHS Foundation Trust</t>
  </si>
  <si>
    <t>REP</t>
  </si>
  <si>
    <t>R1K</t>
  </si>
  <si>
    <t>RC9</t>
  </si>
  <si>
    <t>RWF</t>
  </si>
  <si>
    <t>Medway NHS Foundation Trust</t>
  </si>
  <si>
    <t>RPA</t>
  </si>
  <si>
    <t>Mid Cheshire Hospitals NHS Foundation Trust</t>
  </si>
  <si>
    <t>RBT</t>
  </si>
  <si>
    <t>Mid Essex Hospital Services NHS Trust</t>
  </si>
  <si>
    <t>RQ8</t>
  </si>
  <si>
    <t>Mid Yorkshire Hospitals NHS Trust</t>
  </si>
  <si>
    <t>RD8</t>
  </si>
  <si>
    <t>Moorfields Eye Hospital NHS Foundation Trust</t>
  </si>
  <si>
    <t>RP6</t>
  </si>
  <si>
    <t>RM1</t>
  </si>
  <si>
    <t>North Bristol NHS Trust</t>
  </si>
  <si>
    <t>North Cumbria University Hospitals NHS Trust</t>
  </si>
  <si>
    <t>RNL</t>
  </si>
  <si>
    <t>North East London NHS Foundation Trust</t>
  </si>
  <si>
    <t>RAT</t>
  </si>
  <si>
    <t>North Middlesex University Hospital NHS Trust</t>
  </si>
  <si>
    <t>RAP</t>
  </si>
  <si>
    <t>NLT01</t>
  </si>
  <si>
    <t>RVW</t>
  </si>
  <si>
    <t>Northampton General Hospital NHS Trust</t>
  </si>
  <si>
    <t>RNS</t>
  </si>
  <si>
    <t>Northern Devon Healthcare NHS Trust</t>
  </si>
  <si>
    <t>RBZ</t>
  </si>
  <si>
    <t>Northumbria Healthcare NHS Foundation Trust</t>
  </si>
  <si>
    <t>RTF</t>
  </si>
  <si>
    <t>Nottingham University Hospitals NHS Trust</t>
  </si>
  <si>
    <t>RX1</t>
  </si>
  <si>
    <t>Oxford Health NHS Foundation Trust</t>
  </si>
  <si>
    <t>RNU</t>
  </si>
  <si>
    <t>RTH</t>
  </si>
  <si>
    <t>Paulton Memorial Hospital</t>
  </si>
  <si>
    <t>Pennine Acute Hospitals NHS Trust</t>
  </si>
  <si>
    <t>RW6</t>
  </si>
  <si>
    <t>RGN</t>
  </si>
  <si>
    <t>Plymouth Hospitals NHS Trust</t>
  </si>
  <si>
    <t>RK9</t>
  </si>
  <si>
    <t>Poole Hospital NHS Foundation Trust</t>
  </si>
  <si>
    <t>RD3</t>
  </si>
  <si>
    <t>Portsmouth Hospitals NHS Trust</t>
  </si>
  <si>
    <t>RHU</t>
  </si>
  <si>
    <t>Queen Victoria Hospital NHS Foundation Trust</t>
  </si>
  <si>
    <t>RPC</t>
  </si>
  <si>
    <t>Royal Berkshire NHS Foundation Trust</t>
  </si>
  <si>
    <t>RHW</t>
  </si>
  <si>
    <t>Royal Cornwall Hospitals NHS Trust</t>
  </si>
  <si>
    <t>RH8</t>
  </si>
  <si>
    <t>Royal Free London NHS Foundation Trust</t>
  </si>
  <si>
    <t>RAL</t>
  </si>
  <si>
    <t>RQ6</t>
  </si>
  <si>
    <t>Royal Surrey County Hospital NHS Foundation Trust</t>
  </si>
  <si>
    <t>RA2</t>
  </si>
  <si>
    <t>Royal United Hospitals Bath NHS Foundation Trust</t>
  </si>
  <si>
    <t>RD1</t>
  </si>
  <si>
    <t>Salford Royal NHS Foundation Trust</t>
  </si>
  <si>
    <t>RM3</t>
  </si>
  <si>
    <t>Salisbury NHS Foundation Trust</t>
  </si>
  <si>
    <t>RNZ</t>
  </si>
  <si>
    <t>Seaton House</t>
  </si>
  <si>
    <t>NR318</t>
  </si>
  <si>
    <t>Sheffield Children's NHS Foundation Trust</t>
  </si>
  <si>
    <t>RCU</t>
  </si>
  <si>
    <t>Sheffield Teaching Hospitals NHS Foundation Trust</t>
  </si>
  <si>
    <t>RHQ</t>
  </si>
  <si>
    <t>Sherwood Forest Hospitals NHS Foundation Trust</t>
  </si>
  <si>
    <t>RK5</t>
  </si>
  <si>
    <t>RXW</t>
  </si>
  <si>
    <t>Shropshire Community Health NHS Trust</t>
  </si>
  <si>
    <t>R1D</t>
  </si>
  <si>
    <t>Somerset Partnership NHS Foundation Trust</t>
  </si>
  <si>
    <t>RH5</t>
  </si>
  <si>
    <t>RA9</t>
  </si>
  <si>
    <t>South Tees Hospitals NHS Foundation Trust</t>
  </si>
  <si>
    <t>RTR</t>
  </si>
  <si>
    <t>South Tyneside NHS Foundation Trust</t>
  </si>
  <si>
    <t>RE9</t>
  </si>
  <si>
    <t>South Warwickshire NHS Foundation Trust</t>
  </si>
  <si>
    <t>RJC</t>
  </si>
  <si>
    <t>Southampton NHS Treatment Centre</t>
  </si>
  <si>
    <t>NTP11</t>
  </si>
  <si>
    <t>Southend University Hospital NHS Foundation Trust</t>
  </si>
  <si>
    <t>RAJ</t>
  </si>
  <si>
    <t>Southern Health NHS Foundation Trust</t>
  </si>
  <si>
    <t>RW1</t>
  </si>
  <si>
    <t>RVY</t>
  </si>
  <si>
    <t>RJ7</t>
  </si>
  <si>
    <t>RBN</t>
  </si>
  <si>
    <t>St Mary's NHS Treatment Centre</t>
  </si>
  <si>
    <t>NTPAD</t>
  </si>
  <si>
    <t>Stockport NHS Foundation Trust</t>
  </si>
  <si>
    <t>RWJ</t>
  </si>
  <si>
    <t>RTP</t>
  </si>
  <si>
    <t>RDR</t>
  </si>
  <si>
    <t>RMP</t>
  </si>
  <si>
    <t>RBA</t>
  </si>
  <si>
    <t>Tetbury Hospital Trust</t>
  </si>
  <si>
    <t>AAH01</t>
  </si>
  <si>
    <t>The Dudley Group NHS Foundation Trust</t>
  </si>
  <si>
    <t>RNA</t>
  </si>
  <si>
    <t>The Hillingdon Hospitals NHS Foundation Trust</t>
  </si>
  <si>
    <t>RAS</t>
  </si>
  <si>
    <t>The Newcastle Upon Tyne Hospitals NHS Foundation Trust</t>
  </si>
  <si>
    <t>RTD</t>
  </si>
  <si>
    <t>The Princess Alexandra Hospital NHS Trust</t>
  </si>
  <si>
    <t>RQW</t>
  </si>
  <si>
    <t>The Queen Elizabeth Hospital, King's Lynn, NHS Foundation Trust</t>
  </si>
  <si>
    <t>RCX</t>
  </si>
  <si>
    <t>The Rotherham NHS Foundation Trust</t>
  </si>
  <si>
    <t>RFR</t>
  </si>
  <si>
    <t>RDZ</t>
  </si>
  <si>
    <t>The Royal Wolverhampton NHS Trust</t>
  </si>
  <si>
    <t>RL4</t>
  </si>
  <si>
    <t>RKE</t>
  </si>
  <si>
    <t>United Lincolnshire Hospitals NHS Trust</t>
  </si>
  <si>
    <t>RWD</t>
  </si>
  <si>
    <t>University College London Hospitals NHS Foundation Trust</t>
  </si>
  <si>
    <t>RRV</t>
  </si>
  <si>
    <t>University Hospital Of South Manchester NHS Foundation Trust</t>
  </si>
  <si>
    <t>RM2</t>
  </si>
  <si>
    <t>University Hospital Southampton NHS Foundation Trust</t>
  </si>
  <si>
    <t>RHM</t>
  </si>
  <si>
    <t>University Hospitals Birmingham NHS Foundation Trust</t>
  </si>
  <si>
    <t>University Hospitals Bristol NHS Foundation Trust</t>
  </si>
  <si>
    <t>RA7</t>
  </si>
  <si>
    <t>RKB</t>
  </si>
  <si>
    <t>University Hospitals Of Leicester NHS Trust</t>
  </si>
  <si>
    <t>RWE</t>
  </si>
  <si>
    <t>University Hospitals Of Morecambe Bay NHS Foundation Trust</t>
  </si>
  <si>
    <t>RTX</t>
  </si>
  <si>
    <t>University Hospitals Of North Midlands NHS Trust</t>
  </si>
  <si>
    <t>RJE</t>
  </si>
  <si>
    <t>Walsall Healthcare NHS Trust</t>
  </si>
  <si>
    <t>RBK</t>
  </si>
  <si>
    <t>RWW</t>
  </si>
  <si>
    <t>West Hertfordshire Hospitals NHS Trust</t>
  </si>
  <si>
    <t>RWG</t>
  </si>
  <si>
    <t>West Suffolk NHS Foundation Trust</t>
  </si>
  <si>
    <t>RGR</t>
  </si>
  <si>
    <t>Western Sussex Hospitals NHS Foundation Trust</t>
  </si>
  <si>
    <t>Weston Area Health NHS Trust</t>
  </si>
  <si>
    <t>RA3</t>
  </si>
  <si>
    <t>Weybridge Walk In Centre</t>
  </si>
  <si>
    <t>Wirral University Teaching Hospital NHS Foundation Trust</t>
  </si>
  <si>
    <t>RBL</t>
  </si>
  <si>
    <t>Woking Walk In Centre</t>
  </si>
  <si>
    <t>Worcestershire Acute Hospitals NHS Trust</t>
  </si>
  <si>
    <t>RRF</t>
  </si>
  <si>
    <t>Wye Valley NHS Trust</t>
  </si>
  <si>
    <t>RLQ</t>
  </si>
  <si>
    <t>Yate West Gate Centre</t>
  </si>
  <si>
    <t>NLX24</t>
  </si>
  <si>
    <t>Yeovil District Hospital NHS Foundation Trust</t>
  </si>
  <si>
    <t>RA4</t>
  </si>
  <si>
    <t>York Teaching Hospital NHS Foundation Trust</t>
  </si>
  <si>
    <t>RCB</t>
  </si>
  <si>
    <t>Not Specified</t>
  </si>
  <si>
    <t>NJS05</t>
  </si>
  <si>
    <t>RY7</t>
  </si>
  <si>
    <t>All data tables include information from Major A&amp;E departments, minor injuries units and walk in centres unless otherwise stated.</t>
  </si>
  <si>
    <t>Contact via enquiries@NHSDigital.nhs.uk or 0300 303 5678</t>
  </si>
  <si>
    <t>Primary A&amp;E Diagnosis - 2 Character Level¹</t>
  </si>
  <si>
    <t>First A&amp;E Investigation - 2 Character Level²</t>
  </si>
  <si>
    <t>First A&amp;E Treatment - 2 Character Level³</t>
  </si>
  <si>
    <t>Other NHS</t>
  </si>
  <si>
    <t xml:space="preserve"> </t>
  </si>
  <si>
    <t>% of total attendances - less than 4 hrs in A&amp;E</t>
  </si>
  <si>
    <t>RN7-X</t>
  </si>
  <si>
    <t>Derby Teaching Hospitals NHS Foundation Trust</t>
  </si>
  <si>
    <t>RVR-X</t>
  </si>
  <si>
    <t>RR7-X</t>
  </si>
  <si>
    <t>RJ1-X</t>
  </si>
  <si>
    <t>RN5-X</t>
  </si>
  <si>
    <t>Haverstock Healthcare (Cheshunt Community Hospital)</t>
  </si>
  <si>
    <t>NEH06</t>
  </si>
  <si>
    <t>RR1-X</t>
  </si>
  <si>
    <t>RV9-X</t>
  </si>
  <si>
    <t>R1F-X</t>
  </si>
  <si>
    <t>Kent Community Health NHS Foundation Trust</t>
  </si>
  <si>
    <t>NLO11</t>
  </si>
  <si>
    <t>NLO09</t>
  </si>
  <si>
    <t>RXF-X</t>
  </si>
  <si>
    <t>Milton Keynes University Hospital NHS Foundation Trust</t>
  </si>
  <si>
    <t>RVJ-X</t>
  </si>
  <si>
    <t>RJL-X</t>
  </si>
  <si>
    <t>NLO10</t>
  </si>
  <si>
    <t>NLO12</t>
  </si>
  <si>
    <t>One Medical Group Limited</t>
  </si>
  <si>
    <t>8JA04</t>
  </si>
  <si>
    <t>Oxford University Hospitals NHS Foundation Trust</t>
  </si>
  <si>
    <t>REF-X</t>
  </si>
  <si>
    <t>RXK-X</t>
  </si>
  <si>
    <t>RYF</t>
  </si>
  <si>
    <t>St George's University Hospitals NHS Foundation Trust</t>
  </si>
  <si>
    <t>Sussex Community NHS Foundation Trust</t>
  </si>
  <si>
    <t>RRK-X</t>
  </si>
  <si>
    <t>RYR-X</t>
  </si>
  <si>
    <t>Wirral Community NHS Foundation Trust</t>
  </si>
  <si>
    <t>RWP-X</t>
  </si>
  <si>
    <t>Return to Contents</t>
  </si>
  <si>
    <t>Hour of arrival</t>
  </si>
  <si>
    <t>Duration in department</t>
  </si>
  <si>
    <t>00:00 - 00:10</t>
  </si>
  <si>
    <t>00:11 - 00:20</t>
  </si>
  <si>
    <t>00:21 - 00:30</t>
  </si>
  <si>
    <t>00:31 - 00:40</t>
  </si>
  <si>
    <t>00:41 - 00:50</t>
  </si>
  <si>
    <t>00:51 - 01:00</t>
  </si>
  <si>
    <t>01:01 - 01:10</t>
  </si>
  <si>
    <t>01:11 - 01:20</t>
  </si>
  <si>
    <t>01:21 - 01:30</t>
  </si>
  <si>
    <t>01:31-  01:40</t>
  </si>
  <si>
    <t>01:41 - 01:50</t>
  </si>
  <si>
    <t>01:51 - 02:00</t>
  </si>
  <si>
    <t>02:01 - 02:10</t>
  </si>
  <si>
    <t>02:11 - 02:20</t>
  </si>
  <si>
    <t>02:21 - 02:30</t>
  </si>
  <si>
    <t>02:31 - 02:40</t>
  </si>
  <si>
    <t>02:41 - 02:50</t>
  </si>
  <si>
    <t>02:51 - 03:00</t>
  </si>
  <si>
    <t>03:01 - 03:10</t>
  </si>
  <si>
    <t>03:11 - 03:20</t>
  </si>
  <si>
    <t>03:21 - 03:30</t>
  </si>
  <si>
    <t>03:31 - 03:40</t>
  </si>
  <si>
    <t>03:41 - 03:50</t>
  </si>
  <si>
    <t>03:51 - 04:00</t>
  </si>
  <si>
    <t>04:01 or above</t>
  </si>
  <si>
    <t>Admitted / became a lodged patient</t>
  </si>
  <si>
    <t>Discharged - GP follow up</t>
  </si>
  <si>
    <t>Discharged - no follow up</t>
  </si>
  <si>
    <t>Referred</t>
  </si>
  <si>
    <t>Other (Inc. not known)</t>
  </si>
  <si>
    <t>Number of A&amp;E Attendances</t>
  </si>
  <si>
    <t>Percentage</t>
  </si>
  <si>
    <t>Ambulance</t>
  </si>
  <si>
    <t>Admitted</t>
  </si>
  <si>
    <t>Others (inc. not known)</t>
  </si>
  <si>
    <t>To Initial Assessment</t>
  </si>
  <si>
    <t>To Treatment</t>
  </si>
  <si>
    <t>To Departure</t>
  </si>
  <si>
    <t>Road accident</t>
  </si>
  <si>
    <t>Self harm</t>
  </si>
  <si>
    <t>Duration in department
(hh:mm)</t>
  </si>
  <si>
    <t>Attendances</t>
  </si>
  <si>
    <t>Discharged - No Follow Up</t>
  </si>
  <si>
    <t>Discharged - GP</t>
  </si>
  <si>
    <t>Mean Duration (mins)</t>
  </si>
  <si>
    <t>Median Duration (mins)</t>
  </si>
  <si>
    <t>Published by NHS Digital part of the Government Statistical Service</t>
  </si>
  <si>
    <t>NHS Digital is the trading name of the Health and Social Care Information Centre</t>
  </si>
  <si>
    <t>Contact details</t>
  </si>
  <si>
    <t>Author: Secondary Care Analysis, NHS Digital</t>
  </si>
  <si>
    <t>Public enquiries: Telephone: 0300 303 5678</t>
  </si>
  <si>
    <t>Email: enquiries@nhsdigital.nhs.uk</t>
  </si>
  <si>
    <t>Press enquiries should be made to: Media Relations Manager: telephone 0300 303 3888</t>
  </si>
  <si>
    <t>The tables should be referenced alongside the Annual Summary Report.</t>
  </si>
  <si>
    <t>Introduction</t>
  </si>
  <si>
    <t>Excel tables and charts</t>
  </si>
  <si>
    <t>2016-17</t>
  </si>
  <si>
    <t>Assura Reading LLP</t>
  </si>
  <si>
    <t>Bilton Grange Health Centre</t>
  </si>
  <si>
    <t>NNF45</t>
  </si>
  <si>
    <t>Cornwall Partnership NHS Foundation Trust</t>
  </si>
  <si>
    <t>RJ8</t>
  </si>
  <si>
    <t>AD915</t>
  </si>
  <si>
    <t>North West Anglia NHS Foundation Trust</t>
  </si>
  <si>
    <t>North West Boroughs Healthcare NHS Foundation Trust</t>
  </si>
  <si>
    <t>Ealing Hospital UCC</t>
  </si>
  <si>
    <t>Bath &amp; North East Somerset Doctors Urgent Care [BDUC]</t>
  </si>
  <si>
    <t>North Somerset Community Partnership CIC HQ</t>
  </si>
  <si>
    <t>Barking, Havering and Redbridge University Hospitals NHS Trust</t>
  </si>
  <si>
    <t>Torbay and South Devon NHS Foundation Trust</t>
  </si>
  <si>
    <t>Taunton and Somerset NHS Foundation Trust</t>
  </si>
  <si>
    <t>St Helens and Knowsley Hospital Services NHS Trust</t>
  </si>
  <si>
    <t>Luton and Dunstable University Hospital NHS Foundation Trust</t>
  </si>
  <si>
    <t>Harrogate and District NHS Foundation Trust</t>
  </si>
  <si>
    <t>Basildon and Thurrock University Hospitals NHS Foundation Trust</t>
  </si>
  <si>
    <t>The Royal Bournemouth and Christchurch Hospitals NHS Foundation Trust</t>
  </si>
  <si>
    <t>Royal Devon and Exeter NHS Foundation Trust</t>
  </si>
  <si>
    <t>Guy's and St Thomas' NHS Foundation Trust</t>
  </si>
  <si>
    <t>Lewisham and Greenwich NHS Trust</t>
  </si>
  <si>
    <t>Northern Lincolnshire and Goole NHS Foundation Trust</t>
  </si>
  <si>
    <t>University Hospitals Coventry and Warwickshire NHS Trust</t>
  </si>
  <si>
    <t>Norfolk and Norwich University Hospitals NHS Foundation Trust</t>
  </si>
  <si>
    <t>Tameside and Glossop Integrated Care NHS Foundation Trust</t>
  </si>
  <si>
    <t>Dartford and Gravesham NHS Trust</t>
  </si>
  <si>
    <t>Doncaster and Bassetlaw Teaching Hospitals NHS Foundation Trust</t>
  </si>
  <si>
    <t>Birmingham Women's and Children's NHS Foundation Trust</t>
  </si>
  <si>
    <t>Royal Liverpool and Broadgreen University Hospitals NHS Trust</t>
  </si>
  <si>
    <t>Chelsea and Westminster Hospital NHS Foundation Trust</t>
  </si>
  <si>
    <t>Wrightington, Wigan and Leigh NHS Foundation Trust</t>
  </si>
  <si>
    <t>Ashford and St Peter's Hospitals NHS Foundation Trust</t>
  </si>
  <si>
    <t>Surrey and Sussex Healthcare NHS Trust</t>
  </si>
  <si>
    <t>Epsom and St Helier University Hospitals NHS Trust</t>
  </si>
  <si>
    <t>North Tees and Hartlepool NHS Foundation Trust</t>
  </si>
  <si>
    <t>Southport and Ormskirk Hospital NHS Trust</t>
  </si>
  <si>
    <t>Hull and East Yorkshire Hospitals NHS Trust</t>
  </si>
  <si>
    <t>Maidstone and Tunbridge Wells NHS Trust</t>
  </si>
  <si>
    <t>East and North Hertfordshire NHS Trust</t>
  </si>
  <si>
    <t>Warrington and Halton Hospitals NHS Foundation Trust</t>
  </si>
  <si>
    <t>Calderdale and Huddersfield NHS Foundation Trust</t>
  </si>
  <si>
    <t>Brighton and Sussex University Hospitals NHS Trust</t>
  </si>
  <si>
    <t>Sandwell and West Birmingham Hospitals NHS Trust</t>
  </si>
  <si>
    <t>County Durham and Darlington NHS Foundation Trust</t>
  </si>
  <si>
    <t>Shrewsbury and Telford Hospital NHS Trust</t>
  </si>
  <si>
    <t>Hounslow and Richmond Community Healthcare NHS Trust</t>
  </si>
  <si>
    <t>MSitAE</t>
  </si>
  <si>
    <t>RW3</t>
  </si>
  <si>
    <t>DATA COVERAGE</t>
  </si>
  <si>
    <t>Left department before being seen for treatment
(Data quality)</t>
  </si>
  <si>
    <t>Left department before being seen for treatment
(Performance)</t>
  </si>
  <si>
    <t>Re-attendance
(Data quality)</t>
  </si>
  <si>
    <t>Re-attendance
(Performance)</t>
  </si>
  <si>
    <t>Timeliness 
(Data quality)</t>
  </si>
  <si>
    <t>Time to initial assessment [emergency ambulance cases only]
(Data quality)</t>
  </si>
  <si>
    <t>Time to initial assessment [emergency ambulance cases only]
(Performance; minutes) [see footnote 6]</t>
  </si>
  <si>
    <t>Time to Treatment
(Data quality)</t>
  </si>
  <si>
    <t>Time to Treatment
(Performance; minutes)</t>
  </si>
  <si>
    <t>Total Time in A&amp;E (minutes)
[Admitted patients only]</t>
  </si>
  <si>
    <t>Total Time in A&amp;E (minutes)
[Non-admitted patients only]</t>
  </si>
  <si>
    <t>Total Time in A&amp;E
(Data quality)
[All patients]</t>
  </si>
  <si>
    <t>Total Time in A&amp;E
(Performance; minutes)
[All patients]</t>
  </si>
  <si>
    <t>Organisation Code</t>
  </si>
  <si>
    <t>Organisation Name</t>
  </si>
  <si>
    <t> Total number of attendances in A&amp;E HES 
(excluding planned follow-up attendances and attendances where the attendance category was unknown) </t>
  </si>
  <si>
    <t>Total number of attendances in A&amp;E HES 
(excluding planned follow-up attendances and attendances where the attendance category was unknown)</t>
  </si>
  <si>
    <t>Attendances with an unknown attendance disposal category</t>
  </si>
  <si>
    <t>% of attendances with unknown attendance disposal categories</t>
  </si>
  <si>
    <t>% of attendances with an attendance disposal category of "Other"</t>
  </si>
  <si>
    <t>Total number of attendances in A&amp;E HES 
(excluding planned follow-up attendances, attendances where the attendance category was unknown, and attendances where the attendance disposal category was unknown)</t>
  </si>
  <si>
    <t>Number of attendances with an attendance disposal of "Left Department before being seen for treatment"</t>
  </si>
  <si>
    <t>Left department before being seen for treatment</t>
  </si>
  <si>
    <t>Total number of applicable attendances for this indicator (1st A&amp;E attendance, unplanned follow up attendance and unknown attendance)</t>
  </si>
  <si>
    <t> Attendances with unknown attendance category </t>
  </si>
  <si>
    <t>% of attendances with an unknown attendance category</t>
  </si>
  <si>
    <t>Number of re-attendances within 7 days of a previous attendance at A&amp;E</t>
  </si>
  <si>
    <t>Re-attendance rate</t>
  </si>
  <si>
    <t>% attendances with an arrival time of exactly midnight (00:00)</t>
  </si>
  <si>
    <t>Total number of attendances in A&amp;E HES that were brought in by ambulance
(excluding planned follow-up attendances and attendances where the attendance category was unknown)</t>
  </si>
  <si>
    <t>Attendances with an unknown duration to initial assessment</t>
  </si>
  <si>
    <t>% of attendances with unknown duration to assessment times</t>
  </si>
  <si>
    <t>Did all attendances have a duration to assessment of 0 minutes?</t>
  </si>
  <si>
    <t>% of attendances with an initial assessment time of exactly midnight (00:00) [see footnote 8]</t>
  </si>
  <si>
    <t>Median</t>
  </si>
  <si>
    <t>95th Percentile [see footnote 4]</t>
  </si>
  <si>
    <t>Longest wait [see footnotes 5]</t>
  </si>
  <si>
    <t>Total number of attendances in A&amp;E HES 
(excluding planned follow-up attendances,  attendances where the attendance category was unknown, and attendances where the attendance disposal category was: Left Before Treatment, Left Refusing Treatment, or Unknown)</t>
  </si>
  <si>
    <t>Attendances with unknown duration to treatment</t>
  </si>
  <si>
    <t>% of attendances with unknown duration to treatment times</t>
  </si>
  <si>
    <t>Did more than 25% of attendances have a duration to treatment of 0 minutes?</t>
  </si>
  <si>
    <t>% attendances with a treatment time of exactly midnight (00:00)</t>
  </si>
  <si>
    <r>
      <t xml:space="preserve">Longest wait
</t>
    </r>
    <r>
      <rPr>
        <sz val="10"/>
        <rFont val="Arial"/>
        <family val="2"/>
      </rPr>
      <t xml:space="preserve"> [see footnote 5]</t>
    </r>
  </si>
  <si>
    <t>Attendances with unknown duration to departure</t>
  </si>
  <si>
    <t>% of attendances with unknown duration to departure times</t>
  </si>
  <si>
    <t>Did more than 25% of attendances have a duration to departure of 0 minutes?</t>
  </si>
  <si>
    <t>% attendances with a departure time of exactly midnight (00:00) [see footnote 8]</t>
  </si>
  <si>
    <t>ENGLAND</t>
  </si>
  <si>
    <t xml:space="preserve"> Number of attendances from A&amp;E Situation Reports (MSitAE) [see footnote 1] </t>
  </si>
  <si>
    <t>A&amp;E HES attendances as % of MSitAE attendances [see footnote 2]</t>
  </si>
  <si>
    <t>Assessment of coverage of A&amp;E HES data, compared to MSitAE data</t>
  </si>
  <si>
    <t>Data Completeness and comparison with A&amp;E MSitAE</t>
  </si>
  <si>
    <t>1: Comparable with MSitAE</t>
  </si>
  <si>
    <t>MSitAE data published by NHS England</t>
  </si>
  <si>
    <t>*The count of providers in the above table is a count of the number of distinct provider codes from each data set. Where providers have submitted to each data set at a different level of aggregation, this will be reflected in the provider count. For example Peninsula Health - NLL makes a single submission to MSitAE under code NLL, but submits data to HES under 12 distinct site codes. In previous years, these data have been represented as counts of distinct three character codes, however, the inclusion of GP practice codes has made this methodology unsustainable for the future.</t>
  </si>
  <si>
    <r>
      <rPr>
        <b/>
        <sz val="10"/>
        <rFont val="Arial"/>
        <family val="2"/>
      </rPr>
      <t>Footnotes:</t>
    </r>
    <r>
      <rPr>
        <sz val="10"/>
        <rFont val="Arial"/>
        <family val="2"/>
      </rPr>
      <t xml:space="preserve">
1. MSitAE data is no longer reported on a weekly basis. It is now reported on a monthly basis therefore scaling is no longer required. 
2. Note that this column only presents data for organisations which submitted data to both HES and MSitAE. Therefore the England total presented here will be lower than that on published MSitAE.
3. Although data are reported to A&amp;E HES, all attendances had an unknown attendance category.</t>
    </r>
  </si>
  <si>
    <t>This is a joint publication between NHS Digital and NHS England</t>
  </si>
  <si>
    <t>Age Group</t>
  </si>
  <si>
    <t>Disposal method</t>
  </si>
  <si>
    <t>Activity in English NHS Hospitals and English NHS commissioned activity in the independent sector. </t>
  </si>
  <si>
    <t xml:space="preserve">Activity in English NHS Hospitals and English NHS commissioned activity in the independent sector.      
</t>
  </si>
  <si>
    <t>Clinical Quality Indicators</t>
  </si>
  <si>
    <t>Patient Group</t>
  </si>
  <si>
    <t>Table 1</t>
  </si>
  <si>
    <t>Table 2</t>
  </si>
  <si>
    <t>Table 3</t>
  </si>
  <si>
    <t>Table 4</t>
  </si>
  <si>
    <t>Table 5</t>
  </si>
  <si>
    <t>Table 6</t>
  </si>
  <si>
    <t>Table 7</t>
  </si>
  <si>
    <t>Table 8</t>
  </si>
  <si>
    <t>Table 10</t>
  </si>
  <si>
    <t>Table 11</t>
  </si>
  <si>
    <t>Table 12</t>
  </si>
  <si>
    <t>Table 9</t>
  </si>
  <si>
    <t>Table 13</t>
  </si>
  <si>
    <t>Table 14</t>
  </si>
  <si>
    <t>Table 15</t>
  </si>
  <si>
    <t>Table 16</t>
  </si>
  <si>
    <t>Table 17</t>
  </si>
  <si>
    <t>Table 18</t>
  </si>
  <si>
    <t>Table 19</t>
  </si>
  <si>
    <t>Table 20</t>
  </si>
  <si>
    <t>Table 22</t>
  </si>
  <si>
    <t>Table 21</t>
  </si>
  <si>
    <t>Table 23</t>
  </si>
  <si>
    <t>Table 24</t>
  </si>
  <si>
    <t>Table 25</t>
  </si>
  <si>
    <t>Continuous positive airways pressure/nasal intermittent positive pressure ventilation/bag valve mask</t>
  </si>
  <si>
    <t>Intubation &amp; Endotracheal tubes/laryngeal mask airways/rapid sequence induction</t>
  </si>
  <si>
    <t xml:space="preserve">This is a joint publication between NHS Digital and NHS England providing a collective and coherent release between the two organisations.  This enables a wider set of breakdowns and measures in the detailed reports.  
The data sources for this publication are:
• Hospital Episode Statistics (HES)
• A&amp;E Attendances and Emergency Admissions Monthly Situation Reports (MSitAE) 
</t>
  </si>
  <si>
    <t>Publication date: 13th September 2018</t>
  </si>
  <si>
    <t xml:space="preserve">Link to publication: </t>
  </si>
  <si>
    <r>
      <t>Hospital Accident and Emergency Activity - 2017-18</t>
    </r>
    <r>
      <rPr>
        <sz val="27"/>
        <color rgb="FF005EB8"/>
        <rFont val="Arial"/>
        <family val="2"/>
      </rPr>
      <t xml:space="preserve">
</t>
    </r>
  </si>
  <si>
    <t>Copyright © 2018</t>
  </si>
  <si>
    <t>Accident and Emergency Annual Report 2017-18: Table of contents</t>
  </si>
  <si>
    <t>Number of Valid Records by A&amp;E Key Field, 2015-16 and 2017-18</t>
  </si>
  <si>
    <t>Comparison of 2016-17 and 2017-18 Unplanned A&amp;E Attendances in A&amp;E HES against those reported in MSitAE, broken down by the Organisation Type</t>
  </si>
  <si>
    <t>A&amp;E Attendances by Attendance Category, 2016-17 and 2017-18</t>
  </si>
  <si>
    <t>A&amp;E Attendances by Gender, 2016-17 and 2017-18</t>
  </si>
  <si>
    <t>A&amp;E Attendances by Age Group, 2016-17 and 2017-18</t>
  </si>
  <si>
    <t>A&amp;E Attendances by Gender and Age Group, 2016-17 and 2017-18</t>
  </si>
  <si>
    <t>A&amp;E Attendances by Month, 2016-17 and 2017-18</t>
  </si>
  <si>
    <t>A&amp;E Attendances by Day, 2016-17 and 2017-18</t>
  </si>
  <si>
    <t>A&amp;E Attendances by Referral Method, 2016-17 and 2017-18</t>
  </si>
  <si>
    <t>A&amp;E Attendances by arrival Method, 2016-17 and 2017-18</t>
  </si>
  <si>
    <t>A&amp;E Attendances by Hour of Arrival, where Arrived by Ambulance (inc. Helicopter/Air Ambulance), 2016-17 and 2017-18</t>
  </si>
  <si>
    <t>A&amp;E Attendances by Gender and Age Group, where Arrival Mode is Ambulance, 2017-18</t>
  </si>
  <si>
    <t>A&amp;E Attendances by Age Group by Arrival Method, 2017-18</t>
  </si>
  <si>
    <t>A&amp;E Attendances by Arrival Method and Disposal Method, 2017-18 (HES)</t>
  </si>
  <si>
    <t>A&amp;E Attendances by Patient Group, 2016-17 and 2017-18</t>
  </si>
  <si>
    <t>Number of A&amp;E Attendances, First A&amp;E investigation '2 character description field' 2016-17 and 2017-18</t>
  </si>
  <si>
    <t>Number of A&amp;E Attendances, A&amp;E Primary Diagnosis '2 character description field' 2016-17 and 2017-18</t>
  </si>
  <si>
    <t>Number of A&amp;E Attendances, First A&amp;E Treatment '2 character description field' 2016-17 and 2017-18</t>
  </si>
  <si>
    <t>Total Number of Attendances in A&amp;E HES by Attendance Disposal Method, 2016-17 and 2017-18</t>
  </si>
  <si>
    <t>A&amp;E Attendances by Duration in Department and Method of Discharge, 2017-18</t>
  </si>
  <si>
    <t>Number of A&amp;E Attendances, Recorded in A&amp;E HES (Excluding Planned Follow-up Attendances) and MSitAE by each Provider, 2017-18</t>
  </si>
  <si>
    <t>Attendance Disposal Method, by 10 Minute Time Intervals, 2017-18 (Exc. Planned Attendances)</t>
  </si>
  <si>
    <t>A&amp;E Attendances by Day and Hour of Arrival (and Percentage), 2016-17 and 2017-18</t>
  </si>
  <si>
    <t>Accident &amp; Emergency Clinical Quality Indicators, England, 2017-18</t>
  </si>
  <si>
    <t>2017-18</t>
  </si>
  <si>
    <t>Copyright © 2018, NHS Digital. All Rights Reserved.</t>
  </si>
  <si>
    <t>Copyright © 2018, NHS Digital All Rights Reserved.</t>
  </si>
  <si>
    <t>Attendances recorded by type in A&amp;E HES and A&amp;E MSitAE, 2016-17 and 2017-18</t>
  </si>
  <si>
    <t>Table 1: Attendances Recorded by Type in A&amp;E HES and A&amp;E MSitAE, 2016-17 and 2017-18 (HES) and (MSitAE)</t>
  </si>
  <si>
    <t>Table 2: Number of Valid Records by A&amp;E Key Field, 
2016-17 and 2017-18 (HES)</t>
  </si>
  <si>
    <t>Table 3: Comparison of 2016-17 and 2017-18 Unplanned A&amp;E Attendances in A&amp;E HES against those reported in MSitAE, broken down by the Organisation Type (HES) and (MSitAE)</t>
  </si>
  <si>
    <r>
      <t>Table 4: A&amp;E Attendances by Attendance Category, 2016-17 and 2017-18</t>
    </r>
    <r>
      <rPr>
        <b/>
        <sz val="18"/>
        <color indexed="30"/>
        <rFont val="Arial"/>
        <family val="2"/>
      </rPr>
      <t xml:space="preserve"> (HES)</t>
    </r>
  </si>
  <si>
    <t>Table 5: A&amp;E Attendances by Gender, 2016-17 and 2017-18 (HES)</t>
  </si>
  <si>
    <t>Table 6: A&amp;E Attendances by Age Group, 2016-17 and 2017-18 (HES)</t>
  </si>
  <si>
    <t>Table 7: A&amp;E Attendances by Gender and Age Group, 2016-17 and 2017-18 (HES)</t>
  </si>
  <si>
    <t>Table 8: A&amp;E Attendances by Month, 2016-17 and 2017-18 (HES)</t>
  </si>
  <si>
    <t>Table 9: A&amp;E Attendances by Day, 2016-17 and 2017-18 (HES)</t>
  </si>
  <si>
    <t>Table 10: A&amp;E Attendances by Referral Method, 2016-17 and 2017-18 (HES)</t>
  </si>
  <si>
    <t>Table 11: A&amp;E Attendances by arrival Method, 2016-17 and 2017-18 (HES)</t>
  </si>
  <si>
    <t>Table 12: A&amp;E Attendances by Hour of Arrival, where Arrived by Ambulance (inc. Helicopter/Air Ambulance), 2016-17 and 2017-18 (HES)</t>
  </si>
  <si>
    <t>Table 13: A&amp;E Attendances by Gender and Age Group, where Arrival Mode is Ambulance, 2017-18 (HES)</t>
  </si>
  <si>
    <t>Table 14: A&amp;E Attendances by Age Group by Arrival Method, 2017-18 (HES)</t>
  </si>
  <si>
    <t>Table 15: A&amp;E Attendances by Arrival Method and Disposal Method, 2017-18 (HES)</t>
  </si>
  <si>
    <t>Table 16: A&amp;E Attendances by Patient Group, 2016-17 and 2017-18 (HES)</t>
  </si>
  <si>
    <t>Table 17: Number of A&amp;E Attendances, First A&amp;E investigation '2 character description field' 2016-17 and 2017-18 (HES)</t>
  </si>
  <si>
    <t>Table 18: Number of A&amp;E Attendances, A&amp;E Primary Diagnosis '2 character description field' 2016-17 and 2017-18 (HES)</t>
  </si>
  <si>
    <t>Table 19: Number of A&amp;E Attendances, First A&amp;E Treatment '2 character description field' 2016-17 and 2017-18 (HES)</t>
  </si>
  <si>
    <t>Table 20: Total Number of Attendances in A&amp;E HES by Attendance Disposal Method, 2016-17 and 2017-18 (HES)</t>
  </si>
  <si>
    <t>Table 21: A&amp;E Attendances by Duration in Department and Method of Discharge, 2017-18 (HES)</t>
  </si>
  <si>
    <t>Table 22: Number of A&amp;E Attendances, Recorded in A&amp;E HES (Excluding Planned Follow-up Attendances) and MSitAE by each Provider, 2017-18 (HES) and (MSitAE)</t>
  </si>
  <si>
    <t>Table 23: Attendance Disposal Method, by 10 Minute Time Intervals, 2017-18 (Exc. Planned Attendances) (HES)</t>
  </si>
  <si>
    <t>Table 24: A&amp;E Attendances by Day and Hour of Arrival (and Percentage), 2016-17 and 2017-18 (HES)</t>
  </si>
  <si>
    <t>AD904</t>
  </si>
  <si>
    <t>AD906</t>
  </si>
  <si>
    <t>NLO05</t>
  </si>
  <si>
    <t>NLO06</t>
  </si>
  <si>
    <t>NLO07</t>
  </si>
  <si>
    <t>NLO08</t>
  </si>
  <si>
    <t>NLO13</t>
  </si>
  <si>
    <t>NLO21</t>
  </si>
  <si>
    <t>NLO24</t>
  </si>
  <si>
    <t>NLO26</t>
  </si>
  <si>
    <t>NNF18</t>
  </si>
  <si>
    <t>NNF70</t>
  </si>
  <si>
    <t>NNF76</t>
  </si>
  <si>
    <t>NNF94</t>
  </si>
  <si>
    <t>NNF99</t>
  </si>
  <si>
    <t>NQT4K</t>
  </si>
  <si>
    <t>NQT5F</t>
  </si>
  <si>
    <t>NQT5G</t>
  </si>
  <si>
    <t>NQT5H</t>
  </si>
  <si>
    <t>NQTE1</t>
  </si>
  <si>
    <t>NTP60</t>
  </si>
  <si>
    <t>NTPH1</t>
  </si>
  <si>
    <t>NTV0B</t>
  </si>
  <si>
    <t>NTV0W</t>
  </si>
  <si>
    <t>NTV1M</t>
  </si>
  <si>
    <t>R0A</t>
  </si>
  <si>
    <t>Dominic Gair, Secondary Care Analysis Section Head</t>
  </si>
  <si>
    <t>Responsible Statistician: Dominic Gair, Secondary Care Analysis Section Head</t>
  </si>
  <si>
    <t>Alfred Bean Hospital</t>
  </si>
  <si>
    <t>Assura Vertis Urgent Care Centres (Birmingham)</t>
  </si>
  <si>
    <t>NL7</t>
  </si>
  <si>
    <t>Badger LTD</t>
  </si>
  <si>
    <t>8J094</t>
  </si>
  <si>
    <t>Beckenham Beacon UCC</t>
  </si>
  <si>
    <t>AD913</t>
  </si>
  <si>
    <t>Belmont Health Centre</t>
  </si>
  <si>
    <t>E84069</t>
  </si>
  <si>
    <t>Birmingham WIC</t>
  </si>
  <si>
    <t>M85813</t>
  </si>
  <si>
    <t>Boscombe and Springbourne Health Centre</t>
  </si>
  <si>
    <t>Y02584</t>
  </si>
  <si>
    <t>Bracknell Urgent Care Centre WIC</t>
  </si>
  <si>
    <t>Y04538</t>
  </si>
  <si>
    <t>Brent GP Access Unit Harness-Wembley</t>
  </si>
  <si>
    <t>Y02692</t>
  </si>
  <si>
    <t>Brighton Station Health Centre</t>
  </si>
  <si>
    <t>Y02676</t>
  </si>
  <si>
    <t>Bristol Community Health</t>
  </si>
  <si>
    <t>NLW</t>
  </si>
  <si>
    <t>Carfax Health Enterprise</t>
  </si>
  <si>
    <t>Y00058</t>
  </si>
  <si>
    <t>Clevedon Hospital</t>
  </si>
  <si>
    <t>NLT02</t>
  </si>
  <si>
    <t>Corby Urgent Care Centre</t>
  </si>
  <si>
    <t>Y03571</t>
  </si>
  <si>
    <t>Derbyshire Health United LTD</t>
  </si>
  <si>
    <t>NNJ</t>
  </si>
  <si>
    <t>Y00751</t>
  </si>
  <si>
    <t>East Riding Community Hospital</t>
  </si>
  <si>
    <t>Eastbourne Station Health Centre</t>
  </si>
  <si>
    <t>Y02816</t>
  </si>
  <si>
    <t>Y02696</t>
  </si>
  <si>
    <t>Y03007</t>
  </si>
  <si>
    <t>Exmouth Minor Injury Unit</t>
  </si>
  <si>
    <t>DD401</t>
  </si>
  <si>
    <t>NDJ</t>
  </si>
  <si>
    <t>Greet General Practice &amp; Urgent Care Centre</t>
  </si>
  <si>
    <t>NTPAL</t>
  </si>
  <si>
    <t>Harold Wood Walk In Centre</t>
  </si>
  <si>
    <t>Y03082</t>
  </si>
  <si>
    <t>Hastings Med P &amp; Walkin</t>
  </si>
  <si>
    <t>Y03051</t>
  </si>
  <si>
    <t>Hornsea Cottage Hospital</t>
  </si>
  <si>
    <t>Latham House Medical Practice</t>
  </si>
  <si>
    <t>C82038</t>
  </si>
  <si>
    <t>LCD-Leeds-OOH</t>
  </si>
  <si>
    <t>Y01231</t>
  </si>
  <si>
    <t>Lindley House Health Centre</t>
  </si>
  <si>
    <t>Y02875</t>
  </si>
  <si>
    <t>Livewell Southwest</t>
  </si>
  <si>
    <t>NR5</t>
  </si>
  <si>
    <t>Local Care Direct OOH</t>
  </si>
  <si>
    <t>Y01069</t>
  </si>
  <si>
    <t>Loughborough Urgent Care Centre</t>
  </si>
  <si>
    <t>C82009</t>
  </si>
  <si>
    <t>Market Harborough Urgent Care Centre</t>
  </si>
  <si>
    <t>Melton Mowbray Urgent Care Centre</t>
  </si>
  <si>
    <t>Miriam Minor Emergency</t>
  </si>
  <si>
    <t>Y02532</t>
  </si>
  <si>
    <t>Moreton Health Minor Injury</t>
  </si>
  <si>
    <t>Y03645</t>
  </si>
  <si>
    <t>NHS Coventry Healthcare &amp; WIC</t>
  </si>
  <si>
    <t>Y02652</t>
  </si>
  <si>
    <t>Northern Doctors Urgent Care</t>
  </si>
  <si>
    <t>NLO01</t>
  </si>
  <si>
    <t>Norwich Practices LTD (Castle Mall)</t>
  </si>
  <si>
    <t>NMH01</t>
  </si>
  <si>
    <t>Nottingham Citycare Partnership</t>
  </si>
  <si>
    <t>NR3</t>
  </si>
  <si>
    <t>Oadby &amp; Wigston Urgent Care Centre</t>
  </si>
  <si>
    <t>Oakham Medical Practice</t>
  </si>
  <si>
    <t>C82010</t>
  </si>
  <si>
    <t>Oakham Urgent Care Centre</t>
  </si>
  <si>
    <t>Okehampton Medical Centre</t>
  </si>
  <si>
    <t>L83087</t>
  </si>
  <si>
    <t>Orchard Village Walk-In-Centre</t>
  </si>
  <si>
    <t>Y02973</t>
  </si>
  <si>
    <t>Park Community Practice</t>
  </si>
  <si>
    <t>Y02572</t>
  </si>
  <si>
    <t>Parkfield (H) Minor Emergency</t>
  </si>
  <si>
    <t>Y02533</t>
  </si>
  <si>
    <t>Pennine Care NHS Foundation Trust</t>
  </si>
  <si>
    <t>RT2</t>
  </si>
  <si>
    <t>Putnoe Medical Centre Walk In Centre</t>
  </si>
  <si>
    <t>Y02428</t>
  </si>
  <si>
    <t>Rossendale Minor Injuries Unit</t>
  </si>
  <si>
    <t>AC008</t>
  </si>
  <si>
    <t>Salisbury Walk-In HC</t>
  </si>
  <si>
    <t>Y02666</t>
  </si>
  <si>
    <t>Shakespeare Walk-In Centre</t>
  </si>
  <si>
    <t>AXT02</t>
  </si>
  <si>
    <t>Sleaford Medical Group</t>
  </si>
  <si>
    <t>C83023</t>
  </si>
  <si>
    <t>Y02615</t>
  </si>
  <si>
    <t>Y02470</t>
  </si>
  <si>
    <t>Y03047</t>
  </si>
  <si>
    <t>Y02961</t>
  </si>
  <si>
    <t>Tetbury Hospital Trust LTD</t>
  </si>
  <si>
    <t>AAH</t>
  </si>
  <si>
    <t>The Barkantine Practice</t>
  </si>
  <si>
    <t>F84747</t>
  </si>
  <si>
    <t>The Junction HC - Unregistered Patients</t>
  </si>
  <si>
    <t>Y03094</t>
  </si>
  <si>
    <t>The Pinn Unregistered</t>
  </si>
  <si>
    <t>Y03218</t>
  </si>
  <si>
    <t>The Ridgeway Surgery</t>
  </si>
  <si>
    <t>E84068</t>
  </si>
  <si>
    <t>Urgent Care Centre</t>
  </si>
  <si>
    <t>Y02147</t>
  </si>
  <si>
    <t>Waldron - Hurley Unregistered Practice</t>
  </si>
  <si>
    <t>Y03201</t>
  </si>
  <si>
    <t>Walsall Urgent Care Centre (Community Site)</t>
  </si>
  <si>
    <t>ATQ02</t>
  </si>
  <si>
    <t>Whitstable Medical Practice</t>
  </si>
  <si>
    <t>G82071</t>
  </si>
  <si>
    <t>Withernsea Hospital</t>
  </si>
  <si>
    <t>Workington Health Limited</t>
  </si>
  <si>
    <t>AJN</t>
  </si>
  <si>
    <t>Manchester University NHS Foundation Trust</t>
  </si>
  <si>
    <t>Ashford Walk-In-Centre</t>
  </si>
  <si>
    <t>Brent Urgent Care Centre - Central Middlesex Hospital</t>
  </si>
  <si>
    <t>Bunny Hill Urgent Care Centre</t>
  </si>
  <si>
    <t>Houghton Urgent Care Centre</t>
  </si>
  <si>
    <t>Lyme Regis Medical Centre</t>
  </si>
  <si>
    <t>Malton Urgent Care Centre</t>
  </si>
  <si>
    <t>Market Harborough Med.Ctr</t>
  </si>
  <si>
    <t>Royal Stoke University Hospital Urgent Care Centre</t>
  </si>
  <si>
    <t>Scarborough Urgent Care Centre</t>
  </si>
  <si>
    <t>Skelmersdale Walk In Centre</t>
  </si>
  <si>
    <t>The Wilberforce Health Centre</t>
  </si>
  <si>
    <t>Washington Urgent Care Centre</t>
  </si>
  <si>
    <t>York Hospital Urgent Care Centre</t>
  </si>
  <si>
    <t>Coventry NHS Healthcare &amp; Walk In Centre</t>
  </si>
  <si>
    <t>London North West University Healthcare NHS Trust</t>
  </si>
  <si>
    <t>Shepton Mallet NHS Treatment Centre</t>
  </si>
  <si>
    <t>South Western Ambulance Service NHS Foundation Trust</t>
  </si>
  <si>
    <t>Whittington Health NHS Trust</t>
  </si>
  <si>
    <t>St andrews Walk-In Centre</t>
  </si>
  <si>
    <t>St Mary's Urgent Care Centre</t>
  </si>
  <si>
    <t>East Berks Primary Care OOH</t>
  </si>
  <si>
    <t>First Community Health and Care CIC</t>
  </si>
  <si>
    <t>Summerfield GP Surg &amp; Urgent Care Centre</t>
  </si>
  <si>
    <t>UCC - Northwick Park Hospital</t>
  </si>
  <si>
    <t>Edmonton GP Walk In Centre</t>
  </si>
  <si>
    <t>Erdington GP Health &amp; Wellbeing WIC</t>
  </si>
  <si>
    <t>South Birmingham GP Walk In Centre</t>
  </si>
  <si>
    <t>Urgent Care Centre (QMS)</t>
  </si>
  <si>
    <t>UCC at Hillingdon Hospital</t>
  </si>
  <si>
    <t>SSAFA Care Walk-In-Centre</t>
  </si>
  <si>
    <r>
      <t xml:space="preserve">You may re-use this document/publication (not including logos) free of charge in any format or medium, under the terms of the Open Government Licence v3.0.
To view this licence visit www.nationalarchives.gov.uk/doc/open-government-licence
or write to the Information Policy Team, The National Archives,
Kew, Richmond, Surrey, TW9 4DU;
or email </t>
    </r>
    <r>
      <rPr>
        <u/>
        <sz val="10"/>
        <color rgb="FF005EB8"/>
        <rFont val="Arial"/>
        <family val="2"/>
      </rPr>
      <t>psi.nationalarchives.gsi.gov.uk</t>
    </r>
    <r>
      <rPr>
        <sz val="10"/>
        <color indexed="8"/>
        <rFont val="Arial"/>
        <family val="2"/>
      </rPr>
      <t xml:space="preserve">
</t>
    </r>
  </si>
  <si>
    <t>https://www.england.nhs.uk/statistics/statistical-work-areas/ae-waiting-times-and-activity/ae-attendances-and-emergency-admissions-2017-18/</t>
  </si>
  <si>
    <r>
      <t xml:space="preserve">This report contains Accident &amp; Emergency Quality Indicators by provider.
The data used in this report are final A&amp;E Hospital Episode Statistics (extracted from the 2017-18 A&amp;E Annual Refresh HES Data).
This report covers activity in English NHS Hospitals and English NHS commissioned activity in the independent sector. 
NHS England A&amp;E Situation Reports ('MSitAE') are the official source of A&amp;E data, available at </t>
    </r>
    <r>
      <rPr>
        <u/>
        <sz val="10"/>
        <color rgb="FF005EB8"/>
        <rFont val="Arial"/>
        <family val="2"/>
      </rPr>
      <t>http://www.england.nhs.uk/statistics/ae-waiting-times-and-activity/</t>
    </r>
  </si>
  <si>
    <r>
      <t>·</t>
    </r>
    <r>
      <rPr>
        <i/>
        <sz val="10"/>
        <rFont val="Arial"/>
        <family val="2"/>
      </rPr>
      <t>During the period covered (2016-17 and 2017-18) not all NHS trusts have provided data submissions to A&amp;E HES and data quality can be poor for some fields. </t>
    </r>
  </si>
  <si>
    <t>Admitted to hospital bed / became a lodged patient of the same health care provider</t>
  </si>
  <si>
    <t>Discharged – follow-up treatment to be provided by general practitioner</t>
  </si>
  <si>
    <t>Discharged – did not require any follow-up treatment</t>
  </si>
  <si>
    <t>Others</t>
  </si>
  <si>
    <t>ONE MEDICAL GROUP LIMITED</t>
  </si>
  <si>
    <t>No Data</t>
  </si>
  <si>
    <t>TETBURY HOSPITAL TRUST</t>
  </si>
  <si>
    <t>Yes</t>
  </si>
  <si>
    <t>UCC AT HILLINGDON HOSPITAL</t>
  </si>
  <si>
    <t>UCC - NORTHWICK PARK HOSPITAL</t>
  </si>
  <si>
    <t>EALING HOSPITAL UCC</t>
  </si>
  <si>
    <t>HASLEMERE MINOR INJURIES UNIT</t>
  </si>
  <si>
    <t>A&amp;E HES attendances are within 10% of SitReps</t>
  </si>
  <si>
    <t>HAVERSTOCK HEALTHCARE(CHESHUNT COM HOSP)</t>
  </si>
  <si>
    <t>LOUGHBOROUGH URGENT CARE CENTRE</t>
  </si>
  <si>
    <t>BATH &amp; NORTH EAST SOMERSET DUC</t>
  </si>
  <si>
    <t>HOUGHTON URGENT CARE CENTRE</t>
  </si>
  <si>
    <t>BUNNY HILL URGENT CARE CENTRE</t>
  </si>
  <si>
    <t>WASHINGTON URGENT CARE CENTRE</t>
  </si>
  <si>
    <t>SCARBOROUGH URGENT CARE CENTRE</t>
  </si>
  <si>
    <t>MELTON MOWBRAY URGENT CARE CENTRE</t>
  </si>
  <si>
    <t>OADBY &amp; WIGSTON URGENT CARE CENTRE</t>
  </si>
  <si>
    <t>A&amp;E HES attendances are within 20% of SitReps</t>
  </si>
  <si>
    <t>MARKET HARBOROUGH URGENT CARE CENTRE</t>
  </si>
  <si>
    <t>OAKHAM URGENT CARE CENTRE</t>
  </si>
  <si>
    <t>MALTON URGENT CARE CENTRE</t>
  </si>
  <si>
    <t>ST MARY'S URGENT CARE CENTRE</t>
  </si>
  <si>
    <t>YORK HOSPITAL URGENT CARE CENTRE</t>
  </si>
  <si>
    <t>ROYAL STOKE UNIVERSITY HOSPITAL UCC</t>
  </si>
  <si>
    <t>NORTH SOMERSET COMMUNITY PTRSHIP CIC HQ</t>
  </si>
  <si>
    <t>YATE WEST GATE CENTRE</t>
  </si>
  <si>
    <t>BRANSHOLME HEALTH CENTRE</t>
  </si>
  <si>
    <t>BRIDLINGTON HOSPITAL</t>
  </si>
  <si>
    <t>WITHERNSEA HOSPITAL</t>
  </si>
  <si>
    <t>FREEDOM CENTRE</t>
  </si>
  <si>
    <t>BILTON GRANGE HEALTH CENTRE</t>
  </si>
  <si>
    <t>ALFRED BEAN HOSPITAL</t>
  </si>
  <si>
    <t>THE WILBERFORCE HEALTH CENTRE</t>
  </si>
  <si>
    <t>A&amp;E HES attendances are less than 80% or more than 120% of SitRep attendances</t>
  </si>
  <si>
    <t>EAST RIDING COMMUNITY HOSPITAL</t>
  </si>
  <si>
    <t>HORNSEA COTTAGE HOSPITAL</t>
  </si>
  <si>
    <t>FRYATT HOSPITAL</t>
  </si>
  <si>
    <t>CLACTON HOSPITAL</t>
  </si>
  <si>
    <t>ASSURA READING LLP</t>
  </si>
  <si>
    <t>LYME REGIS MEDICAL CENTRE</t>
  </si>
  <si>
    <t>SKELMERSDALE WALK IN CENTRE</t>
  </si>
  <si>
    <t>URGENT CARE CENTRE</t>
  </si>
  <si>
    <t>PAULTON MEMORIAL HOSPITAL</t>
  </si>
  <si>
    <t>COVENTRY NHS HEALTHCARE &amp; WALK IN CENTRE</t>
  </si>
  <si>
    <t>SEATON HOUSE</t>
  </si>
  <si>
    <t>CUMBERLAND CENTRE</t>
  </si>
  <si>
    <t>SOUTHAMPTON NHS TREATMENT CENTRE</t>
  </si>
  <si>
    <t>BRENT URGENT CARE CENTRE</t>
  </si>
  <si>
    <t>ST MARY'S NHS TREATMENT CENTRE</t>
  </si>
  <si>
    <t>SHEPTON MALLET NHS TREATMENT CENTRE</t>
  </si>
  <si>
    <t>ASHFORD WALK-IN-CENTRE</t>
  </si>
  <si>
    <t>WOKING WALK IN CENTRE</t>
  </si>
  <si>
    <t>WEYBRIDGE WALK IN CENTRE</t>
  </si>
  <si>
    <t>MANCHESTER UNIVERSITY NHS FT</t>
  </si>
  <si>
    <t>SHROPSHIRE COMMUNITY HEALTH NHS TRUST</t>
  </si>
  <si>
    <t>ISLE OF WIGHT NHS TRUST</t>
  </si>
  <si>
    <t>BARTS HEALTH NHS TRUST</t>
  </si>
  <si>
    <t>GLOUCESTERSHIRE CARE SERVICES NHS TRUST</t>
  </si>
  <si>
    <t>LONDON NW UNIVERSITY HC NHS TRUST</t>
  </si>
  <si>
    <t>ROYAL SURREY COUNTY HOSPITAL NHS FT</t>
  </si>
  <si>
    <t>WESTON AREA HEALTH NHS TRUST</t>
  </si>
  <si>
    <t>YEOVIL DISTRICT HOSPITAL NHS FOUND TR</t>
  </si>
  <si>
    <t>UNIVERSITY HOSPITALS BRISTOL NHS FT</t>
  </si>
  <si>
    <t>TORBAY AND SOUTH DEVON NHS FT</t>
  </si>
  <si>
    <t>BRADFORD TEACHING HOSPS NHS FOUND TRUST</t>
  </si>
  <si>
    <t>SOUTHEND UNIVERSITY H'PITAL NHS FOUN TR</t>
  </si>
  <si>
    <t>ROYAL FREE LONDON NHS FOUNDATION TRUST</t>
  </si>
  <si>
    <t>NORTH MIDDLESEX UNIVERSITY HOSP NHS TR</t>
  </si>
  <si>
    <t>THE HILLINGDON HOSPITALS NHS FT</t>
  </si>
  <si>
    <t>NORTH EAST LONDON NHS FOUNDATION TRUST</t>
  </si>
  <si>
    <t>KINGSTON HOSPITAL NHS FOUNDATION TRUST</t>
  </si>
  <si>
    <t>TAUNTON AND SOMERSET NHS FOUNDATION TR</t>
  </si>
  <si>
    <t>DORSET COUNTY HOSPITAL NHS FOUNDATION TR</t>
  </si>
  <si>
    <t>WALSALL HEALTHCARE NHS TRUST</t>
  </si>
  <si>
    <t>WIRRAL UNIVERSITY TEACHING HOSP NHS FT</t>
  </si>
  <si>
    <t>ST HELENS AND KNOWSLEY HOSP SERV NHS TR</t>
  </si>
  <si>
    <t>ALDER HEY CHILDREN'S NHS FT</t>
  </si>
  <si>
    <t>MID CHESHIRE HOSPITALS NHS FT</t>
  </si>
  <si>
    <t>NORTHERN DEVON HEALTHCARE NHS TRUST</t>
  </si>
  <si>
    <t>BEDFORD HOSPITAL NHS TRUST</t>
  </si>
  <si>
    <t>LUTON &amp; DUNSTABLE UNIVERSITY HOSP NHS FT</t>
  </si>
  <si>
    <t>YORK TEACHING HOSPITAL NHS FT</t>
  </si>
  <si>
    <t>HARROGATE AND DISTRICT NHS FOUND TRUST</t>
  </si>
  <si>
    <t>AIREDALE NHS FOUNDATION TRUST</t>
  </si>
  <si>
    <t>SHEFFIELD CHILDRENS NHS FOUNDATION TRUST</t>
  </si>
  <si>
    <t>THE QUEEN ELIZ HOSP, KING'S LYNN, NHS FT</t>
  </si>
  <si>
    <t>ROYAL UNITED HOSPITALS BATH NHS FT</t>
  </si>
  <si>
    <t>POOLE HOSPITAL NHS FOUNDATION TRUST</t>
  </si>
  <si>
    <t>MILTON KEYNES UNI HOSPITAL NHS FDN TRUST</t>
  </si>
  <si>
    <t>BASILDON &amp; THURROCK UNI HOSP NHS FDTN TR</t>
  </si>
  <si>
    <t>COLCHESTER HOSPITAL UNI NHS FT</t>
  </si>
  <si>
    <t>SUSSEX COMMUNITY NHS FOUNDATION TRUST</t>
  </si>
  <si>
    <t>FRIMLEY HEALTH NHS FOUNDATION TRUST</t>
  </si>
  <si>
    <t>THE RYL BNMTH &amp; CHRISTCHURCH NHS FOUN TR</t>
  </si>
  <si>
    <t>SOUTH TYNESIDE NHS FOUNDATION TRUST</t>
  </si>
  <si>
    <t>ROYAL CORNWALL HOSPITALS NHS TRUST</t>
  </si>
  <si>
    <t>AINTREE UNIV HOSP NHS FOUNATION TRUST</t>
  </si>
  <si>
    <t>LIVERPOOL WOMEN'S NHS FOUNDATION TRUST</t>
  </si>
  <si>
    <t>BARKING, HAVERING &amp; REDBRIDGE U H NHS T</t>
  </si>
  <si>
    <t>BARNSLEY HOSPITAL NHS FOUNDATION TRUST</t>
  </si>
  <si>
    <t>THE ROTHERHAM NHS FOUNDATION TRUST</t>
  </si>
  <si>
    <t>CHESTERFIELD ROYAL HOSPITAL NHS FOUND TR</t>
  </si>
  <si>
    <t>NORTH WEST ANGLIA NHS FOUNDATION TRUST</t>
  </si>
  <si>
    <t>JAMES PAGET UNIV HOSPS NHS FOUND TRUST</t>
  </si>
  <si>
    <t>IPSWICH HOSPITAL NHS TRUST</t>
  </si>
  <si>
    <t>WEST SUFFOLK NHS FOUNDATION TRUST</t>
  </si>
  <si>
    <t>CAMBRIDGE UNIV HOSPITALS NHS FOUND TRUST</t>
  </si>
  <si>
    <t>SOMERSET PARTNERSHIP NHS FT</t>
  </si>
  <si>
    <t>ROYAL DEVON &amp; EXETER NHS FOUND TRUST</t>
  </si>
  <si>
    <t>UNIVERSITY HOSPITAL SOUTHAMPTON NHS FT</t>
  </si>
  <si>
    <t>SHEFFIELD TEACHING HOSP NHS FOUND TRUST</t>
  </si>
  <si>
    <t>PORTSMOUTH HOSPITALS NHS TRUST</t>
  </si>
  <si>
    <t>ROYAL BERKSHIRE NHS FOUNDATION TRUST</t>
  </si>
  <si>
    <t>GUY'S AND ST THOMAS' NHS FOUND TRUST</t>
  </si>
  <si>
    <t>LEWISHAM AND GREENWICH NHS TRUST</t>
  </si>
  <si>
    <t>CROYDON HEALTH SERVICES NHS TRUST</t>
  </si>
  <si>
    <t>ST GEORGE'S UNIVERSITY HOSPITALS NHS FT</t>
  </si>
  <si>
    <t>CORNWALL PARTNERSHIP NHS FT</t>
  </si>
  <si>
    <t>SOUTH WARWICKSHIRE NHS FOUNDATION TRUST</t>
  </si>
  <si>
    <t>UNIV HOSP NORTH MIDLANDS NHS TRUST</t>
  </si>
  <si>
    <t>BURTON HOSPITALS NHS FOUNDATION TRUST</t>
  </si>
  <si>
    <t>N LINCOLNSHIRE &amp; GOOLE NHS FOUND T</t>
  </si>
  <si>
    <t>EAST CHESHIRE NHS TRUST</t>
  </si>
  <si>
    <t>COUNTESS OF CHESTER HOSP NHS FOUND TRUST</t>
  </si>
  <si>
    <t>KING'S COLLEGE HOSPITAL NHS FOUND TRUST</t>
  </si>
  <si>
    <t>SHERWOOD FOREST HOSPITALS NHS FOUND TR</t>
  </si>
  <si>
    <t>UNIVERSITY HOSPITALS PLYMOUTH NHS TRUST</t>
  </si>
  <si>
    <t>UNIV HOSPS COVENTRY &amp; WARWICKSHIRE NHSTR</t>
  </si>
  <si>
    <t>WHITTINGTON HEALTH NHS TRUST</t>
  </si>
  <si>
    <t>THE ROYAL WOLVERHAMPTON NHS TRUST</t>
  </si>
  <si>
    <t>CITY HOSPITALS SUNDERLAND NHS FOUND TR</t>
  </si>
  <si>
    <t>WYE VALLEY NHS TRUST</t>
  </si>
  <si>
    <t>GEORGE ELIOT HOSPITAL NHS TRUST</t>
  </si>
  <si>
    <t>NORFOLK AND NORWICH UNI HOSP NHS FT</t>
  </si>
  <si>
    <t>SALFORD ROYAL NHS FOUNDATION TRUST</t>
  </si>
  <si>
    <t>BOLTON NHS FOUNDATION TRUST</t>
  </si>
  <si>
    <t>TAMESIDE &amp; GLOSSOP INTEGRATED CRE NHS FT</t>
  </si>
  <si>
    <t>GREAT WESTERN HOSPITALS NHS FT</t>
  </si>
  <si>
    <t>HAMPSHIRE HOSPITALS NHS FOUNDATION TRUST</t>
  </si>
  <si>
    <t>DARTFORD AND GRAVESHAM NHS TRUST</t>
  </si>
  <si>
    <t>THE DUDLEY GROUP NHS FOUNDATION TRUST</t>
  </si>
  <si>
    <t>NORTH CUMBRIA UNI' HOSPITALS NHS TRUST</t>
  </si>
  <si>
    <t>CUMBRIA PARTNERSHIP NHS FOUNDATION TRUST</t>
  </si>
  <si>
    <t>KETTERING GENERAL HOSPITAL NHS FT</t>
  </si>
  <si>
    <t>NORTHAMPTON GENERAL HOSPITAL NHS TRUST</t>
  </si>
  <si>
    <t>OXFORD HEALTH NHS FOUNDATION TRUST</t>
  </si>
  <si>
    <t>SALISBURY NHS FOUNDATION TRUST</t>
  </si>
  <si>
    <t>DONCASTER &amp; BASSETLAW TCHG HOSP NHS FT</t>
  </si>
  <si>
    <t>MOORFIELDS EYE HOSPITAL NHS FOUND TRUST</t>
  </si>
  <si>
    <t>MEDWAY NHS FOUNDATION TRUST</t>
  </si>
  <si>
    <t>QUEEN VICTORIA HOSPITAL NHS FOUND TR</t>
  </si>
  <si>
    <t>BIRMINGHAM WOMEN'S AND CHILDREN'S NHS FT</t>
  </si>
  <si>
    <t>ROYAL LIVERPOOL BROADGREEN UNIV HOSP TR</t>
  </si>
  <si>
    <t>MID ESSEX HOSPITAL SERVICES NHS TRUST</t>
  </si>
  <si>
    <t>CHELSEA &amp; WESTMINSTER HOSP NHS FOUND TR</t>
  </si>
  <si>
    <t>PRINCESS ALEXANDRA HOSPITAL NHS TRUST</t>
  </si>
  <si>
    <t>HOMERTON UNIV HOSPITAL NHS FOUND TRUST</t>
  </si>
  <si>
    <t>GATESHEAD HEALTH NHS FOUNDATION TRUST</t>
  </si>
  <si>
    <t>LEEDS TEACHING HOSPITALS NHS TRUST</t>
  </si>
  <si>
    <t>WRIGHTINGTON, WIGAN AND LEIGH NHS FT</t>
  </si>
  <si>
    <t>UNIV HOSPITAL BIRMINGHAM NHS FOUND TRUST</t>
  </si>
  <si>
    <t>UNIV COLLEGE LONDON HOSPS NHS FOUND TR</t>
  </si>
  <si>
    <t>NEWCASTLE UPON TYNE H'PITALS NHS FOUN TR</t>
  </si>
  <si>
    <t>GLOUCESTERSHIRE HOSPITALS NHS FOUND TR</t>
  </si>
  <si>
    <t>NORTHUMBRIA HEALTHCARE NHS FOUND TRUST</t>
  </si>
  <si>
    <t>DERBY TEACHING HOSPITALS NHS FT</t>
  </si>
  <si>
    <t>OXFORD UNIVERSITY HOSPITALS NHS FT</t>
  </si>
  <si>
    <t>ASHFORD AND ST PETER'S HOSPITALS NHS FT</t>
  </si>
  <si>
    <t>SURREY AND SUSSEX HEALTHCARE NHS TRUST</t>
  </si>
  <si>
    <t>SOUTH TEES HOSPITALS NHS F T</t>
  </si>
  <si>
    <t>NORTH WEST BOROUGHS HEALTHCARE NHS FT</t>
  </si>
  <si>
    <t>UNIVERSITY HOSPS OF MORECAMBE BAY NHS FT</t>
  </si>
  <si>
    <t>HUMBER TEACHING NHS FOUNDATION TRUST</t>
  </si>
  <si>
    <t>NORTH BRISTOL NHS TRUST</t>
  </si>
  <si>
    <t>EPSOM AND ST HELIER UNI HOSPS NHS TRUST</t>
  </si>
  <si>
    <t>EAST KENT HOSPITALS UNI' NHS F TRUST</t>
  </si>
  <si>
    <t>NORTH TEES AND HARTLEPOOL NHS FOUND TR</t>
  </si>
  <si>
    <t>SOUTHPORT AND ORMSKIRK HOSPITAL NHS TR</t>
  </si>
  <si>
    <t>SOUTHERN HEALTH NHS FOUNDATION TRUST</t>
  </si>
  <si>
    <t>PENNINE ACUTE HOSPITALS NHS TRUST</t>
  </si>
  <si>
    <t>HULL AND EAST YORKSHIRE HOSPITALS NHS TR</t>
  </si>
  <si>
    <t>UNITED LINCOLNSHIRE HOSPITALS NHS TRUST</t>
  </si>
  <si>
    <t>UNIVERSITY HOSPITALS OF LEICESTER NHS TR</t>
  </si>
  <si>
    <t>MAIDSTONE AND TUNBRIDGE WELLS NHS TRUST</t>
  </si>
  <si>
    <t>WEST HERTFORDSHIRE HOSPITALS NHS TRUST</t>
  </si>
  <si>
    <t>EAST AND NORTH HERTFORDSHIRE NHS TRUST</t>
  </si>
  <si>
    <t>STOCKPORT NHS FOUNDATION TRUST</t>
  </si>
  <si>
    <t>WORCESTERSHIRE ACUTE HOSPITALS NHS TRUST</t>
  </si>
  <si>
    <t>WARRINGTON AND HALTON HOSPITALS NHS FT</t>
  </si>
  <si>
    <t>BERKSHIRE HEALTHCARE NHS FOUNDATION TR</t>
  </si>
  <si>
    <t>CALDERDALE AND HUDDERSFIELD NHS FOUD TR</t>
  </si>
  <si>
    <t>NOTTINGHAM UNIVERSITY HOSPS NHS TRUST</t>
  </si>
  <si>
    <t>EAST SUSSEX HEALTHCARE NHS TRUST</t>
  </si>
  <si>
    <t>MID YORKSHIRE HOSPITALS NHS TRUST</t>
  </si>
  <si>
    <t>BRIGHTON AND SUSSEX UNIV HOSPS NHS TRUST</t>
  </si>
  <si>
    <t>SANDWELL &amp; WEST BIRMINGHAM HOSPS NHS TR</t>
  </si>
  <si>
    <t>BLACKPOOL TEACHING HOSPITALS NHS FT</t>
  </si>
  <si>
    <t>LANCASHIRE TEACHING HOSPS NHS FOUND TR</t>
  </si>
  <si>
    <t>CO DURHAM &amp; DARLINGTON NHS FOUND TR</t>
  </si>
  <si>
    <t>BUCKINGHAMSHIRE HEALTHCARE NHS TRUST</t>
  </si>
  <si>
    <t>EAST LANCASHIRE HOSPITALS NHS TRUST</t>
  </si>
  <si>
    <t>SHREWSBURY &amp; TELFORD HOSPITAL NHS TRUST</t>
  </si>
  <si>
    <t>LIVERPOOL COMMUNITY HEALTH NHS TRUST</t>
  </si>
  <si>
    <t>BRIDGEWATER COMMUNITY HEALTH NHS FT</t>
  </si>
  <si>
    <t>HERTFORDSHIRE COMMUNITY NHS TRUST</t>
  </si>
  <si>
    <t>LINCOLNSHIRE COMM HEALTH SERVICES NHS T</t>
  </si>
  <si>
    <t>WIRRAL COMMUNITY NHS FOUNDATION TRUST</t>
  </si>
  <si>
    <t>DERBYSHIRE COMMUNITY HEALTH SERVICES NHS</t>
  </si>
  <si>
    <t>HOUNSLOW &amp; RICHMOND COMMUNITY HEALTHCARE</t>
  </si>
  <si>
    <t>SOUTH WESTERN AMBULANCE SERVICE NHS FT</t>
  </si>
  <si>
    <t>IMPERIAL COLLEGE HEALTHCARE NHS TRUST</t>
  </si>
  <si>
    <t>WESTERN SUSSEX HOSPITALS NHS FT</t>
  </si>
  <si>
    <t>CENTRAL LONDON COMMUNITY HEALTHCARE NHS</t>
  </si>
  <si>
    <t>KENT COMMUNITY HEALTH NHS FT</t>
  </si>
  <si>
    <t>*</t>
  </si>
  <si>
    <t>~</t>
  </si>
  <si>
    <t>-</t>
  </si>
  <si>
    <t>NULL</t>
  </si>
  <si>
    <t>Least deprived 10%</t>
  </si>
  <si>
    <t>Less deprived 10-20%</t>
  </si>
  <si>
    <t>Less deprived 20-30%</t>
  </si>
  <si>
    <t>Less deprived 30-40%</t>
  </si>
  <si>
    <t>Less deprived 40-50%</t>
  </si>
  <si>
    <t>More deprived 10-20%</t>
  </si>
  <si>
    <t>More deprived 20-30%</t>
  </si>
  <si>
    <t>More deprived 30-40%</t>
  </si>
  <si>
    <t>More deprived 40-50%</t>
  </si>
  <si>
    <t>Most deprived 10%</t>
  </si>
  <si>
    <t>Not stated</t>
  </si>
  <si>
    <t>Any other ethnic group</t>
  </si>
  <si>
    <t>Chinese (other ethnic group)</t>
  </si>
  <si>
    <t>Any other Black background</t>
  </si>
  <si>
    <t>African (Black or Black British)</t>
  </si>
  <si>
    <t>Caribbean (Black or Black British)</t>
  </si>
  <si>
    <t>Any other Asian background</t>
  </si>
  <si>
    <t>Bangladeshi (Asian or Asian British)</t>
  </si>
  <si>
    <t>Pakistani (Asian or Asian British)</t>
  </si>
  <si>
    <t>Indian (Asian or Asian British)</t>
  </si>
  <si>
    <t>Any other Mixed background</t>
  </si>
  <si>
    <t>White and Asian (Mixed)</t>
  </si>
  <si>
    <t>White and Black African (Mixed)</t>
  </si>
  <si>
    <t>White and Black Caribbean (Mixed)</t>
  </si>
  <si>
    <t>Any other White background</t>
  </si>
  <si>
    <t>Irish (White)</t>
  </si>
  <si>
    <t>British (White)</t>
  </si>
  <si>
    <t>Table 27</t>
  </si>
  <si>
    <t>Table 26</t>
  </si>
  <si>
    <t>English Indices of Deprivation</t>
  </si>
  <si>
    <t>4.The 95th percentile is particularly sensitive to poor data quality and definitional issues, which is why some unusually high values may be observed.
5.The longest wait is particularly sensitive to poor data quality and definitional issues, which is why some unusually high values may be observed. Due to the way these data have been calculated, the                  
  maximum reported wait is 23 hours and 59 minutes (1,439 minutes)
- Different indicators may use different denominators. For example, the time to initial assessment is only presented for cases brought to A&amp;E by emergency ambulance (including air ambulance), and the
  time to departure for admitted
  patients is only presented for organisations that admit patients. For this reason some cells in the table above may be left intentionally blank
- The time to initial assessment is only reported for attendances brought in to A&amp;E by emergency ambulance or air ambulance
- The time to treatment indicator excludes attendances where the attendance disposal was: Left Before Treatment, Left Refusing Treatment, or unknown.</t>
  </si>
  <si>
    <r>
      <t xml:space="preserve">6.Where initial assessment is recorded as happening before arrival, time to initial assessment is set to zero minutes.
7.There are known data issues with shortfalls of records for certain organisations. Further data quality information is available at
   </t>
    </r>
    <r>
      <rPr>
        <u/>
        <sz val="10"/>
        <color rgb="FF0000FF"/>
        <rFont val="Arial"/>
        <family val="2"/>
      </rPr>
      <t>https://digital.nhs.uk/data-and-information/data-tools-and-services/data-services/hospital-episode-statistics.</t>
    </r>
    <r>
      <rPr>
        <sz val="10"/>
        <rFont val="Arial"/>
        <family val="2"/>
      </rPr>
      <t xml:space="preserve">
8.The denominator for these measures includes attendances where the time is coded as MISS (missing).
9.Re-attendance rate - please note that since this measure is presented at 3-character provider level (for NHS organisations), transfers between hospitals within a provider will be counted as a 
   re-attendance unless they are recorded as planned attendances. Also note that duplicate records inflate the re-attendance rate, please refer to the data quality note for information about duplicate  
   records.
   Users should consider A&amp;E type and case mix when making comparisons between organisations.
10.The 'UK Comparative Waiting Times Group' has published a summary of the similarities and differences in methodologies between England, Scotland, Wales and Northern Ireland:
</t>
    </r>
    <r>
      <rPr>
        <sz val="10"/>
        <color rgb="FF0000FF"/>
        <rFont val="Arial"/>
        <family val="2"/>
      </rPr>
      <t xml:space="preserve">     </t>
    </r>
    <r>
      <rPr>
        <u/>
        <sz val="10"/>
        <color rgb="FF0000FF"/>
        <rFont val="Arial"/>
        <family val="2"/>
      </rPr>
      <t>https://gss.civilservice.gov.uk/guidances/health/health-waiting-time-statistics/</t>
    </r>
  </si>
  <si>
    <t>Attendance by IMD and Ethnicity</t>
  </si>
  <si>
    <t>A&amp;E Attendances by Index of Multiple Deprivation Decile Output for England 2016-17 and 2017-18</t>
  </si>
  <si>
    <t>A&amp;E Attendances by Ethnicity for England 2016-17 and 2017-18</t>
  </si>
  <si>
    <t>This file provides some high level analyses of both HES and MSitAE data relating to A&amp;E attendances in NHS hospitals, minor injury units and walk-in centres. This document provides data tables to support and to provide additional analysis. The annual publication covers the financial year ending March 2018 as well as earlier time periods.</t>
  </si>
  <si>
    <t>Ethnicity Description</t>
  </si>
  <si>
    <t>Table 27: Accident &amp; Emergency Clinical Quality Indicators, England, 2017-18 (HES) and (MSitAE)</t>
  </si>
  <si>
    <t/>
  </si>
  <si>
    <t xml:space="preserve">"Small numbers - In order to protect patient confidentiality '*' appears in the table above for all sub-national breakdowns, where it is possible to calculate a value between 1 and 7 from the data presented. All other sub-national data has been rounded to the nearest 5 for HES based measures only.
Percentages - when calculating percentages at sub-national level:
1) Where the numerator or denominator is between 1 and 7 (inclusive), no percentage or rate is calculated, and a ’*’ will be displayed.
2) Where the numerator is zero, the percentage will be 0%.
3) Where the unrounded numerator and denominator are greater than or equal to 8, a percentage or rate is calculated using the rounded numerator or denominator.
HES and ECDS outputs produced by the Secondary Care Analysis team will therefore only display a calculated percentage to the nearest whole number where the rounded denominator is greater than or equal to 400."					</t>
  </si>
  <si>
    <r>
      <t xml:space="preserve">Key:
</t>
    </r>
    <r>
      <rPr>
        <sz val="10"/>
        <rFont val="Arial"/>
        <family val="2"/>
      </rPr>
      <t>- All attendances have an unknown value for this indicator (e.g. an unknown disposal category, an unknown attendance category, an unknown duration to initial assessment / treatment / departure)					
~ High proportion of attendances have a duration to initial assessment / treatment / departure of exactly 0 minutes
* "Small numbers - In order to protect patient confidentiality '*' appears in the table above for all sub-national breakdowns, where it is possible to calculate a value between 1 and 7 from the data presented. All other sub-national data has been rounded to the nearest 5 for HES based measures only.
Percentages - when calculating percentages at sub-national level:
1) Where the numerator or denominator is between 1 and 7 (inclusive), no percentage or rate is calculated, and a ’*’ will be displayed.
2) Where the numerator is zero, the percentage will be 0%.
3) Where the unrounded numerator and denominator are greater than or equal to 8, a percentage or rate is calculated using the rounded numerator or denominator.
HES and ECDS outputs produced by the Secondary Care Analysis team will therefore only display a calculated percentage to the nearest whole number where the rounded denominator is greater than or equal to 400."</t>
    </r>
    <r>
      <rPr>
        <b/>
        <sz val="10"/>
        <rFont val="Arial"/>
        <family val="2"/>
      </rPr>
      <t xml:space="preserve">
  </t>
    </r>
  </si>
  <si>
    <t>Table 25: A&amp;E Attendances by Index of Multiple Deprivation Decile Output for England 2016-17 and 2017-18 (HES)</t>
  </si>
  <si>
    <t>Table 26: A&amp;E Attendances by Ethicity for England 2016-17 and 2017-18 (HES)</t>
  </si>
  <si>
    <t xml:space="preserve">Activity in English NHS Hospitals and English NHS commissioned activity in the independent sector. 
Due to the implementation of ECDS changes have occurred in the composition of data used in these tables from those trusts that have submitting the ECDS. Certain activity can no longer be mapped to categories within this table or are now mapped to different categories than may have historically been reported to. Users therefore should be aware of this when undertaking any time series comparisons using 2016-17 data. A separate data quality analysis file is provided as part of this statistical release which further investigates this issue.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</si>
</sst>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 #,##0.00_-;_-* &quot;-&quot;??_-;_-@_-"/>
    <numFmt numFmtId="164" formatCode="_(* #,##0.00_);_(* \(#,##0.00\);_(* &quot;-&quot;??_);_(@_)"/>
    <numFmt numFmtId="165" formatCode="[$-10409]#,##0;\-#,##0"/>
    <numFmt numFmtId="166" formatCode="[$-10409]#,##0;\(#,##0\)"/>
    <numFmt numFmtId="167" formatCode="[$-10409]0.0%"/>
    <numFmt numFmtId="168" formatCode="0.0%"/>
    <numFmt numFmtId="169" formatCode="_(* #,##0_);_(* \(#,##0\);_(* &quot;-&quot;??_);_(@_)"/>
    <numFmt numFmtId="170" formatCode="_-* #,##0.0000_-;\-* #,##0.0000_-;_-* &quot;-&quot;??_-;_-@_-"/>
    <numFmt numFmtId="171" formatCode="[$-10409]#,##0.0%"/>
    <numFmt numFmtId="172" formatCode="[$-10409]0%"/>
    <numFmt numFmtId="173" formatCode="[$-10409]#,##0%"/>
  </numFmts>
  <fonts count="65" x14ac:knownFonts="1">
    <font>
      <sz val="10"/>
      <name val="Arial"/>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Calibri"/>
      <family val="2"/>
      <scheme val="minor"/>
    </font>
    <font>
      <sz val="10"/>
      <name val="Arial"/>
      <family val="2"/>
    </font>
    <font>
      <sz val="10"/>
      <color indexed="8"/>
      <name val="Arial"/>
      <family val="2"/>
    </font>
    <font>
      <b/>
      <sz val="10"/>
      <color indexed="8"/>
      <name val="Arial"/>
      <family val="2"/>
    </font>
    <font>
      <i/>
      <sz val="10"/>
      <color indexed="8"/>
      <name val="Arial"/>
      <family val="2"/>
    </font>
    <font>
      <b/>
      <i/>
      <sz val="10"/>
      <color indexed="8"/>
      <name val="Arial"/>
      <family val="2"/>
    </font>
    <font>
      <sz val="10"/>
      <name val="Arial"/>
      <family val="2"/>
    </font>
    <font>
      <i/>
      <sz val="10"/>
      <color indexed="8"/>
      <name val="Arial"/>
      <family val="2"/>
    </font>
    <font>
      <sz val="10"/>
      <color indexed="8"/>
      <name val="Arial"/>
      <family val="2"/>
    </font>
    <font>
      <sz val="10"/>
      <name val="Arial"/>
      <family val="2"/>
    </font>
    <font>
      <i/>
      <sz val="10"/>
      <name val="Arial"/>
      <family val="2"/>
    </font>
    <font>
      <b/>
      <sz val="10"/>
      <name val="Arial"/>
      <family val="2"/>
    </font>
    <font>
      <b/>
      <sz val="10"/>
      <color indexed="8"/>
      <name val="Arial"/>
      <family val="2"/>
    </font>
    <font>
      <u/>
      <sz val="10"/>
      <color indexed="12"/>
      <name val="Arial"/>
      <family val="2"/>
    </font>
    <font>
      <sz val="11"/>
      <color theme="1"/>
      <name val="Calibri"/>
      <family val="2"/>
      <scheme val="minor"/>
    </font>
    <font>
      <u/>
      <sz val="10"/>
      <color theme="10"/>
      <name val="Arial"/>
      <family val="2"/>
    </font>
    <font>
      <u/>
      <sz val="10"/>
      <color theme="10"/>
      <name val="Arial"/>
      <family val="2"/>
    </font>
    <font>
      <b/>
      <sz val="18"/>
      <color rgb="FF005EB8"/>
      <name val="Arial"/>
      <family val="2"/>
    </font>
    <font>
      <sz val="10"/>
      <color indexed="11"/>
      <name val="Arial"/>
      <family val="2"/>
    </font>
    <font>
      <b/>
      <i/>
      <sz val="10"/>
      <name val="Arial"/>
      <family val="2"/>
    </font>
    <font>
      <sz val="10"/>
      <color rgb="FFFF0000"/>
      <name val="Arial"/>
      <family val="2"/>
    </font>
    <font>
      <b/>
      <sz val="18"/>
      <color indexed="30"/>
      <name val="Arial"/>
      <family val="2"/>
    </font>
    <font>
      <sz val="10"/>
      <color rgb="FF005EB8"/>
      <name val="Arial"/>
      <family val="2"/>
    </font>
    <font>
      <sz val="11"/>
      <color theme="1"/>
      <name val="Arial"/>
      <family val="2"/>
    </font>
    <font>
      <b/>
      <sz val="11.95"/>
      <color indexed="8"/>
      <name val="Arial"/>
      <family val="2"/>
    </font>
    <font>
      <b/>
      <sz val="10"/>
      <color indexed="11"/>
      <name val="Arial"/>
      <family val="2"/>
    </font>
    <font>
      <b/>
      <sz val="20"/>
      <color theme="1" tint="0.34998626667073579"/>
      <name val="Arial"/>
      <family val="2"/>
    </font>
    <font>
      <u/>
      <sz val="11"/>
      <color theme="10"/>
      <name val="Calibri"/>
      <family val="2"/>
    </font>
    <font>
      <u/>
      <sz val="12"/>
      <color rgb="FF004488"/>
      <name val="Arial"/>
      <family val="2"/>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0"/>
      <color indexed="30"/>
      <name val="Arial"/>
      <family val="2"/>
    </font>
    <font>
      <sz val="11"/>
      <color rgb="FF3F3F76"/>
      <name val="Calibri"/>
      <family val="2"/>
      <scheme val="minor"/>
    </font>
    <font>
      <sz val="11"/>
      <color rgb="FFFA7D00"/>
      <name val="Calibri"/>
      <family val="2"/>
      <scheme val="minor"/>
    </font>
    <font>
      <sz val="11"/>
      <color rgb="FF9C6500"/>
      <name val="Calibri"/>
      <family val="2"/>
      <scheme val="minor"/>
    </font>
    <font>
      <sz val="12"/>
      <color indexed="8"/>
      <name val="Arial"/>
      <family val="2"/>
    </font>
    <font>
      <b/>
      <sz val="11"/>
      <color rgb="FF3F3F3F"/>
      <name val="Calibri"/>
      <family val="2"/>
      <scheme val="minor"/>
    </font>
    <font>
      <sz val="11"/>
      <color theme="1"/>
      <name val="Calibri"/>
      <family val="2"/>
    </font>
    <font>
      <b/>
      <sz val="11"/>
      <color theme="1"/>
      <name val="Calibri"/>
      <family val="2"/>
      <scheme val="minor"/>
    </font>
    <font>
      <sz val="11"/>
      <color rgb="FFFF0000"/>
      <name val="Calibri"/>
      <family val="2"/>
      <scheme val="minor"/>
    </font>
    <font>
      <b/>
      <sz val="18"/>
      <color theme="3"/>
      <name val="Cambria"/>
      <family val="2"/>
      <scheme val="major"/>
    </font>
    <font>
      <sz val="8"/>
      <name val="Arial"/>
      <family val="2"/>
    </font>
    <font>
      <b/>
      <sz val="20"/>
      <name val="Arial"/>
      <family val="2"/>
    </font>
    <font>
      <b/>
      <sz val="11.95"/>
      <name val="Arial"/>
      <family val="2"/>
    </font>
    <font>
      <b/>
      <sz val="18"/>
      <name val="Arial"/>
      <family val="2"/>
    </font>
    <font>
      <b/>
      <sz val="14"/>
      <name val="Arial"/>
      <family val="2"/>
    </font>
    <font>
      <b/>
      <sz val="27"/>
      <color rgb="FF005EB8"/>
      <name val="Arial"/>
      <family val="2"/>
    </font>
    <font>
      <sz val="27"/>
      <color rgb="FF005EB8"/>
      <name val="Arial"/>
      <family val="2"/>
    </font>
    <font>
      <u/>
      <sz val="10"/>
      <color rgb="FF005EB8"/>
      <name val="Arial"/>
      <family val="2"/>
    </font>
    <font>
      <sz val="10"/>
      <color rgb="FF0000FF"/>
      <name val="Arial"/>
      <family val="2"/>
    </font>
    <font>
      <u/>
      <sz val="10"/>
      <color rgb="FF0000FF"/>
      <name val="Arial"/>
      <family val="2"/>
    </font>
  </fonts>
  <fills count="37">
    <fill>
      <patternFill patternType="none"/>
    </fill>
    <fill>
      <patternFill patternType="gray125"/>
    </fill>
    <fill>
      <patternFill patternType="solid">
        <fgColor indexed="9"/>
        <bgColor indexed="0"/>
      </patternFill>
    </fill>
    <fill>
      <patternFill patternType="solid">
        <fgColor theme="0"/>
        <bgColor indexed="64"/>
      </patternFill>
    </fill>
    <fill>
      <patternFill patternType="solid">
        <fgColor theme="0"/>
        <bgColor indexed="0"/>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6"/>
      </patternFill>
    </fill>
  </fills>
  <borders count="166">
    <border>
      <left/>
      <right/>
      <top/>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dotted">
        <color indexed="8"/>
      </bottom>
      <diagonal/>
    </border>
    <border>
      <left style="medium">
        <color indexed="8"/>
      </left>
      <right style="medium">
        <color indexed="8"/>
      </right>
      <top style="dotted">
        <color indexed="8"/>
      </top>
      <bottom style="dotted">
        <color indexed="8"/>
      </bottom>
      <diagonal/>
    </border>
    <border>
      <left style="medium">
        <color indexed="8"/>
      </left>
      <right style="dotted">
        <color indexed="8"/>
      </right>
      <top style="medium">
        <color indexed="8"/>
      </top>
      <bottom style="medium">
        <color indexed="8"/>
      </bottom>
      <diagonal/>
    </border>
    <border>
      <left style="dotted">
        <color indexed="8"/>
      </left>
      <right style="medium">
        <color indexed="8"/>
      </right>
      <top style="medium">
        <color indexed="8"/>
      </top>
      <bottom style="medium">
        <color indexed="8"/>
      </bottom>
      <diagonal/>
    </border>
    <border>
      <left style="thin">
        <color indexed="8"/>
      </left>
      <right style="dotted">
        <color indexed="8"/>
      </right>
      <top style="dotted">
        <color indexed="8"/>
      </top>
      <bottom style="dotted">
        <color indexed="8"/>
      </bottom>
      <diagonal/>
    </border>
    <border>
      <left style="dotted">
        <color indexed="8"/>
      </left>
      <right style="medium">
        <color indexed="8"/>
      </right>
      <top style="dotted">
        <color indexed="8"/>
      </top>
      <bottom style="dotted">
        <color indexed="8"/>
      </bottom>
      <diagonal/>
    </border>
    <border>
      <left/>
      <right/>
      <top style="medium">
        <color indexed="8"/>
      </top>
      <bottom/>
      <diagonal/>
    </border>
    <border>
      <left style="dotted">
        <color indexed="8"/>
      </left>
      <right style="dotted">
        <color indexed="8"/>
      </right>
      <top style="dotted">
        <color indexed="8"/>
      </top>
      <bottom style="dotted">
        <color indexed="8"/>
      </bottom>
      <diagonal/>
    </border>
    <border>
      <left style="thin">
        <color indexed="8"/>
      </left>
      <right style="dotted">
        <color indexed="8"/>
      </right>
      <top style="thin">
        <color indexed="8"/>
      </top>
      <bottom style="dotted">
        <color indexed="8"/>
      </bottom>
      <diagonal/>
    </border>
    <border>
      <left style="medium">
        <color indexed="8"/>
      </left>
      <right style="medium">
        <color indexed="8"/>
      </right>
      <top style="dotted">
        <color indexed="8"/>
      </top>
      <bottom style="medium">
        <color indexed="8"/>
      </bottom>
      <diagonal/>
    </border>
    <border>
      <left style="thin">
        <color indexed="8"/>
      </left>
      <right style="dotted">
        <color indexed="8"/>
      </right>
      <top style="dotted">
        <color indexed="8"/>
      </top>
      <bottom style="thin">
        <color indexed="8"/>
      </bottom>
      <diagonal/>
    </border>
    <border>
      <left style="dotted">
        <color indexed="8"/>
      </left>
      <right style="dotted">
        <color indexed="8"/>
      </right>
      <top style="medium">
        <color indexed="8"/>
      </top>
      <bottom style="medium">
        <color indexed="8"/>
      </bottom>
      <diagonal/>
    </border>
    <border>
      <left style="thin">
        <color indexed="9"/>
      </left>
      <right style="thin">
        <color indexed="9"/>
      </right>
      <top/>
      <bottom style="thin">
        <color indexed="9"/>
      </bottom>
      <diagonal/>
    </border>
    <border>
      <left style="medium">
        <color indexed="64"/>
      </left>
      <right/>
      <top/>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style="dotted">
        <color indexed="8"/>
      </top>
      <bottom style="thin">
        <color indexed="8"/>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8"/>
      </left>
      <right style="dotted">
        <color indexed="8"/>
      </right>
      <top style="dotted">
        <color indexed="8"/>
      </top>
      <bottom style="dotted">
        <color indexed="8"/>
      </bottom>
      <diagonal/>
    </border>
    <border>
      <left style="medium">
        <color indexed="64"/>
      </left>
      <right style="medium">
        <color indexed="64"/>
      </right>
      <top style="medium">
        <color indexed="64"/>
      </top>
      <bottom style="medium">
        <color indexed="64"/>
      </bottom>
      <diagonal/>
    </border>
    <border>
      <left style="hair">
        <color indexed="64"/>
      </left>
      <right style="medium">
        <color indexed="64"/>
      </right>
      <top style="medium">
        <color indexed="64"/>
      </top>
      <bottom/>
      <diagonal/>
    </border>
    <border>
      <left style="medium">
        <color indexed="64"/>
      </left>
      <right style="medium">
        <color indexed="64"/>
      </right>
      <top style="medium">
        <color indexed="64"/>
      </top>
      <bottom style="dotted">
        <color indexed="64"/>
      </bottom>
      <diagonal/>
    </border>
    <border>
      <left style="dotted">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medium">
        <color indexed="64"/>
      </left>
      <right style="medium">
        <color indexed="64"/>
      </right>
      <top style="dotted">
        <color indexed="64"/>
      </top>
      <bottom style="dotted">
        <color indexed="64"/>
      </bottom>
      <diagonal/>
    </border>
    <border>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right/>
      <top style="medium">
        <color indexed="64"/>
      </top>
      <bottom style="medium">
        <color indexed="64"/>
      </bottom>
      <diagonal/>
    </border>
    <border>
      <left/>
      <right style="dotted">
        <color indexed="64"/>
      </right>
      <top style="medium">
        <color indexed="64"/>
      </top>
      <bottom style="medium">
        <color indexed="64"/>
      </bottom>
      <diagonal/>
    </border>
    <border>
      <left style="dotted">
        <color indexed="64"/>
      </left>
      <right style="dotted">
        <color indexed="64"/>
      </right>
      <top style="medium">
        <color indexed="64"/>
      </top>
      <bottom style="medium">
        <color indexed="64"/>
      </bottom>
      <diagonal/>
    </border>
    <border>
      <left style="dotted">
        <color indexed="64"/>
      </left>
      <right style="medium">
        <color indexed="64"/>
      </right>
      <top style="medium">
        <color indexed="64"/>
      </top>
      <bottom style="medium">
        <color indexed="64"/>
      </bottom>
      <diagonal/>
    </border>
    <border>
      <left style="medium">
        <color indexed="64"/>
      </left>
      <right style="dotted">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style="dotted">
        <color indexed="64"/>
      </bottom>
      <diagonal/>
    </border>
    <border>
      <left/>
      <right style="dotted">
        <color indexed="64"/>
      </right>
      <top/>
      <bottom style="dotted">
        <color indexed="64"/>
      </bottom>
      <diagonal/>
    </border>
    <border>
      <left style="dotted">
        <color indexed="64"/>
      </left>
      <right style="dotted">
        <color indexed="64"/>
      </right>
      <top/>
      <bottom style="dotted">
        <color indexed="64"/>
      </bottom>
      <diagonal/>
    </border>
    <border>
      <left style="dotted">
        <color indexed="64"/>
      </left>
      <right style="medium">
        <color indexed="64"/>
      </right>
      <top/>
      <bottom style="dotted">
        <color indexed="64"/>
      </bottom>
      <diagonal/>
    </border>
    <border>
      <left style="medium">
        <color indexed="8"/>
      </left>
      <right style="dotted">
        <color indexed="8"/>
      </right>
      <top style="medium">
        <color indexed="8"/>
      </top>
      <bottom style="dotted">
        <color indexed="8"/>
      </bottom>
      <diagonal/>
    </border>
    <border>
      <left style="dotted">
        <color indexed="8"/>
      </left>
      <right style="medium">
        <color indexed="8"/>
      </right>
      <top style="medium">
        <color indexed="8"/>
      </top>
      <bottom style="dotted">
        <color indexed="8"/>
      </bottom>
      <diagonal/>
    </border>
    <border>
      <left style="dotted">
        <color indexed="8"/>
      </left>
      <right style="dotted">
        <color indexed="8"/>
      </right>
      <top style="medium">
        <color indexed="8"/>
      </top>
      <bottom style="dotted">
        <color indexed="8"/>
      </bottom>
      <diagonal/>
    </border>
    <border>
      <left style="medium">
        <color indexed="8"/>
      </left>
      <right style="dotted">
        <color indexed="8"/>
      </right>
      <top/>
      <bottom/>
      <diagonal/>
    </border>
    <border>
      <left style="medium">
        <color indexed="8"/>
      </left>
      <right style="dotted">
        <color indexed="8"/>
      </right>
      <top/>
      <bottom style="dotted">
        <color indexed="8"/>
      </bottom>
      <diagonal/>
    </border>
    <border>
      <left style="medium">
        <color indexed="8"/>
      </left>
      <right style="medium">
        <color indexed="8"/>
      </right>
      <top/>
      <bottom style="medium">
        <color indexed="8"/>
      </bottom>
      <diagonal/>
    </border>
    <border>
      <left/>
      <right style="medium">
        <color indexed="8"/>
      </right>
      <top/>
      <bottom style="medium">
        <color indexed="8"/>
      </bottom>
      <diagonal/>
    </border>
    <border>
      <left style="medium">
        <color indexed="64"/>
      </left>
      <right style="medium">
        <color indexed="64"/>
      </right>
      <top style="medium">
        <color indexed="64"/>
      </top>
      <bottom/>
      <diagonal/>
    </border>
    <border>
      <left style="medium">
        <color indexed="64"/>
      </left>
      <right style="hair">
        <color indexed="64"/>
      </right>
      <top style="medium">
        <color indexed="64"/>
      </top>
      <bottom/>
      <diagonal/>
    </border>
    <border>
      <left style="medium">
        <color indexed="64"/>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indexed="64"/>
      </left>
      <right style="medium">
        <color indexed="64"/>
      </right>
      <top style="medium">
        <color indexed="64"/>
      </top>
      <bottom style="medium">
        <color indexed="8"/>
      </bottom>
      <diagonal/>
    </border>
    <border>
      <left/>
      <right style="dotted">
        <color indexed="8"/>
      </right>
      <top style="medium">
        <color indexed="64"/>
      </top>
      <bottom style="medium">
        <color indexed="8"/>
      </bottom>
      <diagonal/>
    </border>
    <border>
      <left style="dotted">
        <color indexed="8"/>
      </left>
      <right style="dotted">
        <color indexed="8"/>
      </right>
      <top style="medium">
        <color indexed="64"/>
      </top>
      <bottom style="medium">
        <color indexed="8"/>
      </bottom>
      <diagonal/>
    </border>
    <border>
      <left style="dotted">
        <color indexed="8"/>
      </left>
      <right style="medium">
        <color indexed="64"/>
      </right>
      <top style="medium">
        <color indexed="64"/>
      </top>
      <bottom style="medium">
        <color indexed="8"/>
      </bottom>
      <diagonal/>
    </border>
    <border>
      <left style="medium">
        <color indexed="8"/>
      </left>
      <right/>
      <top/>
      <bottom style="dotted">
        <color indexed="8"/>
      </bottom>
      <diagonal/>
    </border>
    <border>
      <left style="medium">
        <color indexed="64"/>
      </left>
      <right style="hair">
        <color indexed="64"/>
      </right>
      <top/>
      <bottom style="dotted">
        <color indexed="8"/>
      </bottom>
      <diagonal/>
    </border>
    <border>
      <left style="hair">
        <color indexed="64"/>
      </left>
      <right/>
      <top/>
      <bottom style="dotted">
        <color indexed="8"/>
      </bottom>
      <diagonal/>
    </border>
    <border>
      <left style="medium">
        <color indexed="64"/>
      </left>
      <right style="medium">
        <color indexed="64"/>
      </right>
      <top style="dotted">
        <color indexed="8"/>
      </top>
      <bottom style="dotted">
        <color indexed="8"/>
      </bottom>
      <diagonal/>
    </border>
    <border>
      <left/>
      <right style="dotted">
        <color indexed="8"/>
      </right>
      <top style="dotted">
        <color indexed="8"/>
      </top>
      <bottom style="dotted">
        <color indexed="8"/>
      </bottom>
      <diagonal/>
    </border>
    <border>
      <left style="dotted">
        <color indexed="8"/>
      </left>
      <right style="medium">
        <color indexed="64"/>
      </right>
      <top style="dotted">
        <color indexed="8"/>
      </top>
      <bottom style="dotted">
        <color indexed="8"/>
      </bottom>
      <diagonal/>
    </border>
    <border>
      <left style="medium">
        <color indexed="8"/>
      </left>
      <right/>
      <top style="dotted">
        <color indexed="8"/>
      </top>
      <bottom style="dotted">
        <color indexed="8"/>
      </bottom>
      <diagonal/>
    </border>
    <border>
      <left style="medium">
        <color indexed="64"/>
      </left>
      <right style="hair">
        <color indexed="64"/>
      </right>
      <top style="dotted">
        <color indexed="8"/>
      </top>
      <bottom style="dotted">
        <color indexed="8"/>
      </bottom>
      <diagonal/>
    </border>
    <border>
      <left style="hair">
        <color indexed="64"/>
      </left>
      <right/>
      <top style="dotted">
        <color indexed="8"/>
      </top>
      <bottom style="dotted">
        <color indexed="8"/>
      </bottom>
      <diagonal/>
    </border>
    <border>
      <left style="medium">
        <color indexed="64"/>
      </left>
      <right style="hair">
        <color indexed="64"/>
      </right>
      <top style="dotted">
        <color indexed="8"/>
      </top>
      <bottom style="medium">
        <color indexed="64"/>
      </bottom>
      <diagonal/>
    </border>
    <border>
      <left style="hair">
        <color indexed="64"/>
      </left>
      <right/>
      <top style="dotted">
        <color indexed="8"/>
      </top>
      <bottom style="medium">
        <color indexed="64"/>
      </bottom>
      <diagonal/>
    </border>
    <border>
      <left/>
      <right style="medium">
        <color indexed="8"/>
      </right>
      <top/>
      <bottom/>
      <diagonal/>
    </border>
    <border>
      <left/>
      <right style="dotted">
        <color indexed="8"/>
      </right>
      <top style="medium">
        <color indexed="8"/>
      </top>
      <bottom style="medium">
        <color indexed="8"/>
      </bottom>
      <diagonal/>
    </border>
    <border>
      <left style="dotted">
        <color indexed="8"/>
      </left>
      <right style="medium">
        <color indexed="8"/>
      </right>
      <top/>
      <bottom style="dotted">
        <color indexed="8"/>
      </bottom>
      <diagonal/>
    </border>
    <border>
      <left style="medium">
        <color indexed="8"/>
      </left>
      <right style="dotted">
        <color indexed="64"/>
      </right>
      <top style="medium">
        <color indexed="8"/>
      </top>
      <bottom style="medium">
        <color indexed="8"/>
      </bottom>
      <diagonal/>
    </border>
    <border>
      <left/>
      <right style="dotted">
        <color indexed="64"/>
      </right>
      <top style="medium">
        <color indexed="8"/>
      </top>
      <bottom style="medium">
        <color indexed="8"/>
      </bottom>
      <diagonal/>
    </border>
    <border>
      <left style="medium">
        <color indexed="8"/>
      </left>
      <right style="dotted">
        <color indexed="64"/>
      </right>
      <top style="medium">
        <color indexed="8"/>
      </top>
      <bottom style="dotted">
        <color indexed="8"/>
      </bottom>
      <diagonal/>
    </border>
    <border>
      <left style="medium">
        <color indexed="8"/>
      </left>
      <right style="dotted">
        <color indexed="64"/>
      </right>
      <top style="dotted">
        <color indexed="8"/>
      </top>
      <bottom style="dotted">
        <color indexed="8"/>
      </bottom>
      <diagonal/>
    </border>
    <border>
      <left style="medium">
        <color indexed="8"/>
      </left>
      <right style="dotted">
        <color indexed="64"/>
      </right>
      <top style="dotted">
        <color indexed="8"/>
      </top>
      <bottom style="medium">
        <color indexed="8"/>
      </bottom>
      <diagonal/>
    </border>
    <border>
      <left style="dotted">
        <color indexed="64"/>
      </left>
      <right style="dotted">
        <color indexed="64"/>
      </right>
      <top style="medium">
        <color indexed="8"/>
      </top>
      <bottom style="medium">
        <color indexed="8"/>
      </bottom>
      <diagonal/>
    </border>
    <border>
      <left style="dotted">
        <color indexed="64"/>
      </left>
      <right style="dotted">
        <color indexed="64"/>
      </right>
      <top style="medium">
        <color indexed="8"/>
      </top>
      <bottom style="dotted">
        <color indexed="8"/>
      </bottom>
      <diagonal/>
    </border>
    <border>
      <left style="dotted">
        <color indexed="64"/>
      </left>
      <right style="dotted">
        <color indexed="64"/>
      </right>
      <top style="dotted">
        <color indexed="8"/>
      </top>
      <bottom style="dotted">
        <color indexed="8"/>
      </bottom>
      <diagonal/>
    </border>
    <border>
      <left style="dotted">
        <color indexed="64"/>
      </left>
      <right style="dotted">
        <color indexed="64"/>
      </right>
      <top style="dotted">
        <color indexed="8"/>
      </top>
      <bottom style="medium">
        <color indexed="8"/>
      </bottom>
      <diagonal/>
    </border>
    <border>
      <left style="medium">
        <color indexed="8"/>
      </left>
      <right style="medium">
        <color indexed="8"/>
      </right>
      <top style="medium">
        <color indexed="8"/>
      </top>
      <bottom/>
      <diagonal/>
    </border>
    <border>
      <left style="medium">
        <color indexed="8"/>
      </left>
      <right/>
      <top style="medium">
        <color indexed="8"/>
      </top>
      <bottom style="medium">
        <color indexed="8"/>
      </bottom>
      <diagonal/>
    </border>
    <border>
      <left/>
      <right/>
      <top/>
      <bottom style="medium">
        <color indexed="8"/>
      </bottom>
      <diagonal/>
    </border>
    <border>
      <left style="dotted">
        <color indexed="8"/>
      </left>
      <right style="dotted">
        <color indexed="8"/>
      </right>
      <top style="dotted">
        <color indexed="8"/>
      </top>
      <bottom/>
      <diagonal/>
    </border>
    <border>
      <left style="medium">
        <color indexed="64"/>
      </left>
      <right style="hair">
        <color indexed="64"/>
      </right>
      <top/>
      <bottom/>
      <diagonal/>
    </border>
    <border>
      <left style="hair">
        <color indexed="64"/>
      </left>
      <right/>
      <top/>
      <bottom/>
      <diagonal/>
    </border>
    <border>
      <left style="medium">
        <color indexed="64"/>
      </left>
      <right style="medium">
        <color indexed="64"/>
      </right>
      <top style="dotted">
        <color indexed="8"/>
      </top>
      <bottom style="medium">
        <color indexed="8"/>
      </bottom>
      <diagonal/>
    </border>
    <border>
      <left style="medium">
        <color indexed="8"/>
      </left>
      <right/>
      <top style="thin">
        <color indexed="8"/>
      </top>
      <bottom style="dotted">
        <color indexed="8"/>
      </bottom>
      <diagonal/>
    </border>
    <border>
      <left style="medium">
        <color indexed="8"/>
      </left>
      <right/>
      <top style="dotted">
        <color indexed="8"/>
      </top>
      <bottom style="medium">
        <color indexed="8"/>
      </bottom>
      <diagonal/>
    </border>
    <border>
      <left style="medium">
        <color indexed="8"/>
      </left>
      <right style="dotted">
        <color indexed="8"/>
      </right>
      <top style="medium">
        <color indexed="8"/>
      </top>
      <bottom/>
      <diagonal/>
    </border>
    <border>
      <left style="dotted">
        <color indexed="8"/>
      </left>
      <right style="medium">
        <color indexed="8"/>
      </right>
      <top style="medium">
        <color indexed="8"/>
      </top>
      <bottom/>
      <diagonal/>
    </border>
    <border>
      <left style="medium">
        <color indexed="64"/>
      </left>
      <right style="dotted">
        <color indexed="8"/>
      </right>
      <top style="medium">
        <color indexed="64"/>
      </top>
      <bottom style="dotted">
        <color indexed="8"/>
      </bottom>
      <diagonal/>
    </border>
    <border>
      <left style="dotted">
        <color indexed="8"/>
      </left>
      <right style="medium">
        <color indexed="64"/>
      </right>
      <top style="medium">
        <color indexed="64"/>
      </top>
      <bottom style="dotted">
        <color indexed="8"/>
      </bottom>
      <diagonal/>
    </border>
    <border>
      <left style="medium">
        <color indexed="64"/>
      </left>
      <right style="dotted">
        <color indexed="8"/>
      </right>
      <top style="dotted">
        <color indexed="8"/>
      </top>
      <bottom style="dotted">
        <color indexed="8"/>
      </bottom>
      <diagonal/>
    </border>
    <border>
      <left style="medium">
        <color indexed="64"/>
      </left>
      <right style="dotted">
        <color indexed="64"/>
      </right>
      <top style="dotted">
        <color indexed="8"/>
      </top>
      <bottom style="dotted">
        <color indexed="8"/>
      </bottom>
      <diagonal/>
    </border>
    <border>
      <left style="medium">
        <color indexed="64"/>
      </left>
      <right style="dotted">
        <color indexed="64"/>
      </right>
      <top style="dotted">
        <color indexed="8"/>
      </top>
      <bottom style="medium">
        <color indexed="64"/>
      </bottom>
      <diagonal/>
    </border>
    <border>
      <left style="dotted">
        <color indexed="8"/>
      </left>
      <right style="medium">
        <color indexed="64"/>
      </right>
      <top style="dotted">
        <color indexed="8"/>
      </top>
      <bottom style="medium">
        <color indexed="64"/>
      </bottom>
      <diagonal/>
    </border>
    <border>
      <left style="dotted">
        <color indexed="8"/>
      </left>
      <right style="medium">
        <color indexed="8"/>
      </right>
      <top style="dotted">
        <color indexed="8"/>
      </top>
      <bottom/>
      <diagonal/>
    </border>
    <border>
      <left style="dotted">
        <color indexed="8"/>
      </left>
      <right style="dotted">
        <color indexed="8"/>
      </right>
      <top/>
      <bottom style="dotted">
        <color indexed="8"/>
      </bottom>
      <diagonal/>
    </border>
    <border>
      <left style="dotted">
        <color indexed="8"/>
      </left>
      <right style="dotted">
        <color indexed="8"/>
      </right>
      <top style="medium">
        <color indexed="64"/>
      </top>
      <bottom style="medium">
        <color indexed="64"/>
      </bottom>
      <diagonal/>
    </border>
    <border>
      <left style="medium">
        <color indexed="8"/>
      </left>
      <right style="dotted">
        <color indexed="8"/>
      </right>
      <top style="medium">
        <color indexed="64"/>
      </top>
      <bottom style="medium">
        <color indexed="64"/>
      </bottom>
      <diagonal/>
    </border>
    <border>
      <left style="dotted">
        <color indexed="8"/>
      </left>
      <right style="medium">
        <color indexed="64"/>
      </right>
      <top style="medium">
        <color indexed="64"/>
      </top>
      <bottom style="medium">
        <color indexed="64"/>
      </bottom>
      <diagonal/>
    </border>
    <border>
      <left style="dotted">
        <color indexed="8"/>
      </left>
      <right/>
      <top style="dotted">
        <color indexed="8"/>
      </top>
      <bottom style="dotted">
        <color indexed="8"/>
      </bottom>
      <diagonal/>
    </border>
    <border>
      <left style="dotted">
        <color indexed="8"/>
      </left>
      <right style="dotted">
        <color indexed="8"/>
      </right>
      <top style="medium">
        <color indexed="8"/>
      </top>
      <bottom/>
      <diagonal/>
    </border>
    <border>
      <left style="dotted">
        <color indexed="8"/>
      </left>
      <right style="dotted">
        <color indexed="8"/>
      </right>
      <top style="medium">
        <color indexed="64"/>
      </top>
      <bottom style="dotted">
        <color indexed="8"/>
      </bottom>
      <diagonal/>
    </border>
    <border>
      <left style="medium">
        <color indexed="64"/>
      </left>
      <right style="dotted">
        <color indexed="8"/>
      </right>
      <top style="dotted">
        <color indexed="8"/>
      </top>
      <bottom style="medium">
        <color indexed="64"/>
      </bottom>
      <diagonal/>
    </border>
    <border>
      <left style="dotted">
        <color indexed="8"/>
      </left>
      <right style="dotted">
        <color indexed="8"/>
      </right>
      <top style="dotted">
        <color indexed="8"/>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dotted">
        <color indexed="8"/>
      </left>
      <right style="dotted">
        <color indexed="64"/>
      </right>
      <top style="dotted">
        <color indexed="8"/>
      </top>
      <bottom style="dotted">
        <color indexed="8"/>
      </bottom>
      <diagonal/>
    </border>
    <border>
      <left style="dotted">
        <color indexed="8"/>
      </left>
      <right style="dotted">
        <color indexed="64"/>
      </right>
      <top style="medium">
        <color indexed="8"/>
      </top>
      <bottom style="dotted">
        <color indexed="8"/>
      </bottom>
      <diagonal/>
    </border>
    <border>
      <left style="medium">
        <color indexed="64"/>
      </left>
      <right style="medium">
        <color indexed="8"/>
      </right>
      <top style="medium">
        <color indexed="64"/>
      </top>
      <bottom style="medium">
        <color indexed="8"/>
      </bottom>
      <diagonal/>
    </border>
    <border>
      <left style="medium">
        <color indexed="8"/>
      </left>
      <right style="dotted">
        <color indexed="8"/>
      </right>
      <top style="medium">
        <color indexed="64"/>
      </top>
      <bottom style="medium">
        <color indexed="8"/>
      </bottom>
      <diagonal/>
    </border>
    <border>
      <left style="dotted">
        <color indexed="8"/>
      </left>
      <right style="medium">
        <color indexed="8"/>
      </right>
      <top style="medium">
        <color indexed="64"/>
      </top>
      <bottom style="medium">
        <color indexed="8"/>
      </bottom>
      <diagonal/>
    </border>
    <border>
      <left style="medium">
        <color indexed="64"/>
      </left>
      <right style="medium">
        <color indexed="8"/>
      </right>
      <top style="dotted">
        <color indexed="8"/>
      </top>
      <bottom style="dotted">
        <color indexed="8"/>
      </bottom>
      <diagonal/>
    </border>
    <border>
      <left style="medium">
        <color indexed="64"/>
      </left>
      <right style="medium">
        <color indexed="8"/>
      </right>
      <top style="dotted">
        <color indexed="8"/>
      </top>
      <bottom style="medium">
        <color indexed="64"/>
      </bottom>
      <diagonal/>
    </border>
    <border>
      <left/>
      <right/>
      <top style="medium">
        <color indexed="64"/>
      </top>
      <bottom style="medium">
        <color indexed="8"/>
      </bottom>
      <diagonal/>
    </border>
    <border>
      <left/>
      <right/>
      <top style="dotted">
        <color indexed="8"/>
      </top>
      <bottom style="dotted">
        <color indexed="8"/>
      </bottom>
      <diagonal/>
    </border>
    <border>
      <left style="medium">
        <color indexed="8"/>
      </left>
      <right style="dotted">
        <color indexed="8"/>
      </right>
      <top style="medium">
        <color indexed="64"/>
      </top>
      <bottom/>
      <diagonal/>
    </border>
    <border>
      <left style="dotted">
        <color indexed="8"/>
      </left>
      <right style="dotted">
        <color indexed="8"/>
      </right>
      <top style="medium">
        <color indexed="64"/>
      </top>
      <bottom/>
      <diagonal/>
    </border>
    <border>
      <left style="thin">
        <color indexed="22"/>
      </left>
      <right style="thin">
        <color indexed="22"/>
      </right>
      <top style="thin">
        <color indexed="22"/>
      </top>
      <bottom style="thin">
        <color indexed="22"/>
      </bottom>
      <diagonal/>
    </border>
    <border>
      <left/>
      <right style="medium">
        <color indexed="8"/>
      </right>
      <top style="dotted">
        <color indexed="8"/>
      </top>
      <bottom style="dotted">
        <color indexed="8"/>
      </bottom>
      <diagonal/>
    </border>
    <border>
      <left/>
      <right style="dotted">
        <color indexed="64"/>
      </right>
      <top style="medium">
        <color indexed="64"/>
      </top>
      <bottom style="dotted">
        <color indexed="64"/>
      </bottom>
      <diagonal/>
    </border>
    <border>
      <left style="medium">
        <color indexed="64"/>
      </left>
      <right style="dotted">
        <color indexed="64"/>
      </right>
      <top style="medium">
        <color indexed="64"/>
      </top>
      <bottom style="medium">
        <color indexed="64"/>
      </bottom>
      <diagonal/>
    </border>
    <border>
      <left style="dotted">
        <color indexed="64"/>
      </left>
      <right/>
      <top style="medium">
        <color indexed="64"/>
      </top>
      <bottom style="medium">
        <color indexed="64"/>
      </bottom>
      <diagonal/>
    </border>
    <border>
      <left style="dotted">
        <color indexed="64"/>
      </left>
      <right style="thin">
        <color indexed="64"/>
      </right>
      <top style="medium">
        <color indexed="64"/>
      </top>
      <bottom style="dotted">
        <color indexed="64"/>
      </bottom>
      <diagonal/>
    </border>
    <border>
      <left style="dotted">
        <color indexed="64"/>
      </left>
      <right style="thin">
        <color indexed="64"/>
      </right>
      <top style="dotted">
        <color indexed="64"/>
      </top>
      <bottom style="dotted">
        <color indexed="64"/>
      </bottom>
      <diagonal/>
    </border>
    <border>
      <left style="dotted">
        <color indexed="64"/>
      </left>
      <right style="thin">
        <color indexed="64"/>
      </right>
      <top style="dotted">
        <color indexed="64"/>
      </top>
      <bottom style="medium">
        <color indexed="64"/>
      </bottom>
      <diagonal/>
    </border>
    <border>
      <left style="thin">
        <color indexed="64"/>
      </left>
      <right style="thin">
        <color indexed="64"/>
      </right>
      <top style="medium">
        <color indexed="64"/>
      </top>
      <bottom style="dotted">
        <color indexed="64"/>
      </bottom>
      <diagonal/>
    </border>
    <border>
      <left style="thin">
        <color indexed="64"/>
      </left>
      <right style="thin">
        <color indexed="64"/>
      </right>
      <top style="dotted">
        <color indexed="64"/>
      </top>
      <bottom style="medium">
        <color indexed="64"/>
      </bottom>
      <diagonal/>
    </border>
    <border>
      <left style="medium">
        <color indexed="8"/>
      </left>
      <right style="medium">
        <color indexed="8"/>
      </right>
      <top/>
      <bottom style="dotted">
        <color indexed="8"/>
      </bottom>
      <diagonal/>
    </border>
    <border>
      <left/>
      <right/>
      <top/>
      <bottom style="medium">
        <color auto="1"/>
      </bottom>
      <diagonal/>
    </border>
    <border>
      <left style="medium">
        <color indexed="8"/>
      </left>
      <right/>
      <top style="dotted">
        <color indexed="8"/>
      </top>
      <bottom style="medium">
        <color indexed="64"/>
      </bottom>
      <diagonal/>
    </border>
    <border>
      <left/>
      <right style="dotted">
        <color indexed="8"/>
      </right>
      <top style="dotted">
        <color indexed="8"/>
      </top>
      <bottom style="medium">
        <color indexed="64"/>
      </bottom>
      <diagonal/>
    </border>
    <border>
      <left style="dotted">
        <color indexed="8"/>
      </left>
      <right/>
      <top style="medium">
        <color indexed="64"/>
      </top>
      <bottom style="dotted">
        <color indexed="8"/>
      </bottom>
      <diagonal/>
    </border>
    <border>
      <left style="dotted">
        <color indexed="8"/>
      </left>
      <right/>
      <top style="dotted">
        <color indexed="8"/>
      </top>
      <bottom style="medium">
        <color indexed="64"/>
      </bottom>
      <diagonal/>
    </border>
    <border>
      <left/>
      <right style="dotted">
        <color indexed="8"/>
      </right>
      <top style="medium">
        <color indexed="64"/>
      </top>
      <bottom style="dotted">
        <color indexed="8"/>
      </bottom>
      <diagonal/>
    </border>
    <border>
      <left style="medium">
        <color indexed="64"/>
      </left>
      <right style="dotted">
        <color indexed="8"/>
      </right>
      <top style="dotted">
        <color indexed="8"/>
      </top>
      <bottom/>
      <diagonal/>
    </border>
    <border>
      <left style="dotted">
        <color indexed="64"/>
      </left>
      <right style="medium">
        <color indexed="64"/>
      </right>
      <top style="dotted">
        <color indexed="8"/>
      </top>
      <bottom style="medium">
        <color indexed="64"/>
      </bottom>
      <diagonal/>
    </border>
    <border>
      <left style="medium">
        <color indexed="64"/>
      </left>
      <right style="medium">
        <color indexed="64"/>
      </right>
      <top style="medium">
        <color indexed="64"/>
      </top>
      <bottom style="dotted">
        <color indexed="8"/>
      </bottom>
      <diagonal/>
    </border>
    <border>
      <left style="medium">
        <color indexed="64"/>
      </left>
      <right style="medium">
        <color indexed="64"/>
      </right>
      <top style="dotted">
        <color indexed="8"/>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style="medium">
        <color indexed="8"/>
      </left>
      <right style="dotted">
        <color indexed="8"/>
      </right>
      <top style="dotted">
        <color indexed="8"/>
      </top>
      <bottom style="medium">
        <color indexed="8"/>
      </bottom>
      <diagonal/>
    </border>
    <border>
      <left style="dotted">
        <color indexed="8"/>
      </left>
      <right style="dotted">
        <color indexed="8"/>
      </right>
      <top style="dotted">
        <color indexed="8"/>
      </top>
      <bottom style="medium">
        <color indexed="8"/>
      </bottom>
      <diagonal/>
    </border>
    <border>
      <left style="thin">
        <color indexed="64"/>
      </left>
      <right style="dotted">
        <color indexed="64"/>
      </right>
      <top style="dotted">
        <color indexed="64"/>
      </top>
      <bottom style="medium">
        <color indexed="64"/>
      </bottom>
      <diagonal/>
    </border>
    <border>
      <left style="thin">
        <color indexed="64"/>
      </left>
      <right style="dotted">
        <color indexed="64"/>
      </right>
      <top style="dotted">
        <color indexed="64"/>
      </top>
      <bottom style="dotted">
        <color indexed="64"/>
      </bottom>
      <diagonal/>
    </border>
  </borders>
  <cellStyleXfs count="202">
    <xf numFmtId="0" fontId="0" fillId="0" borderId="0"/>
    <xf numFmtId="164" fontId="8" fillId="0" borderId="0" applyFont="0" applyFill="0" applyBorder="0" applyAlignment="0" applyProtection="0"/>
    <xf numFmtId="164" fontId="13" fillId="0" borderId="0" applyFont="0" applyFill="0" applyBorder="0" applyAlignment="0" applyProtection="0"/>
    <xf numFmtId="0" fontId="22" fillId="0" borderId="0" applyNumberFormat="0" applyFill="0" applyBorder="0" applyAlignment="0" applyProtection="0"/>
    <xf numFmtId="0" fontId="16" fillId="0" borderId="0"/>
    <xf numFmtId="0" fontId="13" fillId="0" borderId="0"/>
    <xf numFmtId="0" fontId="21" fillId="0" borderId="0"/>
    <xf numFmtId="9" fontId="8" fillId="0" borderId="0" applyFont="0" applyFill="0" applyBorder="0" applyAlignment="0" applyProtection="0"/>
    <xf numFmtId="9" fontId="16" fillId="0" borderId="0" applyFont="0" applyFill="0" applyBorder="0" applyAlignment="0" applyProtection="0"/>
    <xf numFmtId="0" fontId="23" fillId="0" borderId="0" applyNumberFormat="0" applyFill="0" applyBorder="0" applyAlignment="0" applyProtection="0"/>
    <xf numFmtId="164" fontId="16" fillId="0" borderId="0" applyFont="0" applyFill="0" applyBorder="0" applyAlignment="0" applyProtection="0"/>
    <xf numFmtId="0" fontId="30" fillId="0" borderId="0"/>
    <xf numFmtId="43" fontId="16" fillId="0" borderId="0" applyFont="0" applyFill="0" applyBorder="0" applyAlignment="0" applyProtection="0"/>
    <xf numFmtId="164" fontId="16" fillId="0" borderId="0" applyFont="0" applyFill="0" applyBorder="0" applyAlignment="0" applyProtection="0"/>
    <xf numFmtId="43" fontId="16" fillId="0" borderId="0" applyFont="0" applyFill="0" applyBorder="0" applyAlignment="0" applyProtection="0"/>
    <xf numFmtId="164" fontId="16" fillId="0" borderId="0" applyFont="0" applyFill="0" applyBorder="0" applyAlignment="0" applyProtection="0"/>
    <xf numFmtId="43" fontId="1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164" fontId="16" fillId="0" borderId="0" applyFont="0" applyFill="0" applyBorder="0" applyAlignment="0" applyProtection="0"/>
    <xf numFmtId="43" fontId="16" fillId="0" borderId="0" applyFont="0" applyFill="0" applyBorder="0" applyAlignment="0" applyProtection="0"/>
    <xf numFmtId="164" fontId="16" fillId="0" borderId="0" applyFont="0" applyFill="0" applyBorder="0" applyAlignment="0" applyProtection="0"/>
    <xf numFmtId="0" fontId="20"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23" fillId="0" borderId="0" applyNumberFormat="0" applyFill="0" applyBorder="0" applyAlignment="0" applyProtection="0"/>
    <xf numFmtId="0" fontId="20" fillId="0" borderId="0" applyNumberFormat="0" applyFill="0" applyBorder="0" applyAlignment="0" applyProtection="0">
      <alignment vertical="top"/>
      <protection locked="0"/>
    </xf>
    <xf numFmtId="0" fontId="23" fillId="0" borderId="0" applyNumberFormat="0" applyFill="0" applyBorder="0" applyAlignment="0" applyProtection="0"/>
    <xf numFmtId="0" fontId="16" fillId="0" borderId="0"/>
    <xf numFmtId="0" fontId="16" fillId="0" borderId="0"/>
    <xf numFmtId="0" fontId="7" fillId="0" borderId="0"/>
    <xf numFmtId="0" fontId="16" fillId="0" borderId="0"/>
    <xf numFmtId="0" fontId="16" fillId="0" borderId="0"/>
    <xf numFmtId="0" fontId="7" fillId="0" borderId="0"/>
    <xf numFmtId="0" fontId="7" fillId="0" borderId="0"/>
    <xf numFmtId="0" fontId="16" fillId="0" borderId="0"/>
    <xf numFmtId="0" fontId="7" fillId="0" borderId="0"/>
    <xf numFmtId="0" fontId="7" fillId="0" borderId="0"/>
    <xf numFmtId="0" fontId="16" fillId="0" borderId="0"/>
    <xf numFmtId="9" fontId="1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30" fillId="0" borderId="0" applyFont="0" applyFill="0" applyBorder="0" applyAlignment="0" applyProtection="0"/>
    <xf numFmtId="43" fontId="30" fillId="0" borderId="0" applyFont="0" applyFill="0" applyBorder="0" applyAlignment="0" applyProtection="0"/>
    <xf numFmtId="0" fontId="1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43" fontId="8" fillId="0" borderId="0" applyFont="0" applyFill="0" applyBorder="0" applyAlignment="0" applyProtection="0"/>
    <xf numFmtId="0" fontId="8" fillId="0" borderId="0"/>
    <xf numFmtId="0" fontId="7" fillId="0" borderId="0"/>
    <xf numFmtId="0" fontId="7" fillId="0" borderId="0"/>
    <xf numFmtId="0" fontId="7" fillId="0" borderId="0"/>
    <xf numFmtId="0" fontId="8" fillId="0" borderId="0"/>
    <xf numFmtId="0" fontId="7" fillId="0" borderId="0"/>
    <xf numFmtId="0" fontId="34" fillId="0" borderId="0" applyNumberFormat="0" applyFill="0" applyBorder="0" applyAlignment="0" applyProtection="0"/>
    <xf numFmtId="0" fontId="22" fillId="0" borderId="0" applyNumberFormat="0" applyFill="0" applyBorder="0" applyAlignment="0" applyProtection="0"/>
    <xf numFmtId="0" fontId="35" fillId="0" borderId="0" applyNumberFormat="0" applyFill="0" applyBorder="0" applyAlignment="0" applyProtection="0"/>
    <xf numFmtId="0" fontId="7" fillId="13" borderId="0" applyNumberFormat="0" applyBorder="0" applyAlignment="0" applyProtection="0"/>
    <xf numFmtId="0" fontId="7" fillId="17" borderId="0" applyNumberFormat="0" applyBorder="0" applyAlignment="0" applyProtection="0"/>
    <xf numFmtId="0" fontId="7" fillId="21" borderId="0" applyNumberFormat="0" applyBorder="0" applyAlignment="0" applyProtection="0"/>
    <xf numFmtId="0" fontId="7" fillId="25" borderId="0" applyNumberFormat="0" applyBorder="0" applyAlignment="0" applyProtection="0"/>
    <xf numFmtId="0" fontId="7" fillId="29" borderId="0" applyNumberFormat="0" applyBorder="0" applyAlignment="0" applyProtection="0"/>
    <xf numFmtId="0" fontId="7" fillId="33" borderId="0" applyNumberFormat="0" applyBorder="0" applyAlignment="0" applyProtection="0"/>
    <xf numFmtId="0" fontId="7" fillId="14" borderId="0" applyNumberFormat="0" applyBorder="0" applyAlignment="0" applyProtection="0"/>
    <xf numFmtId="0" fontId="7" fillId="18" borderId="0" applyNumberFormat="0" applyBorder="0" applyAlignment="0" applyProtection="0"/>
    <xf numFmtId="0" fontId="7" fillId="22" borderId="0" applyNumberFormat="0" applyBorder="0" applyAlignment="0" applyProtection="0"/>
    <xf numFmtId="0" fontId="7" fillId="26" borderId="0" applyNumberFormat="0" applyBorder="0" applyAlignment="0" applyProtection="0"/>
    <xf numFmtId="0" fontId="7" fillId="30" borderId="0" applyNumberFormat="0" applyBorder="0" applyAlignment="0" applyProtection="0"/>
    <xf numFmtId="0" fontId="7" fillId="34" borderId="0" applyNumberFormat="0" applyBorder="0" applyAlignment="0" applyProtection="0"/>
    <xf numFmtId="0" fontId="36" fillId="15" borderId="0" applyNumberFormat="0" applyBorder="0" applyAlignment="0" applyProtection="0"/>
    <xf numFmtId="0" fontId="36" fillId="19" borderId="0" applyNumberFormat="0" applyBorder="0" applyAlignment="0" applyProtection="0"/>
    <xf numFmtId="0" fontId="36" fillId="23" borderId="0" applyNumberFormat="0" applyBorder="0" applyAlignment="0" applyProtection="0"/>
    <xf numFmtId="0" fontId="36" fillId="27" borderId="0" applyNumberFormat="0" applyBorder="0" applyAlignment="0" applyProtection="0"/>
    <xf numFmtId="0" fontId="36" fillId="31" borderId="0" applyNumberFormat="0" applyBorder="0" applyAlignment="0" applyProtection="0"/>
    <xf numFmtId="0" fontId="36" fillId="35" borderId="0" applyNumberFormat="0" applyBorder="0" applyAlignment="0" applyProtection="0"/>
    <xf numFmtId="0" fontId="36" fillId="12" borderId="0" applyNumberFormat="0" applyBorder="0" applyAlignment="0" applyProtection="0"/>
    <xf numFmtId="0" fontId="36" fillId="16" borderId="0" applyNumberFormat="0" applyBorder="0" applyAlignment="0" applyProtection="0"/>
    <xf numFmtId="0" fontId="36" fillId="20" borderId="0" applyNumberFormat="0" applyBorder="0" applyAlignment="0" applyProtection="0"/>
    <xf numFmtId="0" fontId="36" fillId="24" borderId="0" applyNumberFormat="0" applyBorder="0" applyAlignment="0" applyProtection="0"/>
    <xf numFmtId="0" fontId="36" fillId="28" borderId="0" applyNumberFormat="0" applyBorder="0" applyAlignment="0" applyProtection="0"/>
    <xf numFmtId="0" fontId="36" fillId="32" borderId="0" applyNumberFormat="0" applyBorder="0" applyAlignment="0" applyProtection="0"/>
    <xf numFmtId="0" fontId="37" fillId="6" borderId="0" applyNumberFormat="0" applyBorder="0" applyAlignment="0" applyProtection="0"/>
    <xf numFmtId="0" fontId="38" fillId="9" borderId="119" applyNumberFormat="0" applyAlignment="0" applyProtection="0"/>
    <xf numFmtId="0" fontId="39" fillId="10" borderId="122" applyNumberFormat="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40" fillId="0" borderId="0" applyNumberFormat="0" applyFill="0" applyBorder="0" applyAlignment="0" applyProtection="0"/>
    <xf numFmtId="0" fontId="41" fillId="5" borderId="0" applyNumberFormat="0" applyBorder="0" applyAlignment="0" applyProtection="0"/>
    <xf numFmtId="0" fontId="42" fillId="0" borderId="116" applyNumberFormat="0" applyFill="0" applyAlignment="0" applyProtection="0"/>
    <xf numFmtId="0" fontId="43" fillId="0" borderId="117" applyNumberFormat="0" applyFill="0" applyAlignment="0" applyProtection="0"/>
    <xf numFmtId="0" fontId="44" fillId="0" borderId="118" applyNumberFormat="0" applyFill="0" applyAlignment="0" applyProtection="0"/>
    <xf numFmtId="0" fontId="44" fillId="0" borderId="0" applyNumberFormat="0" applyFill="0" applyBorder="0" applyAlignment="0" applyProtection="0"/>
    <xf numFmtId="0" fontId="45" fillId="0" borderId="0" applyNumberFormat="0" applyFill="0" applyBorder="0" applyAlignment="0" applyProtection="0">
      <alignment vertical="top"/>
      <protection locked="0"/>
    </xf>
    <xf numFmtId="0" fontId="46" fillId="8" borderId="119" applyNumberFormat="0" applyAlignment="0" applyProtection="0"/>
    <xf numFmtId="0" fontId="47" fillId="0" borderId="121" applyNumberFormat="0" applyFill="0" applyAlignment="0" applyProtection="0"/>
    <xf numFmtId="0" fontId="48" fillId="7" borderId="0" applyNumberFormat="0" applyBorder="0" applyAlignment="0" applyProtection="0"/>
    <xf numFmtId="0" fontId="5" fillId="0" borderId="0"/>
    <xf numFmtId="0" fontId="8" fillId="0" borderId="0"/>
    <xf numFmtId="0" fontId="7" fillId="11" borderId="123" applyNumberFormat="0" applyFont="0" applyAlignment="0" applyProtection="0"/>
    <xf numFmtId="0" fontId="49" fillId="11" borderId="123" applyNumberFormat="0" applyFont="0" applyAlignment="0" applyProtection="0"/>
    <xf numFmtId="0" fontId="49" fillId="36" borderId="136" applyNumberFormat="0" applyFont="0" applyAlignment="0" applyProtection="0"/>
    <xf numFmtId="0" fontId="50" fillId="9" borderId="120" applyNumberFormat="0" applyAlignment="0" applyProtection="0"/>
    <xf numFmtId="9" fontId="8" fillId="0" borderId="0" applyFont="0" applyFill="0" applyBorder="0" applyAlignment="0" applyProtection="0"/>
    <xf numFmtId="9" fontId="8" fillId="0" borderId="0" applyFont="0" applyFill="0" applyBorder="0" applyAlignment="0" applyProtection="0"/>
    <xf numFmtId="9" fontId="7"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51" fillId="0" borderId="0" applyFont="0" applyFill="0" applyBorder="0" applyAlignment="0" applyProtection="0"/>
    <xf numFmtId="0" fontId="52" fillId="0" borderId="124" applyNumberFormat="0" applyFill="0" applyAlignment="0" applyProtection="0"/>
    <xf numFmtId="0" fontId="53" fillId="0" borderId="0" applyNumberFormat="0" applyFill="0" applyBorder="0" applyAlignment="0" applyProtection="0"/>
    <xf numFmtId="0" fontId="8" fillId="0" borderId="0"/>
    <xf numFmtId="164" fontId="8" fillId="0" borderId="0" applyFont="0" applyFill="0" applyBorder="0" applyAlignment="0" applyProtection="0"/>
    <xf numFmtId="164" fontId="8" fillId="0" borderId="0" applyFont="0" applyFill="0" applyBorder="0" applyAlignment="0" applyProtection="0"/>
    <xf numFmtId="0" fontId="7" fillId="0" borderId="0"/>
    <xf numFmtId="164" fontId="8" fillId="0" borderId="0" applyFont="0" applyFill="0" applyBorder="0" applyAlignment="0" applyProtection="0"/>
    <xf numFmtId="0" fontId="5" fillId="0" borderId="0"/>
    <xf numFmtId="164" fontId="8" fillId="0" borderId="0" applyFont="0" applyFill="0" applyBorder="0" applyAlignment="0" applyProtection="0"/>
    <xf numFmtId="43" fontId="8" fillId="0" borderId="0" applyFont="0" applyFill="0" applyBorder="0" applyAlignment="0" applyProtection="0"/>
    <xf numFmtId="164" fontId="8"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164" fontId="8" fillId="0" borderId="0" applyFont="0" applyFill="0" applyBorder="0" applyAlignment="0" applyProtection="0"/>
    <xf numFmtId="43" fontId="8" fillId="0" borderId="0" applyFont="0" applyFill="0" applyBorder="0" applyAlignment="0" applyProtection="0"/>
    <xf numFmtId="164" fontId="8" fillId="0" borderId="0" applyFont="0" applyFill="0" applyBorder="0" applyAlignment="0" applyProtection="0"/>
    <xf numFmtId="0" fontId="20"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22" fillId="0" borderId="0" applyNumberFormat="0" applyFill="0" applyBorder="0" applyAlignment="0" applyProtection="0"/>
    <xf numFmtId="0" fontId="22" fillId="0" borderId="0" applyNumberFormat="0" applyFill="0" applyBorder="0" applyAlignment="0" applyProtection="0"/>
    <xf numFmtId="0" fontId="8" fillId="0" borderId="0"/>
    <xf numFmtId="0" fontId="8" fillId="0" borderId="0"/>
    <xf numFmtId="0" fontId="7" fillId="0" borderId="0"/>
    <xf numFmtId="0" fontId="7" fillId="0" borderId="0"/>
    <xf numFmtId="9" fontId="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5" fillId="0" borderId="0" applyFont="0" applyFill="0" applyBorder="0" applyAlignment="0" applyProtection="0"/>
    <xf numFmtId="43" fontId="5" fillId="0" borderId="0" applyFont="0" applyFill="0" applyBorder="0" applyAlignment="0" applyProtection="0"/>
    <xf numFmtId="0" fontId="8" fillId="0" borderId="0"/>
    <xf numFmtId="0" fontId="5" fillId="0" borderId="0"/>
    <xf numFmtId="9" fontId="5" fillId="0" borderId="0" applyFont="0" applyFill="0" applyBorder="0" applyAlignment="0" applyProtection="0"/>
    <xf numFmtId="43" fontId="5" fillId="0" borderId="0" applyFont="0" applyFill="0" applyBorder="0" applyAlignment="0" applyProtection="0"/>
    <xf numFmtId="0" fontId="54" fillId="0" borderId="0" applyNumberFormat="0" applyFill="0" applyBorder="0" applyAlignment="0" applyProtection="0"/>
    <xf numFmtId="0" fontId="4" fillId="0" borderId="0"/>
    <xf numFmtId="9" fontId="4" fillId="0" borderId="0" applyFont="0" applyFill="0" applyBorder="0" applyAlignment="0" applyProtection="0"/>
    <xf numFmtId="43" fontId="4" fillId="0" borderId="0" applyFont="0" applyFill="0" applyBorder="0" applyAlignment="0" applyProtection="0"/>
    <xf numFmtId="0" fontId="4" fillId="0" borderId="0"/>
    <xf numFmtId="9" fontId="4" fillId="0" borderId="0" applyFont="0" applyFill="0" applyBorder="0" applyAlignment="0" applyProtection="0"/>
    <xf numFmtId="43" fontId="4" fillId="0" borderId="0" applyFont="0" applyFill="0" applyBorder="0" applyAlignment="0" applyProtection="0"/>
    <xf numFmtId="0" fontId="3" fillId="0" borderId="0"/>
    <xf numFmtId="164" fontId="8" fillId="0" borderId="0" applyFont="0" applyFill="0" applyBorder="0" applyAlignment="0" applyProtection="0"/>
    <xf numFmtId="0" fontId="3" fillId="0" borderId="0"/>
    <xf numFmtId="9" fontId="3" fillId="0" borderId="0" applyFont="0" applyFill="0" applyBorder="0" applyAlignment="0" applyProtection="0"/>
    <xf numFmtId="43" fontId="3"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0" fontId="8" fillId="0" borderId="0"/>
    <xf numFmtId="0" fontId="1" fillId="0" borderId="0"/>
    <xf numFmtId="0" fontId="1" fillId="0" borderId="0"/>
    <xf numFmtId="9" fontId="1" fillId="0" borderId="0" applyFont="0" applyFill="0" applyBorder="0" applyAlignment="0" applyProtection="0"/>
  </cellStyleXfs>
  <cellXfs count="649">
    <xf numFmtId="0" fontId="0" fillId="0" borderId="0" xfId="0"/>
    <xf numFmtId="0" fontId="18" fillId="0" borderId="5" xfId="0" applyFont="1" applyBorder="1" applyAlignment="1" applyProtection="1">
      <alignment horizontal="center" vertical="center" wrapText="1" readingOrder="1"/>
      <protection locked="0"/>
    </xf>
    <xf numFmtId="0" fontId="18" fillId="0" borderId="1" xfId="4" applyFont="1" applyBorder="1" applyAlignment="1" applyProtection="1">
      <alignment vertical="center" wrapText="1" readingOrder="1"/>
      <protection locked="0"/>
    </xf>
    <xf numFmtId="0" fontId="18" fillId="0" borderId="4" xfId="4" applyFont="1" applyBorder="1" applyAlignment="1" applyProtection="1">
      <alignment horizontal="center" vertical="center" wrapText="1" readingOrder="1"/>
      <protection locked="0"/>
    </xf>
    <xf numFmtId="0" fontId="18" fillId="0" borderId="5" xfId="4" applyFont="1" applyBorder="1" applyAlignment="1" applyProtection="1">
      <alignment horizontal="center" vertical="center" wrapText="1" readingOrder="1"/>
      <protection locked="0"/>
    </xf>
    <xf numFmtId="0" fontId="18" fillId="0" borderId="1" xfId="4" applyFont="1" applyBorder="1" applyAlignment="1" applyProtection="1">
      <alignment vertical="top" wrapText="1" readingOrder="1"/>
      <protection locked="0"/>
    </xf>
    <xf numFmtId="0" fontId="29" fillId="0" borderId="0" xfId="4" applyFont="1" applyAlignment="1"/>
    <xf numFmtId="0" fontId="25" fillId="0" borderId="0" xfId="4" applyFont="1" applyAlignment="1" applyProtection="1">
      <alignment vertical="top" wrapText="1" readingOrder="1"/>
      <protection locked="0"/>
    </xf>
    <xf numFmtId="0" fontId="18" fillId="0" borderId="1" xfId="0" applyFont="1" applyBorder="1" applyAlignment="1" applyProtection="1">
      <alignment vertical="center" wrapText="1" readingOrder="1"/>
      <protection locked="0"/>
    </xf>
    <xf numFmtId="0" fontId="18" fillId="0" borderId="4" xfId="0" applyFont="1" applyBorder="1" applyAlignment="1" applyProtection="1">
      <alignment horizontal="center" vertical="center" wrapText="1" readingOrder="1"/>
      <protection locked="0"/>
    </xf>
    <xf numFmtId="0" fontId="18" fillId="0" borderId="13" xfId="4" applyFont="1" applyBorder="1" applyAlignment="1" applyProtection="1">
      <alignment horizontal="center" vertical="center" wrapText="1" readingOrder="1"/>
      <protection locked="0"/>
    </xf>
    <xf numFmtId="0" fontId="18" fillId="0" borderId="1" xfId="4" applyFont="1" applyBorder="1" applyAlignment="1" applyProtection="1">
      <alignment horizontal="center" vertical="center" wrapText="1" readingOrder="1"/>
      <protection locked="0"/>
    </xf>
    <xf numFmtId="0" fontId="27" fillId="0" borderId="0" xfId="0" applyFont="1" applyAlignment="1"/>
    <xf numFmtId="0" fontId="27" fillId="0" borderId="0" xfId="0" applyFont="1"/>
    <xf numFmtId="0" fontId="18" fillId="0" borderId="5" xfId="57" applyFont="1" applyBorder="1" applyAlignment="1" applyProtection="1">
      <alignment horizontal="center" vertical="center" wrapText="1" readingOrder="1"/>
      <protection locked="0"/>
    </xf>
    <xf numFmtId="0" fontId="16" fillId="3" borderId="0" xfId="57" applyFill="1"/>
    <xf numFmtId="0" fontId="0" fillId="3" borderId="0" xfId="0" applyFill="1"/>
    <xf numFmtId="0" fontId="23" fillId="3" borderId="0" xfId="9" applyFill="1"/>
    <xf numFmtId="0" fontId="10" fillId="0" borderId="0" xfId="0" applyFont="1" applyBorder="1" applyAlignment="1" applyProtection="1">
      <alignment vertical="top" wrapText="1" readingOrder="1"/>
      <protection locked="0"/>
    </xf>
    <xf numFmtId="165" fontId="10" fillId="0" borderId="0" xfId="0" applyNumberFormat="1" applyFont="1" applyBorder="1" applyAlignment="1" applyProtection="1">
      <alignment vertical="top" wrapText="1" readingOrder="1"/>
      <protection locked="0"/>
    </xf>
    <xf numFmtId="169" fontId="10" fillId="0" borderId="0" xfId="1" applyNumberFormat="1" applyFont="1" applyBorder="1" applyAlignment="1" applyProtection="1">
      <alignment vertical="top" wrapText="1" readingOrder="1"/>
      <protection locked="0"/>
    </xf>
    <xf numFmtId="9" fontId="10" fillId="0" borderId="0" xfId="7" applyFont="1" applyBorder="1" applyAlignment="1" applyProtection="1">
      <alignment vertical="top" wrapText="1" readingOrder="1"/>
      <protection locked="0"/>
    </xf>
    <xf numFmtId="0" fontId="18" fillId="0" borderId="81" xfId="0" applyFont="1" applyBorder="1" applyAlignment="1" applyProtection="1">
      <alignment horizontal="center" vertical="center" wrapText="1" readingOrder="1"/>
      <protection locked="0"/>
    </xf>
    <xf numFmtId="0" fontId="18" fillId="0" borderId="85" xfId="0" applyFont="1" applyBorder="1" applyAlignment="1" applyProtection="1">
      <alignment horizontal="center" vertical="center" wrapText="1" readingOrder="1"/>
      <protection locked="0"/>
    </xf>
    <xf numFmtId="0" fontId="16" fillId="3" borderId="22" xfId="57" applyFill="1" applyBorder="1"/>
    <xf numFmtId="0" fontId="32" fillId="3" borderId="0" xfId="57" applyFont="1" applyFill="1" applyAlignment="1" applyProtection="1">
      <alignment horizontal="center" vertical="center" wrapText="1" readingOrder="1"/>
      <protection locked="0"/>
    </xf>
    <xf numFmtId="0" fontId="32" fillId="3" borderId="77" xfId="57" applyFont="1" applyFill="1" applyBorder="1" applyAlignment="1" applyProtection="1">
      <alignment horizontal="center" vertical="center" wrapText="1" readingOrder="1"/>
      <protection locked="0"/>
    </xf>
    <xf numFmtId="0" fontId="18" fillId="3" borderId="46" xfId="57" applyFont="1" applyFill="1" applyBorder="1" applyAlignment="1" applyProtection="1">
      <alignment horizontal="center" vertical="center" wrapText="1" readingOrder="1"/>
      <protection locked="0"/>
    </xf>
    <xf numFmtId="0" fontId="18" fillId="3" borderId="78" xfId="57" applyFont="1" applyFill="1" applyBorder="1" applyAlignment="1" applyProtection="1">
      <alignment horizontal="center" vertical="center" wrapText="1" readingOrder="1"/>
      <protection locked="0"/>
    </xf>
    <xf numFmtId="0" fontId="18" fillId="3" borderId="13" xfId="57" applyFont="1" applyFill="1" applyBorder="1" applyAlignment="1" applyProtection="1">
      <alignment horizontal="center" vertical="center" wrapText="1" readingOrder="1"/>
      <protection locked="0"/>
    </xf>
    <xf numFmtId="0" fontId="18" fillId="3" borderId="5" xfId="57" applyFont="1" applyFill="1" applyBorder="1" applyAlignment="1" applyProtection="1">
      <alignment horizontal="center" vertical="center" wrapText="1" readingOrder="1"/>
      <protection locked="0"/>
    </xf>
    <xf numFmtId="0" fontId="19" fillId="3" borderId="8" xfId="57" applyFont="1" applyFill="1" applyBorder="1" applyAlignment="1" applyProtection="1">
      <alignment vertical="top" wrapText="1" readingOrder="1"/>
      <protection locked="0"/>
    </xf>
    <xf numFmtId="0" fontId="16" fillId="3" borderId="0" xfId="57" applyFill="1" applyBorder="1"/>
    <xf numFmtId="0" fontId="0" fillId="3" borderId="20" xfId="0" applyFill="1" applyBorder="1"/>
    <xf numFmtId="0" fontId="18" fillId="3" borderId="4" xfId="57" applyFont="1" applyFill="1" applyBorder="1" applyAlignment="1" applyProtection="1">
      <alignment horizontal="center" vertical="center" wrapText="1" readingOrder="1"/>
      <protection locked="0"/>
    </xf>
    <xf numFmtId="0" fontId="26" fillId="3" borderId="5" xfId="57" applyFont="1" applyFill="1" applyBorder="1" applyAlignment="1" applyProtection="1">
      <alignment horizontal="center" vertical="center" wrapText="1" readingOrder="1"/>
      <protection locked="0"/>
    </xf>
    <xf numFmtId="0" fontId="10" fillId="3" borderId="24" xfId="4" applyFont="1" applyFill="1" applyBorder="1" applyAlignment="1" applyProtection="1">
      <alignment horizontal="left" vertical="center" wrapText="1" readingOrder="1"/>
      <protection locked="0"/>
    </xf>
    <xf numFmtId="0" fontId="9" fillId="3" borderId="3" xfId="57" applyFont="1" applyFill="1" applyBorder="1" applyAlignment="1" applyProtection="1">
      <alignment vertical="top" wrapText="1" readingOrder="1"/>
      <protection locked="0"/>
    </xf>
    <xf numFmtId="0" fontId="8" fillId="0" borderId="3" xfId="4" applyFont="1" applyBorder="1" applyAlignment="1" applyProtection="1">
      <alignment vertical="top" wrapText="1" readingOrder="1"/>
      <protection locked="0"/>
    </xf>
    <xf numFmtId="0" fontId="8" fillId="0" borderId="8" xfId="4" applyFont="1" applyBorder="1" applyAlignment="1" applyProtection="1">
      <alignment vertical="top" wrapText="1" readingOrder="1"/>
      <protection locked="0"/>
    </xf>
    <xf numFmtId="0" fontId="9" fillId="3" borderId="72" xfId="57" applyFont="1" applyFill="1" applyBorder="1" applyAlignment="1" applyProtection="1">
      <alignment vertical="top" wrapText="1" readingOrder="1"/>
      <protection locked="0"/>
    </xf>
    <xf numFmtId="0" fontId="9" fillId="3" borderId="66" xfId="57" applyFont="1" applyFill="1" applyBorder="1" applyAlignment="1" applyProtection="1">
      <alignment vertical="top" wrapText="1" readingOrder="1"/>
      <protection locked="0"/>
    </xf>
    <xf numFmtId="0" fontId="18" fillId="0" borderId="0" xfId="0" applyFont="1"/>
    <xf numFmtId="0" fontId="18" fillId="0" borderId="0" xfId="0" applyFont="1" applyAlignment="1">
      <alignment horizontal="left"/>
    </xf>
    <xf numFmtId="0" fontId="9" fillId="0" borderId="14" xfId="0" applyFont="1" applyBorder="1" applyAlignment="1" applyProtection="1">
      <alignment vertical="top" wrapText="1" readingOrder="1"/>
      <protection locked="0"/>
    </xf>
    <xf numFmtId="0" fontId="22" fillId="0" borderId="0" xfId="9" applyFont="1" applyAlignment="1" applyProtection="1">
      <alignment vertical="top" wrapText="1" readingOrder="1"/>
      <protection locked="0"/>
    </xf>
    <xf numFmtId="0" fontId="22" fillId="0" borderId="0" xfId="9" applyFont="1" applyAlignment="1" applyProtection="1">
      <alignment vertical="top" readingOrder="1"/>
      <protection locked="0"/>
    </xf>
    <xf numFmtId="0" fontId="18" fillId="0" borderId="98" xfId="4" applyFont="1" applyBorder="1" applyAlignment="1" applyProtection="1">
      <alignment horizontal="center" vertical="center" wrapText="1" readingOrder="1"/>
      <protection locked="0"/>
    </xf>
    <xf numFmtId="0" fontId="18" fillId="0" borderId="99" xfId="4" applyFont="1" applyBorder="1" applyAlignment="1" applyProtection="1">
      <alignment horizontal="center" vertical="center" wrapText="1" readingOrder="1"/>
      <protection locked="0"/>
    </xf>
    <xf numFmtId="0" fontId="18" fillId="0" borderId="90" xfId="4" applyFont="1" applyBorder="1" applyAlignment="1" applyProtection="1">
      <alignment vertical="top" wrapText="1" readingOrder="1"/>
      <protection locked="0"/>
    </xf>
    <xf numFmtId="0" fontId="8" fillId="3" borderId="0" xfId="57" applyFont="1" applyFill="1"/>
    <xf numFmtId="0" fontId="8" fillId="3" borderId="0" xfId="0" applyFont="1" applyFill="1"/>
    <xf numFmtId="0" fontId="18" fillId="3" borderId="112" xfId="57" applyFont="1" applyFill="1" applyBorder="1" applyAlignment="1" applyProtection="1">
      <alignment horizontal="center" vertical="center" wrapText="1" readingOrder="1"/>
      <protection locked="0"/>
    </xf>
    <xf numFmtId="0" fontId="18" fillId="3" borderId="99" xfId="57" applyFont="1" applyFill="1" applyBorder="1" applyAlignment="1" applyProtection="1">
      <alignment horizontal="center" vertical="center" wrapText="1" readingOrder="1"/>
      <protection locked="0"/>
    </xf>
    <xf numFmtId="0" fontId="19" fillId="3" borderId="0" xfId="57" applyFont="1" applyFill="1" applyBorder="1" applyAlignment="1" applyProtection="1">
      <alignment vertical="top" wrapText="1" readingOrder="1"/>
      <protection locked="0"/>
    </xf>
    <xf numFmtId="168" fontId="8" fillId="3" borderId="0" xfId="7" applyNumberFormat="1" applyFont="1" applyFill="1"/>
    <xf numFmtId="0" fontId="10" fillId="0" borderId="127" xfId="62" applyFont="1" applyBorder="1" applyAlignment="1" applyProtection="1">
      <alignment vertical="top" wrapText="1" readingOrder="1"/>
      <protection locked="0"/>
    </xf>
    <xf numFmtId="0" fontId="10" fillId="0" borderId="132" xfId="62" applyFont="1" applyBorder="1" applyAlignment="1" applyProtection="1">
      <alignment vertical="top" wrapText="1" readingOrder="1"/>
      <protection locked="0"/>
    </xf>
    <xf numFmtId="168" fontId="14" fillId="3" borderId="32" xfId="7" applyNumberFormat="1" applyFont="1" applyFill="1" applyBorder="1" applyAlignment="1" applyProtection="1">
      <alignment horizontal="right" vertical="top" wrapText="1" readingOrder="1"/>
      <protection locked="0"/>
    </xf>
    <xf numFmtId="168" fontId="17" fillId="0" borderId="7" xfId="7" applyNumberFormat="1" applyFont="1" applyBorder="1" applyAlignment="1" applyProtection="1">
      <alignment horizontal="right" vertical="top" wrapText="1" readingOrder="1"/>
      <protection locked="0"/>
    </xf>
    <xf numFmtId="168" fontId="12" fillId="0" borderId="129" xfId="7" applyNumberFormat="1" applyFont="1" applyBorder="1" applyAlignment="1" applyProtection="1">
      <alignment horizontal="right" vertical="top" wrapText="1" readingOrder="1"/>
      <protection locked="0"/>
    </xf>
    <xf numFmtId="168" fontId="17" fillId="0" borderId="106" xfId="7" applyNumberFormat="1" applyFont="1" applyBorder="1" applyAlignment="1" applyProtection="1">
      <alignment horizontal="right" vertical="top" wrapText="1" readingOrder="1"/>
      <protection locked="0"/>
    </xf>
    <xf numFmtId="168" fontId="26" fillId="0" borderId="7" xfId="7" applyNumberFormat="1" applyFont="1" applyBorder="1" applyAlignment="1" applyProtection="1">
      <alignment horizontal="right" vertical="top" wrapText="1" readingOrder="1"/>
      <protection locked="0"/>
    </xf>
    <xf numFmtId="168" fontId="17" fillId="0" borderId="126" xfId="7" applyNumberFormat="1" applyFont="1" applyBorder="1" applyAlignment="1" applyProtection="1">
      <alignment horizontal="right" vertical="top" wrapText="1" readingOrder="1"/>
      <protection locked="0"/>
    </xf>
    <xf numFmtId="168" fontId="17" fillId="0" borderId="137" xfId="7" applyNumberFormat="1" applyFont="1" applyBorder="1" applyAlignment="1" applyProtection="1">
      <alignment horizontal="right" vertical="top" wrapText="1" readingOrder="1"/>
      <protection locked="0"/>
    </xf>
    <xf numFmtId="168" fontId="17" fillId="0" borderId="125" xfId="7" applyNumberFormat="1" applyFont="1" applyBorder="1" applyAlignment="1" applyProtection="1">
      <alignment horizontal="right" vertical="top" wrapText="1" readingOrder="1"/>
      <protection locked="0"/>
    </xf>
    <xf numFmtId="168" fontId="17" fillId="2" borderId="7" xfId="7" applyNumberFormat="1" applyFont="1" applyFill="1" applyBorder="1" applyAlignment="1" applyProtection="1">
      <alignment horizontal="right" vertical="top" wrapText="1" readingOrder="1"/>
      <protection locked="0"/>
    </xf>
    <xf numFmtId="168" fontId="17" fillId="2" borderId="106" xfId="7" applyNumberFormat="1" applyFont="1" applyFill="1" applyBorder="1" applyAlignment="1" applyProtection="1">
      <alignment horizontal="right" vertical="top" wrapText="1" readingOrder="1"/>
      <protection locked="0"/>
    </xf>
    <xf numFmtId="168" fontId="26" fillId="2" borderId="110" xfId="7" applyNumberFormat="1" applyFont="1" applyFill="1" applyBorder="1" applyAlignment="1" applyProtection="1">
      <alignment horizontal="right" vertical="top" wrapText="1" readingOrder="1"/>
      <protection locked="0"/>
    </xf>
    <xf numFmtId="168" fontId="17" fillId="2" borderId="79" xfId="7" applyNumberFormat="1" applyFont="1" applyFill="1" applyBorder="1" applyAlignment="1" applyProtection="1">
      <alignment horizontal="right" vertical="top" wrapText="1" readingOrder="1"/>
      <protection locked="0"/>
    </xf>
    <xf numFmtId="168" fontId="26" fillId="0" borderId="13" xfId="7" applyNumberFormat="1" applyFont="1" applyBorder="1" applyAlignment="1" applyProtection="1">
      <alignment horizontal="right" vertical="top" wrapText="1" readingOrder="1"/>
      <protection locked="0"/>
    </xf>
    <xf numFmtId="168" fontId="26" fillId="0" borderId="5" xfId="7" applyNumberFormat="1" applyFont="1" applyBorder="1" applyAlignment="1" applyProtection="1">
      <alignment horizontal="right" vertical="top" wrapText="1" readingOrder="1"/>
      <protection locked="0"/>
    </xf>
    <xf numFmtId="168" fontId="17" fillId="0" borderId="9" xfId="7" applyNumberFormat="1" applyFont="1" applyBorder="1" applyAlignment="1" applyProtection="1">
      <alignment horizontal="right" vertical="top" wrapText="1" readingOrder="1"/>
      <protection locked="0"/>
    </xf>
    <xf numFmtId="168" fontId="26" fillId="2" borderId="5" xfId="7" applyNumberFormat="1" applyFont="1" applyFill="1" applyBorder="1" applyAlignment="1" applyProtection="1">
      <alignment horizontal="right" vertical="top" wrapText="1" readingOrder="1"/>
      <protection locked="0"/>
    </xf>
    <xf numFmtId="169" fontId="10" fillId="0" borderId="4" xfId="1" applyNumberFormat="1" applyFont="1" applyBorder="1" applyAlignment="1" applyProtection="1">
      <alignment horizontal="right" vertical="top" wrapText="1" readingOrder="1"/>
      <protection locked="0"/>
    </xf>
    <xf numFmtId="0" fontId="10" fillId="2" borderId="5" xfId="4" applyFont="1" applyFill="1" applyBorder="1" applyAlignment="1" applyProtection="1">
      <alignment horizontal="right" vertical="top" wrapText="1" readingOrder="1"/>
      <protection locked="0"/>
    </xf>
    <xf numFmtId="168" fontId="14" fillId="3" borderId="41" xfId="7" applyNumberFormat="1" applyFont="1" applyFill="1" applyBorder="1" applyAlignment="1" applyProtection="1">
      <alignment horizontal="right" vertical="top" wrapText="1" readingOrder="1"/>
      <protection locked="0"/>
    </xf>
    <xf numFmtId="168" fontId="14" fillId="3" borderId="27" xfId="7" applyNumberFormat="1" applyFont="1" applyFill="1" applyBorder="1" applyAlignment="1" applyProtection="1">
      <alignment horizontal="right" vertical="top" wrapText="1" readingOrder="1"/>
      <protection locked="0"/>
    </xf>
    <xf numFmtId="168" fontId="14" fillId="3" borderId="28" xfId="7" applyNumberFormat="1" applyFont="1" applyFill="1" applyBorder="1" applyAlignment="1" applyProtection="1">
      <alignment horizontal="right" vertical="top" wrapText="1" readingOrder="1"/>
      <protection locked="0"/>
    </xf>
    <xf numFmtId="168" fontId="14" fillId="3" borderId="42" xfId="7" applyNumberFormat="1" applyFont="1" applyFill="1" applyBorder="1" applyAlignment="1" applyProtection="1">
      <alignment horizontal="right" vertical="top" wrapText="1" readingOrder="1"/>
      <protection locked="0"/>
    </xf>
    <xf numFmtId="168" fontId="14" fillId="3" borderId="31" xfId="7" applyNumberFormat="1" applyFont="1" applyFill="1" applyBorder="1" applyAlignment="1" applyProtection="1">
      <alignment horizontal="right" vertical="top" wrapText="1" readingOrder="1"/>
      <protection locked="0"/>
    </xf>
    <xf numFmtId="168" fontId="14" fillId="3" borderId="43" xfId="7" applyNumberFormat="1" applyFont="1" applyFill="1" applyBorder="1" applyAlignment="1" applyProtection="1">
      <alignment horizontal="right" vertical="top" wrapText="1" readingOrder="1"/>
      <protection locked="0"/>
    </xf>
    <xf numFmtId="168" fontId="14" fillId="3" borderId="35" xfId="7" applyNumberFormat="1" applyFont="1" applyFill="1" applyBorder="1" applyAlignment="1" applyProtection="1">
      <alignment horizontal="right" vertical="top" wrapText="1" readingOrder="1"/>
      <protection locked="0"/>
    </xf>
    <xf numFmtId="168" fontId="14" fillId="3" borderId="36" xfId="7" applyNumberFormat="1" applyFont="1" applyFill="1" applyBorder="1" applyAlignment="1" applyProtection="1">
      <alignment horizontal="right" vertical="top" wrapText="1" readingOrder="1"/>
      <protection locked="0"/>
    </xf>
    <xf numFmtId="168" fontId="11" fillId="0" borderId="9" xfId="7" applyNumberFormat="1" applyFont="1" applyBorder="1" applyAlignment="1" applyProtection="1">
      <alignment horizontal="right" vertical="top" wrapText="1" readingOrder="1"/>
      <protection locked="0"/>
    </xf>
    <xf numFmtId="168" fontId="11" fillId="0" borderId="7" xfId="7" applyNumberFormat="1" applyFont="1" applyBorder="1" applyAlignment="1" applyProtection="1">
      <alignment horizontal="right" vertical="top" wrapText="1" readingOrder="1"/>
      <protection locked="0"/>
    </xf>
    <xf numFmtId="168" fontId="14" fillId="3" borderId="7" xfId="7" applyNumberFormat="1" applyFont="1" applyFill="1" applyBorder="1" applyAlignment="1" applyProtection="1">
      <alignment horizontal="right" vertical="top" wrapText="1" readingOrder="1"/>
      <protection locked="0"/>
    </xf>
    <xf numFmtId="169" fontId="9" fillId="0" borderId="6" xfId="1" applyNumberFormat="1" applyFont="1" applyBorder="1" applyAlignment="1" applyProtection="1">
      <alignment horizontal="right" vertical="top" wrapText="1" readingOrder="1"/>
      <protection locked="0"/>
    </xf>
    <xf numFmtId="0" fontId="8" fillId="0" borderId="133" xfId="0" applyFont="1" applyBorder="1"/>
    <xf numFmtId="0" fontId="8" fillId="3" borderId="0" xfId="4" applyFont="1" applyFill="1"/>
    <xf numFmtId="169" fontId="8" fillId="3" borderId="0" xfId="1" applyNumberFormat="1" applyFont="1" applyFill="1"/>
    <xf numFmtId="0" fontId="10" fillId="0" borderId="80" xfId="0" applyFont="1" applyBorder="1" applyAlignment="1" applyProtection="1">
      <alignment horizontal="center" vertical="center" wrapText="1" readingOrder="1"/>
      <protection locked="0"/>
    </xf>
    <xf numFmtId="0" fontId="2" fillId="3" borderId="0" xfId="193" applyFill="1"/>
    <xf numFmtId="0" fontId="2" fillId="3" borderId="0" xfId="196" applyFill="1" applyBorder="1"/>
    <xf numFmtId="166" fontId="2" fillId="3" borderId="0" xfId="196" applyNumberFormat="1" applyFill="1"/>
    <xf numFmtId="168" fontId="0" fillId="3" borderId="0" xfId="197" applyNumberFormat="1" applyFont="1" applyFill="1"/>
    <xf numFmtId="0" fontId="8" fillId="0" borderId="130" xfId="0" applyFont="1" applyFill="1" applyBorder="1"/>
    <xf numFmtId="0" fontId="8" fillId="3" borderId="0" xfId="61" applyFont="1" applyFill="1" applyBorder="1"/>
    <xf numFmtId="0" fontId="8" fillId="3" borderId="0" xfId="61" applyFont="1" applyFill="1" applyBorder="1" applyAlignment="1">
      <alignment horizontal="center"/>
    </xf>
    <xf numFmtId="0" fontId="57" fillId="3" borderId="0" xfId="61" applyFont="1" applyFill="1" applyBorder="1" applyAlignment="1" applyProtection="1">
      <alignment horizontal="center" vertical="top" wrapText="1" readingOrder="1"/>
      <protection locked="0"/>
    </xf>
    <xf numFmtId="0" fontId="57" fillId="3" borderId="0" xfId="61" applyFont="1" applyFill="1" applyBorder="1" applyAlignment="1" applyProtection="1">
      <alignment horizontal="right" vertical="top" wrapText="1" readingOrder="1"/>
      <protection locked="0"/>
    </xf>
    <xf numFmtId="0" fontId="56" fillId="3" borderId="0" xfId="61" applyFont="1" applyFill="1" applyBorder="1" applyAlignment="1" applyProtection="1">
      <alignment vertical="top" wrapText="1" readingOrder="1"/>
      <protection locked="0"/>
    </xf>
    <xf numFmtId="166" fontId="55" fillId="3" borderId="0" xfId="61" applyNumberFormat="1" applyFont="1" applyFill="1" applyBorder="1" applyAlignment="1" applyProtection="1">
      <alignment horizontal="right" vertical="top" wrapText="1" readingOrder="1"/>
      <protection locked="0"/>
    </xf>
    <xf numFmtId="167" fontId="55" fillId="3" borderId="0" xfId="61" applyNumberFormat="1" applyFont="1" applyFill="1" applyBorder="1" applyAlignment="1" applyProtection="1">
      <alignment horizontal="right" vertical="top" wrapText="1" readingOrder="1"/>
      <protection locked="0"/>
    </xf>
    <xf numFmtId="171" fontId="55" fillId="3" borderId="0" xfId="61" applyNumberFormat="1" applyFont="1" applyFill="1" applyBorder="1" applyAlignment="1" applyProtection="1">
      <alignment horizontal="right" vertical="top" wrapText="1" readingOrder="1"/>
      <protection locked="0"/>
    </xf>
    <xf numFmtId="0" fontId="55" fillId="3" borderId="0" xfId="61" applyFont="1" applyFill="1" applyBorder="1" applyAlignment="1" applyProtection="1">
      <alignment horizontal="right" vertical="top" wrapText="1" readingOrder="1"/>
      <protection locked="0"/>
    </xf>
    <xf numFmtId="0" fontId="55" fillId="3" borderId="0" xfId="61" applyFont="1" applyFill="1" applyBorder="1" applyAlignment="1" applyProtection="1">
      <alignment vertical="top" wrapText="1" readingOrder="1"/>
      <protection locked="0"/>
    </xf>
    <xf numFmtId="0" fontId="8" fillId="3" borderId="22" xfId="61" applyFont="1" applyFill="1" applyBorder="1"/>
    <xf numFmtId="0" fontId="8" fillId="0" borderId="0" xfId="0" applyFont="1" applyAlignment="1">
      <alignment horizontal="left"/>
    </xf>
    <xf numFmtId="0" fontId="9" fillId="0" borderId="0" xfId="0" applyFont="1" applyAlignment="1" applyProtection="1">
      <alignment vertical="top" wrapText="1" readingOrder="1"/>
      <protection locked="0"/>
    </xf>
    <xf numFmtId="0" fontId="9" fillId="0" borderId="0" xfId="4" applyFont="1" applyAlignment="1" applyProtection="1">
      <alignment vertical="top" wrapText="1" readingOrder="1"/>
      <protection locked="0"/>
    </xf>
    <xf numFmtId="0" fontId="17" fillId="0" borderId="0" xfId="4" applyFont="1" applyAlignment="1" applyProtection="1">
      <alignment vertical="top" wrapText="1" readingOrder="1"/>
      <protection locked="0"/>
    </xf>
    <xf numFmtId="0" fontId="18" fillId="0" borderId="0" xfId="4" applyFont="1" applyAlignment="1" applyProtection="1">
      <alignment vertical="top" wrapText="1" readingOrder="1"/>
      <protection locked="0"/>
    </xf>
    <xf numFmtId="0" fontId="8" fillId="0" borderId="0" xfId="4" applyFont="1"/>
    <xf numFmtId="0" fontId="8" fillId="0" borderId="0" xfId="4" applyFont="1" applyAlignment="1" applyProtection="1">
      <alignment vertical="top" wrapText="1" readingOrder="1"/>
      <protection locked="0"/>
    </xf>
    <xf numFmtId="0" fontId="18" fillId="0" borderId="22" xfId="4" applyFont="1" applyBorder="1" applyAlignment="1" applyProtection="1">
      <alignment vertical="top" wrapText="1" readingOrder="1"/>
      <protection locked="0"/>
    </xf>
    <xf numFmtId="0" fontId="22" fillId="0" borderId="0" xfId="3"/>
    <xf numFmtId="0" fontId="17" fillId="0" borderId="0" xfId="4" applyFont="1" applyAlignment="1" applyProtection="1">
      <alignment horizontal="left" vertical="top" wrapText="1" readingOrder="1"/>
      <protection locked="0"/>
    </xf>
    <xf numFmtId="0" fontId="9" fillId="3" borderId="0" xfId="4" applyFont="1" applyFill="1" applyAlignment="1" applyProtection="1">
      <alignment vertical="top" wrapText="1" readingOrder="1"/>
      <protection locked="0"/>
    </xf>
    <xf numFmtId="0" fontId="9" fillId="3" borderId="0" xfId="57" applyFont="1" applyFill="1" applyAlignment="1" applyProtection="1">
      <alignment vertical="top" wrapText="1" readingOrder="1"/>
      <protection locked="0"/>
    </xf>
    <xf numFmtId="0" fontId="1" fillId="3" borderId="0" xfId="193" applyFont="1" applyFill="1"/>
    <xf numFmtId="0" fontId="8" fillId="0" borderId="0" xfId="0" applyFont="1" applyAlignment="1"/>
    <xf numFmtId="0" fontId="8" fillId="0" borderId="0" xfId="0" applyFont="1"/>
    <xf numFmtId="0" fontId="22" fillId="0" borderId="0" xfId="3" applyFont="1" applyAlignment="1" applyProtection="1">
      <alignment vertical="top" wrapText="1" readingOrder="1"/>
      <protection locked="0"/>
    </xf>
    <xf numFmtId="0" fontId="22" fillId="0" borderId="0" xfId="3" applyFont="1"/>
    <xf numFmtId="0" fontId="9" fillId="0" borderId="0" xfId="0" applyFont="1" applyAlignment="1" applyProtection="1">
      <alignment vertical="top" readingOrder="1"/>
      <protection locked="0"/>
    </xf>
    <xf numFmtId="0" fontId="1" fillId="3" borderId="0" xfId="193" applyNumberFormat="1" applyFont="1" applyFill="1"/>
    <xf numFmtId="0" fontId="8" fillId="0" borderId="15" xfId="0" applyFont="1" applyBorder="1"/>
    <xf numFmtId="0" fontId="8" fillId="0" borderId="0" xfId="0" applyFont="1" applyBorder="1"/>
    <xf numFmtId="0" fontId="8" fillId="0" borderId="0" xfId="4" applyFont="1" applyAlignment="1"/>
    <xf numFmtId="170" fontId="8" fillId="0" borderId="0" xfId="4" applyNumberFormat="1" applyFont="1"/>
    <xf numFmtId="0" fontId="8" fillId="0" borderId="0" xfId="4" applyFont="1" applyBorder="1"/>
    <xf numFmtId="0" fontId="10" fillId="0" borderId="0" xfId="4" applyFont="1" applyAlignment="1" applyProtection="1">
      <alignment horizontal="center" vertical="center" wrapText="1" readingOrder="1"/>
      <protection locked="0"/>
    </xf>
    <xf numFmtId="0" fontId="10" fillId="0" borderId="1" xfId="4" applyFont="1" applyBorder="1" applyAlignment="1" applyProtection="1">
      <alignment horizontal="left" vertical="center" wrapText="1" readingOrder="1"/>
      <protection locked="0"/>
    </xf>
    <xf numFmtId="0" fontId="10" fillId="0" borderId="4" xfId="4" applyFont="1" applyBorder="1" applyAlignment="1" applyProtection="1">
      <alignment horizontal="center" vertical="center" wrapText="1" readingOrder="1"/>
      <protection locked="0"/>
    </xf>
    <xf numFmtId="0" fontId="10" fillId="0" borderId="5" xfId="4" applyFont="1" applyBorder="1" applyAlignment="1" applyProtection="1">
      <alignment horizontal="center" vertical="center" wrapText="1" readingOrder="1"/>
      <protection locked="0"/>
    </xf>
    <xf numFmtId="0" fontId="9" fillId="0" borderId="3" xfId="4" applyFont="1" applyBorder="1" applyAlignment="1" applyProtection="1">
      <alignment vertical="top" wrapText="1" readingOrder="1"/>
      <protection locked="0"/>
    </xf>
    <xf numFmtId="0" fontId="10" fillId="0" borderId="1" xfId="4" applyFont="1" applyBorder="1" applyAlignment="1" applyProtection="1">
      <alignment vertical="top" wrapText="1" readingOrder="1"/>
      <protection locked="0"/>
    </xf>
    <xf numFmtId="0" fontId="8" fillId="0" borderId="0" xfId="4" applyFont="1" applyBorder="1" applyAlignment="1"/>
    <xf numFmtId="0" fontId="22" fillId="0" borderId="0" xfId="9" applyFont="1" applyBorder="1" applyAlignment="1"/>
    <xf numFmtId="0" fontId="10" fillId="0" borderId="1" xfId="4" applyFont="1" applyBorder="1" applyAlignment="1" applyProtection="1">
      <alignment vertical="center" wrapText="1" readingOrder="1"/>
      <protection locked="0"/>
    </xf>
    <xf numFmtId="0" fontId="9" fillId="0" borderId="0" xfId="0" applyFont="1" applyBorder="1" applyAlignment="1" applyProtection="1">
      <alignment vertical="top" wrapText="1" readingOrder="1"/>
      <protection locked="0"/>
    </xf>
    <xf numFmtId="0" fontId="10" fillId="0" borderId="0" xfId="0" applyFont="1" applyBorder="1" applyAlignment="1" applyProtection="1">
      <alignment vertical="center" wrapText="1" readingOrder="1"/>
      <protection locked="0"/>
    </xf>
    <xf numFmtId="0" fontId="10" fillId="0" borderId="0" xfId="0" applyFont="1" applyBorder="1" applyAlignment="1" applyProtection="1">
      <alignment horizontal="center" vertical="center" wrapText="1" readingOrder="1"/>
      <protection locked="0"/>
    </xf>
    <xf numFmtId="166" fontId="9" fillId="0" borderId="0" xfId="0" applyNumberFormat="1" applyFont="1" applyBorder="1" applyAlignment="1" applyProtection="1">
      <alignment vertical="top" wrapText="1" readingOrder="1"/>
      <protection locked="0"/>
    </xf>
    <xf numFmtId="167" fontId="11" fillId="0" borderId="0" xfId="0" applyNumberFormat="1" applyFont="1" applyBorder="1" applyAlignment="1" applyProtection="1">
      <alignment vertical="top" wrapText="1" readingOrder="1"/>
      <protection locked="0"/>
    </xf>
    <xf numFmtId="10" fontId="8" fillId="0" borderId="0" xfId="8" applyNumberFormat="1" applyFont="1"/>
    <xf numFmtId="166" fontId="10" fillId="0" borderId="0" xfId="0" applyNumberFormat="1" applyFont="1" applyBorder="1" applyAlignment="1" applyProtection="1">
      <alignment vertical="top" wrapText="1" readingOrder="1"/>
      <protection locked="0"/>
    </xf>
    <xf numFmtId="0" fontId="10" fillId="2" borderId="0" xfId="0" applyFont="1" applyFill="1" applyBorder="1" applyAlignment="1" applyProtection="1">
      <alignment vertical="top" wrapText="1" readingOrder="1"/>
      <protection locked="0"/>
    </xf>
    <xf numFmtId="166" fontId="8" fillId="0" borderId="0" xfId="4" applyNumberFormat="1" applyFont="1"/>
    <xf numFmtId="0" fontId="10" fillId="0" borderId="8" xfId="0" applyFont="1" applyBorder="1" applyAlignment="1" applyProtection="1">
      <alignment vertical="top" wrapText="1" readingOrder="1"/>
      <protection locked="0"/>
    </xf>
    <xf numFmtId="3" fontId="8" fillId="0" borderId="0" xfId="4" applyNumberFormat="1" applyFont="1"/>
    <xf numFmtId="168" fontId="11" fillId="0" borderId="92" xfId="7" applyNumberFormat="1" applyFont="1" applyBorder="1" applyAlignment="1" applyProtection="1">
      <alignment horizontal="right" vertical="top" wrapText="1" readingOrder="1"/>
      <protection locked="0"/>
    </xf>
    <xf numFmtId="168" fontId="11" fillId="0" borderId="106" xfId="7" applyNumberFormat="1" applyFont="1" applyBorder="1" applyAlignment="1" applyProtection="1">
      <alignment horizontal="right" vertical="top" wrapText="1" readingOrder="1"/>
      <protection locked="0"/>
    </xf>
    <xf numFmtId="168" fontId="11" fillId="0" borderId="108" xfId="7" applyNumberFormat="1" applyFont="1" applyBorder="1" applyAlignment="1" applyProtection="1">
      <alignment horizontal="right" vertical="top" wrapText="1" readingOrder="1"/>
      <protection locked="0"/>
    </xf>
    <xf numFmtId="168" fontId="11" fillId="0" borderId="110" xfId="7" applyNumberFormat="1" applyFont="1" applyBorder="1" applyAlignment="1" applyProtection="1">
      <alignment horizontal="right" vertical="top" wrapText="1" readingOrder="1"/>
      <protection locked="0"/>
    </xf>
    <xf numFmtId="168" fontId="11" fillId="0" borderId="107" xfId="7" applyNumberFormat="1" applyFont="1" applyBorder="1" applyAlignment="1" applyProtection="1">
      <alignment horizontal="right" vertical="top" wrapText="1" readingOrder="1"/>
      <protection locked="0"/>
    </xf>
    <xf numFmtId="0" fontId="10" fillId="0" borderId="3" xfId="4" applyFont="1" applyBorder="1" applyAlignment="1" applyProtection="1">
      <alignment vertical="top" wrapText="1" readingOrder="1"/>
      <protection locked="0"/>
    </xf>
    <xf numFmtId="0" fontId="9" fillId="0" borderId="1" xfId="4" applyFont="1" applyBorder="1" applyAlignment="1" applyProtection="1">
      <alignment vertical="top" wrapText="1" readingOrder="1"/>
      <protection locked="0"/>
    </xf>
    <xf numFmtId="0" fontId="8" fillId="0" borderId="0" xfId="4" applyNumberFormat="1" applyFont="1"/>
    <xf numFmtId="0" fontId="8" fillId="0" borderId="0" xfId="7" applyNumberFormat="1" applyFont="1"/>
    <xf numFmtId="0" fontId="8" fillId="0" borderId="0" xfId="4" applyNumberFormat="1" applyFont="1" applyFill="1"/>
    <xf numFmtId="169" fontId="8" fillId="0" borderId="0" xfId="1" applyNumberFormat="1" applyFont="1"/>
    <xf numFmtId="0" fontId="8" fillId="0" borderId="0" xfId="7" applyNumberFormat="1" applyFont="1" applyFill="1"/>
    <xf numFmtId="0" fontId="8" fillId="0" borderId="131" xfId="0" applyFont="1" applyFill="1" applyBorder="1"/>
    <xf numFmtId="0" fontId="9" fillId="0" borderId="8" xfId="4" applyFont="1" applyBorder="1" applyAlignment="1" applyProtection="1">
      <alignment vertical="top" wrapText="1" readingOrder="1"/>
      <protection locked="0"/>
    </xf>
    <xf numFmtId="0" fontId="9" fillId="0" borderId="0" xfId="4" applyFont="1" applyBorder="1" applyAlignment="1" applyProtection="1">
      <alignment vertical="top" wrapText="1" readingOrder="1"/>
      <protection locked="0"/>
    </xf>
    <xf numFmtId="0" fontId="9" fillId="0" borderId="20" xfId="4" applyFont="1" applyBorder="1" applyAlignment="1" applyProtection="1">
      <alignment vertical="top" wrapText="1" readingOrder="1"/>
      <protection locked="0"/>
    </xf>
    <xf numFmtId="0" fontId="8" fillId="0" borderId="22" xfId="4" applyFont="1" applyBorder="1"/>
    <xf numFmtId="0" fontId="8" fillId="0" borderId="20" xfId="4" applyFont="1" applyBorder="1" applyAlignment="1">
      <alignment horizontal="left"/>
    </xf>
    <xf numFmtId="0" fontId="8" fillId="0" borderId="0" xfId="4" applyFont="1" applyAlignment="1">
      <alignment horizontal="left"/>
    </xf>
    <xf numFmtId="0" fontId="22" fillId="0" borderId="0" xfId="3" applyFont="1" applyBorder="1"/>
    <xf numFmtId="0" fontId="10" fillId="3" borderId="1" xfId="4" applyFont="1" applyFill="1" applyBorder="1" applyAlignment="1" applyProtection="1">
      <alignment vertical="top" wrapText="1" readingOrder="1"/>
      <protection locked="0"/>
    </xf>
    <xf numFmtId="0" fontId="10" fillId="3" borderId="112" xfId="4" applyFont="1" applyFill="1" applyBorder="1" applyAlignment="1" applyProtection="1">
      <alignment horizontal="center" vertical="top" wrapText="1" readingOrder="1"/>
      <protection locked="0"/>
    </xf>
    <xf numFmtId="0" fontId="10" fillId="3" borderId="99" xfId="4" applyFont="1" applyFill="1" applyBorder="1" applyAlignment="1" applyProtection="1">
      <alignment horizontal="center" vertical="top" wrapText="1" readingOrder="1"/>
      <protection locked="0"/>
    </xf>
    <xf numFmtId="168" fontId="11" fillId="3" borderId="100" xfId="7" applyNumberFormat="1" applyFont="1" applyFill="1" applyBorder="1" applyAlignment="1" applyProtection="1">
      <alignment horizontal="right" vertical="top" wrapText="1" readingOrder="1"/>
      <protection locked="0"/>
    </xf>
    <xf numFmtId="168" fontId="11" fillId="3" borderId="113" xfId="7" applyNumberFormat="1" applyFont="1" applyFill="1" applyBorder="1" applyAlignment="1" applyProtection="1">
      <alignment horizontal="right" vertical="top" wrapText="1" readingOrder="1"/>
      <protection locked="0"/>
    </xf>
    <xf numFmtId="168" fontId="11" fillId="3" borderId="101" xfId="7" applyNumberFormat="1" applyFont="1" applyFill="1" applyBorder="1" applyAlignment="1" applyProtection="1">
      <alignment horizontal="right" vertical="top" wrapText="1" readingOrder="1"/>
      <protection locked="0"/>
    </xf>
    <xf numFmtId="168" fontId="11" fillId="3" borderId="102" xfId="7" applyNumberFormat="1" applyFont="1" applyFill="1" applyBorder="1" applyAlignment="1" applyProtection="1">
      <alignment horizontal="right" vertical="top" wrapText="1" readingOrder="1"/>
      <protection locked="0"/>
    </xf>
    <xf numFmtId="168" fontId="11" fillId="3" borderId="9" xfId="7" applyNumberFormat="1" applyFont="1" applyFill="1" applyBorder="1" applyAlignment="1" applyProtection="1">
      <alignment horizontal="right" vertical="top" wrapText="1" readingOrder="1"/>
      <protection locked="0"/>
    </xf>
    <xf numFmtId="168" fontId="11" fillId="3" borderId="71" xfId="7" applyNumberFormat="1" applyFont="1" applyFill="1" applyBorder="1" applyAlignment="1" applyProtection="1">
      <alignment horizontal="right" vertical="top" wrapText="1" readingOrder="1"/>
      <protection locked="0"/>
    </xf>
    <xf numFmtId="168" fontId="11" fillId="3" borderId="114" xfId="7" applyNumberFormat="1" applyFont="1" applyFill="1" applyBorder="1" applyAlignment="1" applyProtection="1">
      <alignment horizontal="right" vertical="top" wrapText="1" readingOrder="1"/>
      <protection locked="0"/>
    </xf>
    <xf numFmtId="168" fontId="11" fillId="3" borderId="115" xfId="7" applyNumberFormat="1" applyFont="1" applyFill="1" applyBorder="1" applyAlignment="1" applyProtection="1">
      <alignment horizontal="right" vertical="top" wrapText="1" readingOrder="1"/>
      <protection locked="0"/>
    </xf>
    <xf numFmtId="168" fontId="11" fillId="3" borderId="105" xfId="7" applyNumberFormat="1" applyFont="1" applyFill="1" applyBorder="1" applyAlignment="1" applyProtection="1">
      <alignment horizontal="right" vertical="top" wrapText="1" readingOrder="1"/>
      <protection locked="0"/>
    </xf>
    <xf numFmtId="0" fontId="9" fillId="3" borderId="8" xfId="4" applyFont="1" applyFill="1" applyBorder="1" applyAlignment="1" applyProtection="1">
      <alignment vertical="top" wrapText="1" readingOrder="1"/>
      <protection locked="0"/>
    </xf>
    <xf numFmtId="0" fontId="8" fillId="3" borderId="22" xfId="4" applyFont="1" applyFill="1" applyBorder="1"/>
    <xf numFmtId="0" fontId="8" fillId="3" borderId="20" xfId="4" applyFont="1" applyFill="1" applyBorder="1"/>
    <xf numFmtId="0" fontId="8" fillId="3" borderId="0" xfId="4" applyFont="1" applyFill="1" applyBorder="1"/>
    <xf numFmtId="0" fontId="22" fillId="3" borderId="0" xfId="3" applyFont="1" applyFill="1" applyBorder="1"/>
    <xf numFmtId="0" fontId="1" fillId="3" borderId="0" xfId="58" applyFont="1" applyFill="1"/>
    <xf numFmtId="166" fontId="1" fillId="3" borderId="0" xfId="58" applyNumberFormat="1" applyFont="1" applyFill="1"/>
    <xf numFmtId="168" fontId="8" fillId="3" borderId="0" xfId="59" applyNumberFormat="1" applyFont="1" applyFill="1"/>
    <xf numFmtId="0" fontId="1" fillId="3" borderId="0" xfId="58" applyFont="1" applyFill="1" applyBorder="1"/>
    <xf numFmtId="0" fontId="22" fillId="3" borderId="0" xfId="9" applyFont="1" applyFill="1"/>
    <xf numFmtId="0" fontId="10" fillId="3" borderId="38" xfId="4" applyFont="1" applyFill="1" applyBorder="1" applyAlignment="1" applyProtection="1">
      <alignment horizontal="center" vertical="center" wrapText="1" readingOrder="1"/>
      <protection locked="0"/>
    </xf>
    <xf numFmtId="0" fontId="10" fillId="3" borderId="39" xfId="4" applyFont="1" applyFill="1" applyBorder="1" applyAlignment="1" applyProtection="1">
      <alignment horizontal="center" vertical="center" wrapText="1" readingOrder="1"/>
      <protection locked="0"/>
    </xf>
    <xf numFmtId="0" fontId="10" fillId="3" borderId="40" xfId="4" applyFont="1" applyFill="1" applyBorder="1" applyAlignment="1" applyProtection="1">
      <alignment horizontal="center" vertical="center" wrapText="1" readingOrder="1"/>
      <protection locked="0"/>
    </xf>
    <xf numFmtId="0" fontId="9" fillId="3" borderId="0" xfId="4" applyFont="1" applyFill="1" applyBorder="1" applyAlignment="1" applyProtection="1">
      <alignment vertical="top" wrapText="1" readingOrder="1"/>
      <protection locked="0"/>
    </xf>
    <xf numFmtId="166" fontId="9" fillId="3" borderId="0" xfId="4" applyNumberFormat="1" applyFont="1" applyFill="1" applyBorder="1" applyAlignment="1" applyProtection="1">
      <alignment vertical="top" wrapText="1" readingOrder="1"/>
      <protection locked="0"/>
    </xf>
    <xf numFmtId="0" fontId="10" fillId="3" borderId="1" xfId="57" applyFont="1" applyFill="1" applyBorder="1" applyAlignment="1" applyProtection="1">
      <alignment vertical="top" wrapText="1" readingOrder="1"/>
      <protection locked="0"/>
    </xf>
    <xf numFmtId="0" fontId="9" fillId="3" borderId="3" xfId="57" applyNumberFormat="1" applyFont="1" applyFill="1" applyBorder="1" applyAlignment="1" applyProtection="1">
      <alignment horizontal="left" vertical="top" wrapText="1" readingOrder="1"/>
      <protection locked="0"/>
    </xf>
    <xf numFmtId="166" fontId="8" fillId="3" borderId="0" xfId="57" applyNumberFormat="1" applyFont="1" applyFill="1"/>
    <xf numFmtId="0" fontId="9" fillId="3" borderId="3" xfId="57" applyFont="1" applyFill="1" applyBorder="1" applyAlignment="1" applyProtection="1">
      <alignment horizontal="left" vertical="top" wrapText="1" readingOrder="1"/>
      <protection locked="0"/>
    </xf>
    <xf numFmtId="166" fontId="8" fillId="3" borderId="0" xfId="0" applyNumberFormat="1" applyFont="1" applyFill="1"/>
    <xf numFmtId="0" fontId="10" fillId="4" borderId="5" xfId="57" applyFont="1" applyFill="1" applyBorder="1" applyAlignment="1" applyProtection="1">
      <alignment horizontal="right" vertical="top" wrapText="1" readingOrder="1"/>
      <protection locked="0"/>
    </xf>
    <xf numFmtId="0" fontId="8" fillId="3" borderId="20" xfId="57" applyFont="1" applyFill="1" applyBorder="1"/>
    <xf numFmtId="0" fontId="10" fillId="3" borderId="62" xfId="57" applyFont="1" applyFill="1" applyBorder="1" applyAlignment="1" applyProtection="1">
      <alignment horizontal="center" vertical="center" wrapText="1" readingOrder="1"/>
      <protection locked="0"/>
    </xf>
    <xf numFmtId="0" fontId="10" fillId="3" borderId="63" xfId="57" applyFont="1" applyFill="1" applyBorder="1" applyAlignment="1" applyProtection="1">
      <alignment horizontal="center" vertical="center" wrapText="1" readingOrder="1"/>
      <protection locked="0"/>
    </xf>
    <xf numFmtId="0" fontId="10" fillId="3" borderId="64" xfId="57" applyFont="1" applyFill="1" applyBorder="1" applyAlignment="1" applyProtection="1">
      <alignment horizontal="center" vertical="center" wrapText="1" readingOrder="1"/>
      <protection locked="0"/>
    </xf>
    <xf numFmtId="0" fontId="10" fillId="3" borderId="65" xfId="57" applyFont="1" applyFill="1" applyBorder="1" applyAlignment="1" applyProtection="1">
      <alignment horizontal="center" vertical="center" wrapText="1" readingOrder="1"/>
      <protection locked="0"/>
    </xf>
    <xf numFmtId="0" fontId="9" fillId="3" borderId="8" xfId="57" applyFont="1" applyFill="1" applyBorder="1" applyAlignment="1" applyProtection="1">
      <alignment vertical="top" wrapText="1" readingOrder="1"/>
      <protection locked="0"/>
    </xf>
    <xf numFmtId="0" fontId="9" fillId="3" borderId="0" xfId="57" applyFont="1" applyFill="1" applyBorder="1" applyAlignment="1" applyProtection="1">
      <alignment vertical="top" wrapText="1" readingOrder="1"/>
      <protection locked="0"/>
    </xf>
    <xf numFmtId="0" fontId="10" fillId="0" borderId="1" xfId="0" applyFont="1" applyBorder="1" applyAlignment="1" applyProtection="1">
      <alignment vertical="center" wrapText="1" readingOrder="1"/>
      <protection locked="0"/>
    </xf>
    <xf numFmtId="0" fontId="10" fillId="0" borderId="17" xfId="0" applyFont="1" applyBorder="1" applyAlignment="1" applyProtection="1">
      <alignment horizontal="center" vertical="center" wrapText="1" readingOrder="1"/>
      <protection locked="0"/>
    </xf>
    <xf numFmtId="0" fontId="9" fillId="0" borderId="2" xfId="0" applyFont="1" applyBorder="1" applyAlignment="1" applyProtection="1">
      <alignment vertical="center" wrapText="1" readingOrder="1"/>
      <protection locked="0"/>
    </xf>
    <xf numFmtId="168" fontId="17" fillId="0" borderId="7" xfId="7" applyNumberFormat="1" applyFont="1" applyBorder="1" applyAlignment="1" applyProtection="1">
      <alignment horizontal="right" vertical="center" wrapText="1" readingOrder="1"/>
      <protection locked="0"/>
    </xf>
    <xf numFmtId="0" fontId="9" fillId="0" borderId="3" xfId="0" applyFont="1" applyBorder="1" applyAlignment="1" applyProtection="1">
      <alignment vertical="center" wrapText="1" readingOrder="1"/>
      <protection locked="0"/>
    </xf>
    <xf numFmtId="0" fontId="9" fillId="0" borderId="18" xfId="0" applyFont="1" applyBorder="1" applyAlignment="1" applyProtection="1">
      <alignment vertical="center" wrapText="1" readingOrder="1"/>
      <protection locked="0"/>
    </xf>
    <xf numFmtId="168" fontId="10" fillId="0" borderId="16" xfId="7" applyNumberFormat="1" applyFont="1" applyBorder="1" applyAlignment="1" applyProtection="1">
      <alignment horizontal="right" vertical="center" wrapText="1" readingOrder="1"/>
      <protection locked="0"/>
    </xf>
    <xf numFmtId="3" fontId="9" fillId="0" borderId="83" xfId="1" applyNumberFormat="1" applyFont="1" applyBorder="1" applyAlignment="1" applyProtection="1">
      <alignment horizontal="right" vertical="center" wrapText="1" readingOrder="1"/>
      <protection locked="0"/>
    </xf>
    <xf numFmtId="3" fontId="10" fillId="0" borderId="80" xfId="1" applyNumberFormat="1" applyFont="1" applyBorder="1" applyAlignment="1" applyProtection="1">
      <alignment horizontal="right" vertical="center" wrapText="1" readingOrder="1"/>
      <protection locked="0"/>
    </xf>
    <xf numFmtId="3" fontId="9" fillId="0" borderId="82" xfId="1" applyNumberFormat="1" applyFont="1" applyBorder="1" applyAlignment="1" applyProtection="1">
      <alignment horizontal="right" vertical="center" wrapText="1" readingOrder="1"/>
      <protection locked="0"/>
    </xf>
    <xf numFmtId="3" fontId="9" fillId="0" borderId="86" xfId="1" applyNumberFormat="1" applyFont="1" applyBorder="1" applyAlignment="1" applyProtection="1">
      <alignment horizontal="right" vertical="center" wrapText="1" readingOrder="1"/>
      <protection locked="0"/>
    </xf>
    <xf numFmtId="3" fontId="9" fillId="0" borderId="87" xfId="1" applyNumberFormat="1" applyFont="1" applyBorder="1" applyAlignment="1" applyProtection="1">
      <alignment horizontal="right" vertical="center" wrapText="1" readingOrder="1"/>
      <protection locked="0"/>
    </xf>
    <xf numFmtId="3" fontId="9" fillId="0" borderId="84" xfId="1" applyNumberFormat="1" applyFont="1" applyBorder="1" applyAlignment="1" applyProtection="1">
      <alignment horizontal="right" vertical="center" wrapText="1" readingOrder="1"/>
      <protection locked="0"/>
    </xf>
    <xf numFmtId="3" fontId="9" fillId="0" borderId="88" xfId="1" applyNumberFormat="1" applyFont="1" applyBorder="1" applyAlignment="1" applyProtection="1">
      <alignment horizontal="right" vertical="center" wrapText="1" readingOrder="1"/>
      <protection locked="0"/>
    </xf>
    <xf numFmtId="3" fontId="10" fillId="0" borderId="85" xfId="1" applyNumberFormat="1" applyFont="1" applyBorder="1" applyAlignment="1" applyProtection="1">
      <alignment horizontal="right" vertical="center" wrapText="1" readingOrder="1"/>
      <protection locked="0"/>
    </xf>
    <xf numFmtId="0" fontId="8" fillId="0" borderId="0" xfId="4" applyFont="1" applyAlignment="1" applyProtection="1">
      <alignment vertical="center" wrapText="1" readingOrder="1"/>
      <protection locked="0"/>
    </xf>
    <xf numFmtId="3" fontId="18" fillId="0" borderId="100" xfId="1" applyNumberFormat="1" applyFont="1" applyBorder="1" applyAlignment="1" applyProtection="1">
      <alignment horizontal="right" vertical="center" wrapText="1" readingOrder="1"/>
      <protection locked="0"/>
    </xf>
    <xf numFmtId="3" fontId="8" fillId="0" borderId="102" xfId="1" applyNumberFormat="1" applyFont="1" applyBorder="1" applyAlignment="1" applyProtection="1">
      <alignment horizontal="right" vertical="center" wrapText="1" readingOrder="1"/>
      <protection locked="0"/>
    </xf>
    <xf numFmtId="3" fontId="8" fillId="0" borderId="103" xfId="1" applyNumberFormat="1" applyFont="1" applyBorder="1" applyAlignment="1" applyProtection="1">
      <alignment horizontal="right" vertical="center" wrapText="1" readingOrder="1"/>
      <protection locked="0"/>
    </xf>
    <xf numFmtId="3" fontId="8" fillId="0" borderId="104" xfId="1" applyNumberFormat="1" applyFont="1" applyBorder="1" applyAlignment="1" applyProtection="1">
      <alignment horizontal="right" vertical="center" wrapText="1" readingOrder="1"/>
      <protection locked="0"/>
    </xf>
    <xf numFmtId="0" fontId="18" fillId="0" borderId="96" xfId="4" applyFont="1" applyBorder="1" applyAlignment="1" applyProtection="1">
      <alignment horizontal="left" vertical="center" wrapText="1" readingOrder="1"/>
      <protection locked="0"/>
    </xf>
    <xf numFmtId="0" fontId="8" fillId="0" borderId="72" xfId="4" applyFont="1" applyBorder="1" applyAlignment="1" applyProtection="1">
      <alignment horizontal="left" vertical="center" wrapText="1" readingOrder="1"/>
      <protection locked="0"/>
    </xf>
    <xf numFmtId="0" fontId="8" fillId="0" borderId="97" xfId="4" applyFont="1" applyBorder="1" applyAlignment="1" applyProtection="1">
      <alignment horizontal="left" vertical="center" wrapText="1" readingOrder="1"/>
      <protection locked="0"/>
    </xf>
    <xf numFmtId="0" fontId="18" fillId="0" borderId="1" xfId="4" applyFont="1" applyBorder="1" applyAlignment="1" applyProtection="1">
      <alignment horizontal="left" vertical="center" wrapText="1" readingOrder="1"/>
      <protection locked="0"/>
    </xf>
    <xf numFmtId="0" fontId="8" fillId="0" borderId="3" xfId="4" applyFont="1" applyBorder="1" applyAlignment="1" applyProtection="1">
      <alignment horizontal="left" vertical="center" wrapText="1" readingOrder="1"/>
      <protection locked="0"/>
    </xf>
    <xf numFmtId="3" fontId="18" fillId="0" borderId="80" xfId="1" applyNumberFormat="1" applyFont="1" applyBorder="1" applyAlignment="1" applyProtection="1">
      <alignment horizontal="right" vertical="center" wrapText="1" readingOrder="1"/>
      <protection locked="0"/>
    </xf>
    <xf numFmtId="3" fontId="18" fillId="0" borderId="17" xfId="1" applyNumberFormat="1" applyFont="1" applyBorder="1" applyAlignment="1" applyProtection="1">
      <alignment horizontal="right" vertical="center" wrapText="1" readingOrder="1"/>
      <protection locked="0"/>
    </xf>
    <xf numFmtId="3" fontId="8" fillId="0" borderId="83" xfId="1" applyNumberFormat="1" applyFont="1" applyBorder="1" applyAlignment="1" applyProtection="1">
      <alignment horizontal="right" vertical="center" wrapText="1" readingOrder="1"/>
      <protection locked="0"/>
    </xf>
    <xf numFmtId="3" fontId="8" fillId="0" borderId="137" xfId="1" applyNumberFormat="1" applyFont="1" applyBorder="1" applyAlignment="1" applyProtection="1">
      <alignment horizontal="right" vertical="center" wrapText="1" readingOrder="1"/>
      <protection locked="0"/>
    </xf>
    <xf numFmtId="3" fontId="8" fillId="0" borderId="84" xfId="1" applyNumberFormat="1" applyFont="1" applyBorder="1" applyAlignment="1" applyProtection="1">
      <alignment horizontal="right" vertical="center" wrapText="1" readingOrder="1"/>
      <protection locked="0"/>
    </xf>
    <xf numFmtId="0" fontId="9" fillId="0" borderId="3" xfId="4" applyFont="1" applyBorder="1" applyAlignment="1" applyProtection="1">
      <alignment vertical="center" wrapText="1" readingOrder="1"/>
      <protection locked="0"/>
    </xf>
    <xf numFmtId="168" fontId="11" fillId="0" borderId="7" xfId="7" applyNumberFormat="1" applyFont="1" applyBorder="1" applyAlignment="1" applyProtection="1">
      <alignment horizontal="right" vertical="center" wrapText="1" readingOrder="1"/>
      <protection locked="0"/>
    </xf>
    <xf numFmtId="168" fontId="12" fillId="0" borderId="5" xfId="7" applyNumberFormat="1" applyFont="1" applyBorder="1" applyAlignment="1" applyProtection="1">
      <alignment horizontal="right" vertical="center" wrapText="1" readingOrder="1"/>
      <protection locked="0"/>
    </xf>
    <xf numFmtId="0" fontId="10" fillId="2" borderId="5" xfId="4" applyFont="1" applyFill="1" applyBorder="1" applyAlignment="1" applyProtection="1">
      <alignment horizontal="right" vertical="center" wrapText="1" readingOrder="1"/>
      <protection locked="0"/>
    </xf>
    <xf numFmtId="0" fontId="9" fillId="0" borderId="3" xfId="4" applyFont="1" applyBorder="1" applyAlignment="1" applyProtection="1">
      <alignment horizontal="left" vertical="center" wrapText="1" readingOrder="1"/>
      <protection locked="0"/>
    </xf>
    <xf numFmtId="3" fontId="9" fillId="0" borderId="9" xfId="1" applyNumberFormat="1" applyFont="1" applyBorder="1" applyAlignment="1" applyProtection="1">
      <alignment horizontal="right" vertical="center" wrapText="1" readingOrder="1"/>
      <protection locked="0"/>
    </xf>
    <xf numFmtId="3" fontId="10" fillId="0" borderId="4" xfId="1" applyNumberFormat="1" applyFont="1" applyBorder="1" applyAlignment="1" applyProtection="1">
      <alignment horizontal="right" vertical="center" wrapText="1" readingOrder="1"/>
      <protection locked="0"/>
    </xf>
    <xf numFmtId="0" fontId="9" fillId="0" borderId="0" xfId="4" applyFont="1" applyAlignment="1" applyProtection="1">
      <alignment vertical="center" wrapText="1" readingOrder="1"/>
      <protection locked="0"/>
    </xf>
    <xf numFmtId="0" fontId="9" fillId="0" borderId="2" xfId="4" applyFont="1" applyBorder="1" applyAlignment="1" applyProtection="1">
      <alignment vertical="center" wrapText="1" readingOrder="1"/>
      <protection locked="0"/>
    </xf>
    <xf numFmtId="0" fontId="9" fillId="0" borderId="11" xfId="4" applyFont="1" applyBorder="1" applyAlignment="1" applyProtection="1">
      <alignment vertical="center" wrapText="1" readingOrder="1"/>
      <protection locked="0"/>
    </xf>
    <xf numFmtId="0" fontId="8" fillId="0" borderId="0" xfId="4" applyFont="1" applyAlignment="1">
      <alignment vertical="center"/>
    </xf>
    <xf numFmtId="3" fontId="9" fillId="0" borderId="10" xfId="1" applyNumberFormat="1" applyFont="1" applyBorder="1" applyAlignment="1" applyProtection="1">
      <alignment horizontal="right" vertical="center" wrapText="1" readingOrder="1"/>
      <protection locked="0"/>
    </xf>
    <xf numFmtId="3" fontId="9" fillId="0" borderId="6" xfId="1" applyNumberFormat="1" applyFont="1" applyBorder="1" applyAlignment="1" applyProtection="1">
      <alignment horizontal="right" vertical="center" wrapText="1" readingOrder="1"/>
      <protection locked="0"/>
    </xf>
    <xf numFmtId="3" fontId="9" fillId="0" borderId="12" xfId="1" applyNumberFormat="1" applyFont="1" applyBorder="1" applyAlignment="1" applyProtection="1">
      <alignment horizontal="right" vertical="center" wrapText="1" readingOrder="1"/>
      <protection locked="0"/>
    </xf>
    <xf numFmtId="3" fontId="10" fillId="0" borderId="4" xfId="1" applyNumberFormat="1" applyFont="1" applyBorder="1" applyAlignment="1" applyProtection="1">
      <alignment horizontal="right" vertical="top" wrapText="1" readingOrder="1"/>
      <protection locked="0"/>
    </xf>
    <xf numFmtId="0" fontId="9" fillId="0" borderId="3" xfId="4" applyNumberFormat="1" applyFont="1" applyBorder="1" applyAlignment="1" applyProtection="1">
      <alignment horizontal="left" vertical="center" wrapText="1" readingOrder="1"/>
      <protection locked="0"/>
    </xf>
    <xf numFmtId="3" fontId="9" fillId="0" borderId="6" xfId="1" applyNumberFormat="1" applyFont="1" applyBorder="1" applyAlignment="1" applyProtection="1">
      <alignment horizontal="right" vertical="center" readingOrder="1"/>
      <protection locked="0"/>
    </xf>
    <xf numFmtId="3" fontId="8" fillId="0" borderId="6" xfId="1" applyNumberFormat="1" applyFont="1" applyBorder="1" applyAlignment="1" applyProtection="1">
      <alignment horizontal="right" vertical="center" readingOrder="1"/>
      <protection locked="0"/>
    </xf>
    <xf numFmtId="3" fontId="10" fillId="0" borderId="4" xfId="1" applyNumberFormat="1" applyFont="1" applyBorder="1" applyAlignment="1" applyProtection="1">
      <alignment horizontal="right" vertical="center" readingOrder="1"/>
      <protection locked="0"/>
    </xf>
    <xf numFmtId="168" fontId="10" fillId="2" borderId="5" xfId="7" applyNumberFormat="1" applyFont="1" applyFill="1" applyBorder="1" applyAlignment="1" applyProtection="1">
      <alignment horizontal="right" vertical="center" wrapText="1" readingOrder="1"/>
      <protection locked="0"/>
    </xf>
    <xf numFmtId="0" fontId="9" fillId="0" borderId="0" xfId="4" applyFont="1" applyAlignment="1" applyProtection="1">
      <alignment vertical="center" readingOrder="1"/>
      <protection locked="0"/>
    </xf>
    <xf numFmtId="0" fontId="9" fillId="0" borderId="3" xfId="4" applyFont="1" applyBorder="1" applyAlignment="1" applyProtection="1">
      <alignment vertical="center" readingOrder="1"/>
      <protection locked="0"/>
    </xf>
    <xf numFmtId="168" fontId="17" fillId="0" borderId="7" xfId="7" applyNumberFormat="1" applyFont="1" applyBorder="1" applyAlignment="1" applyProtection="1">
      <alignment horizontal="right" vertical="center" readingOrder="1"/>
      <protection locked="0"/>
    </xf>
    <xf numFmtId="0" fontId="10" fillId="0" borderId="1" xfId="4" applyFont="1" applyBorder="1" applyAlignment="1" applyProtection="1">
      <alignment vertical="center" readingOrder="1"/>
      <protection locked="0"/>
    </xf>
    <xf numFmtId="168" fontId="10" fillId="2" borderId="5" xfId="7" applyNumberFormat="1" applyFont="1" applyFill="1" applyBorder="1" applyAlignment="1" applyProtection="1">
      <alignment horizontal="right" vertical="center" readingOrder="1"/>
      <protection locked="0"/>
    </xf>
    <xf numFmtId="0" fontId="10" fillId="2" borderId="5" xfId="4" applyFont="1" applyFill="1" applyBorder="1" applyAlignment="1" applyProtection="1">
      <alignment horizontal="right" vertical="center" readingOrder="1"/>
      <protection locked="0"/>
    </xf>
    <xf numFmtId="0" fontId="9" fillId="0" borderId="0" xfId="0" applyFont="1" applyAlignment="1" applyProtection="1">
      <alignment vertical="center" wrapText="1" readingOrder="1"/>
      <protection locked="0"/>
    </xf>
    <xf numFmtId="0" fontId="9" fillId="0" borderId="3" xfId="0" applyFont="1" applyBorder="1" applyAlignment="1" applyProtection="1">
      <alignment horizontal="left" vertical="center" wrapText="1" readingOrder="1"/>
      <protection locked="0"/>
    </xf>
    <xf numFmtId="3" fontId="9" fillId="0" borderId="9" xfId="1" applyNumberFormat="1" applyFont="1" applyBorder="1" applyAlignment="1" applyProtection="1">
      <alignment horizontal="right" vertical="top" wrapText="1" readingOrder="1"/>
      <protection locked="0"/>
    </xf>
    <xf numFmtId="3" fontId="18" fillId="0" borderId="4" xfId="1" applyNumberFormat="1" applyFont="1" applyBorder="1" applyAlignment="1" applyProtection="1">
      <alignment horizontal="right" vertical="top" wrapText="1" readingOrder="1"/>
      <protection locked="0"/>
    </xf>
    <xf numFmtId="3" fontId="8" fillId="0" borderId="9" xfId="1" applyNumberFormat="1" applyFont="1" applyBorder="1" applyAlignment="1" applyProtection="1">
      <alignment horizontal="right" vertical="top" wrapText="1" readingOrder="1"/>
      <protection locked="0"/>
    </xf>
    <xf numFmtId="3" fontId="8" fillId="0" borderId="107" xfId="1" applyNumberFormat="1" applyFont="1" applyBorder="1" applyAlignment="1" applyProtection="1">
      <alignment horizontal="right" vertical="top" wrapText="1" readingOrder="1"/>
      <protection locked="0"/>
    </xf>
    <xf numFmtId="3" fontId="8" fillId="0" borderId="92" xfId="1" applyNumberFormat="1" applyFont="1" applyBorder="1" applyAlignment="1" applyProtection="1">
      <alignment horizontal="right" vertical="top" wrapText="1" readingOrder="1"/>
      <protection locked="0"/>
    </xf>
    <xf numFmtId="3" fontId="18" fillId="0" borderId="109" xfId="1" applyNumberFormat="1" applyFont="1" applyBorder="1" applyAlignment="1" applyProtection="1">
      <alignment horizontal="right" vertical="top" wrapText="1" readingOrder="1"/>
      <protection locked="0"/>
    </xf>
    <xf numFmtId="3" fontId="10" fillId="0" borderId="9" xfId="1" applyNumberFormat="1" applyFont="1" applyBorder="1" applyAlignment="1" applyProtection="1">
      <alignment horizontal="right" vertical="top" wrapText="1" readingOrder="1"/>
      <protection locked="0"/>
    </xf>
    <xf numFmtId="3" fontId="10" fillId="0" borderId="128" xfId="1" applyNumberFormat="1" applyFont="1" applyBorder="1" applyAlignment="1" applyProtection="1">
      <alignment horizontal="right" vertical="top" wrapText="1" readingOrder="1"/>
      <protection locked="0"/>
    </xf>
    <xf numFmtId="3" fontId="10" fillId="0" borderId="64" xfId="1" applyNumberFormat="1" applyFont="1" applyBorder="1" applyAlignment="1" applyProtection="1">
      <alignment horizontal="right" vertical="top" wrapText="1" readingOrder="1"/>
      <protection locked="0"/>
    </xf>
    <xf numFmtId="3" fontId="9" fillId="0" borderId="23" xfId="1" applyNumberFormat="1" applyFont="1" applyBorder="1" applyAlignment="1" applyProtection="1">
      <alignment horizontal="right" vertical="top" wrapText="1" readingOrder="1"/>
      <protection locked="0"/>
    </xf>
    <xf numFmtId="3" fontId="9" fillId="0" borderId="9" xfId="1" applyNumberFormat="1" applyFont="1" applyFill="1" applyBorder="1" applyAlignment="1" applyProtection="1">
      <alignment horizontal="right" vertical="top" wrapText="1" readingOrder="1"/>
      <protection locked="0"/>
    </xf>
    <xf numFmtId="3" fontId="10" fillId="0" borderId="134" xfId="1" applyNumberFormat="1" applyFont="1" applyBorder="1" applyAlignment="1" applyProtection="1">
      <alignment horizontal="right" vertical="top" wrapText="1" readingOrder="1"/>
      <protection locked="0"/>
    </xf>
    <xf numFmtId="3" fontId="10" fillId="0" borderId="135" xfId="1" applyNumberFormat="1" applyFont="1" applyBorder="1" applyAlignment="1" applyProtection="1">
      <alignment horizontal="right" vertical="top" wrapText="1" readingOrder="1"/>
      <protection locked="0"/>
    </xf>
    <xf numFmtId="3" fontId="9" fillId="0" borderId="100" xfId="1" applyNumberFormat="1" applyFont="1" applyBorder="1" applyAlignment="1" applyProtection="1">
      <alignment horizontal="right" vertical="top" wrapText="1" readingOrder="1"/>
      <protection locked="0"/>
    </xf>
    <xf numFmtId="3" fontId="9" fillId="0" borderId="113" xfId="1" applyNumberFormat="1" applyFont="1" applyBorder="1" applyAlignment="1" applyProtection="1">
      <alignment horizontal="right" vertical="top" wrapText="1" readingOrder="1"/>
      <protection locked="0"/>
    </xf>
    <xf numFmtId="3" fontId="9" fillId="0" borderId="102" xfId="1" applyNumberFormat="1" applyFont="1" applyBorder="1" applyAlignment="1" applyProtection="1">
      <alignment horizontal="right" vertical="top" wrapText="1" readingOrder="1"/>
      <protection locked="0"/>
    </xf>
    <xf numFmtId="3" fontId="9" fillId="0" borderId="102" xfId="1" applyNumberFormat="1" applyFont="1" applyFill="1" applyBorder="1" applyAlignment="1" applyProtection="1">
      <alignment horizontal="right" vertical="top" wrapText="1" readingOrder="1"/>
      <protection locked="0"/>
    </xf>
    <xf numFmtId="3" fontId="9" fillId="0" borderId="114" xfId="1" applyNumberFormat="1" applyFont="1" applyBorder="1" applyAlignment="1" applyProtection="1">
      <alignment horizontal="right" vertical="top" wrapText="1" readingOrder="1"/>
      <protection locked="0"/>
    </xf>
    <xf numFmtId="3" fontId="9" fillId="0" borderId="115" xfId="1" applyNumberFormat="1" applyFont="1" applyBorder="1" applyAlignment="1" applyProtection="1">
      <alignment horizontal="right" vertical="top" wrapText="1" readingOrder="1"/>
      <protection locked="0"/>
    </xf>
    <xf numFmtId="3" fontId="9" fillId="3" borderId="9" xfId="1" applyNumberFormat="1" applyFont="1" applyFill="1" applyBorder="1" applyAlignment="1" applyProtection="1">
      <alignment horizontal="right" vertical="top" wrapText="1" readingOrder="1"/>
      <protection locked="0"/>
    </xf>
    <xf numFmtId="3" fontId="9" fillId="3" borderId="48" xfId="1" applyNumberFormat="1" applyFont="1" applyFill="1" applyBorder="1" applyAlignment="1" applyProtection="1">
      <alignment horizontal="right" vertical="center" readingOrder="1"/>
      <protection locked="0"/>
    </xf>
    <xf numFmtId="3" fontId="9" fillId="3" borderId="49" xfId="1" applyNumberFormat="1" applyFont="1" applyFill="1" applyBorder="1" applyAlignment="1" applyProtection="1">
      <alignment horizontal="right" vertical="center" readingOrder="1"/>
      <protection locked="0"/>
    </xf>
    <xf numFmtId="3" fontId="9" fillId="3" borderId="50" xfId="1" applyNumberFormat="1" applyFont="1" applyFill="1" applyBorder="1" applyAlignment="1" applyProtection="1">
      <alignment horizontal="right" vertical="center" readingOrder="1"/>
      <protection locked="0"/>
    </xf>
    <xf numFmtId="3" fontId="9" fillId="3" borderId="30" xfId="1" applyNumberFormat="1" applyFont="1" applyFill="1" applyBorder="1" applyAlignment="1" applyProtection="1">
      <alignment horizontal="right" vertical="center" readingOrder="1"/>
      <protection locked="0"/>
    </xf>
    <xf numFmtId="3" fontId="9" fillId="3" borderId="31" xfId="1" applyNumberFormat="1" applyFont="1" applyFill="1" applyBorder="1" applyAlignment="1" applyProtection="1">
      <alignment horizontal="right" vertical="center" readingOrder="1"/>
      <protection locked="0"/>
    </xf>
    <xf numFmtId="3" fontId="9" fillId="3" borderId="32" xfId="1" applyNumberFormat="1" applyFont="1" applyFill="1" applyBorder="1" applyAlignment="1" applyProtection="1">
      <alignment horizontal="right" vertical="center" readingOrder="1"/>
      <protection locked="0"/>
    </xf>
    <xf numFmtId="3" fontId="9" fillId="3" borderId="34" xfId="1" applyNumberFormat="1" applyFont="1" applyFill="1" applyBorder="1" applyAlignment="1" applyProtection="1">
      <alignment horizontal="right" vertical="center" readingOrder="1"/>
      <protection locked="0"/>
    </xf>
    <xf numFmtId="3" fontId="9" fillId="3" borderId="35" xfId="1" applyNumberFormat="1" applyFont="1" applyFill="1" applyBorder="1" applyAlignment="1" applyProtection="1">
      <alignment horizontal="right" vertical="center" readingOrder="1"/>
      <protection locked="0"/>
    </xf>
    <xf numFmtId="3" fontId="9" fillId="3" borderId="36" xfId="1" applyNumberFormat="1" applyFont="1" applyFill="1" applyBorder="1" applyAlignment="1" applyProtection="1">
      <alignment horizontal="right" vertical="center" readingOrder="1"/>
      <protection locked="0"/>
    </xf>
    <xf numFmtId="0" fontId="9" fillId="3" borderId="47" xfId="4" applyFont="1" applyFill="1" applyBorder="1" applyAlignment="1" applyProtection="1">
      <alignment horizontal="left" vertical="center" readingOrder="1"/>
      <protection locked="0"/>
    </xf>
    <xf numFmtId="0" fontId="9" fillId="3" borderId="29" xfId="4" applyFont="1" applyFill="1" applyBorder="1" applyAlignment="1" applyProtection="1">
      <alignment horizontal="left" vertical="center" readingOrder="1"/>
      <protection locked="0"/>
    </xf>
    <xf numFmtId="0" fontId="9" fillId="3" borderId="33" xfId="4" applyFont="1" applyFill="1" applyBorder="1" applyAlignment="1" applyProtection="1">
      <alignment horizontal="left" vertical="center" readingOrder="1"/>
      <protection locked="0"/>
    </xf>
    <xf numFmtId="3" fontId="9" fillId="3" borderId="9" xfId="1" applyNumberFormat="1" applyFont="1" applyFill="1" applyBorder="1" applyAlignment="1" applyProtection="1">
      <alignment horizontal="right" vertical="center" readingOrder="1"/>
      <protection locked="0"/>
    </xf>
    <xf numFmtId="3" fontId="9" fillId="3" borderId="6" xfId="1" applyNumberFormat="1" applyFont="1" applyFill="1" applyBorder="1" applyAlignment="1" applyProtection="1">
      <alignment horizontal="right" vertical="top" wrapText="1" readingOrder="1"/>
      <protection locked="0"/>
    </xf>
    <xf numFmtId="3" fontId="10" fillId="3" borderId="4" xfId="1" applyNumberFormat="1" applyFont="1" applyFill="1" applyBorder="1" applyAlignment="1" applyProtection="1">
      <alignment horizontal="right" vertical="top" wrapText="1" readingOrder="1"/>
      <protection locked="0"/>
    </xf>
    <xf numFmtId="168" fontId="11" fillId="3" borderId="7" xfId="57" applyNumberFormat="1" applyFont="1" applyFill="1" applyBorder="1" applyAlignment="1" applyProtection="1">
      <alignment horizontal="right" vertical="top" wrapText="1" readingOrder="1"/>
      <protection locked="0"/>
    </xf>
    <xf numFmtId="3" fontId="9" fillId="3" borderId="67" xfId="1" applyNumberFormat="1" applyFont="1" applyFill="1" applyBorder="1" applyAlignment="1" applyProtection="1">
      <alignment horizontal="right" vertical="top" wrapText="1" readingOrder="1"/>
      <protection locked="0"/>
    </xf>
    <xf numFmtId="3" fontId="9" fillId="3" borderId="68" xfId="1" applyNumberFormat="1" applyFont="1" applyFill="1" applyBorder="1" applyAlignment="1" applyProtection="1">
      <alignment horizontal="right" vertical="top" wrapText="1" readingOrder="1"/>
      <protection locked="0"/>
    </xf>
    <xf numFmtId="3" fontId="9" fillId="3" borderId="69" xfId="1" applyNumberFormat="1" applyFont="1" applyFill="1" applyBorder="1" applyAlignment="1" applyProtection="1">
      <alignment horizontal="right" vertical="top" wrapText="1" readingOrder="1"/>
      <protection locked="0"/>
    </xf>
    <xf numFmtId="3" fontId="9" fillId="3" borderId="70" xfId="1" applyNumberFormat="1" applyFont="1" applyFill="1" applyBorder="1" applyAlignment="1" applyProtection="1">
      <alignment horizontal="right" vertical="top" wrapText="1" readingOrder="1"/>
      <protection locked="0"/>
    </xf>
    <xf numFmtId="3" fontId="9" fillId="3" borderId="71" xfId="1" applyNumberFormat="1" applyFont="1" applyFill="1" applyBorder="1" applyAlignment="1" applyProtection="1">
      <alignment horizontal="right" vertical="top" wrapText="1" readingOrder="1"/>
      <protection locked="0"/>
    </xf>
    <xf numFmtId="3" fontId="9" fillId="3" borderId="73" xfId="1" applyNumberFormat="1" applyFont="1" applyFill="1" applyBorder="1" applyAlignment="1" applyProtection="1">
      <alignment horizontal="right" vertical="top" wrapText="1" readingOrder="1"/>
      <protection locked="0"/>
    </xf>
    <xf numFmtId="3" fontId="9" fillId="3" borderId="74" xfId="1" applyNumberFormat="1" applyFont="1" applyFill="1" applyBorder="1" applyAlignment="1" applyProtection="1">
      <alignment horizontal="right" vertical="top" wrapText="1" readingOrder="1"/>
      <protection locked="0"/>
    </xf>
    <xf numFmtId="3" fontId="9" fillId="3" borderId="93" xfId="1" applyNumberFormat="1" applyFont="1" applyFill="1" applyBorder="1" applyAlignment="1" applyProtection="1">
      <alignment horizontal="right" vertical="top" wrapText="1" readingOrder="1"/>
      <protection locked="0"/>
    </xf>
    <xf numFmtId="3" fontId="9" fillId="3" borderId="94" xfId="1" applyNumberFormat="1" applyFont="1" applyFill="1" applyBorder="1" applyAlignment="1" applyProtection="1">
      <alignment horizontal="right" vertical="top" wrapText="1" readingOrder="1"/>
      <protection locked="0"/>
    </xf>
    <xf numFmtId="3" fontId="9" fillId="3" borderId="0" xfId="57" applyNumberFormat="1" applyFont="1" applyFill="1" applyBorder="1" applyAlignment="1" applyProtection="1">
      <alignment horizontal="right" vertical="top" wrapText="1" readingOrder="1"/>
      <protection locked="0"/>
    </xf>
    <xf numFmtId="3" fontId="9" fillId="3" borderId="75" xfId="1" applyNumberFormat="1" applyFont="1" applyFill="1" applyBorder="1" applyAlignment="1" applyProtection="1">
      <alignment horizontal="right" vertical="top" wrapText="1" readingOrder="1"/>
      <protection locked="0"/>
    </xf>
    <xf numFmtId="3" fontId="9" fillId="3" borderId="76" xfId="1" applyNumberFormat="1" applyFont="1" applyFill="1" applyBorder="1" applyAlignment="1" applyProtection="1">
      <alignment horizontal="right" vertical="top" wrapText="1" readingOrder="1"/>
      <protection locked="0"/>
    </xf>
    <xf numFmtId="3" fontId="9" fillId="3" borderId="95" xfId="1" applyNumberFormat="1" applyFont="1" applyFill="1" applyBorder="1" applyAlignment="1" applyProtection="1">
      <alignment horizontal="right" vertical="top" wrapText="1" readingOrder="1"/>
      <protection locked="0"/>
    </xf>
    <xf numFmtId="3" fontId="15" fillId="3" borderId="53" xfId="1" applyNumberFormat="1" applyFont="1" applyFill="1" applyBorder="1" applyAlignment="1" applyProtection="1">
      <alignment horizontal="right" vertical="top" wrapText="1" readingOrder="1"/>
      <protection locked="0"/>
    </xf>
    <xf numFmtId="3" fontId="15" fillId="3" borderId="52" xfId="1" applyNumberFormat="1" applyFont="1" applyFill="1" applyBorder="1" applyAlignment="1" applyProtection="1">
      <alignment horizontal="right" vertical="top" wrapText="1" readingOrder="1"/>
      <protection locked="0"/>
    </xf>
    <xf numFmtId="3" fontId="15" fillId="3" borderId="9" xfId="1" applyNumberFormat="1" applyFont="1" applyFill="1" applyBorder="1" applyAlignment="1" applyProtection="1">
      <alignment horizontal="right" vertical="top" wrapText="1" readingOrder="1"/>
      <protection locked="0"/>
    </xf>
    <xf numFmtId="3" fontId="15" fillId="3" borderId="7" xfId="1" applyNumberFormat="1" applyFont="1" applyFill="1" applyBorder="1" applyAlignment="1" applyProtection="1">
      <alignment horizontal="right" vertical="top" wrapText="1" readingOrder="1"/>
      <protection locked="0"/>
    </xf>
    <xf numFmtId="0" fontId="59" fillId="3" borderId="41" xfId="61" applyFont="1" applyFill="1" applyBorder="1" applyAlignment="1" applyProtection="1">
      <alignment horizontal="center" vertical="top" wrapText="1" readingOrder="1"/>
      <protection locked="0"/>
    </xf>
    <xf numFmtId="0" fontId="55" fillId="3" borderId="42" xfId="61" applyFont="1" applyFill="1" applyBorder="1" applyAlignment="1" applyProtection="1">
      <alignment vertical="top" wrapText="1" readingOrder="1"/>
      <protection locked="0"/>
    </xf>
    <xf numFmtId="0" fontId="55" fillId="3" borderId="31" xfId="61" applyFont="1" applyFill="1" applyBorder="1" applyAlignment="1" applyProtection="1">
      <alignment horizontal="right" vertical="top" wrapText="1" readingOrder="1"/>
      <protection locked="0"/>
    </xf>
    <xf numFmtId="166" fontId="55" fillId="3" borderId="31" xfId="61" applyNumberFormat="1" applyFont="1" applyFill="1" applyBorder="1" applyAlignment="1" applyProtection="1">
      <alignment horizontal="right" vertical="top" wrapText="1" readingOrder="1"/>
      <protection locked="0"/>
    </xf>
    <xf numFmtId="166" fontId="55" fillId="3" borderId="32" xfId="61" applyNumberFormat="1" applyFont="1" applyFill="1" applyBorder="1" applyAlignment="1" applyProtection="1">
      <alignment horizontal="right" vertical="top" wrapText="1" readingOrder="1"/>
      <protection locked="0"/>
    </xf>
    <xf numFmtId="0" fontId="55" fillId="3" borderId="43" xfId="61" applyFont="1" applyFill="1" applyBorder="1" applyAlignment="1" applyProtection="1">
      <alignment vertical="top" wrapText="1" readingOrder="1"/>
      <protection locked="0"/>
    </xf>
    <xf numFmtId="166" fontId="55" fillId="3" borderId="35" xfId="61" applyNumberFormat="1" applyFont="1" applyFill="1" applyBorder="1" applyAlignment="1" applyProtection="1">
      <alignment horizontal="right" vertical="top" wrapText="1" readingOrder="1"/>
      <protection locked="0"/>
    </xf>
    <xf numFmtId="0" fontId="55" fillId="3" borderId="35" xfId="61" applyFont="1" applyFill="1" applyBorder="1" applyAlignment="1" applyProtection="1">
      <alignment horizontal="right" vertical="top" wrapText="1" readingOrder="1"/>
      <protection locked="0"/>
    </xf>
    <xf numFmtId="166" fontId="55" fillId="3" borderId="36" xfId="61" applyNumberFormat="1" applyFont="1" applyFill="1" applyBorder="1" applyAlignment="1" applyProtection="1">
      <alignment horizontal="right" vertical="top" wrapText="1" readingOrder="1"/>
      <protection locked="0"/>
    </xf>
    <xf numFmtId="166" fontId="55" fillId="3" borderId="30" xfId="61" applyNumberFormat="1" applyFont="1" applyFill="1" applyBorder="1" applyAlignment="1" applyProtection="1">
      <alignment horizontal="right" vertical="top" wrapText="1" readingOrder="1"/>
      <protection locked="0"/>
    </xf>
    <xf numFmtId="166" fontId="55" fillId="3" borderId="34" xfId="61" applyNumberFormat="1" applyFont="1" applyFill="1" applyBorder="1" applyAlignment="1" applyProtection="1">
      <alignment horizontal="right" vertical="top" wrapText="1" readingOrder="1"/>
      <protection locked="0"/>
    </xf>
    <xf numFmtId="0" fontId="59" fillId="3" borderId="141" xfId="61" applyFont="1" applyFill="1" applyBorder="1" applyAlignment="1" applyProtection="1">
      <alignment horizontal="center" vertical="top" wrapText="1" readingOrder="1"/>
      <protection locked="0"/>
    </xf>
    <xf numFmtId="0" fontId="55" fillId="3" borderId="142" xfId="61" applyFont="1" applyFill="1" applyBorder="1" applyAlignment="1" applyProtection="1">
      <alignment vertical="top" wrapText="1" readingOrder="1"/>
      <protection locked="0"/>
    </xf>
    <xf numFmtId="0" fontId="55" fillId="3" borderId="143" xfId="61" applyFont="1" applyFill="1" applyBorder="1" applyAlignment="1" applyProtection="1">
      <alignment vertical="top" wrapText="1" readingOrder="1"/>
      <protection locked="0"/>
    </xf>
    <xf numFmtId="0" fontId="55" fillId="3" borderId="142" xfId="61" applyFont="1" applyFill="1" applyBorder="1" applyAlignment="1" applyProtection="1">
      <alignment horizontal="right" vertical="top" wrapText="1" readingOrder="1"/>
      <protection locked="0"/>
    </xf>
    <xf numFmtId="0" fontId="55" fillId="3" borderId="143" xfId="61" applyFont="1" applyFill="1" applyBorder="1" applyAlignment="1" applyProtection="1">
      <alignment horizontal="right" vertical="top" wrapText="1" readingOrder="1"/>
      <protection locked="0"/>
    </xf>
    <xf numFmtId="0" fontId="57" fillId="3" borderId="144" xfId="61" applyFont="1" applyFill="1" applyBorder="1" applyAlignment="1" applyProtection="1">
      <alignment horizontal="center" vertical="top" wrapText="1" readingOrder="1"/>
      <protection locked="0"/>
    </xf>
    <xf numFmtId="166" fontId="55" fillId="3" borderId="142" xfId="61" applyNumberFormat="1" applyFont="1" applyFill="1" applyBorder="1" applyAlignment="1" applyProtection="1">
      <alignment horizontal="right" vertical="top" wrapText="1" readingOrder="1"/>
      <protection locked="0"/>
    </xf>
    <xf numFmtId="166" fontId="55" fillId="3" borderId="143" xfId="61" applyNumberFormat="1" applyFont="1" applyFill="1" applyBorder="1" applyAlignment="1" applyProtection="1">
      <alignment horizontal="right" vertical="top" wrapText="1" readingOrder="1"/>
      <protection locked="0"/>
    </xf>
    <xf numFmtId="0" fontId="15" fillId="3" borderId="79" xfId="57" applyFont="1" applyFill="1" applyBorder="1" applyAlignment="1" applyProtection="1">
      <alignment horizontal="center" vertical="top" wrapText="1" readingOrder="1"/>
      <protection locked="0"/>
    </xf>
    <xf numFmtId="0" fontId="15" fillId="3" borderId="7" xfId="57" applyFont="1" applyFill="1" applyBorder="1" applyAlignment="1" applyProtection="1">
      <alignment horizontal="center" vertical="top" wrapText="1" readingOrder="1"/>
      <protection locked="0"/>
    </xf>
    <xf numFmtId="0" fontId="15" fillId="3" borderId="52" xfId="57" applyFont="1" applyFill="1" applyBorder="1" applyAlignment="1" applyProtection="1">
      <alignment horizontal="center" vertical="top" wrapText="1" readingOrder="1"/>
      <protection locked="0"/>
    </xf>
    <xf numFmtId="0" fontId="24" fillId="3" borderId="0" xfId="70" applyFont="1" applyFill="1" applyAlignment="1" applyProtection="1">
      <alignment vertical="top" wrapText="1" readingOrder="1"/>
      <protection locked="0"/>
    </xf>
    <xf numFmtId="168" fontId="10" fillId="2" borderId="5" xfId="4" applyNumberFormat="1" applyFont="1" applyFill="1" applyBorder="1" applyAlignment="1" applyProtection="1">
      <alignment horizontal="right" vertical="top" wrapText="1" readingOrder="1"/>
      <protection locked="0"/>
    </xf>
    <xf numFmtId="0" fontId="1" fillId="3" borderId="0" xfId="193" applyFont="1" applyFill="1" applyBorder="1"/>
    <xf numFmtId="0" fontId="8" fillId="0" borderId="0" xfId="0" applyFont="1"/>
    <xf numFmtId="0" fontId="8" fillId="0" borderId="0" xfId="0" applyFont="1" applyAlignment="1"/>
    <xf numFmtId="0" fontId="9" fillId="0" borderId="0" xfId="0" applyFont="1" applyAlignment="1" applyProtection="1">
      <alignment vertical="top" wrapText="1" readingOrder="1"/>
      <protection locked="0"/>
    </xf>
    <xf numFmtId="0" fontId="8" fillId="0" borderId="0" xfId="4" applyFont="1"/>
    <xf numFmtId="0" fontId="22" fillId="0" borderId="0" xfId="3" applyAlignment="1" applyProtection="1">
      <alignment vertical="top" wrapText="1" readingOrder="1"/>
      <protection locked="0"/>
    </xf>
    <xf numFmtId="0" fontId="22" fillId="0" borderId="0" xfId="3"/>
    <xf numFmtId="0" fontId="8" fillId="3" borderId="0" xfId="4" applyFont="1" applyFill="1"/>
    <xf numFmtId="0" fontId="8" fillId="3" borderId="0" xfId="57" applyFont="1" applyFill="1"/>
    <xf numFmtId="0" fontId="16" fillId="3" borderId="22" xfId="57" applyFill="1" applyBorder="1"/>
    <xf numFmtId="0" fontId="27" fillId="0" borderId="0" xfId="0" applyFont="1" applyAlignment="1">
      <alignment horizontal="left"/>
    </xf>
    <xf numFmtId="0" fontId="0" fillId="3" borderId="22" xfId="0" applyFill="1" applyBorder="1"/>
    <xf numFmtId="0" fontId="9" fillId="3" borderId="146" xfId="57" applyNumberFormat="1" applyFont="1" applyFill="1" applyBorder="1" applyAlignment="1" applyProtection="1">
      <alignment horizontal="left" vertical="top" wrapText="1" readingOrder="1"/>
      <protection locked="0"/>
    </xf>
    <xf numFmtId="0" fontId="9" fillId="3" borderId="146" xfId="57" applyFont="1" applyFill="1" applyBorder="1" applyAlignment="1" applyProtection="1">
      <alignment vertical="top" wrapText="1" readingOrder="1"/>
      <protection locked="0"/>
    </xf>
    <xf numFmtId="0" fontId="24" fillId="0" borderId="0" xfId="4" applyFont="1" applyAlignment="1"/>
    <xf numFmtId="0" fontId="24" fillId="3" borderId="0" xfId="57" applyFont="1" applyFill="1" applyAlignment="1"/>
    <xf numFmtId="0" fontId="22" fillId="0" borderId="0" xfId="3" applyAlignment="1"/>
    <xf numFmtId="0" fontId="22" fillId="0" borderId="0" xfId="3" applyAlignment="1" applyProtection="1">
      <alignment vertical="top" readingOrder="1"/>
      <protection locked="0"/>
    </xf>
    <xf numFmtId="0" fontId="24" fillId="3" borderId="0" xfId="57" applyFont="1" applyFill="1" applyAlignment="1" applyProtection="1">
      <alignment vertical="top" wrapText="1" readingOrder="1"/>
      <protection locked="0"/>
    </xf>
    <xf numFmtId="0" fontId="24" fillId="0" borderId="0" xfId="0" applyFont="1" applyAlignment="1" applyProtection="1">
      <alignment vertical="top" wrapText="1" readingOrder="1"/>
      <protection locked="0"/>
    </xf>
    <xf numFmtId="0" fontId="24" fillId="0" borderId="0" xfId="4" applyFont="1" applyAlignment="1" applyProtection="1">
      <alignment vertical="top" wrapText="1" readingOrder="1"/>
      <protection locked="0"/>
    </xf>
    <xf numFmtId="0" fontId="8" fillId="3" borderId="0" xfId="70" applyFont="1" applyFill="1" applyBorder="1" applyAlignment="1" applyProtection="1">
      <alignment vertical="top" wrapText="1" readingOrder="1"/>
      <protection locked="0"/>
    </xf>
    <xf numFmtId="0" fontId="22" fillId="3" borderId="0" xfId="9" applyFont="1" applyFill="1" applyBorder="1" applyAlignment="1" applyProtection="1">
      <alignment vertical="top" wrapText="1" readingOrder="1"/>
      <protection locked="0"/>
    </xf>
    <xf numFmtId="0" fontId="8" fillId="3" borderId="0" xfId="57" applyFont="1" applyFill="1" applyBorder="1"/>
    <xf numFmtId="0" fontId="8" fillId="3" borderId="0" xfId="0" applyFont="1" applyFill="1" applyBorder="1"/>
    <xf numFmtId="0" fontId="18" fillId="3" borderId="0" xfId="57" applyFont="1" applyFill="1" applyBorder="1" applyAlignment="1" applyProtection="1">
      <alignment vertical="top" wrapText="1" readingOrder="1"/>
      <protection locked="0"/>
    </xf>
    <xf numFmtId="0" fontId="8" fillId="3" borderId="0" xfId="57" applyFont="1" applyFill="1" applyBorder="1" applyAlignment="1" applyProtection="1">
      <alignment vertical="top" wrapText="1" readingOrder="1"/>
      <protection locked="0"/>
    </xf>
    <xf numFmtId="0" fontId="8" fillId="3" borderId="0" xfId="57" applyFont="1" applyFill="1" applyAlignment="1"/>
    <xf numFmtId="0" fontId="8" fillId="3" borderId="22" xfId="4" applyFont="1" applyFill="1" applyBorder="1"/>
    <xf numFmtId="0" fontId="9" fillId="3" borderId="148" xfId="57" applyFont="1" applyFill="1" applyBorder="1" applyAlignment="1" applyProtection="1">
      <alignment vertical="top" wrapText="1" readingOrder="1"/>
      <protection locked="0"/>
    </xf>
    <xf numFmtId="3" fontId="9" fillId="3" borderId="149" xfId="1" applyNumberFormat="1" applyFont="1" applyFill="1" applyBorder="1" applyAlignment="1" applyProtection="1">
      <alignment horizontal="right" vertical="top" wrapText="1" readingOrder="1"/>
      <protection locked="0"/>
    </xf>
    <xf numFmtId="3" fontId="9" fillId="3" borderId="115" xfId="1" applyNumberFormat="1" applyFont="1" applyFill="1" applyBorder="1" applyAlignment="1" applyProtection="1">
      <alignment horizontal="right" vertical="top" wrapText="1" readingOrder="1"/>
      <protection locked="0"/>
    </xf>
    <xf numFmtId="3" fontId="9" fillId="3" borderId="105" xfId="1" applyNumberFormat="1" applyFont="1" applyFill="1" applyBorder="1" applyAlignment="1" applyProtection="1">
      <alignment horizontal="right" vertical="top" wrapText="1" readingOrder="1"/>
      <protection locked="0"/>
    </xf>
    <xf numFmtId="0" fontId="55" fillId="3" borderId="34" xfId="61" applyFont="1" applyFill="1" applyBorder="1" applyAlignment="1" applyProtection="1">
      <alignment horizontal="right" vertical="top" wrapText="1" readingOrder="1"/>
      <protection locked="0"/>
    </xf>
    <xf numFmtId="0" fontId="55" fillId="3" borderId="145" xfId="61" applyFont="1" applyFill="1" applyBorder="1" applyAlignment="1" applyProtection="1">
      <alignment horizontal="right" vertical="top" wrapText="1" readingOrder="1"/>
      <protection locked="0"/>
    </xf>
    <xf numFmtId="0" fontId="55" fillId="3" borderId="36" xfId="61" applyFont="1" applyFill="1" applyBorder="1" applyAlignment="1" applyProtection="1">
      <alignment horizontal="right" vertical="top" wrapText="1" readingOrder="1"/>
      <protection locked="0"/>
    </xf>
    <xf numFmtId="0" fontId="8" fillId="3" borderId="20" xfId="61" applyFont="1" applyFill="1" applyBorder="1"/>
    <xf numFmtId="0" fontId="8" fillId="3" borderId="147" xfId="61" applyFont="1" applyFill="1" applyBorder="1"/>
    <xf numFmtId="0" fontId="8" fillId="0" borderId="0" xfId="0" applyFont="1"/>
    <xf numFmtId="0" fontId="24" fillId="0" borderId="0" xfId="4" applyFont="1" applyAlignment="1" applyProtection="1">
      <alignment vertical="top" wrapText="1" readingOrder="1"/>
      <protection locked="0"/>
    </xf>
    <xf numFmtId="0" fontId="8" fillId="3" borderId="0" xfId="61" applyFont="1" applyFill="1" applyBorder="1" applyAlignment="1" applyProtection="1">
      <alignment vertical="top" wrapText="1"/>
      <protection locked="0"/>
    </xf>
    <xf numFmtId="0" fontId="8" fillId="3" borderId="0" xfId="61" applyFont="1" applyFill="1" applyBorder="1" applyAlignment="1" applyProtection="1">
      <alignment vertical="top" wrapText="1" readingOrder="1"/>
      <protection locked="0"/>
    </xf>
    <xf numFmtId="0" fontId="17" fillId="0" borderId="150" xfId="4" applyFont="1" applyBorder="1" applyAlignment="1" applyProtection="1">
      <alignment horizontal="right" vertical="center" wrapText="1" readingOrder="1"/>
      <protection locked="0"/>
    </xf>
    <xf numFmtId="168" fontId="17" fillId="0" borderId="111" xfId="7" applyNumberFormat="1" applyFont="1" applyBorder="1" applyAlignment="1" applyProtection="1">
      <alignment horizontal="right" vertical="center" wrapText="1" readingOrder="1"/>
      <protection locked="0"/>
    </xf>
    <xf numFmtId="168" fontId="17" fillId="0" borderId="151" xfId="7" applyNumberFormat="1" applyFont="1" applyBorder="1" applyAlignment="1" applyProtection="1">
      <alignment horizontal="right" vertical="center" wrapText="1" readingOrder="1"/>
      <protection locked="0"/>
    </xf>
    <xf numFmtId="0" fontId="17" fillId="0" borderId="101" xfId="4" applyFont="1" applyBorder="1" applyAlignment="1" applyProtection="1">
      <alignment horizontal="right" vertical="center" wrapText="1" readingOrder="1"/>
      <protection locked="0"/>
    </xf>
    <xf numFmtId="168" fontId="17" fillId="0" borderId="71" xfId="7" applyNumberFormat="1" applyFont="1" applyBorder="1" applyAlignment="1" applyProtection="1">
      <alignment horizontal="right" vertical="center" wrapText="1" readingOrder="1"/>
      <protection locked="0"/>
    </xf>
    <xf numFmtId="0" fontId="10" fillId="3" borderId="72" xfId="4" applyFont="1" applyFill="1" applyBorder="1" applyAlignment="1" applyProtection="1">
      <alignment vertical="top" wrapText="1" readingOrder="1"/>
      <protection locked="0"/>
    </xf>
    <xf numFmtId="168" fontId="11" fillId="3" borderId="152" xfId="7" applyNumberFormat="1" applyFont="1" applyFill="1" applyBorder="1" applyAlignment="1" applyProtection="1">
      <alignment horizontal="right" vertical="top" wrapText="1" readingOrder="1"/>
      <protection locked="0"/>
    </xf>
    <xf numFmtId="168" fontId="11" fillId="3" borderId="70" xfId="7" applyNumberFormat="1" applyFont="1" applyFill="1" applyBorder="1" applyAlignment="1" applyProtection="1">
      <alignment horizontal="right" vertical="top" wrapText="1" readingOrder="1"/>
      <protection locked="0"/>
    </xf>
    <xf numFmtId="168" fontId="11" fillId="3" borderId="149" xfId="7" applyNumberFormat="1" applyFont="1" applyFill="1" applyBorder="1" applyAlignment="1" applyProtection="1">
      <alignment horizontal="right" vertical="top" wrapText="1" readingOrder="1"/>
      <protection locked="0"/>
    </xf>
    <xf numFmtId="3" fontId="9" fillId="3" borderId="100" xfId="1" applyNumberFormat="1" applyFont="1" applyFill="1" applyBorder="1" applyAlignment="1" applyProtection="1">
      <alignment horizontal="right" vertical="top" wrapText="1" readingOrder="1"/>
      <protection locked="0"/>
    </xf>
    <xf numFmtId="3" fontId="9" fillId="3" borderId="113" xfId="1" applyNumberFormat="1" applyFont="1" applyFill="1" applyBorder="1" applyAlignment="1" applyProtection="1">
      <alignment horizontal="right" vertical="top" wrapText="1" readingOrder="1"/>
      <protection locked="0"/>
    </xf>
    <xf numFmtId="3" fontId="9" fillId="3" borderId="101" xfId="1" applyNumberFormat="1" applyFont="1" applyFill="1" applyBorder="1" applyAlignment="1" applyProtection="1">
      <alignment horizontal="right" vertical="top" wrapText="1" readingOrder="1"/>
      <protection locked="0"/>
    </xf>
    <xf numFmtId="3" fontId="9" fillId="3" borderId="102" xfId="1" applyNumberFormat="1" applyFont="1" applyFill="1" applyBorder="1" applyAlignment="1" applyProtection="1">
      <alignment horizontal="right" vertical="top" wrapText="1" readingOrder="1"/>
      <protection locked="0"/>
    </xf>
    <xf numFmtId="3" fontId="9" fillId="3" borderId="114" xfId="1" applyNumberFormat="1" applyFont="1" applyFill="1" applyBorder="1" applyAlignment="1" applyProtection="1">
      <alignment horizontal="right" vertical="top" wrapText="1" readingOrder="1"/>
      <protection locked="0"/>
    </xf>
    <xf numFmtId="0" fontId="10" fillId="3" borderId="90" xfId="57" applyFont="1" applyFill="1" applyBorder="1" applyAlignment="1" applyProtection="1">
      <alignment vertical="top" wrapText="1" readingOrder="1"/>
      <protection locked="0"/>
    </xf>
    <xf numFmtId="3" fontId="9" fillId="3" borderId="92" xfId="1" applyNumberFormat="1" applyFont="1" applyFill="1" applyBorder="1" applyAlignment="1" applyProtection="1">
      <alignment horizontal="right" vertical="center" readingOrder="1"/>
      <protection locked="0"/>
    </xf>
    <xf numFmtId="168" fontId="11" fillId="3" borderId="31" xfId="7" applyNumberFormat="1" applyFont="1" applyFill="1" applyBorder="1" applyAlignment="1" applyProtection="1">
      <alignment horizontal="right" vertical="top" wrapText="1" readingOrder="1"/>
      <protection locked="0"/>
    </xf>
    <xf numFmtId="3" fontId="10" fillId="3" borderId="139" xfId="1" applyNumberFormat="1" applyFont="1" applyFill="1" applyBorder="1" applyAlignment="1" applyProtection="1">
      <alignment horizontal="right" vertical="center" readingOrder="1"/>
      <protection locked="0"/>
    </xf>
    <xf numFmtId="3" fontId="10" fillId="3" borderId="39" xfId="1" applyNumberFormat="1" applyFont="1" applyFill="1" applyBorder="1" applyAlignment="1" applyProtection="1">
      <alignment horizontal="right" vertical="center" readingOrder="1"/>
      <protection locked="0"/>
    </xf>
    <xf numFmtId="168" fontId="11" fillId="3" borderId="39" xfId="7" applyNumberFormat="1" applyFont="1" applyFill="1" applyBorder="1" applyAlignment="1" applyProtection="1">
      <alignment horizontal="right" vertical="top" wrapText="1" readingOrder="1"/>
      <protection locked="0"/>
    </xf>
    <xf numFmtId="168" fontId="11" fillId="3" borderId="40" xfId="7" applyNumberFormat="1" applyFont="1" applyFill="1" applyBorder="1" applyAlignment="1" applyProtection="1">
      <alignment horizontal="right" vertical="top" wrapText="1" readingOrder="1"/>
      <protection locked="0"/>
    </xf>
    <xf numFmtId="0" fontId="18" fillId="3" borderId="98" xfId="57" applyFont="1" applyFill="1" applyBorder="1" applyAlignment="1" applyProtection="1">
      <alignment horizontal="center" vertical="center" wrapText="1" readingOrder="1"/>
      <protection locked="0"/>
    </xf>
    <xf numFmtId="3" fontId="9" fillId="3" borderId="100" xfId="1" applyNumberFormat="1" applyFont="1" applyFill="1" applyBorder="1" applyAlignment="1" applyProtection="1">
      <alignment horizontal="right" vertical="center" readingOrder="1"/>
      <protection locked="0"/>
    </xf>
    <xf numFmtId="3" fontId="9" fillId="3" borderId="113" xfId="1" applyNumberFormat="1" applyFont="1" applyFill="1" applyBorder="1" applyAlignment="1" applyProtection="1">
      <alignment horizontal="right" vertical="center" readingOrder="1"/>
      <protection locked="0"/>
    </xf>
    <xf numFmtId="3" fontId="9" fillId="3" borderId="102" xfId="1" applyNumberFormat="1" applyFont="1" applyFill="1" applyBorder="1" applyAlignment="1" applyProtection="1">
      <alignment horizontal="right" vertical="center" readingOrder="1"/>
      <protection locked="0"/>
    </xf>
    <xf numFmtId="3" fontId="9" fillId="3" borderId="153" xfId="1" applyNumberFormat="1" applyFont="1" applyFill="1" applyBorder="1" applyAlignment="1" applyProtection="1">
      <alignment horizontal="right" vertical="center" readingOrder="1"/>
      <protection locked="0"/>
    </xf>
    <xf numFmtId="3" fontId="10" fillId="3" borderId="140" xfId="1" applyNumberFormat="1" applyFont="1" applyFill="1" applyBorder="1" applyAlignment="1" applyProtection="1">
      <alignment horizontal="right" vertical="center" readingOrder="1"/>
      <protection locked="0"/>
    </xf>
    <xf numFmtId="0" fontId="26" fillId="3" borderId="98" xfId="57" applyFont="1" applyFill="1" applyBorder="1" applyAlignment="1" applyProtection="1">
      <alignment horizontal="center" vertical="center" wrapText="1" readingOrder="1"/>
      <protection locked="0"/>
    </xf>
    <xf numFmtId="0" fontId="26" fillId="3" borderId="112" xfId="57" applyFont="1" applyFill="1" applyBorder="1" applyAlignment="1" applyProtection="1">
      <alignment horizontal="center" vertical="center" wrapText="1" readingOrder="1"/>
      <protection locked="0"/>
    </xf>
    <xf numFmtId="0" fontId="26" fillId="3" borderId="99" xfId="57" applyFont="1" applyFill="1" applyBorder="1" applyAlignment="1" applyProtection="1">
      <alignment horizontal="center" vertical="center" wrapText="1" readingOrder="1"/>
      <protection locked="0"/>
    </xf>
    <xf numFmtId="168" fontId="11" fillId="3" borderId="41" xfId="7" applyNumberFormat="1" applyFont="1" applyFill="1" applyBorder="1" applyAlignment="1" applyProtection="1">
      <alignment horizontal="right" vertical="top" wrapText="1" readingOrder="1"/>
      <protection locked="0"/>
    </xf>
    <xf numFmtId="168" fontId="11" fillId="3" borderId="27" xfId="7" applyNumberFormat="1" applyFont="1" applyFill="1" applyBorder="1" applyAlignment="1" applyProtection="1">
      <alignment horizontal="right" vertical="top" wrapText="1" readingOrder="1"/>
      <protection locked="0"/>
    </xf>
    <xf numFmtId="168" fontId="11" fillId="3" borderId="28" xfId="7" applyNumberFormat="1" applyFont="1" applyFill="1" applyBorder="1" applyAlignment="1" applyProtection="1">
      <alignment horizontal="right" vertical="top" wrapText="1" readingOrder="1"/>
      <protection locked="0"/>
    </xf>
    <xf numFmtId="168" fontId="11" fillId="3" borderId="42" xfId="7" applyNumberFormat="1" applyFont="1" applyFill="1" applyBorder="1" applyAlignment="1" applyProtection="1">
      <alignment horizontal="right" vertical="top" wrapText="1" readingOrder="1"/>
      <protection locked="0"/>
    </xf>
    <xf numFmtId="168" fontId="11" fillId="3" borderId="32" xfId="7" applyNumberFormat="1" applyFont="1" applyFill="1" applyBorder="1" applyAlignment="1" applyProtection="1">
      <alignment horizontal="right" vertical="top" wrapText="1" readingOrder="1"/>
      <protection locked="0"/>
    </xf>
    <xf numFmtId="168" fontId="11" fillId="3" borderId="43" xfId="7" applyNumberFormat="1" applyFont="1" applyFill="1" applyBorder="1" applyAlignment="1" applyProtection="1">
      <alignment horizontal="right" vertical="top" wrapText="1" readingOrder="1"/>
      <protection locked="0"/>
    </xf>
    <xf numFmtId="168" fontId="11" fillId="3" borderId="35" xfId="7" applyNumberFormat="1" applyFont="1" applyFill="1" applyBorder="1" applyAlignment="1" applyProtection="1">
      <alignment horizontal="right" vertical="top" wrapText="1" readingOrder="1"/>
      <protection locked="0"/>
    </xf>
    <xf numFmtId="168" fontId="11" fillId="3" borderId="36" xfId="7" applyNumberFormat="1" applyFont="1" applyFill="1" applyBorder="1" applyAlignment="1" applyProtection="1">
      <alignment horizontal="right" vertical="top" wrapText="1" readingOrder="1"/>
      <protection locked="0"/>
    </xf>
    <xf numFmtId="168" fontId="11" fillId="3" borderId="139" xfId="7" applyNumberFormat="1" applyFont="1" applyFill="1" applyBorder="1" applyAlignment="1" applyProtection="1">
      <alignment horizontal="right" vertical="top" wrapText="1" readingOrder="1"/>
      <protection locked="0"/>
    </xf>
    <xf numFmtId="168" fontId="11" fillId="3" borderId="24" xfId="7" applyNumberFormat="1" applyFont="1" applyFill="1" applyBorder="1" applyAlignment="1" applyProtection="1">
      <alignment horizontal="right" vertical="top" wrapText="1" readingOrder="1"/>
      <protection locked="0"/>
    </xf>
    <xf numFmtId="168" fontId="11" fillId="3" borderId="26" xfId="7" applyNumberFormat="1" applyFont="1" applyFill="1" applyBorder="1" applyAlignment="1" applyProtection="1">
      <alignment horizontal="right" vertical="top" wrapText="1" readingOrder="1"/>
      <protection locked="0"/>
    </xf>
    <xf numFmtId="168" fontId="11" fillId="3" borderId="29" xfId="7" applyNumberFormat="1" applyFont="1" applyFill="1" applyBorder="1" applyAlignment="1" applyProtection="1">
      <alignment horizontal="right" vertical="top" wrapText="1" readingOrder="1"/>
      <protection locked="0"/>
    </xf>
    <xf numFmtId="168" fontId="11" fillId="3" borderId="33" xfId="7" applyNumberFormat="1" applyFont="1" applyFill="1" applyBorder="1" applyAlignment="1" applyProtection="1">
      <alignment horizontal="right" vertical="top" wrapText="1" readingOrder="1"/>
      <protection locked="0"/>
    </xf>
    <xf numFmtId="0" fontId="8" fillId="0" borderId="0" xfId="4" applyFont="1"/>
    <xf numFmtId="168" fontId="17" fillId="0" borderId="154" xfId="7" applyNumberFormat="1" applyFont="1" applyBorder="1" applyAlignment="1" applyProtection="1">
      <alignment horizontal="right" vertical="center" wrapText="1" readingOrder="1"/>
      <protection locked="0"/>
    </xf>
    <xf numFmtId="16" fontId="9" fillId="0" borderId="0" xfId="0" applyNumberFormat="1" applyFont="1" applyBorder="1" applyAlignment="1" applyProtection="1">
      <alignment vertical="top" wrapText="1" readingOrder="1"/>
      <protection locked="0"/>
    </xf>
    <xf numFmtId="17" fontId="9" fillId="0" borderId="0" xfId="0" applyNumberFormat="1" applyFont="1" applyBorder="1" applyAlignment="1" applyProtection="1">
      <alignment vertical="top" wrapText="1" readingOrder="1"/>
      <protection locked="0"/>
    </xf>
    <xf numFmtId="169" fontId="11" fillId="3" borderId="28" xfId="1" applyNumberFormat="1" applyFont="1" applyFill="1" applyBorder="1" applyAlignment="1" applyProtection="1">
      <alignment horizontal="right" vertical="top" wrapText="1" readingOrder="1"/>
      <protection locked="0"/>
    </xf>
    <xf numFmtId="169" fontId="11" fillId="3" borderId="32" xfId="1" applyNumberFormat="1" applyFont="1" applyFill="1" applyBorder="1" applyAlignment="1" applyProtection="1">
      <alignment horizontal="right" vertical="top" wrapText="1" readingOrder="1"/>
      <protection locked="0"/>
    </xf>
    <xf numFmtId="169" fontId="11" fillId="3" borderId="36" xfId="1" applyNumberFormat="1" applyFont="1" applyFill="1" applyBorder="1" applyAlignment="1" applyProtection="1">
      <alignment horizontal="right" vertical="top" wrapText="1" readingOrder="1"/>
      <protection locked="0"/>
    </xf>
    <xf numFmtId="169" fontId="8" fillId="0" borderId="0" xfId="1" applyNumberFormat="1" applyFont="1" applyAlignment="1"/>
    <xf numFmtId="169" fontId="1" fillId="3" borderId="0" xfId="1" applyNumberFormat="1" applyFont="1" applyFill="1"/>
    <xf numFmtId="0" fontId="8" fillId="0" borderId="0" xfId="1" applyNumberFormat="1" applyFont="1"/>
    <xf numFmtId="3" fontId="9" fillId="3" borderId="156" xfId="1" applyNumberFormat="1" applyFont="1" applyFill="1" applyBorder="1" applyAlignment="1" applyProtection="1">
      <alignment horizontal="right" vertical="top" wrapText="1" readingOrder="1"/>
      <protection locked="0"/>
    </xf>
    <xf numFmtId="3" fontId="9" fillId="3" borderId="155" xfId="1" applyNumberFormat="1" applyFont="1" applyFill="1" applyBorder="1" applyAlignment="1" applyProtection="1">
      <alignment horizontal="right" vertical="top" wrapText="1" readingOrder="1"/>
      <protection locked="0"/>
    </xf>
    <xf numFmtId="0" fontId="0" fillId="3" borderId="0" xfId="0" applyNumberFormat="1" applyFill="1"/>
    <xf numFmtId="0" fontId="8" fillId="0" borderId="0" xfId="4" applyFont="1"/>
    <xf numFmtId="0" fontId="8" fillId="0" borderId="0" xfId="4" applyFont="1"/>
    <xf numFmtId="0" fontId="22" fillId="0" borderId="0" xfId="3" applyAlignment="1">
      <alignment horizontal="left"/>
    </xf>
    <xf numFmtId="0" fontId="8" fillId="3" borderId="0" xfId="57" applyNumberFormat="1" applyFont="1" applyFill="1"/>
    <xf numFmtId="0" fontId="8" fillId="3" borderId="0" xfId="0" applyNumberFormat="1" applyFont="1" applyFill="1"/>
    <xf numFmtId="0" fontId="8" fillId="3" borderId="0" xfId="7" applyNumberFormat="1" applyFont="1" applyFill="1"/>
    <xf numFmtId="0" fontId="8" fillId="3" borderId="0" xfId="61" applyFill="1"/>
    <xf numFmtId="0" fontId="8" fillId="3" borderId="0" xfId="70" applyFont="1" applyFill="1"/>
    <xf numFmtId="0" fontId="22" fillId="3" borderId="0" xfId="3" applyFont="1" applyFill="1"/>
    <xf numFmtId="0" fontId="18" fillId="3" borderId="24" xfId="61" applyFont="1" applyFill="1" applyBorder="1"/>
    <xf numFmtId="0" fontId="8" fillId="3" borderId="157" xfId="61" applyFill="1" applyBorder="1"/>
    <xf numFmtId="0" fontId="8" fillId="3" borderId="158" xfId="61" applyFill="1" applyBorder="1"/>
    <xf numFmtId="0" fontId="8" fillId="3" borderId="0" xfId="61" applyFont="1" applyFill="1"/>
    <xf numFmtId="0" fontId="8" fillId="3" borderId="159" xfId="61" applyFill="1" applyBorder="1"/>
    <xf numFmtId="0" fontId="18" fillId="3" borderId="160" xfId="61" applyFont="1" applyFill="1" applyBorder="1" applyAlignment="1">
      <alignment horizontal="center" vertical="center"/>
    </xf>
    <xf numFmtId="0" fontId="18" fillId="3" borderId="24" xfId="61" applyFont="1" applyFill="1" applyBorder="1" applyAlignment="1">
      <alignment horizontal="center" vertical="center"/>
    </xf>
    <xf numFmtId="0" fontId="18" fillId="3" borderId="46" xfId="61" applyFont="1" applyFill="1" applyBorder="1" applyAlignment="1">
      <alignment horizontal="center" vertical="center"/>
    </xf>
    <xf numFmtId="0" fontId="31" fillId="0" borderId="0" xfId="0" applyFont="1" applyAlignment="1" applyProtection="1">
      <alignment vertical="top" wrapText="1" readingOrder="1"/>
      <protection locked="0"/>
    </xf>
    <xf numFmtId="0" fontId="8" fillId="0" borderId="0" xfId="0" applyFont="1"/>
    <xf numFmtId="0" fontId="8" fillId="0" borderId="0" xfId="61" applyFill="1"/>
    <xf numFmtId="0" fontId="8" fillId="0" borderId="0" xfId="0" applyFont="1" applyFill="1"/>
    <xf numFmtId="0" fontId="22" fillId="0" borderId="0" xfId="3"/>
    <xf numFmtId="3" fontId="18" fillId="3" borderId="37" xfId="61" applyNumberFormat="1" applyFont="1" applyFill="1" applyBorder="1"/>
    <xf numFmtId="3" fontId="18" fillId="3" borderId="24" xfId="61" applyNumberFormat="1" applyFont="1" applyFill="1" applyBorder="1"/>
    <xf numFmtId="3" fontId="8" fillId="3" borderId="159" xfId="61" applyNumberFormat="1" applyFill="1" applyBorder="1"/>
    <xf numFmtId="3" fontId="8" fillId="3" borderId="158" xfId="61" applyNumberFormat="1" applyFill="1" applyBorder="1"/>
    <xf numFmtId="3" fontId="8" fillId="3" borderId="157" xfId="61" applyNumberFormat="1" applyFill="1" applyBorder="1"/>
    <xf numFmtId="0" fontId="18" fillId="3" borderId="161" xfId="61" applyFont="1" applyFill="1" applyBorder="1" applyAlignment="1">
      <alignment horizontal="center" vertical="center"/>
    </xf>
    <xf numFmtId="3" fontId="9" fillId="0" borderId="51" xfId="1" applyNumberFormat="1" applyFont="1" applyBorder="1" applyAlignment="1" applyProtection="1">
      <alignment horizontal="right" vertical="top" wrapText="1" readingOrder="1"/>
      <protection locked="0"/>
    </xf>
    <xf numFmtId="3" fontId="9" fillId="0" borderId="53" xfId="1" applyNumberFormat="1" applyFont="1" applyBorder="1" applyAlignment="1" applyProtection="1">
      <alignment horizontal="right" vertical="top" wrapText="1" readingOrder="1"/>
      <protection locked="0"/>
    </xf>
    <xf numFmtId="3" fontId="9" fillId="0" borderId="162" xfId="1" applyNumberFormat="1" applyFont="1" applyBorder="1" applyAlignment="1" applyProtection="1">
      <alignment horizontal="right" vertical="top" wrapText="1" readingOrder="1"/>
      <protection locked="0"/>
    </xf>
    <xf numFmtId="3" fontId="9" fillId="0" borderId="163" xfId="1" applyNumberFormat="1" applyFont="1" applyBorder="1" applyAlignment="1" applyProtection="1">
      <alignment horizontal="right" vertical="top" wrapText="1" readingOrder="1"/>
      <protection locked="0"/>
    </xf>
    <xf numFmtId="9" fontId="17" fillId="0" borderId="7" xfId="7" applyNumberFormat="1" applyFont="1" applyBorder="1" applyAlignment="1" applyProtection="1">
      <alignment horizontal="right" vertical="top" wrapText="1" readingOrder="1"/>
      <protection locked="0"/>
    </xf>
    <xf numFmtId="9" fontId="12" fillId="0" borderId="129" xfId="7" applyNumberFormat="1" applyFont="1" applyBorder="1" applyAlignment="1" applyProtection="1">
      <alignment horizontal="right" vertical="top" wrapText="1" readingOrder="1"/>
      <protection locked="0"/>
    </xf>
    <xf numFmtId="172" fontId="55" fillId="3" borderId="31" xfId="61" applyNumberFormat="1" applyFont="1" applyFill="1" applyBorder="1" applyAlignment="1" applyProtection="1">
      <alignment horizontal="right" vertical="top" wrapText="1" readingOrder="1"/>
      <protection locked="0"/>
    </xf>
    <xf numFmtId="166" fontId="55" fillId="3" borderId="164" xfId="61" applyNumberFormat="1" applyFont="1" applyFill="1" applyBorder="1" applyAlignment="1" applyProtection="1">
      <alignment horizontal="right" vertical="top" wrapText="1" readingOrder="1"/>
      <protection locked="0"/>
    </xf>
    <xf numFmtId="172" fontId="55" fillId="3" borderId="35" xfId="61" applyNumberFormat="1" applyFont="1" applyFill="1" applyBorder="1" applyAlignment="1" applyProtection="1">
      <alignment horizontal="right" vertical="top" wrapText="1" readingOrder="1"/>
      <protection locked="0"/>
    </xf>
    <xf numFmtId="172" fontId="55" fillId="3" borderId="142" xfId="61" applyNumberFormat="1" applyFont="1" applyFill="1" applyBorder="1" applyAlignment="1" applyProtection="1">
      <alignment horizontal="right" vertical="top" wrapText="1" readingOrder="1"/>
      <protection locked="0"/>
    </xf>
    <xf numFmtId="172" fontId="55" fillId="3" borderId="143" xfId="61" applyNumberFormat="1" applyFont="1" applyFill="1" applyBorder="1" applyAlignment="1" applyProtection="1">
      <alignment horizontal="right" vertical="top" wrapText="1" readingOrder="1"/>
      <protection locked="0"/>
    </xf>
    <xf numFmtId="173" fontId="55" fillId="3" borderId="141" xfId="61" applyNumberFormat="1" applyFont="1" applyFill="1" applyBorder="1" applyAlignment="1" applyProtection="1">
      <alignment horizontal="right" vertical="top" wrapText="1" readingOrder="1"/>
      <protection locked="0"/>
    </xf>
    <xf numFmtId="166" fontId="55" fillId="3" borderId="165" xfId="61" applyNumberFormat="1" applyFont="1" applyFill="1" applyBorder="1" applyAlignment="1" applyProtection="1">
      <alignment horizontal="right" vertical="top" wrapText="1" readingOrder="1"/>
      <protection locked="0"/>
    </xf>
    <xf numFmtId="0" fontId="8" fillId="0" borderId="0" xfId="0" applyFont="1" applyAlignment="1">
      <alignment horizontal="left"/>
    </xf>
    <xf numFmtId="0" fontId="9" fillId="0" borderId="0" xfId="0" applyFont="1" applyAlignment="1" applyProtection="1">
      <alignment horizontal="left" vertical="top" wrapText="1" readingOrder="1"/>
      <protection locked="0"/>
    </xf>
    <xf numFmtId="0" fontId="8" fillId="0" borderId="0" xfId="0" applyFont="1" applyAlignment="1">
      <alignment horizontal="left" vertical="top" wrapText="1"/>
    </xf>
    <xf numFmtId="0" fontId="60" fillId="0" borderId="0" xfId="0" applyFont="1" applyAlignment="1" applyProtection="1">
      <alignment horizontal="left" vertical="top" wrapText="1" readingOrder="1"/>
      <protection locked="0"/>
    </xf>
    <xf numFmtId="0" fontId="8" fillId="0" borderId="0" xfId="0" applyFont="1" applyAlignment="1">
      <alignment horizontal="center"/>
    </xf>
    <xf numFmtId="0" fontId="33" fillId="0" borderId="0" xfId="0" applyFont="1" applyAlignment="1">
      <alignment horizontal="left"/>
    </xf>
    <xf numFmtId="0" fontId="0" fillId="0" borderId="0" xfId="0" applyFill="1"/>
    <xf numFmtId="0" fontId="31" fillId="0" borderId="0" xfId="0" applyFont="1" applyAlignment="1" applyProtection="1">
      <alignment vertical="top" wrapText="1" readingOrder="1"/>
      <protection locked="0"/>
    </xf>
    <xf numFmtId="0" fontId="8" fillId="0" borderId="0" xfId="0" applyFont="1"/>
    <xf numFmtId="0" fontId="24" fillId="0" borderId="0" xfId="0" applyFont="1" applyAlignment="1" applyProtection="1">
      <alignment vertical="top" wrapText="1" readingOrder="1"/>
      <protection locked="0"/>
    </xf>
    <xf numFmtId="0" fontId="24" fillId="0" borderId="0" xfId="0" applyFont="1"/>
    <xf numFmtId="0" fontId="9" fillId="0" borderId="0" xfId="0" applyFont="1" applyAlignment="1" applyProtection="1">
      <alignment vertical="top" wrapText="1" readingOrder="1"/>
      <protection locked="0"/>
    </xf>
    <xf numFmtId="0" fontId="10" fillId="0" borderId="1" xfId="0" applyFont="1" applyBorder="1" applyAlignment="1" applyProtection="1">
      <alignment horizontal="center" vertical="center" readingOrder="1"/>
      <protection locked="0"/>
    </xf>
    <xf numFmtId="0" fontId="8" fillId="0" borderId="16" xfId="0" applyFont="1" applyBorder="1" applyAlignment="1" applyProtection="1">
      <alignment vertical="center"/>
      <protection locked="0"/>
    </xf>
    <xf numFmtId="0" fontId="8" fillId="0" borderId="17" xfId="0" applyFont="1" applyBorder="1" applyAlignment="1" applyProtection="1">
      <alignment vertical="center"/>
      <protection locked="0"/>
    </xf>
    <xf numFmtId="0" fontId="24" fillId="0" borderId="0" xfId="0" applyFont="1" applyAlignment="1" applyProtection="1">
      <alignment horizontal="left" vertical="top" wrapText="1" readingOrder="1"/>
      <protection locked="0"/>
    </xf>
    <xf numFmtId="0" fontId="9" fillId="0" borderId="22" xfId="0" applyFont="1" applyBorder="1" applyAlignment="1" applyProtection="1">
      <alignment horizontal="left" vertical="top" wrapText="1" readingOrder="1"/>
      <protection locked="0"/>
    </xf>
    <xf numFmtId="0" fontId="11" fillId="0" borderId="0" xfId="0" applyFont="1" applyAlignment="1" applyProtection="1">
      <alignment vertical="top" wrapText="1" readingOrder="1"/>
      <protection locked="0"/>
    </xf>
    <xf numFmtId="0" fontId="22" fillId="0" borderId="0" xfId="3" applyAlignment="1" applyProtection="1">
      <alignment horizontal="left" vertical="top" wrapText="1" readingOrder="1"/>
      <protection locked="0"/>
    </xf>
    <xf numFmtId="0" fontId="8" fillId="3" borderId="0" xfId="70" applyFont="1" applyFill="1" applyBorder="1" applyAlignment="1" applyProtection="1">
      <alignment horizontal="left" vertical="top" wrapText="1" readingOrder="1"/>
      <protection locked="0"/>
    </xf>
    <xf numFmtId="0" fontId="10" fillId="0" borderId="22" xfId="0" applyFont="1" applyBorder="1" applyAlignment="1" applyProtection="1">
      <alignment horizontal="left" vertical="top" wrapText="1" readingOrder="1"/>
      <protection locked="0"/>
    </xf>
    <xf numFmtId="0" fontId="9" fillId="0" borderId="0" xfId="0" applyFont="1" applyBorder="1" applyAlignment="1" applyProtection="1">
      <alignment horizontal="left" vertical="top" wrapText="1" readingOrder="1"/>
      <protection locked="0"/>
    </xf>
    <xf numFmtId="0" fontId="22" fillId="0" borderId="0" xfId="3" applyFont="1" applyBorder="1" applyAlignment="1" applyProtection="1">
      <alignment horizontal="left" vertical="top" wrapText="1" readingOrder="1"/>
      <protection locked="0"/>
    </xf>
    <xf numFmtId="0" fontId="18" fillId="0" borderId="1" xfId="4" applyFont="1" applyBorder="1" applyAlignment="1" applyProtection="1">
      <alignment horizontal="center" vertical="center" readingOrder="1"/>
      <protection locked="0"/>
    </xf>
    <xf numFmtId="0" fontId="8" fillId="0" borderId="17" xfId="4" applyFont="1" applyBorder="1" applyAlignment="1" applyProtection="1">
      <alignment vertical="center"/>
      <protection locked="0"/>
    </xf>
    <xf numFmtId="0" fontId="9" fillId="0" borderId="0" xfId="4" applyFont="1" applyAlignment="1" applyProtection="1">
      <alignment horizontal="left" vertical="top" wrapText="1" readingOrder="1"/>
      <protection locked="0"/>
    </xf>
    <xf numFmtId="0" fontId="8" fillId="0" borderId="20" xfId="4" applyFont="1" applyBorder="1" applyAlignment="1" applyProtection="1">
      <alignment vertical="top" wrapText="1" readingOrder="1"/>
      <protection locked="0"/>
    </xf>
    <xf numFmtId="0" fontId="8" fillId="0" borderId="20" xfId="4" applyFont="1" applyBorder="1"/>
    <xf numFmtId="0" fontId="24" fillId="0" borderId="0" xfId="4" applyFont="1" applyAlignment="1" applyProtection="1">
      <alignment horizontal="left" vertical="top" wrapText="1" readingOrder="1"/>
      <protection locked="0"/>
    </xf>
    <xf numFmtId="0" fontId="22" fillId="0" borderId="0" xfId="9" applyFont="1" applyBorder="1" applyAlignment="1" applyProtection="1">
      <alignment vertical="top" wrapText="1" readingOrder="1"/>
      <protection locked="0"/>
    </xf>
    <xf numFmtId="0" fontId="22" fillId="0" borderId="0" xfId="9" applyFont="1" applyBorder="1"/>
    <xf numFmtId="0" fontId="9" fillId="0" borderId="22" xfId="4" applyFont="1" applyBorder="1" applyAlignment="1" applyProtection="1">
      <alignment vertical="top" wrapText="1" readingOrder="1"/>
      <protection locked="0"/>
    </xf>
    <xf numFmtId="0" fontId="8" fillId="0" borderId="22" xfId="4" applyFont="1" applyBorder="1"/>
    <xf numFmtId="0" fontId="17" fillId="0" borderId="0" xfId="4" applyFont="1" applyAlignment="1" applyProtection="1">
      <alignment vertical="top" wrapText="1" readingOrder="1"/>
      <protection locked="0"/>
    </xf>
    <xf numFmtId="0" fontId="8" fillId="0" borderId="0" xfId="4" applyFont="1"/>
    <xf numFmtId="0" fontId="18" fillId="0" borderId="0" xfId="4" applyFont="1" applyAlignment="1" applyProtection="1">
      <alignment vertical="top" wrapText="1" readingOrder="1"/>
      <protection locked="0"/>
    </xf>
    <xf numFmtId="0" fontId="24" fillId="0" borderId="0" xfId="4" applyFont="1" applyAlignment="1" applyProtection="1">
      <alignment vertical="top" wrapText="1" readingOrder="1"/>
      <protection locked="0"/>
    </xf>
    <xf numFmtId="0" fontId="24" fillId="0" borderId="0" xfId="4" applyFont="1"/>
    <xf numFmtId="0" fontId="9" fillId="0" borderId="0" xfId="4" applyFont="1" applyAlignment="1" applyProtection="1">
      <alignment vertical="top" wrapText="1" readingOrder="1"/>
      <protection locked="0"/>
    </xf>
    <xf numFmtId="0" fontId="10" fillId="0" borderId="1" xfId="4" applyFont="1" applyBorder="1" applyAlignment="1" applyProtection="1">
      <alignment horizontal="center" vertical="center" readingOrder="1"/>
      <protection locked="0"/>
    </xf>
    <xf numFmtId="0" fontId="8" fillId="0" borderId="19" xfId="4" applyFont="1" applyBorder="1" applyAlignment="1" applyProtection="1">
      <alignment vertical="top" wrapText="1" readingOrder="1"/>
      <protection locked="0"/>
    </xf>
    <xf numFmtId="0" fontId="22" fillId="0" borderId="15" xfId="9" applyFont="1" applyBorder="1" applyAlignment="1" applyProtection="1">
      <alignment vertical="top" wrapText="1" readingOrder="1"/>
      <protection locked="0"/>
    </xf>
    <xf numFmtId="0" fontId="9" fillId="0" borderId="21" xfId="4" applyFont="1" applyBorder="1" applyAlignment="1" applyProtection="1">
      <alignment vertical="top" wrapText="1" readingOrder="1"/>
      <protection locked="0"/>
    </xf>
    <xf numFmtId="0" fontId="26" fillId="0" borderId="0" xfId="4" applyFont="1" applyAlignment="1" applyProtection="1">
      <alignment vertical="top" wrapText="1" readingOrder="1"/>
      <protection locked="0"/>
    </xf>
    <xf numFmtId="0" fontId="8" fillId="0" borderId="0" xfId="4" applyFont="1" applyAlignment="1" applyProtection="1">
      <alignment vertical="top" wrapText="1" readingOrder="1"/>
      <protection locked="0"/>
    </xf>
    <xf numFmtId="0" fontId="18" fillId="0" borderId="22" xfId="4" applyFont="1" applyBorder="1" applyAlignment="1" applyProtection="1">
      <alignment vertical="top" wrapText="1" readingOrder="1"/>
      <protection locked="0"/>
    </xf>
    <xf numFmtId="0" fontId="22" fillId="0" borderId="0" xfId="3" applyAlignment="1" applyProtection="1">
      <alignment vertical="top" wrapText="1" readingOrder="1"/>
      <protection locked="0"/>
    </xf>
    <xf numFmtId="0" fontId="22" fillId="0" borderId="0" xfId="3"/>
    <xf numFmtId="0" fontId="17" fillId="0" borderId="0" xfId="4" applyFont="1" applyAlignment="1" applyProtection="1">
      <alignment horizontal="left" vertical="top" wrapText="1" readingOrder="1"/>
      <protection locked="0"/>
    </xf>
    <xf numFmtId="0" fontId="22" fillId="0" borderId="15" xfId="3" applyFont="1" applyBorder="1" applyAlignment="1" applyProtection="1">
      <alignment horizontal="left" vertical="top" wrapText="1" readingOrder="1"/>
      <protection locked="0"/>
    </xf>
    <xf numFmtId="0" fontId="9" fillId="0" borderId="21" xfId="4" applyFont="1" applyBorder="1" applyAlignment="1" applyProtection="1">
      <alignment horizontal="left" vertical="top" wrapText="1" readingOrder="1"/>
      <protection locked="0"/>
    </xf>
    <xf numFmtId="0" fontId="9" fillId="0" borderId="22" xfId="4" applyFont="1" applyBorder="1" applyAlignment="1" applyProtection="1">
      <alignment horizontal="left" vertical="top" wrapText="1" readingOrder="1"/>
      <protection locked="0"/>
    </xf>
    <xf numFmtId="0" fontId="18" fillId="0" borderId="0" xfId="4" applyFont="1" applyBorder="1" applyAlignment="1" applyProtection="1">
      <alignment horizontal="left" vertical="top" wrapText="1" readingOrder="1"/>
      <protection locked="0"/>
    </xf>
    <xf numFmtId="0" fontId="8" fillId="0" borderId="19" xfId="4" applyFont="1" applyBorder="1" applyAlignment="1" applyProtection="1">
      <alignment horizontal="left" vertical="top" wrapText="1" readingOrder="1"/>
      <protection locked="0"/>
    </xf>
    <xf numFmtId="0" fontId="8" fillId="0" borderId="20" xfId="4" applyFont="1" applyBorder="1" applyAlignment="1" applyProtection="1">
      <alignment horizontal="left" vertical="top" wrapText="1" readingOrder="1"/>
      <protection locked="0"/>
    </xf>
    <xf numFmtId="0" fontId="10" fillId="0" borderId="90" xfId="4" applyFont="1" applyBorder="1" applyAlignment="1" applyProtection="1">
      <alignment horizontal="center" vertical="center" readingOrder="1"/>
      <protection locked="0"/>
    </xf>
    <xf numFmtId="0" fontId="10" fillId="0" borderId="17" xfId="4" applyFont="1" applyBorder="1" applyAlignment="1" applyProtection="1">
      <alignment horizontal="center" vertical="center" readingOrder="1"/>
      <protection locked="0"/>
    </xf>
    <xf numFmtId="0" fontId="18" fillId="0" borderId="22" xfId="4" applyFont="1" applyBorder="1" applyAlignment="1" applyProtection="1">
      <alignment horizontal="left" vertical="top" wrapText="1" readingOrder="1"/>
      <protection locked="0"/>
    </xf>
    <xf numFmtId="0" fontId="10" fillId="0" borderId="0" xfId="0" applyFont="1" applyBorder="1" applyAlignment="1" applyProtection="1">
      <alignment horizontal="center" vertical="top" wrapText="1" readingOrder="1"/>
      <protection locked="0"/>
    </xf>
    <xf numFmtId="0" fontId="8" fillId="0" borderId="0" xfId="0" applyFont="1" applyBorder="1" applyAlignment="1" applyProtection="1">
      <alignment vertical="top" wrapText="1"/>
      <protection locked="0"/>
    </xf>
    <xf numFmtId="0" fontId="24" fillId="3" borderId="0" xfId="4" applyFont="1" applyFill="1" applyAlignment="1" applyProtection="1">
      <alignment horizontal="left" vertical="top" wrapText="1" readingOrder="1"/>
      <protection locked="0"/>
    </xf>
    <xf numFmtId="0" fontId="9" fillId="3" borderId="0" xfId="4" applyFont="1" applyFill="1" applyAlignment="1" applyProtection="1">
      <alignment vertical="top" wrapText="1" readingOrder="1"/>
      <protection locked="0"/>
    </xf>
    <xf numFmtId="0" fontId="8" fillId="3" borderId="0" xfId="4" applyFont="1" applyFill="1"/>
    <xf numFmtId="0" fontId="10" fillId="3" borderId="56" xfId="4" applyFont="1" applyFill="1" applyBorder="1" applyAlignment="1" applyProtection="1">
      <alignment horizontal="center" vertical="top" wrapText="1" readingOrder="1"/>
      <protection locked="0"/>
    </xf>
    <xf numFmtId="0" fontId="8" fillId="3" borderId="91" xfId="4" applyFont="1" applyFill="1" applyBorder="1" applyAlignment="1" applyProtection="1">
      <alignment vertical="top" wrapText="1"/>
      <protection locked="0"/>
    </xf>
    <xf numFmtId="0" fontId="8" fillId="3" borderId="57" xfId="4" applyFont="1" applyFill="1" applyBorder="1" applyAlignment="1" applyProtection="1">
      <alignment vertical="top" wrapText="1"/>
      <protection locked="0"/>
    </xf>
    <xf numFmtId="0" fontId="18" fillId="3" borderId="46" xfId="4" applyFont="1" applyFill="1" applyBorder="1" applyAlignment="1">
      <alignment horizontal="center" vertical="center"/>
    </xf>
    <xf numFmtId="0" fontId="18" fillId="3" borderId="37" xfId="4" applyFont="1" applyFill="1" applyBorder="1" applyAlignment="1">
      <alignment horizontal="center" vertical="center"/>
    </xf>
    <xf numFmtId="0" fontId="18" fillId="3" borderId="44" xfId="4" applyFont="1" applyFill="1" applyBorder="1" applyAlignment="1">
      <alignment horizontal="center" vertical="center"/>
    </xf>
    <xf numFmtId="0" fontId="22" fillId="3" borderId="0" xfId="9" applyFont="1" applyFill="1" applyBorder="1" applyAlignment="1" applyProtection="1">
      <alignment horizontal="left" vertical="top" wrapText="1" readingOrder="1"/>
      <protection locked="0"/>
    </xf>
    <xf numFmtId="0" fontId="9" fillId="3" borderId="22" xfId="4" applyFont="1" applyFill="1" applyBorder="1" applyAlignment="1" applyProtection="1">
      <alignment horizontal="left" vertical="top" wrapText="1" readingOrder="1"/>
      <protection locked="0"/>
    </xf>
    <xf numFmtId="0" fontId="18" fillId="3" borderId="22" xfId="4" applyFont="1" applyFill="1" applyBorder="1" applyAlignment="1" applyProtection="1">
      <alignment vertical="top" wrapText="1" readingOrder="1"/>
      <protection locked="0"/>
    </xf>
    <xf numFmtId="0" fontId="8" fillId="3" borderId="22" xfId="4" applyFont="1" applyFill="1" applyBorder="1"/>
    <xf numFmtId="0" fontId="8" fillId="3" borderId="20" xfId="4" applyFont="1" applyFill="1" applyBorder="1" applyAlignment="1" applyProtection="1">
      <alignment horizontal="left" vertical="top" wrapText="1" readingOrder="1"/>
      <protection locked="0"/>
    </xf>
    <xf numFmtId="0" fontId="18" fillId="0" borderId="0" xfId="4" applyFont="1" applyBorder="1" applyAlignment="1" applyProtection="1">
      <alignment vertical="top" wrapText="1" readingOrder="1"/>
      <protection locked="0"/>
    </xf>
    <xf numFmtId="0" fontId="8" fillId="0" borderId="0" xfId="4" applyFont="1" applyBorder="1"/>
    <xf numFmtId="0" fontId="9" fillId="0" borderId="22" xfId="0" applyFont="1" applyBorder="1" applyAlignment="1" applyProtection="1">
      <alignment vertical="top" wrapText="1" readingOrder="1"/>
      <protection locked="0"/>
    </xf>
    <xf numFmtId="0" fontId="8" fillId="0" borderId="22" xfId="0" applyFont="1" applyBorder="1"/>
    <xf numFmtId="0" fontId="25" fillId="0" borderId="0" xfId="0" applyFont="1" applyAlignment="1" applyProtection="1">
      <alignment vertical="top" wrapText="1" readingOrder="1"/>
      <protection locked="0"/>
    </xf>
    <xf numFmtId="0" fontId="10" fillId="0" borderId="90" xfId="0" applyFont="1" applyBorder="1" applyAlignment="1" applyProtection="1">
      <alignment horizontal="center" vertical="center" readingOrder="1"/>
      <protection locked="0"/>
    </xf>
    <xf numFmtId="0" fontId="18" fillId="0" borderId="0" xfId="0" applyFont="1" applyBorder="1" applyAlignment="1" applyProtection="1">
      <alignment vertical="top" wrapText="1" readingOrder="1"/>
      <protection locked="0"/>
    </xf>
    <xf numFmtId="0" fontId="8" fillId="0" borderId="0" xfId="0" applyFont="1" applyBorder="1"/>
    <xf numFmtId="0" fontId="8" fillId="0" borderId="20" xfId="0" applyFont="1" applyBorder="1" applyAlignment="1" applyProtection="1">
      <alignment vertical="top" wrapText="1" readingOrder="1"/>
      <protection locked="0"/>
    </xf>
    <xf numFmtId="0" fontId="8" fillId="0" borderId="20" xfId="0" applyFont="1" applyBorder="1"/>
    <xf numFmtId="0" fontId="18" fillId="3" borderId="22" xfId="57" applyFont="1" applyFill="1" applyBorder="1" applyAlignment="1" applyProtection="1">
      <alignment horizontal="left" vertical="top" wrapText="1" readingOrder="1"/>
      <protection locked="0"/>
    </xf>
    <xf numFmtId="0" fontId="8" fillId="3" borderId="20" xfId="57" applyFont="1" applyFill="1" applyBorder="1" applyAlignment="1" applyProtection="1">
      <alignment horizontal="left" vertical="top" wrapText="1" readingOrder="1"/>
      <protection locked="0"/>
    </xf>
    <xf numFmtId="0" fontId="9" fillId="3" borderId="22" xfId="57" applyFont="1" applyFill="1" applyBorder="1" applyAlignment="1" applyProtection="1">
      <alignment horizontal="left" vertical="top" wrapText="1" readingOrder="1"/>
      <protection locked="0"/>
    </xf>
    <xf numFmtId="0" fontId="24" fillId="3" borderId="0" xfId="57" applyFont="1" applyFill="1" applyAlignment="1" applyProtection="1">
      <alignment vertical="top" wrapText="1" readingOrder="1"/>
      <protection locked="0"/>
    </xf>
    <xf numFmtId="0" fontId="24" fillId="3" borderId="0" xfId="57" applyFont="1" applyFill="1"/>
    <xf numFmtId="0" fontId="9" fillId="3" borderId="0" xfId="57" applyFont="1" applyFill="1" applyAlignment="1" applyProtection="1">
      <alignment vertical="top" wrapText="1" readingOrder="1"/>
      <protection locked="0"/>
    </xf>
    <xf numFmtId="0" fontId="8" fillId="3" borderId="0" xfId="57" applyFont="1" applyFill="1"/>
    <xf numFmtId="0" fontId="10" fillId="3" borderId="89" xfId="57" applyFont="1" applyFill="1" applyBorder="1" applyAlignment="1" applyProtection="1">
      <alignment horizontal="center" vertical="center" wrapText="1" readingOrder="1"/>
      <protection locked="0"/>
    </xf>
    <xf numFmtId="0" fontId="8" fillId="3" borderId="56" xfId="57" applyFont="1" applyFill="1" applyBorder="1" applyAlignment="1" applyProtection="1">
      <alignment vertical="top" wrapText="1"/>
      <protection locked="0"/>
    </xf>
    <xf numFmtId="0" fontId="18" fillId="3" borderId="90" xfId="57" applyFont="1" applyFill="1" applyBorder="1" applyAlignment="1" applyProtection="1">
      <alignment horizontal="center" vertical="center" wrapText="1" readingOrder="1"/>
      <protection locked="0"/>
    </xf>
    <xf numFmtId="0" fontId="8" fillId="3" borderId="16" xfId="57" applyFont="1" applyFill="1" applyBorder="1" applyAlignment="1" applyProtection="1">
      <alignment vertical="top" wrapText="1"/>
      <protection locked="0"/>
    </xf>
    <xf numFmtId="0" fontId="8" fillId="3" borderId="17" xfId="57" applyFont="1" applyFill="1" applyBorder="1" applyAlignment="1" applyProtection="1">
      <alignment vertical="top" wrapText="1"/>
      <protection locked="0"/>
    </xf>
    <xf numFmtId="0" fontId="26" fillId="3" borderId="90" xfId="57" applyFont="1" applyFill="1" applyBorder="1" applyAlignment="1" applyProtection="1">
      <alignment horizontal="center" vertical="center" wrapText="1" readingOrder="1"/>
      <protection locked="0"/>
    </xf>
    <xf numFmtId="0" fontId="10" fillId="3" borderId="58" xfId="57" applyFont="1" applyFill="1" applyBorder="1" applyAlignment="1" applyProtection="1">
      <alignment horizontal="center" vertical="center" wrapText="1" readingOrder="1"/>
      <protection locked="0"/>
    </xf>
    <xf numFmtId="0" fontId="8" fillId="3" borderId="45" xfId="57" applyFont="1" applyFill="1" applyBorder="1" applyAlignment="1" applyProtection="1">
      <alignment vertical="top" wrapText="1"/>
      <protection locked="0"/>
    </xf>
    <xf numFmtId="0" fontId="18" fillId="3" borderId="16" xfId="57" applyFont="1" applyFill="1" applyBorder="1" applyAlignment="1" applyProtection="1">
      <alignment horizontal="center" vertical="center" wrapText="1" readingOrder="1"/>
      <protection locked="0"/>
    </xf>
    <xf numFmtId="0" fontId="24" fillId="3" borderId="0" xfId="57" applyFont="1" applyFill="1" applyAlignment="1" applyProtection="1">
      <alignment horizontal="left" vertical="top" wrapText="1" readingOrder="1"/>
      <protection locked="0"/>
    </xf>
    <xf numFmtId="0" fontId="9" fillId="3" borderId="0" xfId="57" applyFont="1" applyFill="1" applyAlignment="1" applyProtection="1">
      <alignment horizontal="left" vertical="top" wrapText="1" readingOrder="1"/>
      <protection locked="0"/>
    </xf>
    <xf numFmtId="0" fontId="22" fillId="3" borderId="0" xfId="3" applyFill="1" applyBorder="1" applyAlignment="1" applyProtection="1">
      <alignment horizontal="left" vertical="top" wrapText="1" readingOrder="1"/>
      <protection locked="0"/>
    </xf>
    <xf numFmtId="0" fontId="10" fillId="0" borderId="1" xfId="4" applyFont="1" applyBorder="1" applyAlignment="1" applyProtection="1">
      <alignment horizontal="center" vertical="top" readingOrder="1"/>
      <protection locked="0"/>
    </xf>
    <xf numFmtId="0" fontId="8" fillId="0" borderId="17" xfId="4" applyFont="1" applyBorder="1" applyAlignment="1" applyProtection="1">
      <alignment vertical="top"/>
      <protection locked="0"/>
    </xf>
    <xf numFmtId="0" fontId="24" fillId="0" borderId="0" xfId="4" applyFont="1" applyAlignment="1">
      <alignment horizontal="left"/>
    </xf>
    <xf numFmtId="0" fontId="8" fillId="0" borderId="16" xfId="4" applyFont="1" applyBorder="1" applyAlignment="1" applyProtection="1">
      <alignment vertical="top"/>
      <protection locked="0"/>
    </xf>
    <xf numFmtId="0" fontId="8" fillId="0" borderId="20" xfId="4" applyFont="1" applyBorder="1" applyAlignment="1" applyProtection="1">
      <alignment horizontal="left" vertical="top" readingOrder="1"/>
      <protection locked="0"/>
    </xf>
    <xf numFmtId="0" fontId="10" fillId="0" borderId="1" xfId="4" applyFont="1" applyBorder="1" applyAlignment="1" applyProtection="1">
      <alignment horizontal="center" vertical="center" wrapText="1" readingOrder="1"/>
      <protection locked="0"/>
    </xf>
    <xf numFmtId="0" fontId="8" fillId="0" borderId="16" xfId="4" applyFont="1" applyBorder="1" applyAlignment="1" applyProtection="1">
      <alignment vertical="top" wrapText="1"/>
      <protection locked="0"/>
    </xf>
    <xf numFmtId="0" fontId="8" fillId="0" borderId="17" xfId="4" applyFont="1" applyBorder="1" applyAlignment="1" applyProtection="1">
      <alignment vertical="top" wrapText="1"/>
      <protection locked="0"/>
    </xf>
    <xf numFmtId="0" fontId="22" fillId="3" borderId="0" xfId="9" applyFont="1" applyFill="1" applyAlignment="1">
      <alignment horizontal="left"/>
    </xf>
    <xf numFmtId="0" fontId="9" fillId="3" borderId="0" xfId="4" applyFont="1" applyFill="1" applyAlignment="1" applyProtection="1">
      <alignment horizontal="left" vertical="top" wrapText="1" readingOrder="1"/>
      <protection locked="0"/>
    </xf>
    <xf numFmtId="0" fontId="18" fillId="3" borderId="0" xfId="4" applyFont="1" applyFill="1" applyBorder="1" applyAlignment="1" applyProtection="1">
      <alignment horizontal="left" vertical="top" wrapText="1" readingOrder="1"/>
      <protection locked="0"/>
    </xf>
    <xf numFmtId="0" fontId="8" fillId="0" borderId="0" xfId="4" applyFont="1" applyAlignment="1" applyProtection="1">
      <alignment horizontal="left" vertical="top" wrapText="1" readingOrder="1"/>
      <protection locked="0"/>
    </xf>
    <xf numFmtId="0" fontId="10" fillId="3" borderId="45" xfId="57" applyFont="1" applyFill="1" applyBorder="1" applyAlignment="1" applyProtection="1">
      <alignment horizontal="center" vertical="center" wrapText="1" readingOrder="1"/>
      <protection locked="0"/>
    </xf>
    <xf numFmtId="0" fontId="10" fillId="3" borderId="59" xfId="57" applyFont="1" applyFill="1" applyBorder="1" applyAlignment="1" applyProtection="1">
      <alignment horizontal="center" vertical="center" wrapText="1" readingOrder="1"/>
      <protection locked="0"/>
    </xf>
    <xf numFmtId="0" fontId="10" fillId="3" borderId="60" xfId="57" applyFont="1" applyFill="1" applyBorder="1" applyAlignment="1" applyProtection="1">
      <alignment horizontal="center" vertical="center" wrapText="1" readingOrder="1"/>
      <protection locked="0"/>
    </xf>
    <xf numFmtId="0" fontId="10" fillId="3" borderId="25" xfId="57" applyFont="1" applyFill="1" applyBorder="1" applyAlignment="1" applyProtection="1">
      <alignment horizontal="center" vertical="center" wrapText="1" readingOrder="1"/>
      <protection locked="0"/>
    </xf>
    <xf numFmtId="0" fontId="10" fillId="3" borderId="61" xfId="57" applyFont="1" applyFill="1" applyBorder="1" applyAlignment="1" applyProtection="1">
      <alignment horizontal="center" vertical="center" wrapText="1" readingOrder="1"/>
      <protection locked="0"/>
    </xf>
    <xf numFmtId="0" fontId="18" fillId="3" borderId="46" xfId="57" applyFont="1" applyFill="1" applyBorder="1" applyAlignment="1">
      <alignment horizontal="center" vertical="center"/>
    </xf>
    <xf numFmtId="0" fontId="18" fillId="3" borderId="37" xfId="57" applyFont="1" applyFill="1" applyBorder="1" applyAlignment="1">
      <alignment horizontal="center" vertical="center"/>
    </xf>
    <xf numFmtId="0" fontId="18" fillId="3" borderId="44" xfId="57" applyFont="1" applyFill="1" applyBorder="1" applyAlignment="1">
      <alignment horizontal="center" vertical="center"/>
    </xf>
    <xf numFmtId="0" fontId="15" fillId="3" borderId="51" xfId="57" applyFont="1" applyFill="1" applyBorder="1" applyAlignment="1" applyProtection="1">
      <alignment horizontal="center" vertical="center" textRotation="90" wrapText="1" readingOrder="1"/>
      <protection locked="0"/>
    </xf>
    <xf numFmtId="0" fontId="16" fillId="3" borderId="54" xfId="57" applyFont="1" applyFill="1" applyBorder="1" applyAlignment="1" applyProtection="1">
      <alignment vertical="top" wrapText="1"/>
      <protection locked="0"/>
    </xf>
    <xf numFmtId="0" fontId="16" fillId="3" borderId="55" xfId="57" applyFont="1" applyFill="1" applyBorder="1" applyAlignment="1" applyProtection="1">
      <alignment vertical="top" wrapText="1"/>
      <protection locked="0"/>
    </xf>
    <xf numFmtId="0" fontId="16" fillId="3" borderId="0" xfId="57" applyFill="1"/>
    <xf numFmtId="0" fontId="18" fillId="3" borderId="1" xfId="57" applyFont="1" applyFill="1" applyBorder="1" applyAlignment="1" applyProtection="1">
      <alignment horizontal="center" vertical="top" wrapText="1" readingOrder="1"/>
      <protection locked="0"/>
    </xf>
    <xf numFmtId="0" fontId="16" fillId="3" borderId="16" xfId="57" applyFont="1" applyFill="1" applyBorder="1" applyAlignment="1" applyProtection="1">
      <alignment vertical="top" wrapText="1"/>
      <protection locked="0"/>
    </xf>
    <xf numFmtId="0" fontId="16" fillId="3" borderId="17" xfId="57" applyFont="1" applyFill="1" applyBorder="1" applyAlignment="1" applyProtection="1">
      <alignment vertical="top" wrapText="1"/>
      <protection locked="0"/>
    </xf>
    <xf numFmtId="0" fontId="15" fillId="3" borderId="55" xfId="57" applyFont="1" applyFill="1" applyBorder="1" applyAlignment="1" applyProtection="1">
      <alignment horizontal="center" vertical="center" textRotation="90" wrapText="1" readingOrder="1"/>
      <protection locked="0"/>
    </xf>
    <xf numFmtId="0" fontId="9" fillId="3" borderId="21" xfId="57" applyFont="1" applyFill="1" applyBorder="1" applyAlignment="1" applyProtection="1">
      <alignment vertical="top" wrapText="1" readingOrder="1"/>
      <protection locked="0"/>
    </xf>
    <xf numFmtId="0" fontId="16" fillId="3" borderId="22" xfId="57" applyFill="1" applyBorder="1"/>
    <xf numFmtId="0" fontId="16" fillId="3" borderId="20" xfId="57" applyFont="1" applyFill="1" applyBorder="1" applyAlignment="1" applyProtection="1">
      <alignment vertical="top" wrapText="1" readingOrder="1"/>
      <protection locked="0"/>
    </xf>
    <xf numFmtId="0" fontId="16" fillId="3" borderId="20" xfId="57" applyFont="1" applyFill="1" applyBorder="1"/>
    <xf numFmtId="0" fontId="23" fillId="3" borderId="0" xfId="9" applyFill="1" applyBorder="1" applyAlignment="1" applyProtection="1">
      <alignment vertical="top" wrapText="1" readingOrder="1"/>
      <protection locked="0"/>
    </xf>
    <xf numFmtId="0" fontId="23" fillId="3" borderId="0" xfId="9" applyFill="1" applyBorder="1"/>
    <xf numFmtId="0" fontId="18" fillId="3" borderId="0" xfId="57" applyFont="1" applyFill="1" applyAlignment="1" applyProtection="1">
      <alignment vertical="top" wrapText="1" readingOrder="1"/>
      <protection locked="0"/>
    </xf>
    <xf numFmtId="0" fontId="16" fillId="3" borderId="0" xfId="57" applyFont="1" applyFill="1"/>
    <xf numFmtId="0" fontId="22" fillId="3" borderId="0" xfId="83" applyFont="1" applyFill="1" applyBorder="1" applyAlignment="1" applyProtection="1">
      <alignment vertical="top" wrapText="1" readingOrder="1"/>
      <protection locked="0"/>
    </xf>
    <xf numFmtId="0" fontId="22" fillId="3" borderId="0" xfId="83" applyFont="1" applyFill="1" applyBorder="1"/>
    <xf numFmtId="0" fontId="9" fillId="3" borderId="147" xfId="70" applyFont="1" applyFill="1" applyBorder="1" applyAlignment="1" applyProtection="1">
      <alignment vertical="top" wrapText="1" readingOrder="1"/>
      <protection locked="0"/>
    </xf>
    <xf numFmtId="0" fontId="8" fillId="3" borderId="147" xfId="70" applyFont="1" applyFill="1" applyBorder="1"/>
    <xf numFmtId="0" fontId="24" fillId="3" borderId="0" xfId="70" applyFont="1" applyFill="1" applyAlignment="1" applyProtection="1">
      <alignment horizontal="left" vertical="top" wrapText="1" readingOrder="1"/>
      <protection locked="0"/>
    </xf>
    <xf numFmtId="0" fontId="18" fillId="3" borderId="147" xfId="70" applyFont="1" applyFill="1" applyBorder="1" applyAlignment="1" applyProtection="1">
      <alignment vertical="top" wrapText="1" readingOrder="1"/>
      <protection locked="0"/>
    </xf>
    <xf numFmtId="0" fontId="8" fillId="3" borderId="20" xfId="70" applyFont="1" applyFill="1" applyBorder="1" applyAlignment="1" applyProtection="1">
      <alignment vertical="top" wrapText="1" readingOrder="1"/>
      <protection locked="0"/>
    </xf>
    <xf numFmtId="0" fontId="8" fillId="3" borderId="20" xfId="70" applyFont="1" applyFill="1" applyBorder="1"/>
    <xf numFmtId="0" fontId="24" fillId="3" borderId="0" xfId="70" applyFont="1" applyFill="1" applyAlignment="1" applyProtection="1">
      <alignment horizontal="left" vertical="center" wrapText="1" readingOrder="1"/>
      <protection locked="0"/>
    </xf>
    <xf numFmtId="0" fontId="22" fillId="3" borderId="0" xfId="83" applyFill="1" applyBorder="1" applyAlignment="1" applyProtection="1">
      <alignment horizontal="left" vertical="top" wrapText="1" readingOrder="1"/>
      <protection locked="0"/>
    </xf>
    <xf numFmtId="0" fontId="9" fillId="3" borderId="22" xfId="70" applyFont="1" applyFill="1" applyBorder="1" applyAlignment="1" applyProtection="1">
      <alignment horizontal="left" vertical="top" wrapText="1" readingOrder="1"/>
      <protection locked="0"/>
    </xf>
    <xf numFmtId="0" fontId="22" fillId="3" borderId="0" xfId="83" applyFill="1" applyAlignment="1">
      <alignment horizontal="left"/>
    </xf>
    <xf numFmtId="0" fontId="8" fillId="0" borderId="0" xfId="0" applyFont="1" applyFill="1" applyAlignment="1">
      <alignment wrapText="1"/>
    </xf>
    <xf numFmtId="0" fontId="8" fillId="3" borderId="0" xfId="61" applyFont="1" applyFill="1" applyBorder="1" applyAlignment="1" applyProtection="1">
      <alignment horizontal="left" vertical="top" wrapText="1" readingOrder="1"/>
      <protection locked="0"/>
    </xf>
    <xf numFmtId="0" fontId="18" fillId="3" borderId="0" xfId="70" applyFont="1" applyFill="1" applyBorder="1" applyAlignment="1" applyProtection="1">
      <alignment horizontal="left" vertical="top" wrapText="1" readingOrder="1"/>
      <protection locked="0"/>
    </xf>
    <xf numFmtId="0" fontId="57" fillId="3" borderId="138" xfId="61" applyFont="1" applyFill="1" applyBorder="1" applyAlignment="1" applyProtection="1">
      <alignment horizontal="center" vertical="top" wrapText="1" readingOrder="1"/>
      <protection locked="0"/>
    </xf>
    <xf numFmtId="0" fontId="8" fillId="3" borderId="27" xfId="61" applyFont="1" applyFill="1" applyBorder="1" applyAlignment="1" applyProtection="1">
      <alignment horizontal="center" vertical="top" wrapText="1"/>
      <protection locked="0"/>
    </xf>
    <xf numFmtId="0" fontId="8" fillId="3" borderId="141" xfId="61" applyFont="1" applyFill="1" applyBorder="1" applyAlignment="1" applyProtection="1">
      <alignment horizontal="center" vertical="top" wrapText="1"/>
      <protection locked="0"/>
    </xf>
    <xf numFmtId="0" fontId="8" fillId="3" borderId="28" xfId="61" applyFont="1" applyFill="1" applyBorder="1" applyAlignment="1" applyProtection="1">
      <alignment horizontal="center" vertical="top" wrapText="1"/>
      <protection locked="0"/>
    </xf>
    <xf numFmtId="0" fontId="18" fillId="3" borderId="0" xfId="61" applyFont="1" applyFill="1" applyBorder="1" applyAlignment="1" applyProtection="1">
      <alignment vertical="top" wrapText="1" readingOrder="1"/>
      <protection locked="0"/>
    </xf>
    <xf numFmtId="0" fontId="8" fillId="3" borderId="0" xfId="61" applyFont="1" applyFill="1" applyBorder="1" applyAlignment="1" applyProtection="1">
      <alignment vertical="top" wrapText="1"/>
      <protection locked="0"/>
    </xf>
    <xf numFmtId="0" fontId="8" fillId="3" borderId="0" xfId="61" applyFont="1" applyFill="1" applyBorder="1" applyAlignment="1" applyProtection="1">
      <alignment vertical="top" wrapText="1" readingOrder="1"/>
      <protection locked="0"/>
    </xf>
    <xf numFmtId="0" fontId="8" fillId="3" borderId="0" xfId="70" applyFont="1" applyFill="1" applyAlignment="1" applyProtection="1">
      <alignment horizontal="left" vertical="top" wrapText="1" readingOrder="1"/>
      <protection locked="0"/>
    </xf>
    <xf numFmtId="0" fontId="58" fillId="3" borderId="0" xfId="70" applyFont="1" applyFill="1" applyAlignment="1" applyProtection="1">
      <alignment horizontal="left" vertical="top" wrapText="1" readingOrder="1"/>
      <protection locked="0"/>
    </xf>
  </cellXfs>
  <cellStyles count="202">
    <cellStyle name="20% - Accent1 2" xfId="85" xr:uid="{00000000-0005-0000-0000-000000000000}"/>
    <cellStyle name="20% - Accent2 2" xfId="86" xr:uid="{00000000-0005-0000-0000-000001000000}"/>
    <cellStyle name="20% - Accent3 2" xfId="87" xr:uid="{00000000-0005-0000-0000-000002000000}"/>
    <cellStyle name="20% - Accent4 2" xfId="88" xr:uid="{00000000-0005-0000-0000-000003000000}"/>
    <cellStyle name="20% - Accent5 2" xfId="89" xr:uid="{00000000-0005-0000-0000-000004000000}"/>
    <cellStyle name="20% - Accent6 2" xfId="90" xr:uid="{00000000-0005-0000-0000-000005000000}"/>
    <cellStyle name="40% - Accent1 2" xfId="91" xr:uid="{00000000-0005-0000-0000-000006000000}"/>
    <cellStyle name="40% - Accent2 2" xfId="92" xr:uid="{00000000-0005-0000-0000-000007000000}"/>
    <cellStyle name="40% - Accent3 2" xfId="93" xr:uid="{00000000-0005-0000-0000-000008000000}"/>
    <cellStyle name="40% - Accent4 2" xfId="94" xr:uid="{00000000-0005-0000-0000-000009000000}"/>
    <cellStyle name="40% - Accent5 2" xfId="95" xr:uid="{00000000-0005-0000-0000-00000A000000}"/>
    <cellStyle name="40% - Accent6 2" xfId="96" xr:uid="{00000000-0005-0000-0000-00000B000000}"/>
    <cellStyle name="60% - Accent1 2" xfId="97" xr:uid="{00000000-0005-0000-0000-00000C000000}"/>
    <cellStyle name="60% - Accent2 2" xfId="98" xr:uid="{00000000-0005-0000-0000-00000D000000}"/>
    <cellStyle name="60% - Accent3 2" xfId="99" xr:uid="{00000000-0005-0000-0000-00000E000000}"/>
    <cellStyle name="60% - Accent4 2" xfId="100" xr:uid="{00000000-0005-0000-0000-00000F000000}"/>
    <cellStyle name="60% - Accent5 2" xfId="101" xr:uid="{00000000-0005-0000-0000-000010000000}"/>
    <cellStyle name="60% - Accent6 2" xfId="102" xr:uid="{00000000-0005-0000-0000-000011000000}"/>
    <cellStyle name="Accent1 2" xfId="103" xr:uid="{00000000-0005-0000-0000-000012000000}"/>
    <cellStyle name="Accent2 2" xfId="104" xr:uid="{00000000-0005-0000-0000-000013000000}"/>
    <cellStyle name="Accent3 2" xfId="105" xr:uid="{00000000-0005-0000-0000-000014000000}"/>
    <cellStyle name="Accent4 2" xfId="106" xr:uid="{00000000-0005-0000-0000-000015000000}"/>
    <cellStyle name="Accent5 2" xfId="107" xr:uid="{00000000-0005-0000-0000-000016000000}"/>
    <cellStyle name="Accent6 2" xfId="108" xr:uid="{00000000-0005-0000-0000-000017000000}"/>
    <cellStyle name="Bad 2" xfId="109" xr:uid="{00000000-0005-0000-0000-000018000000}"/>
    <cellStyle name="Calculation 2" xfId="110" xr:uid="{00000000-0005-0000-0000-000019000000}"/>
    <cellStyle name="Check Cell 2" xfId="111" xr:uid="{00000000-0005-0000-0000-00001A000000}"/>
    <cellStyle name="Comma" xfId="1" builtinId="3"/>
    <cellStyle name="Comma 10" xfId="75" xr:uid="{00000000-0005-0000-0000-00001C000000}"/>
    <cellStyle name="Comma 11" xfId="185" xr:uid="{00000000-0005-0000-0000-00001D000000}"/>
    <cellStyle name="Comma 12" xfId="188" xr:uid="{00000000-0005-0000-0000-00001E000000}"/>
    <cellStyle name="Comma 13" xfId="194" xr:uid="{00000000-0005-0000-0000-00001F000000}"/>
    <cellStyle name="Comma 2" xfId="2" xr:uid="{00000000-0005-0000-0000-000020000000}"/>
    <cellStyle name="Comma 2 2" xfId="12" xr:uid="{00000000-0005-0000-0000-000021000000}"/>
    <cellStyle name="Comma 2 2 2" xfId="112" xr:uid="{00000000-0005-0000-0000-000022000000}"/>
    <cellStyle name="Comma 2 2 3" xfId="65" xr:uid="{00000000-0005-0000-0000-000023000000}"/>
    <cellStyle name="Comma 2 3" xfId="13" xr:uid="{00000000-0005-0000-0000-000024000000}"/>
    <cellStyle name="Comma 2 3 2" xfId="14" xr:uid="{00000000-0005-0000-0000-000025000000}"/>
    <cellStyle name="Comma 2 3 2 2" xfId="149" xr:uid="{00000000-0005-0000-0000-000026000000}"/>
    <cellStyle name="Comma 2 3 3" xfId="148" xr:uid="{00000000-0005-0000-0000-000027000000}"/>
    <cellStyle name="Comma 2 3 4" xfId="63" xr:uid="{00000000-0005-0000-0000-000028000000}"/>
    <cellStyle name="Comma 2 4" xfId="15" xr:uid="{00000000-0005-0000-0000-000029000000}"/>
    <cellStyle name="Comma 2 4 2" xfId="150" xr:uid="{00000000-0005-0000-0000-00002A000000}"/>
    <cellStyle name="Comma 2 5" xfId="144" xr:uid="{00000000-0005-0000-0000-00002B000000}"/>
    <cellStyle name="Comma 2 6" xfId="64" xr:uid="{00000000-0005-0000-0000-00002C000000}"/>
    <cellStyle name="Comma 3" xfId="10" xr:uid="{00000000-0005-0000-0000-00002D000000}"/>
    <cellStyle name="Comma 3 2" xfId="16" xr:uid="{00000000-0005-0000-0000-00002E000000}"/>
    <cellStyle name="Comma 3 2 2" xfId="17" xr:uid="{00000000-0005-0000-0000-00002F000000}"/>
    <cellStyle name="Comma 3 2 3" xfId="67" xr:uid="{00000000-0005-0000-0000-000030000000}"/>
    <cellStyle name="Comma 3 3" xfId="18" xr:uid="{00000000-0005-0000-0000-000031000000}"/>
    <cellStyle name="Comma 3 3 2" xfId="19" xr:uid="{00000000-0005-0000-0000-000032000000}"/>
    <cellStyle name="Comma 3 3 2 2" xfId="152" xr:uid="{00000000-0005-0000-0000-000033000000}"/>
    <cellStyle name="Comma 3 3 3" xfId="151" xr:uid="{00000000-0005-0000-0000-000034000000}"/>
    <cellStyle name="Comma 3 3 4" xfId="68" xr:uid="{00000000-0005-0000-0000-000035000000}"/>
    <cellStyle name="Comma 3 4" xfId="146" xr:uid="{00000000-0005-0000-0000-000036000000}"/>
    <cellStyle name="Comma 3 5" xfId="66" xr:uid="{00000000-0005-0000-0000-000037000000}"/>
    <cellStyle name="Comma 4" xfId="20" xr:uid="{00000000-0005-0000-0000-000038000000}"/>
    <cellStyle name="Comma 4 2" xfId="21" xr:uid="{00000000-0005-0000-0000-000039000000}"/>
    <cellStyle name="Comma 4 2 2" xfId="113" xr:uid="{00000000-0005-0000-0000-00003A000000}"/>
    <cellStyle name="Comma 4 3" xfId="69" xr:uid="{00000000-0005-0000-0000-00003B000000}"/>
    <cellStyle name="Comma 5" xfId="22" xr:uid="{00000000-0005-0000-0000-00003C000000}"/>
    <cellStyle name="Comma 5 2" xfId="114" xr:uid="{00000000-0005-0000-0000-00003D000000}"/>
    <cellStyle name="Comma 6" xfId="23" xr:uid="{00000000-0005-0000-0000-00003E000000}"/>
    <cellStyle name="Comma 6 2" xfId="24" xr:uid="{00000000-0005-0000-0000-00003F000000}"/>
    <cellStyle name="Comma 6 2 2" xfId="154" xr:uid="{00000000-0005-0000-0000-000040000000}"/>
    <cellStyle name="Comma 6 3" xfId="153" xr:uid="{00000000-0005-0000-0000-000041000000}"/>
    <cellStyle name="Comma 7" xfId="25" xr:uid="{00000000-0005-0000-0000-000042000000}"/>
    <cellStyle name="Comma 7 2" xfId="155" xr:uid="{00000000-0005-0000-0000-000043000000}"/>
    <cellStyle name="Comma 8" xfId="56" xr:uid="{00000000-0005-0000-0000-000044000000}"/>
    <cellStyle name="Comma 8 2" xfId="60" xr:uid="{00000000-0005-0000-0000-000045000000}"/>
    <cellStyle name="Comma 8 2 2" xfId="176" xr:uid="{00000000-0005-0000-0000-000046000000}"/>
    <cellStyle name="Comma 8 2 3" xfId="183" xr:uid="{00000000-0005-0000-0000-000047000000}"/>
    <cellStyle name="Comma 8 3" xfId="172" xr:uid="{00000000-0005-0000-0000-000048000000}"/>
    <cellStyle name="Comma 8 4" xfId="180" xr:uid="{00000000-0005-0000-0000-000049000000}"/>
    <cellStyle name="Comma 9" xfId="143" xr:uid="{00000000-0005-0000-0000-00004A000000}"/>
    <cellStyle name="Explanatory Text 2" xfId="115" xr:uid="{00000000-0005-0000-0000-00004B000000}"/>
    <cellStyle name="Followed Hyperlink 2" xfId="84" xr:uid="{00000000-0005-0000-0000-00004C000000}"/>
    <cellStyle name="Good 2" xfId="116" xr:uid="{00000000-0005-0000-0000-00004D000000}"/>
    <cellStyle name="Heading 1 2" xfId="117" xr:uid="{00000000-0005-0000-0000-00004E000000}"/>
    <cellStyle name="Heading 2 2" xfId="118" xr:uid="{00000000-0005-0000-0000-00004F000000}"/>
    <cellStyle name="Heading 3 2" xfId="119" xr:uid="{00000000-0005-0000-0000-000050000000}"/>
    <cellStyle name="Heading 4 2" xfId="120" xr:uid="{00000000-0005-0000-0000-000051000000}"/>
    <cellStyle name="Hyperlink" xfId="3" builtinId="8"/>
    <cellStyle name="Hyperlink 2" xfId="9" xr:uid="{00000000-0005-0000-0000-000053000000}"/>
    <cellStyle name="Hyperlink 2 2" xfId="26" xr:uid="{00000000-0005-0000-0000-000054000000}"/>
    <cellStyle name="Hyperlink 2 2 2" xfId="156" xr:uid="{00000000-0005-0000-0000-000055000000}"/>
    <cellStyle name="Hyperlink 2 2 3" xfId="83" xr:uid="{00000000-0005-0000-0000-000056000000}"/>
    <cellStyle name="Hyperlink 3" xfId="27" xr:uid="{00000000-0005-0000-0000-000057000000}"/>
    <cellStyle name="Hyperlink 3 2" xfId="28" xr:uid="{00000000-0005-0000-0000-000058000000}"/>
    <cellStyle name="Hyperlink 3 3" xfId="157" xr:uid="{00000000-0005-0000-0000-000059000000}"/>
    <cellStyle name="Hyperlink 3 4" xfId="121" xr:uid="{00000000-0005-0000-0000-00005A000000}"/>
    <cellStyle name="Hyperlink 4" xfId="29" xr:uid="{00000000-0005-0000-0000-00005B000000}"/>
    <cellStyle name="Hyperlink 4 2" xfId="30" xr:uid="{00000000-0005-0000-0000-00005C000000}"/>
    <cellStyle name="Hyperlink 4 3" xfId="158" xr:uid="{00000000-0005-0000-0000-00005D000000}"/>
    <cellStyle name="Hyperlink 4 4" xfId="82" xr:uid="{00000000-0005-0000-0000-00005E000000}"/>
    <cellStyle name="Hyperlink 5" xfId="31" xr:uid="{00000000-0005-0000-0000-00005F000000}"/>
    <cellStyle name="Hyperlink 5 2" xfId="159" xr:uid="{00000000-0005-0000-0000-000060000000}"/>
    <cellStyle name="Input 2" xfId="122" xr:uid="{00000000-0005-0000-0000-000061000000}"/>
    <cellStyle name="Linked Cell 2" xfId="123" xr:uid="{00000000-0005-0000-0000-000062000000}"/>
    <cellStyle name="Neutral 2" xfId="124" xr:uid="{00000000-0005-0000-0000-000063000000}"/>
    <cellStyle name="Normal" xfId="0" builtinId="0"/>
    <cellStyle name="Normal 10" xfId="61" xr:uid="{00000000-0005-0000-0000-000065000000}"/>
    <cellStyle name="Normal 11" xfId="142" xr:uid="{00000000-0005-0000-0000-000066000000}"/>
    <cellStyle name="Normal 12" xfId="184" xr:uid="{00000000-0005-0000-0000-000067000000}"/>
    <cellStyle name="Normal 12 2" xfId="198" xr:uid="{00000000-0005-0000-0000-000068000000}"/>
    <cellStyle name="Normal 13" xfId="189" xr:uid="{00000000-0005-0000-0000-000069000000}"/>
    <cellStyle name="Normal 14" xfId="193" xr:uid="{00000000-0005-0000-0000-00006A000000}"/>
    <cellStyle name="Normal 14 2" xfId="199" xr:uid="{00000000-0005-0000-0000-00006B000000}"/>
    <cellStyle name="Normal 2" xfId="4" xr:uid="{00000000-0005-0000-0000-00006C000000}"/>
    <cellStyle name="Normal 2 2" xfId="32" xr:uid="{00000000-0005-0000-0000-00006D000000}"/>
    <cellStyle name="Normal 2 2 2" xfId="70" xr:uid="{00000000-0005-0000-0000-00006E000000}"/>
    <cellStyle name="Normal 2 3" xfId="62" xr:uid="{00000000-0005-0000-0000-00006F000000}"/>
    <cellStyle name="Normal 2 4" xfId="125" xr:uid="{00000000-0005-0000-0000-000070000000}"/>
    <cellStyle name="Normal 2 5" xfId="81" xr:uid="{00000000-0005-0000-0000-000071000000}"/>
    <cellStyle name="Normal 3" xfId="5" xr:uid="{00000000-0005-0000-0000-000072000000}"/>
    <cellStyle name="Normal 3 2" xfId="33" xr:uid="{00000000-0005-0000-0000-000073000000}"/>
    <cellStyle name="Normal 3 2 2" xfId="34" xr:uid="{00000000-0005-0000-0000-000074000000}"/>
    <cellStyle name="Normal 3 2 3" xfId="160" xr:uid="{00000000-0005-0000-0000-000075000000}"/>
    <cellStyle name="Normal 3 3" xfId="35" xr:uid="{00000000-0005-0000-0000-000076000000}"/>
    <cellStyle name="Normal 3 3 2" xfId="71" xr:uid="{00000000-0005-0000-0000-000077000000}"/>
    <cellStyle name="Normal 3 4" xfId="36" xr:uid="{00000000-0005-0000-0000-000078000000}"/>
    <cellStyle name="Normal 3 4 2" xfId="161" xr:uid="{00000000-0005-0000-0000-000079000000}"/>
    <cellStyle name="Normal 3 4 3" xfId="78" xr:uid="{00000000-0005-0000-0000-00007A000000}"/>
    <cellStyle name="Normal 4" xfId="6" xr:uid="{00000000-0005-0000-0000-00007B000000}"/>
    <cellStyle name="Normal 4 2" xfId="37" xr:uid="{00000000-0005-0000-0000-00007C000000}"/>
    <cellStyle name="Normal 4 3" xfId="38" xr:uid="{00000000-0005-0000-0000-00007D000000}"/>
    <cellStyle name="Normal 4 4" xfId="145" xr:uid="{00000000-0005-0000-0000-00007E000000}"/>
    <cellStyle name="Normal 4 5" xfId="190" xr:uid="{00000000-0005-0000-0000-00007F000000}"/>
    <cellStyle name="Normal 5" xfId="11" xr:uid="{00000000-0005-0000-0000-000080000000}"/>
    <cellStyle name="Normal 5 2" xfId="39" xr:uid="{00000000-0005-0000-0000-000081000000}"/>
    <cellStyle name="Normal 5 2 2" xfId="126" xr:uid="{00000000-0005-0000-0000-000082000000}"/>
    <cellStyle name="Normal 5 3" xfId="58" xr:uid="{00000000-0005-0000-0000-000083000000}"/>
    <cellStyle name="Normal 5 3 2" xfId="174" xr:uid="{00000000-0005-0000-0000-000084000000}"/>
    <cellStyle name="Normal 5 3 3" xfId="181" xr:uid="{00000000-0005-0000-0000-000085000000}"/>
    <cellStyle name="Normal 5 3 4" xfId="186" xr:uid="{00000000-0005-0000-0000-000086000000}"/>
    <cellStyle name="Normal 5 3 5" xfId="196" xr:uid="{00000000-0005-0000-0000-000087000000}"/>
    <cellStyle name="Normal 5 3 5 2" xfId="200" xr:uid="{00000000-0005-0000-0000-000088000000}"/>
    <cellStyle name="Normal 5 4" xfId="147" xr:uid="{00000000-0005-0000-0000-000089000000}"/>
    <cellStyle name="Normal 5 5" xfId="72" xr:uid="{00000000-0005-0000-0000-00008A000000}"/>
    <cellStyle name="Normal 5 6" xfId="178" xr:uid="{00000000-0005-0000-0000-00008B000000}"/>
    <cellStyle name="Normal 6" xfId="40" xr:uid="{00000000-0005-0000-0000-00008C000000}"/>
    <cellStyle name="Normal 6 2" xfId="162" xr:uid="{00000000-0005-0000-0000-00008D000000}"/>
    <cellStyle name="Normal 7" xfId="41" xr:uid="{00000000-0005-0000-0000-00008E000000}"/>
    <cellStyle name="Normal 7 2" xfId="77" xr:uid="{00000000-0005-0000-0000-00008F000000}"/>
    <cellStyle name="Normal 7 3" xfId="163" xr:uid="{00000000-0005-0000-0000-000090000000}"/>
    <cellStyle name="Normal 8" xfId="42" xr:uid="{00000000-0005-0000-0000-000091000000}"/>
    <cellStyle name="Normal 8 2" xfId="80" xr:uid="{00000000-0005-0000-0000-000092000000}"/>
    <cellStyle name="Normal 8 3" xfId="76" xr:uid="{00000000-0005-0000-0000-000093000000}"/>
    <cellStyle name="Normal 9" xfId="57" xr:uid="{00000000-0005-0000-0000-000094000000}"/>
    <cellStyle name="Normal 9 2" xfId="173" xr:uid="{00000000-0005-0000-0000-000095000000}"/>
    <cellStyle name="Normal 9 3" xfId="79" xr:uid="{00000000-0005-0000-0000-000096000000}"/>
    <cellStyle name="Note 2" xfId="127" xr:uid="{00000000-0005-0000-0000-000097000000}"/>
    <cellStyle name="Note 2 2" xfId="128" xr:uid="{00000000-0005-0000-0000-000098000000}"/>
    <cellStyle name="Note 3" xfId="129" xr:uid="{00000000-0005-0000-0000-000099000000}"/>
    <cellStyle name="Output 2" xfId="130" xr:uid="{00000000-0005-0000-0000-00009A000000}"/>
    <cellStyle name="Percent" xfId="7" builtinId="5"/>
    <cellStyle name="Percent 10" xfId="191" xr:uid="{00000000-0005-0000-0000-00009C000000}"/>
    <cellStyle name="Percent 11" xfId="195" xr:uid="{00000000-0005-0000-0000-00009D000000}"/>
    <cellStyle name="Percent 2" xfId="8" xr:uid="{00000000-0005-0000-0000-00009E000000}"/>
    <cellStyle name="Percent 2 2" xfId="43" xr:uid="{00000000-0005-0000-0000-00009F000000}"/>
    <cellStyle name="Percent 2 2 2" xfId="44" xr:uid="{00000000-0005-0000-0000-0000A0000000}"/>
    <cellStyle name="Percent 2 2 3" xfId="74" xr:uid="{00000000-0005-0000-0000-0000A1000000}"/>
    <cellStyle name="Percent 2 3" xfId="45" xr:uid="{00000000-0005-0000-0000-0000A2000000}"/>
    <cellStyle name="Percent 2 3 2" xfId="46" xr:uid="{00000000-0005-0000-0000-0000A3000000}"/>
    <cellStyle name="Percent 2 3 2 2" xfId="165" xr:uid="{00000000-0005-0000-0000-0000A4000000}"/>
    <cellStyle name="Percent 2 3 3" xfId="164" xr:uid="{00000000-0005-0000-0000-0000A5000000}"/>
    <cellStyle name="Percent 2 3 4" xfId="131" xr:uid="{00000000-0005-0000-0000-0000A6000000}"/>
    <cellStyle name="Percent 2 4" xfId="73" xr:uid="{00000000-0005-0000-0000-0000A7000000}"/>
    <cellStyle name="Percent 3" xfId="47" xr:uid="{00000000-0005-0000-0000-0000A8000000}"/>
    <cellStyle name="Percent 3 2" xfId="48" xr:uid="{00000000-0005-0000-0000-0000A9000000}"/>
    <cellStyle name="Percent 3 2 2" xfId="134" xr:uid="{00000000-0005-0000-0000-0000AA000000}"/>
    <cellStyle name="Percent 3 2 3" xfId="166" xr:uid="{00000000-0005-0000-0000-0000AB000000}"/>
    <cellStyle name="Percent 3 2 4" xfId="133" xr:uid="{00000000-0005-0000-0000-0000AC000000}"/>
    <cellStyle name="Percent 3 3" xfId="135" xr:uid="{00000000-0005-0000-0000-0000AD000000}"/>
    <cellStyle name="Percent 3 4" xfId="132" xr:uid="{00000000-0005-0000-0000-0000AE000000}"/>
    <cellStyle name="Percent 4" xfId="49" xr:uid="{00000000-0005-0000-0000-0000AF000000}"/>
    <cellStyle name="Percent 4 2" xfId="50" xr:uid="{00000000-0005-0000-0000-0000B0000000}"/>
    <cellStyle name="Percent 4 2 2" xfId="137" xr:uid="{00000000-0005-0000-0000-0000B1000000}"/>
    <cellStyle name="Percent 4 3" xfId="136" xr:uid="{00000000-0005-0000-0000-0000B2000000}"/>
    <cellStyle name="Percent 5" xfId="51" xr:uid="{00000000-0005-0000-0000-0000B3000000}"/>
    <cellStyle name="Percent 5 2" xfId="52" xr:uid="{00000000-0005-0000-0000-0000B4000000}"/>
    <cellStyle name="Percent 5 2 2" xfId="168" xr:uid="{00000000-0005-0000-0000-0000B5000000}"/>
    <cellStyle name="Percent 5 2 3" xfId="139" xr:uid="{00000000-0005-0000-0000-0000B6000000}"/>
    <cellStyle name="Percent 5 3" xfId="167" xr:uid="{00000000-0005-0000-0000-0000B7000000}"/>
    <cellStyle name="Percent 5 4" xfId="138" xr:uid="{00000000-0005-0000-0000-0000B8000000}"/>
    <cellStyle name="Percent 6" xfId="53" xr:uid="{00000000-0005-0000-0000-0000B9000000}"/>
    <cellStyle name="Percent 6 2" xfId="169" xr:uid="{00000000-0005-0000-0000-0000BA000000}"/>
    <cellStyle name="Percent 7" xfId="54" xr:uid="{00000000-0005-0000-0000-0000BB000000}"/>
    <cellStyle name="Percent 7 2" xfId="170" xr:uid="{00000000-0005-0000-0000-0000BC000000}"/>
    <cellStyle name="Percent 8" xfId="55" xr:uid="{00000000-0005-0000-0000-0000BD000000}"/>
    <cellStyle name="Percent 8 2" xfId="59" xr:uid="{00000000-0005-0000-0000-0000BE000000}"/>
    <cellStyle name="Percent 8 2 2" xfId="175" xr:uid="{00000000-0005-0000-0000-0000BF000000}"/>
    <cellStyle name="Percent 8 2 3" xfId="182" xr:uid="{00000000-0005-0000-0000-0000C0000000}"/>
    <cellStyle name="Percent 8 2 4" xfId="187" xr:uid="{00000000-0005-0000-0000-0000C1000000}"/>
    <cellStyle name="Percent 8 2 5" xfId="197" xr:uid="{00000000-0005-0000-0000-0000C2000000}"/>
    <cellStyle name="Percent 8 2 5 2" xfId="201" xr:uid="{00000000-0005-0000-0000-0000C3000000}"/>
    <cellStyle name="Percent 8 3" xfId="171" xr:uid="{00000000-0005-0000-0000-0000C4000000}"/>
    <cellStyle name="Percent 8 4" xfId="179" xr:uid="{00000000-0005-0000-0000-0000C5000000}"/>
    <cellStyle name="Percent 9" xfId="192" xr:uid="{00000000-0005-0000-0000-0000C6000000}"/>
    <cellStyle name="Title" xfId="177" builtinId="15" customBuiltin="1"/>
    <cellStyle name="Total 2" xfId="140" xr:uid="{00000000-0005-0000-0000-0000C8000000}"/>
    <cellStyle name="Warning Text 2" xfId="141" xr:uid="{00000000-0005-0000-0000-0000C9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003360"/>
      <rgbColor rgb="00D3D3D3"/>
      <rgbColor rgb="000000FF"/>
      <rgbColor rgb="000000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color rgb="FF005EB8"/>
      <color rgb="FF003087"/>
      <color rgb="FF3F91C9"/>
      <color rgb="FFF8F8F8"/>
      <color rgb="FF84919C"/>
      <color rgb="FFD0D5D6"/>
      <color rgb="FF5EC1EA"/>
      <color rgb="FFD6DB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9524</xdr:colOff>
      <xdr:row>23</xdr:row>
      <xdr:rowOff>76199</xdr:rowOff>
    </xdr:from>
    <xdr:to>
      <xdr:col>1</xdr:col>
      <xdr:colOff>41033</xdr:colOff>
      <xdr:row>23</xdr:row>
      <xdr:rowOff>504265</xdr:rowOff>
    </xdr:to>
    <xdr:pic>
      <xdr:nvPicPr>
        <xdr:cNvPr id="2" name="Picture 1" descr="48bf4cd158a94aebada082d9c5a61d4a">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4" y="6138581"/>
          <a:ext cx="636627" cy="4280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704850</xdr:colOff>
      <xdr:row>0</xdr:row>
      <xdr:rowOff>9525</xdr:rowOff>
    </xdr:from>
    <xdr:to>
      <xdr:col>8</xdr:col>
      <xdr:colOff>676275</xdr:colOff>
      <xdr:row>0</xdr:row>
      <xdr:rowOff>409575</xdr:rowOff>
    </xdr:to>
    <xdr:pic>
      <xdr:nvPicPr>
        <xdr:cNvPr id="5" name="Picture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72350" y="9525"/>
          <a:ext cx="923925" cy="400050"/>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enquiries@nhsdigital.nhs.uk"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ts-d-sql-632/ReportServer?%2FHESF%2FAnnual%20Publications%2FAccident%20and%20Emergency%2FTable%203%20Organisation%20Type&amp;SelectedYear=2014-15&amp;rs%3AParameterLanguage="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england.nhs.uk/statistics/statistical-work-areas/ae-waiting-times-and-activity/ae-attendances-and-emergency-admissions-2017-18/" TargetMode="External"/><Relationship Id="rId1" Type="http://schemas.openxmlformats.org/officeDocument/2006/relationships/hyperlink" Target="mailto:enquiries@nhsdigital.nhs.uk"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mailto:enquiries@nhsdigital.nhs.uk"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england.nhs.uk/statistics/statistical-work-areas/ae-waiting-times-and-activity/ae-attendances-and-emergency-admissions-2017-18/" TargetMode="External"/><Relationship Id="rId1" Type="http://schemas.openxmlformats.org/officeDocument/2006/relationships/hyperlink" Target="mailto:enquiries@nhsdigital.nhs.uk"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mailto:enquiries@nhsdigital.nhs.uk"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enquiries@nhsdigital.nhs.uk"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mailto:enquiries@nhsdigital.nhs.uk"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enquiries@NHSDigital.nhs.uk"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mailto:enquiries@nhsdigital.nhs.uk"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mailto:enquiries@nhsdigital.nhs.uk"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mailto:enquiries@nhsdigital.nhs.uk"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mailto:enquiries@nhsdigital.nhs.uk"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mailto:enquiries@nhsdigital.nhs.uk"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mailto:enquiries@nhsdigital.nhs.uk"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mailto:enquiries@NHSDigital.nhs.uk"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mailto:enquiries@NHSDigital.nhs.uk"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mailto:enquiries@nhsdigital.nhs.uk"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mailto:enquiries@nhsdigital.nhs.uk"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mailto:enquiries@nhsdigital.nhs.uk"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mailto:enquiries@nhsdigital.nhs.uk" TargetMode="Externa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mailto:enquiries@nhsdigital.nhs.uk" TargetMode="Externa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mailto:enquiries@nhsdigital.nhs.uk" TargetMode="External"/></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hyperlink" Target="https://www.england.nhs.uk/statistics/statistical-work-areas/ae-waiting-times-and-activity/ae-attendances-and-emergency-admissions-2017-18/" TargetMode="External"/><Relationship Id="rId1" Type="http://schemas.openxmlformats.org/officeDocument/2006/relationships/hyperlink" Target="mailto:enquiries@nhsdigital.nhs.uk" TargetMode="External"/></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hyperlink" Target="mailto:enquiries@nhsdigital.nhs.uk" TargetMode="External"/></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hyperlink" Target="mailto:enquiries@nhsdigital.nhs.uk"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mailto:enquiries@nhsdigital.nhs.uk"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mailto:enquiries@nhsdigital.nhs.uk" TargetMode="External"/></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28.bin"/><Relationship Id="rId2" Type="http://schemas.openxmlformats.org/officeDocument/2006/relationships/hyperlink" Target="https://www.england.nhs.uk/statistics/statistical-work-areas/ae-waiting-times-and-activity/statistical-work-areasae-waiting-times-and-activityae-attendances-and-emergency-admissions-2016-17/" TargetMode="External"/><Relationship Id="rId1" Type="http://schemas.openxmlformats.org/officeDocument/2006/relationships/hyperlink" Target="mailto:enquiries@nhsdigital.nhs.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25"/>
  <sheetViews>
    <sheetView showGridLines="0" tabSelected="1" zoomScaleNormal="100" workbookViewId="0">
      <selection sqref="A1:I1"/>
    </sheetView>
  </sheetViews>
  <sheetFormatPr defaultRowHeight="12.3" x14ac:dyDescent="0.4"/>
  <cols>
    <col min="1" max="9" width="14.33203125" style="122" customWidth="1"/>
    <col min="10" max="256" width="9.109375" style="122"/>
    <col min="257" max="257" width="12.6640625" style="122" customWidth="1"/>
    <col min="258" max="258" width="69.5546875" style="122" customWidth="1"/>
    <col min="259" max="259" width="26" style="122" customWidth="1"/>
    <col min="260" max="260" width="18.109375" style="122" customWidth="1"/>
    <col min="261" max="512" width="9.109375" style="122"/>
    <col min="513" max="513" width="12.6640625" style="122" customWidth="1"/>
    <col min="514" max="514" width="69.5546875" style="122" customWidth="1"/>
    <col min="515" max="515" width="26" style="122" customWidth="1"/>
    <col min="516" max="516" width="18.109375" style="122" customWidth="1"/>
    <col min="517" max="768" width="9.109375" style="122"/>
    <col min="769" max="769" width="12.6640625" style="122" customWidth="1"/>
    <col min="770" max="770" width="69.5546875" style="122" customWidth="1"/>
    <col min="771" max="771" width="26" style="122" customWidth="1"/>
    <col min="772" max="772" width="18.109375" style="122" customWidth="1"/>
    <col min="773" max="1024" width="9.109375" style="122"/>
    <col min="1025" max="1025" width="12.6640625" style="122" customWidth="1"/>
    <col min="1026" max="1026" width="69.5546875" style="122" customWidth="1"/>
    <col min="1027" max="1027" width="26" style="122" customWidth="1"/>
    <col min="1028" max="1028" width="18.109375" style="122" customWidth="1"/>
    <col min="1029" max="1280" width="9.109375" style="122"/>
    <col min="1281" max="1281" width="12.6640625" style="122" customWidth="1"/>
    <col min="1282" max="1282" width="69.5546875" style="122" customWidth="1"/>
    <col min="1283" max="1283" width="26" style="122" customWidth="1"/>
    <col min="1284" max="1284" width="18.109375" style="122" customWidth="1"/>
    <col min="1285" max="1536" width="9.109375" style="122"/>
    <col min="1537" max="1537" width="12.6640625" style="122" customWidth="1"/>
    <col min="1538" max="1538" width="69.5546875" style="122" customWidth="1"/>
    <col min="1539" max="1539" width="26" style="122" customWidth="1"/>
    <col min="1540" max="1540" width="18.109375" style="122" customWidth="1"/>
    <col min="1541" max="1792" width="9.109375" style="122"/>
    <col min="1793" max="1793" width="12.6640625" style="122" customWidth="1"/>
    <col min="1794" max="1794" width="69.5546875" style="122" customWidth="1"/>
    <col min="1795" max="1795" width="26" style="122" customWidth="1"/>
    <col min="1796" max="1796" width="18.109375" style="122" customWidth="1"/>
    <col min="1797" max="2048" width="9.109375" style="122"/>
    <col min="2049" max="2049" width="12.6640625" style="122" customWidth="1"/>
    <col min="2050" max="2050" width="69.5546875" style="122" customWidth="1"/>
    <col min="2051" max="2051" width="26" style="122" customWidth="1"/>
    <col min="2052" max="2052" width="18.109375" style="122" customWidth="1"/>
    <col min="2053" max="2304" width="9.109375" style="122"/>
    <col min="2305" max="2305" width="12.6640625" style="122" customWidth="1"/>
    <col min="2306" max="2306" width="69.5546875" style="122" customWidth="1"/>
    <col min="2307" max="2307" width="26" style="122" customWidth="1"/>
    <col min="2308" max="2308" width="18.109375" style="122" customWidth="1"/>
    <col min="2309" max="2560" width="9.109375" style="122"/>
    <col min="2561" max="2561" width="12.6640625" style="122" customWidth="1"/>
    <col min="2562" max="2562" width="69.5546875" style="122" customWidth="1"/>
    <col min="2563" max="2563" width="26" style="122" customWidth="1"/>
    <col min="2564" max="2564" width="18.109375" style="122" customWidth="1"/>
    <col min="2565" max="2816" width="9.109375" style="122"/>
    <col min="2817" max="2817" width="12.6640625" style="122" customWidth="1"/>
    <col min="2818" max="2818" width="69.5546875" style="122" customWidth="1"/>
    <col min="2819" max="2819" width="26" style="122" customWidth="1"/>
    <col min="2820" max="2820" width="18.109375" style="122" customWidth="1"/>
    <col min="2821" max="3072" width="9.109375" style="122"/>
    <col min="3073" max="3073" width="12.6640625" style="122" customWidth="1"/>
    <col min="3074" max="3074" width="69.5546875" style="122" customWidth="1"/>
    <col min="3075" max="3075" width="26" style="122" customWidth="1"/>
    <col min="3076" max="3076" width="18.109375" style="122" customWidth="1"/>
    <col min="3077" max="3328" width="9.109375" style="122"/>
    <col min="3329" max="3329" width="12.6640625" style="122" customWidth="1"/>
    <col min="3330" max="3330" width="69.5546875" style="122" customWidth="1"/>
    <col min="3331" max="3331" width="26" style="122" customWidth="1"/>
    <col min="3332" max="3332" width="18.109375" style="122" customWidth="1"/>
    <col min="3333" max="3584" width="9.109375" style="122"/>
    <col min="3585" max="3585" width="12.6640625" style="122" customWidth="1"/>
    <col min="3586" max="3586" width="69.5546875" style="122" customWidth="1"/>
    <col min="3587" max="3587" width="26" style="122" customWidth="1"/>
    <col min="3588" max="3588" width="18.109375" style="122" customWidth="1"/>
    <col min="3589" max="3840" width="9.109375" style="122"/>
    <col min="3841" max="3841" width="12.6640625" style="122" customWidth="1"/>
    <col min="3842" max="3842" width="69.5546875" style="122" customWidth="1"/>
    <col min="3843" max="3843" width="26" style="122" customWidth="1"/>
    <col min="3844" max="3844" width="18.109375" style="122" customWidth="1"/>
    <col min="3845" max="4096" width="9.109375" style="122"/>
    <col min="4097" max="4097" width="12.6640625" style="122" customWidth="1"/>
    <col min="4098" max="4098" width="69.5546875" style="122" customWidth="1"/>
    <col min="4099" max="4099" width="26" style="122" customWidth="1"/>
    <col min="4100" max="4100" width="18.109375" style="122" customWidth="1"/>
    <col min="4101" max="4352" width="9.109375" style="122"/>
    <col min="4353" max="4353" width="12.6640625" style="122" customWidth="1"/>
    <col min="4354" max="4354" width="69.5546875" style="122" customWidth="1"/>
    <col min="4355" max="4355" width="26" style="122" customWidth="1"/>
    <col min="4356" max="4356" width="18.109375" style="122" customWidth="1"/>
    <col min="4357" max="4608" width="9.109375" style="122"/>
    <col min="4609" max="4609" width="12.6640625" style="122" customWidth="1"/>
    <col min="4610" max="4610" width="69.5546875" style="122" customWidth="1"/>
    <col min="4611" max="4611" width="26" style="122" customWidth="1"/>
    <col min="4612" max="4612" width="18.109375" style="122" customWidth="1"/>
    <col min="4613" max="4864" width="9.109375" style="122"/>
    <col min="4865" max="4865" width="12.6640625" style="122" customWidth="1"/>
    <col min="4866" max="4866" width="69.5546875" style="122" customWidth="1"/>
    <col min="4867" max="4867" width="26" style="122" customWidth="1"/>
    <col min="4868" max="4868" width="18.109375" style="122" customWidth="1"/>
    <col min="4869" max="5120" width="9.109375" style="122"/>
    <col min="5121" max="5121" width="12.6640625" style="122" customWidth="1"/>
    <col min="5122" max="5122" width="69.5546875" style="122" customWidth="1"/>
    <col min="5123" max="5123" width="26" style="122" customWidth="1"/>
    <col min="5124" max="5124" width="18.109375" style="122" customWidth="1"/>
    <col min="5125" max="5376" width="9.109375" style="122"/>
    <col min="5377" max="5377" width="12.6640625" style="122" customWidth="1"/>
    <col min="5378" max="5378" width="69.5546875" style="122" customWidth="1"/>
    <col min="5379" max="5379" width="26" style="122" customWidth="1"/>
    <col min="5380" max="5380" width="18.109375" style="122" customWidth="1"/>
    <col min="5381" max="5632" width="9.109375" style="122"/>
    <col min="5633" max="5633" width="12.6640625" style="122" customWidth="1"/>
    <col min="5634" max="5634" width="69.5546875" style="122" customWidth="1"/>
    <col min="5635" max="5635" width="26" style="122" customWidth="1"/>
    <col min="5636" max="5636" width="18.109375" style="122" customWidth="1"/>
    <col min="5637" max="5888" width="9.109375" style="122"/>
    <col min="5889" max="5889" width="12.6640625" style="122" customWidth="1"/>
    <col min="5890" max="5890" width="69.5546875" style="122" customWidth="1"/>
    <col min="5891" max="5891" width="26" style="122" customWidth="1"/>
    <col min="5892" max="5892" width="18.109375" style="122" customWidth="1"/>
    <col min="5893" max="6144" width="9.109375" style="122"/>
    <col min="6145" max="6145" width="12.6640625" style="122" customWidth="1"/>
    <col min="6146" max="6146" width="69.5546875" style="122" customWidth="1"/>
    <col min="6147" max="6147" width="26" style="122" customWidth="1"/>
    <col min="6148" max="6148" width="18.109375" style="122" customWidth="1"/>
    <col min="6149" max="6400" width="9.109375" style="122"/>
    <col min="6401" max="6401" width="12.6640625" style="122" customWidth="1"/>
    <col min="6402" max="6402" width="69.5546875" style="122" customWidth="1"/>
    <col min="6403" max="6403" width="26" style="122" customWidth="1"/>
    <col min="6404" max="6404" width="18.109375" style="122" customWidth="1"/>
    <col min="6405" max="6656" width="9.109375" style="122"/>
    <col min="6657" max="6657" width="12.6640625" style="122" customWidth="1"/>
    <col min="6658" max="6658" width="69.5546875" style="122" customWidth="1"/>
    <col min="6659" max="6659" width="26" style="122" customWidth="1"/>
    <col min="6660" max="6660" width="18.109375" style="122" customWidth="1"/>
    <col min="6661" max="6912" width="9.109375" style="122"/>
    <col min="6913" max="6913" width="12.6640625" style="122" customWidth="1"/>
    <col min="6914" max="6914" width="69.5546875" style="122" customWidth="1"/>
    <col min="6915" max="6915" width="26" style="122" customWidth="1"/>
    <col min="6916" max="6916" width="18.109375" style="122" customWidth="1"/>
    <col min="6917" max="7168" width="9.109375" style="122"/>
    <col min="7169" max="7169" width="12.6640625" style="122" customWidth="1"/>
    <col min="7170" max="7170" width="69.5546875" style="122" customWidth="1"/>
    <col min="7171" max="7171" width="26" style="122" customWidth="1"/>
    <col min="7172" max="7172" width="18.109375" style="122" customWidth="1"/>
    <col min="7173" max="7424" width="9.109375" style="122"/>
    <col min="7425" max="7425" width="12.6640625" style="122" customWidth="1"/>
    <col min="7426" max="7426" width="69.5546875" style="122" customWidth="1"/>
    <col min="7427" max="7427" width="26" style="122" customWidth="1"/>
    <col min="7428" max="7428" width="18.109375" style="122" customWidth="1"/>
    <col min="7429" max="7680" width="9.109375" style="122"/>
    <col min="7681" max="7681" width="12.6640625" style="122" customWidth="1"/>
    <col min="7682" max="7682" width="69.5546875" style="122" customWidth="1"/>
    <col min="7683" max="7683" width="26" style="122" customWidth="1"/>
    <col min="7684" max="7684" width="18.109375" style="122" customWidth="1"/>
    <col min="7685" max="7936" width="9.109375" style="122"/>
    <col min="7937" max="7937" width="12.6640625" style="122" customWidth="1"/>
    <col min="7938" max="7938" width="69.5546875" style="122" customWidth="1"/>
    <col min="7939" max="7939" width="26" style="122" customWidth="1"/>
    <col min="7940" max="7940" width="18.109375" style="122" customWidth="1"/>
    <col min="7941" max="8192" width="9.109375" style="122"/>
    <col min="8193" max="8193" width="12.6640625" style="122" customWidth="1"/>
    <col min="8194" max="8194" width="69.5546875" style="122" customWidth="1"/>
    <col min="8195" max="8195" width="26" style="122" customWidth="1"/>
    <col min="8196" max="8196" width="18.109375" style="122" customWidth="1"/>
    <col min="8197" max="8448" width="9.109375" style="122"/>
    <col min="8449" max="8449" width="12.6640625" style="122" customWidth="1"/>
    <col min="8450" max="8450" width="69.5546875" style="122" customWidth="1"/>
    <col min="8451" max="8451" width="26" style="122" customWidth="1"/>
    <col min="8452" max="8452" width="18.109375" style="122" customWidth="1"/>
    <col min="8453" max="8704" width="9.109375" style="122"/>
    <col min="8705" max="8705" width="12.6640625" style="122" customWidth="1"/>
    <col min="8706" max="8706" width="69.5546875" style="122" customWidth="1"/>
    <col min="8707" max="8707" width="26" style="122" customWidth="1"/>
    <col min="8708" max="8708" width="18.109375" style="122" customWidth="1"/>
    <col min="8709" max="8960" width="9.109375" style="122"/>
    <col min="8961" max="8961" width="12.6640625" style="122" customWidth="1"/>
    <col min="8962" max="8962" width="69.5546875" style="122" customWidth="1"/>
    <col min="8963" max="8963" width="26" style="122" customWidth="1"/>
    <col min="8964" max="8964" width="18.109375" style="122" customWidth="1"/>
    <col min="8965" max="9216" width="9.109375" style="122"/>
    <col min="9217" max="9217" width="12.6640625" style="122" customWidth="1"/>
    <col min="9218" max="9218" width="69.5546875" style="122" customWidth="1"/>
    <col min="9219" max="9219" width="26" style="122" customWidth="1"/>
    <col min="9220" max="9220" width="18.109375" style="122" customWidth="1"/>
    <col min="9221" max="9472" width="9.109375" style="122"/>
    <col min="9473" max="9473" width="12.6640625" style="122" customWidth="1"/>
    <col min="9474" max="9474" width="69.5546875" style="122" customWidth="1"/>
    <col min="9475" max="9475" width="26" style="122" customWidth="1"/>
    <col min="9476" max="9476" width="18.109375" style="122" customWidth="1"/>
    <col min="9477" max="9728" width="9.109375" style="122"/>
    <col min="9729" max="9729" width="12.6640625" style="122" customWidth="1"/>
    <col min="9730" max="9730" width="69.5546875" style="122" customWidth="1"/>
    <col min="9731" max="9731" width="26" style="122" customWidth="1"/>
    <col min="9732" max="9732" width="18.109375" style="122" customWidth="1"/>
    <col min="9733" max="9984" width="9.109375" style="122"/>
    <col min="9985" max="9985" width="12.6640625" style="122" customWidth="1"/>
    <col min="9986" max="9986" width="69.5546875" style="122" customWidth="1"/>
    <col min="9987" max="9987" width="26" style="122" customWidth="1"/>
    <col min="9988" max="9988" width="18.109375" style="122" customWidth="1"/>
    <col min="9989" max="10240" width="9.109375" style="122"/>
    <col min="10241" max="10241" width="12.6640625" style="122" customWidth="1"/>
    <col min="10242" max="10242" width="69.5546875" style="122" customWidth="1"/>
    <col min="10243" max="10243" width="26" style="122" customWidth="1"/>
    <col min="10244" max="10244" width="18.109375" style="122" customWidth="1"/>
    <col min="10245" max="10496" width="9.109375" style="122"/>
    <col min="10497" max="10497" width="12.6640625" style="122" customWidth="1"/>
    <col min="10498" max="10498" width="69.5546875" style="122" customWidth="1"/>
    <col min="10499" max="10499" width="26" style="122" customWidth="1"/>
    <col min="10500" max="10500" width="18.109375" style="122" customWidth="1"/>
    <col min="10501" max="10752" width="9.109375" style="122"/>
    <col min="10753" max="10753" width="12.6640625" style="122" customWidth="1"/>
    <col min="10754" max="10754" width="69.5546875" style="122" customWidth="1"/>
    <col min="10755" max="10755" width="26" style="122" customWidth="1"/>
    <col min="10756" max="10756" width="18.109375" style="122" customWidth="1"/>
    <col min="10757" max="11008" width="9.109375" style="122"/>
    <col min="11009" max="11009" width="12.6640625" style="122" customWidth="1"/>
    <col min="11010" max="11010" width="69.5546875" style="122" customWidth="1"/>
    <col min="11011" max="11011" width="26" style="122" customWidth="1"/>
    <col min="11012" max="11012" width="18.109375" style="122" customWidth="1"/>
    <col min="11013" max="11264" width="9.109375" style="122"/>
    <col min="11265" max="11265" width="12.6640625" style="122" customWidth="1"/>
    <col min="11266" max="11266" width="69.5546875" style="122" customWidth="1"/>
    <col min="11267" max="11267" width="26" style="122" customWidth="1"/>
    <col min="11268" max="11268" width="18.109375" style="122" customWidth="1"/>
    <col min="11269" max="11520" width="9.109375" style="122"/>
    <col min="11521" max="11521" width="12.6640625" style="122" customWidth="1"/>
    <col min="11522" max="11522" width="69.5546875" style="122" customWidth="1"/>
    <col min="11523" max="11523" width="26" style="122" customWidth="1"/>
    <col min="11524" max="11524" width="18.109375" style="122" customWidth="1"/>
    <col min="11525" max="11776" width="9.109375" style="122"/>
    <col min="11777" max="11777" width="12.6640625" style="122" customWidth="1"/>
    <col min="11778" max="11778" width="69.5546875" style="122" customWidth="1"/>
    <col min="11779" max="11779" width="26" style="122" customWidth="1"/>
    <col min="11780" max="11780" width="18.109375" style="122" customWidth="1"/>
    <col min="11781" max="12032" width="9.109375" style="122"/>
    <col min="12033" max="12033" width="12.6640625" style="122" customWidth="1"/>
    <col min="12034" max="12034" width="69.5546875" style="122" customWidth="1"/>
    <col min="12035" max="12035" width="26" style="122" customWidth="1"/>
    <col min="12036" max="12036" width="18.109375" style="122" customWidth="1"/>
    <col min="12037" max="12288" width="9.109375" style="122"/>
    <col min="12289" max="12289" width="12.6640625" style="122" customWidth="1"/>
    <col min="12290" max="12290" width="69.5546875" style="122" customWidth="1"/>
    <col min="12291" max="12291" width="26" style="122" customWidth="1"/>
    <col min="12292" max="12292" width="18.109375" style="122" customWidth="1"/>
    <col min="12293" max="12544" width="9.109375" style="122"/>
    <col min="12545" max="12545" width="12.6640625" style="122" customWidth="1"/>
    <col min="12546" max="12546" width="69.5546875" style="122" customWidth="1"/>
    <col min="12547" max="12547" width="26" style="122" customWidth="1"/>
    <col min="12548" max="12548" width="18.109375" style="122" customWidth="1"/>
    <col min="12549" max="12800" width="9.109375" style="122"/>
    <col min="12801" max="12801" width="12.6640625" style="122" customWidth="1"/>
    <col min="12802" max="12802" width="69.5546875" style="122" customWidth="1"/>
    <col min="12803" max="12803" width="26" style="122" customWidth="1"/>
    <col min="12804" max="12804" width="18.109375" style="122" customWidth="1"/>
    <col min="12805" max="13056" width="9.109375" style="122"/>
    <col min="13057" max="13057" width="12.6640625" style="122" customWidth="1"/>
    <col min="13058" max="13058" width="69.5546875" style="122" customWidth="1"/>
    <col min="13059" max="13059" width="26" style="122" customWidth="1"/>
    <col min="13060" max="13060" width="18.109375" style="122" customWidth="1"/>
    <col min="13061" max="13312" width="9.109375" style="122"/>
    <col min="13313" max="13313" width="12.6640625" style="122" customWidth="1"/>
    <col min="13314" max="13314" width="69.5546875" style="122" customWidth="1"/>
    <col min="13315" max="13315" width="26" style="122" customWidth="1"/>
    <col min="13316" max="13316" width="18.109375" style="122" customWidth="1"/>
    <col min="13317" max="13568" width="9.109375" style="122"/>
    <col min="13569" max="13569" width="12.6640625" style="122" customWidth="1"/>
    <col min="13570" max="13570" width="69.5546875" style="122" customWidth="1"/>
    <col min="13571" max="13571" width="26" style="122" customWidth="1"/>
    <col min="13572" max="13572" width="18.109375" style="122" customWidth="1"/>
    <col min="13573" max="13824" width="9.109375" style="122"/>
    <col min="13825" max="13825" width="12.6640625" style="122" customWidth="1"/>
    <col min="13826" max="13826" width="69.5546875" style="122" customWidth="1"/>
    <col min="13827" max="13827" width="26" style="122" customWidth="1"/>
    <col min="13828" max="13828" width="18.109375" style="122" customWidth="1"/>
    <col min="13829" max="14080" width="9.109375" style="122"/>
    <col min="14081" max="14081" width="12.6640625" style="122" customWidth="1"/>
    <col min="14082" max="14082" width="69.5546875" style="122" customWidth="1"/>
    <col min="14083" max="14083" width="26" style="122" customWidth="1"/>
    <col min="14084" max="14084" width="18.109375" style="122" customWidth="1"/>
    <col min="14085" max="14336" width="9.109375" style="122"/>
    <col min="14337" max="14337" width="12.6640625" style="122" customWidth="1"/>
    <col min="14338" max="14338" width="69.5546875" style="122" customWidth="1"/>
    <col min="14339" max="14339" width="26" style="122" customWidth="1"/>
    <col min="14340" max="14340" width="18.109375" style="122" customWidth="1"/>
    <col min="14341" max="14592" width="9.109375" style="122"/>
    <col min="14593" max="14593" width="12.6640625" style="122" customWidth="1"/>
    <col min="14594" max="14594" width="69.5546875" style="122" customWidth="1"/>
    <col min="14595" max="14595" width="26" style="122" customWidth="1"/>
    <col min="14596" max="14596" width="18.109375" style="122" customWidth="1"/>
    <col min="14597" max="14848" width="9.109375" style="122"/>
    <col min="14849" max="14849" width="12.6640625" style="122" customWidth="1"/>
    <col min="14850" max="14850" width="69.5546875" style="122" customWidth="1"/>
    <col min="14851" max="14851" width="26" style="122" customWidth="1"/>
    <col min="14852" max="14852" width="18.109375" style="122" customWidth="1"/>
    <col min="14853" max="15104" width="9.109375" style="122"/>
    <col min="15105" max="15105" width="12.6640625" style="122" customWidth="1"/>
    <col min="15106" max="15106" width="69.5546875" style="122" customWidth="1"/>
    <col min="15107" max="15107" width="26" style="122" customWidth="1"/>
    <col min="15108" max="15108" width="18.109375" style="122" customWidth="1"/>
    <col min="15109" max="15360" width="9.109375" style="122"/>
    <col min="15361" max="15361" width="12.6640625" style="122" customWidth="1"/>
    <col min="15362" max="15362" width="69.5546875" style="122" customWidth="1"/>
    <col min="15363" max="15363" width="26" style="122" customWidth="1"/>
    <col min="15364" max="15364" width="18.109375" style="122" customWidth="1"/>
    <col min="15365" max="15616" width="9.109375" style="122"/>
    <col min="15617" max="15617" width="12.6640625" style="122" customWidth="1"/>
    <col min="15618" max="15618" width="69.5546875" style="122" customWidth="1"/>
    <col min="15619" max="15619" width="26" style="122" customWidth="1"/>
    <col min="15620" max="15620" width="18.109375" style="122" customWidth="1"/>
    <col min="15621" max="15872" width="9.109375" style="122"/>
    <col min="15873" max="15873" width="12.6640625" style="122" customWidth="1"/>
    <col min="15874" max="15874" width="69.5546875" style="122" customWidth="1"/>
    <col min="15875" max="15875" width="26" style="122" customWidth="1"/>
    <col min="15876" max="15876" width="18.109375" style="122" customWidth="1"/>
    <col min="15877" max="16128" width="9.109375" style="122"/>
    <col min="16129" max="16129" width="12.6640625" style="122" customWidth="1"/>
    <col min="16130" max="16130" width="69.5546875" style="122" customWidth="1"/>
    <col min="16131" max="16131" width="26" style="122" customWidth="1"/>
    <col min="16132" max="16132" width="18.109375" style="122" customWidth="1"/>
    <col min="16133" max="16384" width="9.109375" style="122"/>
  </cols>
  <sheetData>
    <row r="1" spans="1:14" ht="33.75" customHeight="1" x14ac:dyDescent="0.4">
      <c r="A1" s="490"/>
      <c r="B1" s="490"/>
      <c r="C1" s="490"/>
      <c r="D1" s="490"/>
      <c r="E1" s="490"/>
      <c r="F1" s="490"/>
      <c r="G1" s="490"/>
      <c r="H1" s="490"/>
      <c r="I1" s="490"/>
      <c r="J1" s="121"/>
      <c r="K1" s="121"/>
      <c r="L1" s="121"/>
      <c r="M1" s="121"/>
      <c r="N1" s="121"/>
    </row>
    <row r="2" spans="1:14" ht="56.25" customHeight="1" x14ac:dyDescent="0.4">
      <c r="A2" s="489" t="s">
        <v>817</v>
      </c>
      <c r="B2" s="489"/>
      <c r="C2" s="489"/>
      <c r="D2" s="489"/>
      <c r="E2" s="489"/>
      <c r="F2" s="489"/>
      <c r="G2" s="489"/>
      <c r="H2" s="489"/>
      <c r="I2" s="489"/>
    </row>
    <row r="3" spans="1:14" ht="24" customHeight="1" x14ac:dyDescent="0.85">
      <c r="A3" s="491" t="s">
        <v>672</v>
      </c>
      <c r="B3" s="491"/>
      <c r="C3" s="491"/>
      <c r="D3" s="491"/>
    </row>
    <row r="4" spans="1:14" ht="14.25" customHeight="1" x14ac:dyDescent="0.4">
      <c r="A4" s="486" t="s">
        <v>815</v>
      </c>
      <c r="B4" s="486"/>
      <c r="C4" s="486"/>
      <c r="D4" s="486"/>
    </row>
    <row r="5" spans="1:14" x14ac:dyDescent="0.4">
      <c r="A5" s="492" t="s">
        <v>816</v>
      </c>
      <c r="B5" s="492"/>
      <c r="C5" s="492"/>
      <c r="D5" s="492"/>
    </row>
    <row r="7" spans="1:14" x14ac:dyDescent="0.4">
      <c r="A7" s="42" t="s">
        <v>671</v>
      </c>
    </row>
    <row r="8" spans="1:14" s="348" customFormat="1" x14ac:dyDescent="0.4">
      <c r="A8" s="42"/>
    </row>
    <row r="9" spans="1:14" s="348" customFormat="1" ht="82.5" customHeight="1" x14ac:dyDescent="0.4">
      <c r="A9" s="488" t="s">
        <v>814</v>
      </c>
      <c r="B9" s="488"/>
      <c r="C9" s="488"/>
      <c r="D9" s="488"/>
      <c r="E9" s="488"/>
      <c r="F9" s="488"/>
      <c r="G9" s="488"/>
      <c r="H9" s="488"/>
      <c r="I9" s="488"/>
    </row>
    <row r="10" spans="1:14" ht="45" customHeight="1" x14ac:dyDescent="0.4">
      <c r="A10" s="488" t="s">
        <v>1313</v>
      </c>
      <c r="B10" s="488"/>
      <c r="C10" s="488"/>
      <c r="D10" s="488"/>
      <c r="E10" s="488"/>
      <c r="F10" s="488"/>
      <c r="G10" s="488"/>
      <c r="H10" s="488"/>
      <c r="I10" s="488"/>
    </row>
    <row r="11" spans="1:14" x14ac:dyDescent="0.4">
      <c r="A11" s="108"/>
      <c r="B11" s="108"/>
      <c r="C11" s="108"/>
      <c r="D11" s="108"/>
      <c r="E11" s="108"/>
      <c r="F11" s="108"/>
      <c r="G11" s="108"/>
      <c r="H11" s="108"/>
      <c r="I11" s="108"/>
    </row>
    <row r="12" spans="1:14" x14ac:dyDescent="0.4">
      <c r="A12" s="108" t="s">
        <v>670</v>
      </c>
      <c r="B12" s="108"/>
      <c r="C12" s="108"/>
      <c r="D12" s="108"/>
      <c r="E12" s="108"/>
      <c r="F12" s="108"/>
      <c r="G12" s="108"/>
      <c r="H12" s="108"/>
      <c r="I12" s="108"/>
    </row>
    <row r="13" spans="1:14" s="13" customFormat="1" x14ac:dyDescent="0.4">
      <c r="A13" s="357"/>
      <c r="B13" s="357"/>
      <c r="C13" s="357"/>
      <c r="D13" s="357"/>
      <c r="E13" s="357"/>
      <c r="F13" s="357"/>
      <c r="G13" s="357"/>
      <c r="H13" s="357"/>
      <c r="I13" s="357"/>
    </row>
    <row r="14" spans="1:14" x14ac:dyDescent="0.4">
      <c r="A14" s="43" t="s">
        <v>665</v>
      </c>
      <c r="B14" s="108"/>
      <c r="C14" s="108"/>
      <c r="D14" s="108"/>
      <c r="E14" s="108"/>
      <c r="F14" s="108"/>
      <c r="G14" s="108"/>
      <c r="H14" s="108"/>
      <c r="I14" s="108"/>
    </row>
    <row r="15" spans="1:14" x14ac:dyDescent="0.4">
      <c r="A15" s="108" t="s">
        <v>666</v>
      </c>
      <c r="B15" s="108"/>
      <c r="C15" s="108"/>
      <c r="D15" s="108"/>
      <c r="E15" s="108"/>
      <c r="F15" s="108"/>
      <c r="G15" s="108"/>
      <c r="H15" s="108"/>
      <c r="I15" s="108"/>
    </row>
    <row r="16" spans="1:14" x14ac:dyDescent="0.4">
      <c r="A16" s="108" t="s">
        <v>899</v>
      </c>
      <c r="B16" s="108"/>
      <c r="C16" s="108"/>
      <c r="D16" s="108"/>
      <c r="E16" s="108"/>
      <c r="F16" s="108"/>
      <c r="G16" s="108"/>
      <c r="H16" s="108"/>
      <c r="I16" s="108"/>
    </row>
    <row r="17" spans="1:9" x14ac:dyDescent="0.4">
      <c r="A17" s="108" t="s">
        <v>667</v>
      </c>
      <c r="B17" s="108"/>
      <c r="C17" s="108"/>
      <c r="D17" s="108"/>
      <c r="E17" s="108"/>
      <c r="F17" s="108"/>
      <c r="G17" s="108"/>
      <c r="H17" s="108"/>
      <c r="I17" s="108"/>
    </row>
    <row r="18" spans="1:9" x14ac:dyDescent="0.4">
      <c r="A18" s="447" t="s">
        <v>668</v>
      </c>
      <c r="B18" s="108"/>
      <c r="C18" s="108"/>
      <c r="D18" s="108"/>
      <c r="E18" s="108"/>
      <c r="F18" s="108"/>
      <c r="G18" s="108"/>
      <c r="H18" s="108"/>
      <c r="I18" s="108"/>
    </row>
    <row r="19" spans="1:9" x14ac:dyDescent="0.4">
      <c r="A19" s="108" t="s">
        <v>669</v>
      </c>
      <c r="B19" s="108"/>
      <c r="C19" s="108"/>
      <c r="D19" s="108"/>
      <c r="E19" s="108"/>
      <c r="F19" s="108"/>
      <c r="G19" s="108"/>
      <c r="H19" s="108"/>
      <c r="I19" s="108"/>
    </row>
    <row r="20" spans="1:9" x14ac:dyDescent="0.4">
      <c r="A20" s="108"/>
      <c r="B20" s="108"/>
      <c r="C20" s="108"/>
      <c r="D20" s="108"/>
      <c r="E20" s="108"/>
      <c r="F20" s="108"/>
      <c r="G20" s="108"/>
      <c r="H20" s="108"/>
      <c r="I20" s="108"/>
    </row>
    <row r="21" spans="1:9" x14ac:dyDescent="0.4">
      <c r="A21" s="108" t="s">
        <v>663</v>
      </c>
      <c r="B21" s="108"/>
      <c r="C21" s="108"/>
      <c r="D21" s="108"/>
      <c r="E21" s="108"/>
      <c r="F21" s="108"/>
      <c r="G21" s="108"/>
      <c r="H21" s="108"/>
      <c r="I21" s="108"/>
    </row>
    <row r="22" spans="1:9" x14ac:dyDescent="0.4">
      <c r="A22" s="108" t="s">
        <v>664</v>
      </c>
      <c r="B22" s="108"/>
      <c r="C22" s="108"/>
      <c r="D22" s="108"/>
      <c r="E22" s="108"/>
      <c r="F22" s="108"/>
      <c r="G22" s="108"/>
      <c r="H22" s="108"/>
      <c r="I22" s="108"/>
    </row>
    <row r="23" spans="1:9" x14ac:dyDescent="0.4">
      <c r="A23" s="108" t="s">
        <v>818</v>
      </c>
      <c r="B23" s="108"/>
      <c r="C23" s="108"/>
      <c r="D23" s="108"/>
      <c r="E23" s="108"/>
      <c r="F23" s="108"/>
      <c r="G23" s="108"/>
      <c r="H23" s="108"/>
      <c r="I23" s="108"/>
    </row>
    <row r="24" spans="1:9" ht="47.25" customHeight="1" x14ac:dyDescent="0.4">
      <c r="A24" s="486"/>
      <c r="B24" s="486"/>
      <c r="C24" s="108"/>
      <c r="D24" s="108"/>
      <c r="E24" s="108"/>
      <c r="F24" s="108"/>
      <c r="G24" s="108"/>
      <c r="H24" s="108"/>
      <c r="I24" s="108"/>
    </row>
    <row r="25" spans="1:9" ht="87.75" customHeight="1" x14ac:dyDescent="0.4">
      <c r="A25" s="487" t="s">
        <v>1051</v>
      </c>
      <c r="B25" s="487"/>
      <c r="C25" s="487"/>
      <c r="D25" s="487"/>
      <c r="E25" s="487"/>
      <c r="F25" s="487"/>
      <c r="G25" s="487"/>
      <c r="H25" s="487"/>
      <c r="I25" s="487"/>
    </row>
  </sheetData>
  <mergeCells count="9">
    <mergeCell ref="A24:B24"/>
    <mergeCell ref="A25:I25"/>
    <mergeCell ref="A10:I10"/>
    <mergeCell ref="A2:I2"/>
    <mergeCell ref="A1:I1"/>
    <mergeCell ref="A3:D3"/>
    <mergeCell ref="A9:I9"/>
    <mergeCell ref="A5:D5"/>
    <mergeCell ref="A4:D4"/>
  </mergeCells>
  <hyperlinks>
    <hyperlink ref="A18" r:id="rId1" xr:uid="{E1C9BA30-52C5-4DEE-87C9-B6D8DFEC858F}"/>
  </hyperlinks>
  <pageMargins left="0.78740157480314965" right="0.78740157480314965" top="0.78740157480314965" bottom="0.78740157480314965" header="0.78740157480314965" footer="0.78740157480314965"/>
  <pageSetup paperSize="9" scale="67" fitToHeight="0" orientation="portrait" r:id="rId2"/>
  <headerFooter alignWithMargins="0">
    <oddFooter>&amp;L&amp;C&amp;R</odd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L76"/>
  <sheetViews>
    <sheetView showGridLines="0" zoomScaleNormal="100" workbookViewId="0">
      <selection activeCell="J48" sqref="J48"/>
    </sheetView>
  </sheetViews>
  <sheetFormatPr defaultColWidth="9.109375" defaultRowHeight="12.3" x14ac:dyDescent="0.4"/>
  <cols>
    <col min="1" max="1" width="5.33203125" style="122" customWidth="1"/>
    <col min="2" max="2" width="23.33203125" style="122" customWidth="1"/>
    <col min="3" max="3" width="83.5546875" style="122" customWidth="1"/>
    <col min="4" max="16384" width="9.109375" style="122"/>
  </cols>
  <sheetData>
    <row r="1" spans="1:9" ht="33.75" customHeight="1" x14ac:dyDescent="0.4">
      <c r="A1" s="494"/>
      <c r="B1" s="494"/>
      <c r="C1" s="494"/>
    </row>
    <row r="2" spans="1:9" ht="30" customHeight="1" x14ac:dyDescent="0.75">
      <c r="A2" s="495" t="s">
        <v>819</v>
      </c>
      <c r="B2" s="496"/>
      <c r="C2" s="496"/>
      <c r="D2" s="496"/>
      <c r="E2" s="496"/>
      <c r="F2" s="496"/>
      <c r="G2" s="496"/>
      <c r="H2" s="496"/>
    </row>
    <row r="3" spans="1:9" ht="18.75" customHeight="1" x14ac:dyDescent="0.4">
      <c r="A3" s="487" t="s">
        <v>574</v>
      </c>
      <c r="B3" s="487"/>
      <c r="C3" s="487"/>
    </row>
    <row r="4" spans="1:9" ht="11.25" customHeight="1" x14ac:dyDescent="0.4">
      <c r="A4" s="109"/>
      <c r="B4" s="109"/>
      <c r="C4" s="109"/>
    </row>
    <row r="5" spans="1:9" ht="16.5" customHeight="1" x14ac:dyDescent="0.4">
      <c r="A5" s="493" t="s">
        <v>775</v>
      </c>
      <c r="B5" s="494"/>
      <c r="C5" s="494"/>
    </row>
    <row r="6" spans="1:9" ht="11.25" customHeight="1" x14ac:dyDescent="0.4">
      <c r="A6" s="109"/>
      <c r="B6" s="109"/>
      <c r="C6" s="109"/>
    </row>
    <row r="7" spans="1:9" ht="13.5" customHeight="1" x14ac:dyDescent="0.4">
      <c r="A7" s="109"/>
      <c r="B7" s="45" t="s">
        <v>787</v>
      </c>
      <c r="C7" s="45" t="s">
        <v>847</v>
      </c>
      <c r="D7" s="385"/>
      <c r="E7" s="348"/>
    </row>
    <row r="8" spans="1:9" ht="13.5" customHeight="1" x14ac:dyDescent="0.4">
      <c r="A8" s="109"/>
      <c r="B8" s="124" t="s">
        <v>788</v>
      </c>
      <c r="C8" s="124" t="s">
        <v>820</v>
      </c>
      <c r="D8" s="385"/>
      <c r="E8" s="348"/>
      <c r="I8" s="385"/>
    </row>
    <row r="9" spans="1:9" ht="13.5" customHeight="1" x14ac:dyDescent="0.4">
      <c r="A9" s="109"/>
      <c r="B9" s="45" t="s">
        <v>789</v>
      </c>
      <c r="C9" s="46" t="s">
        <v>821</v>
      </c>
      <c r="D9" s="385"/>
      <c r="I9" s="385"/>
    </row>
    <row r="10" spans="1:9" ht="11.25" customHeight="1" x14ac:dyDescent="0.4">
      <c r="A10" s="109"/>
      <c r="B10" s="109"/>
      <c r="C10" s="109"/>
      <c r="E10" s="348"/>
      <c r="I10" s="385"/>
    </row>
    <row r="11" spans="1:9" ht="16.5" customHeight="1" x14ac:dyDescent="0.4">
      <c r="A11" s="493" t="s">
        <v>0</v>
      </c>
      <c r="B11" s="494"/>
      <c r="C11" s="494"/>
      <c r="I11" s="385"/>
    </row>
    <row r="12" spans="1:9" ht="11.25" customHeight="1" x14ac:dyDescent="0.4">
      <c r="A12" s="109"/>
      <c r="B12" s="109"/>
      <c r="C12" s="109"/>
      <c r="I12" s="385"/>
    </row>
    <row r="13" spans="1:9" ht="13.5" customHeight="1" x14ac:dyDescent="0.4">
      <c r="A13" s="109"/>
      <c r="B13" s="352" t="s">
        <v>790</v>
      </c>
      <c r="C13" s="353" t="s">
        <v>822</v>
      </c>
      <c r="D13" s="385"/>
      <c r="I13" s="385"/>
    </row>
    <row r="14" spans="1:9" ht="13.5" customHeight="1" x14ac:dyDescent="0.4">
      <c r="A14" s="109"/>
      <c r="B14" s="352" t="s">
        <v>791</v>
      </c>
      <c r="C14" s="353" t="s">
        <v>823</v>
      </c>
      <c r="D14" s="385"/>
      <c r="I14" s="385"/>
    </row>
    <row r="15" spans="1:9" ht="13.5" customHeight="1" x14ac:dyDescent="0.4">
      <c r="A15" s="109"/>
      <c r="B15" s="352" t="s">
        <v>792</v>
      </c>
      <c r="C15" s="353" t="s">
        <v>824</v>
      </c>
      <c r="I15" s="385"/>
    </row>
    <row r="16" spans="1:9" ht="13.5" customHeight="1" x14ac:dyDescent="0.4">
      <c r="A16" s="109"/>
      <c r="B16" s="352" t="s">
        <v>793</v>
      </c>
      <c r="C16" s="353" t="s">
        <v>825</v>
      </c>
      <c r="D16" s="385"/>
      <c r="I16" s="385"/>
    </row>
    <row r="17" spans="1:9" ht="13.5" customHeight="1" x14ac:dyDescent="0.4">
      <c r="A17" s="109"/>
      <c r="B17" s="352" t="s">
        <v>794</v>
      </c>
      <c r="C17" s="353" t="s">
        <v>826</v>
      </c>
      <c r="D17" s="385"/>
      <c r="I17" s="385"/>
    </row>
    <row r="18" spans="1:9" ht="13.5" customHeight="1" x14ac:dyDescent="0.4">
      <c r="A18" s="109"/>
      <c r="B18" s="352" t="s">
        <v>798</v>
      </c>
      <c r="C18" s="353" t="s">
        <v>827</v>
      </c>
      <c r="D18" s="385"/>
      <c r="I18" s="385"/>
    </row>
    <row r="19" spans="1:9" ht="13.5" customHeight="1" x14ac:dyDescent="0.4">
      <c r="A19" s="109"/>
      <c r="B19" s="352" t="s">
        <v>795</v>
      </c>
      <c r="C19" s="353" t="s">
        <v>828</v>
      </c>
      <c r="D19" s="385"/>
      <c r="I19" s="385"/>
    </row>
    <row r="20" spans="1:9" ht="13.5" customHeight="1" x14ac:dyDescent="0.4">
      <c r="A20" s="109"/>
      <c r="B20" s="352" t="s">
        <v>796</v>
      </c>
      <c r="C20" s="353" t="s">
        <v>829</v>
      </c>
      <c r="D20" s="385"/>
      <c r="I20" s="385"/>
    </row>
    <row r="21" spans="1:9" ht="13.5" customHeight="1" x14ac:dyDescent="0.4">
      <c r="A21" s="109"/>
      <c r="B21" s="352" t="s">
        <v>797</v>
      </c>
      <c r="C21" s="353" t="s">
        <v>830</v>
      </c>
      <c r="D21" s="385"/>
      <c r="I21" s="385"/>
    </row>
    <row r="22" spans="1:9" ht="13.5" customHeight="1" x14ac:dyDescent="0.4">
      <c r="A22" s="350"/>
      <c r="B22" s="352" t="s">
        <v>799</v>
      </c>
      <c r="C22" s="363" t="s">
        <v>831</v>
      </c>
      <c r="D22" s="385"/>
      <c r="I22" s="385"/>
    </row>
    <row r="23" spans="1:9" ht="13.5" customHeight="1" x14ac:dyDescent="0.4">
      <c r="A23" s="350"/>
      <c r="B23" s="352" t="s">
        <v>800</v>
      </c>
      <c r="C23" s="363" t="s">
        <v>832</v>
      </c>
      <c r="D23" s="385"/>
      <c r="I23" s="385"/>
    </row>
    <row r="24" spans="1:9" ht="13.5" customHeight="1" x14ac:dyDescent="0.4">
      <c r="A24" s="350"/>
      <c r="B24" s="352" t="s">
        <v>801</v>
      </c>
      <c r="C24" s="363" t="s">
        <v>833</v>
      </c>
      <c r="D24" s="385"/>
      <c r="I24" s="385"/>
    </row>
    <row r="25" spans="1:9" ht="13.5" customHeight="1" x14ac:dyDescent="0.4">
      <c r="A25" s="350"/>
      <c r="B25" s="352" t="s">
        <v>802</v>
      </c>
      <c r="C25" s="363" t="s">
        <v>834</v>
      </c>
      <c r="D25" s="385"/>
      <c r="I25" s="385"/>
    </row>
    <row r="26" spans="1:9" ht="11.25" customHeight="1" x14ac:dyDescent="0.4">
      <c r="A26" s="109"/>
      <c r="B26" s="109"/>
      <c r="C26" s="109"/>
      <c r="I26" s="385"/>
    </row>
    <row r="27" spans="1:9" ht="16.5" customHeight="1" x14ac:dyDescent="0.4">
      <c r="A27" s="493" t="s">
        <v>1</v>
      </c>
      <c r="B27" s="494"/>
      <c r="C27" s="494"/>
      <c r="I27" s="385"/>
    </row>
    <row r="28" spans="1:9" ht="11.25" customHeight="1" x14ac:dyDescent="0.4">
      <c r="A28" s="109"/>
      <c r="B28" s="109"/>
      <c r="C28" s="109"/>
      <c r="I28" s="385"/>
    </row>
    <row r="29" spans="1:9" ht="13.5" customHeight="1" x14ac:dyDescent="0.4">
      <c r="A29" s="109"/>
      <c r="B29" s="352" t="s">
        <v>803</v>
      </c>
      <c r="C29" s="353" t="s">
        <v>835</v>
      </c>
      <c r="D29" s="349"/>
      <c r="I29" s="385"/>
    </row>
    <row r="30" spans="1:9" ht="13.5" customHeight="1" x14ac:dyDescent="0.4">
      <c r="A30" s="109"/>
      <c r="B30" s="352" t="s">
        <v>804</v>
      </c>
      <c r="C30" s="353" t="s">
        <v>836</v>
      </c>
      <c r="D30" s="349"/>
      <c r="I30" s="385"/>
    </row>
    <row r="31" spans="1:9" ht="13.5" customHeight="1" x14ac:dyDescent="0.4">
      <c r="A31" s="109"/>
      <c r="B31" s="352" t="s">
        <v>805</v>
      </c>
      <c r="C31" s="353" t="s">
        <v>837</v>
      </c>
      <c r="D31" s="349"/>
      <c r="I31" s="385"/>
    </row>
    <row r="32" spans="1:9" ht="11.25" customHeight="1" x14ac:dyDescent="0.4">
      <c r="A32" s="109"/>
      <c r="B32" s="109"/>
      <c r="C32" s="109"/>
      <c r="I32" s="385"/>
    </row>
    <row r="33" spans="1:12" ht="16.5" customHeight="1" x14ac:dyDescent="0.4">
      <c r="A33" s="493" t="s">
        <v>2</v>
      </c>
      <c r="B33" s="494"/>
      <c r="C33" s="494"/>
      <c r="I33" s="385"/>
    </row>
    <row r="34" spans="1:12" ht="11.25" customHeight="1" x14ac:dyDescent="0.4">
      <c r="A34" s="125"/>
      <c r="B34" s="125"/>
      <c r="C34" s="125"/>
      <c r="D34" s="121"/>
      <c r="I34" s="385"/>
    </row>
    <row r="35" spans="1:12" ht="13.5" customHeight="1" x14ac:dyDescent="0.4">
      <c r="A35" s="125"/>
      <c r="B35" s="364" t="s">
        <v>806</v>
      </c>
      <c r="C35" s="353" t="s">
        <v>838</v>
      </c>
      <c r="D35" s="349"/>
      <c r="I35" s="385"/>
    </row>
    <row r="36" spans="1:12" ht="13.5" customHeight="1" x14ac:dyDescent="0.4">
      <c r="A36" s="125"/>
      <c r="B36" s="364" t="s">
        <v>808</v>
      </c>
      <c r="C36" s="353" t="s">
        <v>839</v>
      </c>
      <c r="D36" s="349"/>
      <c r="F36" s="13"/>
      <c r="G36" s="13"/>
      <c r="H36" s="13"/>
      <c r="I36" s="385"/>
      <c r="J36" s="13"/>
      <c r="K36" s="13"/>
      <c r="L36" s="13"/>
    </row>
    <row r="37" spans="1:12" ht="13.5" customHeight="1" x14ac:dyDescent="0.4">
      <c r="A37" s="125"/>
      <c r="B37" s="364" t="s">
        <v>807</v>
      </c>
      <c r="C37" s="353" t="s">
        <v>840</v>
      </c>
      <c r="D37" s="349"/>
      <c r="F37" s="13"/>
      <c r="G37" s="13"/>
      <c r="H37" s="13"/>
      <c r="I37" s="385"/>
      <c r="J37" s="13"/>
      <c r="K37" s="13"/>
      <c r="L37" s="13"/>
    </row>
    <row r="38" spans="1:12" ht="13.5" customHeight="1" x14ac:dyDescent="0.4">
      <c r="B38" s="353" t="s">
        <v>809</v>
      </c>
      <c r="C38" s="353" t="s">
        <v>841</v>
      </c>
      <c r="D38" s="349"/>
      <c r="F38" s="13"/>
      <c r="G38" s="13"/>
      <c r="H38" s="13"/>
      <c r="I38" s="385"/>
      <c r="J38" s="13"/>
      <c r="K38" s="13"/>
      <c r="L38" s="13"/>
    </row>
    <row r="39" spans="1:12" s="348" customFormat="1" ht="11.25" customHeight="1" x14ac:dyDescent="0.4">
      <c r="D39" s="349"/>
      <c r="F39" s="13"/>
      <c r="G39" s="13"/>
      <c r="H39" s="13"/>
      <c r="I39" s="385"/>
      <c r="J39" s="13"/>
      <c r="K39" s="13"/>
      <c r="L39" s="13"/>
    </row>
    <row r="40" spans="1:12" ht="16.5" customHeight="1" x14ac:dyDescent="0.4">
      <c r="A40" s="493" t="s">
        <v>786</v>
      </c>
      <c r="B40" s="494"/>
      <c r="C40" s="494"/>
      <c r="D40" s="349"/>
      <c r="E40" s="385"/>
      <c r="F40" s="385"/>
      <c r="G40" s="385"/>
      <c r="H40" s="385"/>
      <c r="I40" s="385"/>
      <c r="J40" s="385"/>
      <c r="K40" s="385"/>
      <c r="L40" s="13"/>
    </row>
    <row r="41" spans="1:12" ht="11.25" customHeight="1" x14ac:dyDescent="0.4">
      <c r="D41" s="349"/>
      <c r="E41" s="385"/>
      <c r="F41" s="385"/>
      <c r="G41" s="385"/>
      <c r="H41" s="385"/>
      <c r="I41" s="385"/>
      <c r="J41" s="385"/>
      <c r="K41" s="385"/>
      <c r="L41" s="13"/>
    </row>
    <row r="42" spans="1:12" ht="13.5" customHeight="1" x14ac:dyDescent="0.4">
      <c r="B42" s="353" t="s">
        <v>810</v>
      </c>
      <c r="C42" s="353" t="s">
        <v>842</v>
      </c>
      <c r="D42" s="349"/>
      <c r="E42" s="385"/>
      <c r="F42" s="385"/>
      <c r="G42" s="385"/>
      <c r="H42" s="385"/>
      <c r="I42" s="385"/>
      <c r="J42" s="385"/>
      <c r="K42" s="385"/>
      <c r="L42" s="13"/>
    </row>
    <row r="43" spans="1:12" s="348" customFormat="1" ht="11.25" customHeight="1" x14ac:dyDescent="0.4">
      <c r="D43" s="349"/>
      <c r="E43" s="385"/>
      <c r="F43" s="385"/>
      <c r="G43" s="385"/>
      <c r="H43" s="385"/>
      <c r="I43" s="385"/>
      <c r="J43" s="385"/>
      <c r="K43" s="385"/>
      <c r="L43" s="13"/>
    </row>
    <row r="44" spans="1:12" ht="15.75" customHeight="1" x14ac:dyDescent="0.4">
      <c r="A44" s="493" t="s">
        <v>1310</v>
      </c>
      <c r="B44" s="494"/>
      <c r="C44" s="494"/>
      <c r="D44" s="12"/>
      <c r="F44" s="13"/>
      <c r="G44" s="13"/>
      <c r="H44" s="13"/>
      <c r="I44" s="13"/>
      <c r="J44" s="13"/>
      <c r="K44" s="13"/>
      <c r="L44" s="13"/>
    </row>
    <row r="45" spans="1:12" s="463" customFormat="1" ht="12.75" customHeight="1" x14ac:dyDescent="0.4">
      <c r="A45" s="462"/>
      <c r="C45" s="465"/>
      <c r="D45" s="12"/>
      <c r="F45" s="13"/>
      <c r="G45" s="13"/>
      <c r="H45" s="13"/>
      <c r="I45" s="13"/>
      <c r="J45" s="13"/>
      <c r="K45" s="13"/>
      <c r="L45" s="13"/>
    </row>
    <row r="46" spans="1:12" ht="12.75" customHeight="1" x14ac:dyDescent="0.4">
      <c r="B46" s="466" t="s">
        <v>811</v>
      </c>
      <c r="C46" s="466" t="s">
        <v>1311</v>
      </c>
      <c r="D46" s="12"/>
      <c r="E46" s="13"/>
      <c r="F46" s="13"/>
      <c r="G46" s="13"/>
      <c r="H46" s="13"/>
      <c r="I46" s="13"/>
      <c r="J46" s="13"/>
      <c r="K46" s="13"/>
      <c r="L46" s="13"/>
    </row>
    <row r="47" spans="1:12" ht="12.75" customHeight="1" x14ac:dyDescent="0.4">
      <c r="B47" s="466" t="s">
        <v>1306</v>
      </c>
      <c r="C47" s="466" t="s">
        <v>1312</v>
      </c>
      <c r="D47" s="12"/>
      <c r="E47" s="13"/>
      <c r="F47" s="13"/>
      <c r="G47" s="13"/>
      <c r="H47" s="13"/>
      <c r="I47" s="13"/>
      <c r="J47" s="13"/>
      <c r="K47" s="13"/>
      <c r="L47" s="13"/>
    </row>
    <row r="48" spans="1:12" ht="12.75" customHeight="1" x14ac:dyDescent="0.4">
      <c r="D48" s="12"/>
      <c r="E48" s="13"/>
      <c r="F48" s="13"/>
      <c r="G48" s="13"/>
      <c r="H48" s="13"/>
      <c r="I48" s="13"/>
      <c r="J48" s="13"/>
      <c r="K48" s="13"/>
      <c r="L48" s="13"/>
    </row>
    <row r="49" spans="1:12" s="348" customFormat="1" ht="16.5" customHeight="1" x14ac:dyDescent="0.4">
      <c r="A49" s="493" t="s">
        <v>785</v>
      </c>
      <c r="B49" s="494"/>
      <c r="C49" s="494"/>
      <c r="D49" s="385"/>
      <c r="E49" s="385"/>
      <c r="F49" s="385"/>
      <c r="G49" s="385"/>
      <c r="H49" s="385"/>
      <c r="I49" s="385"/>
      <c r="J49" s="385"/>
      <c r="K49" s="385"/>
    </row>
    <row r="50" spans="1:12" ht="11.25" customHeight="1" x14ac:dyDescent="0.4">
      <c r="D50" s="349"/>
      <c r="E50" s="385"/>
      <c r="F50" s="385"/>
      <c r="G50" s="385"/>
      <c r="H50" s="385"/>
      <c r="I50" s="385"/>
      <c r="J50" s="385"/>
      <c r="K50" s="385"/>
      <c r="L50" s="13"/>
    </row>
    <row r="51" spans="1:12" ht="13.5" customHeight="1" x14ac:dyDescent="0.4">
      <c r="B51" s="466" t="s">
        <v>1305</v>
      </c>
      <c r="C51" s="466" t="s">
        <v>843</v>
      </c>
      <c r="D51" s="349"/>
      <c r="E51" s="385"/>
      <c r="F51" s="385"/>
      <c r="G51" s="385"/>
      <c r="H51" s="385"/>
      <c r="I51" s="385"/>
      <c r="J51" s="385"/>
      <c r="K51" s="385"/>
      <c r="L51" s="13"/>
    </row>
    <row r="52" spans="1:12" ht="12.75" customHeight="1" x14ac:dyDescent="0.4">
      <c r="D52" s="12"/>
      <c r="E52" s="13"/>
      <c r="F52" s="13"/>
      <c r="G52" s="13"/>
      <c r="H52" s="13"/>
      <c r="I52" s="13"/>
      <c r="J52" s="13"/>
      <c r="K52" s="13"/>
      <c r="L52" s="13"/>
    </row>
    <row r="53" spans="1:12" ht="12.75" customHeight="1" x14ac:dyDescent="0.4">
      <c r="D53" s="12"/>
      <c r="E53" s="13"/>
      <c r="F53" s="13"/>
      <c r="G53" s="13"/>
      <c r="H53" s="13"/>
      <c r="I53" s="13"/>
      <c r="J53" s="13"/>
      <c r="K53" s="13"/>
      <c r="L53" s="13"/>
    </row>
    <row r="54" spans="1:12" ht="12.75" customHeight="1" x14ac:dyDescent="0.4">
      <c r="D54" s="12"/>
      <c r="E54" s="13"/>
      <c r="F54" s="13"/>
      <c r="G54" s="13"/>
      <c r="H54" s="13"/>
      <c r="I54" s="13"/>
      <c r="J54" s="13"/>
      <c r="K54" s="13"/>
      <c r="L54" s="13"/>
    </row>
    <row r="55" spans="1:12" ht="12.75" customHeight="1" x14ac:dyDescent="0.4">
      <c r="D55" s="12"/>
      <c r="E55" s="13"/>
      <c r="F55" s="13"/>
      <c r="G55" s="13"/>
      <c r="H55" s="13"/>
      <c r="I55" s="13"/>
      <c r="J55" s="13"/>
      <c r="K55" s="13"/>
      <c r="L55" s="13"/>
    </row>
    <row r="56" spans="1:12" ht="12.75" customHeight="1" x14ac:dyDescent="0.4">
      <c r="D56" s="12"/>
      <c r="E56" s="13"/>
      <c r="F56" s="13"/>
      <c r="G56" s="13"/>
      <c r="H56" s="13"/>
      <c r="I56" s="13"/>
      <c r="J56" s="13"/>
      <c r="K56" s="13"/>
      <c r="L56" s="13"/>
    </row>
    <row r="57" spans="1:12" ht="12.75" customHeight="1" x14ac:dyDescent="0.4">
      <c r="D57" s="12"/>
      <c r="E57" s="13"/>
      <c r="F57" s="13"/>
      <c r="G57" s="13"/>
      <c r="H57" s="13"/>
      <c r="I57" s="13"/>
      <c r="J57" s="13"/>
      <c r="K57" s="13"/>
      <c r="L57" s="13"/>
    </row>
    <row r="58" spans="1:12" ht="12.75" customHeight="1" x14ac:dyDescent="0.4">
      <c r="D58" s="12"/>
      <c r="E58" s="13"/>
      <c r="F58" s="13"/>
      <c r="G58" s="13"/>
      <c r="H58" s="13"/>
      <c r="I58" s="13"/>
      <c r="J58" s="13"/>
      <c r="K58" s="13"/>
      <c r="L58" s="13"/>
    </row>
    <row r="59" spans="1:12" ht="12.75" customHeight="1" x14ac:dyDescent="0.4">
      <c r="D59" s="12"/>
      <c r="E59" s="13"/>
      <c r="F59" s="13"/>
      <c r="G59" s="13"/>
      <c r="H59" s="13"/>
      <c r="I59" s="13"/>
      <c r="J59" s="13"/>
      <c r="K59" s="13"/>
      <c r="L59" s="13"/>
    </row>
    <row r="60" spans="1:12" ht="12.75" customHeight="1" x14ac:dyDescent="0.4">
      <c r="D60" s="12"/>
      <c r="E60" s="13"/>
      <c r="F60" s="13"/>
      <c r="G60" s="13"/>
      <c r="H60" s="13"/>
      <c r="I60" s="13"/>
      <c r="J60" s="13"/>
      <c r="K60" s="13"/>
      <c r="L60" s="13"/>
    </row>
    <row r="61" spans="1:12" ht="12.75" customHeight="1" x14ac:dyDescent="0.4">
      <c r="D61" s="12"/>
      <c r="E61" s="13"/>
      <c r="F61" s="13"/>
      <c r="G61" s="13"/>
      <c r="H61" s="13"/>
      <c r="I61" s="13"/>
      <c r="J61" s="13"/>
      <c r="K61" s="13"/>
      <c r="L61" s="13"/>
    </row>
    <row r="62" spans="1:12" ht="12.75" customHeight="1" x14ac:dyDescent="0.4">
      <c r="D62" s="12"/>
      <c r="E62" s="13"/>
      <c r="F62" s="13"/>
      <c r="G62" s="13"/>
      <c r="H62" s="13"/>
      <c r="I62" s="13"/>
      <c r="J62" s="13"/>
      <c r="K62" s="13"/>
      <c r="L62" s="13"/>
    </row>
    <row r="63" spans="1:12" ht="12.75" customHeight="1" x14ac:dyDescent="0.4">
      <c r="D63" s="12"/>
      <c r="E63" s="13"/>
      <c r="F63" s="13"/>
      <c r="G63" s="13"/>
      <c r="H63" s="13"/>
      <c r="I63" s="13"/>
      <c r="J63" s="13"/>
      <c r="K63" s="13"/>
      <c r="L63" s="13"/>
    </row>
    <row r="64" spans="1:12" ht="12.75" customHeight="1" x14ac:dyDescent="0.4">
      <c r="D64" s="12"/>
      <c r="E64" s="13"/>
      <c r="F64" s="13"/>
      <c r="G64" s="13"/>
      <c r="H64" s="13"/>
      <c r="I64" s="13"/>
      <c r="J64" s="13"/>
      <c r="K64" s="13"/>
      <c r="L64" s="13"/>
    </row>
    <row r="65" spans="4:12" ht="12.75" customHeight="1" x14ac:dyDescent="0.4">
      <c r="D65" s="12"/>
      <c r="E65" s="13"/>
      <c r="F65" s="13"/>
      <c r="G65" s="13"/>
      <c r="H65" s="13"/>
      <c r="I65" s="13"/>
      <c r="J65" s="13"/>
      <c r="K65" s="13"/>
      <c r="L65" s="13"/>
    </row>
    <row r="66" spans="4:12" ht="12.75" customHeight="1" x14ac:dyDescent="0.4">
      <c r="D66" s="12"/>
      <c r="E66" s="13"/>
      <c r="F66" s="13"/>
      <c r="G66" s="13"/>
      <c r="H66" s="13"/>
      <c r="I66" s="13"/>
      <c r="J66" s="13"/>
      <c r="K66" s="13"/>
      <c r="L66" s="13"/>
    </row>
    <row r="67" spans="4:12" ht="12.75" customHeight="1" x14ac:dyDescent="0.4">
      <c r="D67" s="12"/>
      <c r="E67" s="13"/>
      <c r="F67" s="13"/>
      <c r="G67" s="13"/>
      <c r="H67" s="13"/>
      <c r="I67" s="13"/>
      <c r="J67" s="13"/>
      <c r="K67" s="13"/>
      <c r="L67" s="13"/>
    </row>
    <row r="68" spans="4:12" ht="12.75" customHeight="1" x14ac:dyDescent="0.4">
      <c r="D68" s="12"/>
      <c r="E68" s="13"/>
      <c r="F68" s="13"/>
      <c r="G68" s="13"/>
      <c r="H68" s="13"/>
      <c r="I68" s="13"/>
      <c r="J68" s="13"/>
      <c r="K68" s="13"/>
      <c r="L68" s="13"/>
    </row>
    <row r="69" spans="4:12" ht="12.75" customHeight="1" x14ac:dyDescent="0.4">
      <c r="D69" s="12"/>
      <c r="E69" s="13"/>
      <c r="F69" s="13"/>
      <c r="G69" s="13"/>
      <c r="H69" s="13"/>
      <c r="I69" s="13"/>
      <c r="J69" s="13"/>
      <c r="K69" s="13"/>
      <c r="L69" s="13"/>
    </row>
    <row r="70" spans="4:12" ht="12.75" customHeight="1" x14ac:dyDescent="0.4">
      <c r="D70" s="12"/>
      <c r="E70" s="123"/>
      <c r="F70" s="123"/>
      <c r="G70" s="123"/>
      <c r="H70" s="123"/>
      <c r="I70" s="123"/>
    </row>
    <row r="71" spans="4:12" ht="11.25" customHeight="1" x14ac:dyDescent="0.4">
      <c r="D71" s="12"/>
    </row>
    <row r="72" spans="4:12" ht="15" customHeight="1" x14ac:dyDescent="0.4">
      <c r="D72" s="12"/>
    </row>
    <row r="73" spans="4:12" ht="11.25" customHeight="1" x14ac:dyDescent="0.4">
      <c r="D73" s="12"/>
    </row>
    <row r="74" spans="4:12" ht="12.75" customHeight="1" x14ac:dyDescent="0.4">
      <c r="D74" s="123"/>
    </row>
    <row r="75" spans="4:12" x14ac:dyDescent="0.4">
      <c r="D75" s="121"/>
    </row>
    <row r="76" spans="4:12" ht="12.75" customHeight="1" x14ac:dyDescent="0.4"/>
  </sheetData>
  <mergeCells count="10">
    <mergeCell ref="A44:C44"/>
    <mergeCell ref="A49:C49"/>
    <mergeCell ref="A40:C40"/>
    <mergeCell ref="A33:C33"/>
    <mergeCell ref="A1:C1"/>
    <mergeCell ref="A2:H2"/>
    <mergeCell ref="A3:C3"/>
    <mergeCell ref="A5:C5"/>
    <mergeCell ref="A11:C11"/>
    <mergeCell ref="A27:C27"/>
  </mergeCells>
  <hyperlinks>
    <hyperlink ref="C7" location="'Table 1'!A1" display="Attendances recorded by type in A&amp;E HES and Weekly A&amp;E Sit Reps, 2014-15" xr:uid="{00000000-0004-0000-0100-000000000000}"/>
    <hyperlink ref="C9" r:id="rId1" display="Comparison of 2013-14 and 2014-15 A&amp;E attendances in A&amp;E HES against those reported in A&amp;E Sit Reps, broken down by the organisation type" xr:uid="{00000000-0004-0000-0100-000001000000}"/>
    <hyperlink ref="B7:C7" location="'Table 1'!A1" display="Table 1:" xr:uid="{00000000-0004-0000-0100-000002000000}"/>
    <hyperlink ref="B9:C9" location="'Table 3'!A1" display="Table 3:" xr:uid="{00000000-0004-0000-0100-000003000000}"/>
    <hyperlink ref="B8:C8" location="'Table 2'!A1" display="Table 2:" xr:uid="{00000000-0004-0000-0100-000004000000}"/>
    <hyperlink ref="B8" location="'Table 2'!A1" display="Table 2:" xr:uid="{00000000-0004-0000-0100-000005000000}"/>
    <hyperlink ref="B13:C13" location="'Table 4'!A1" display="Table 4:" xr:uid="{00000000-0004-0000-0100-000018000000}"/>
    <hyperlink ref="B14:C14" location="'Table 5'!A1" display="Table 5:" xr:uid="{00000000-0004-0000-0100-000019000000}"/>
    <hyperlink ref="B15:C15" location="'Table 6'!A1" display="Table 6:" xr:uid="{00000000-0004-0000-0100-00001A000000}"/>
    <hyperlink ref="B16:C16" location="'Table 7'!A1" display="Table 7:" xr:uid="{00000000-0004-0000-0100-00001B000000}"/>
    <hyperlink ref="B17:C17" location="'Table 8'!A1" display="Table 8:" xr:uid="{00000000-0004-0000-0100-00001C000000}"/>
    <hyperlink ref="B19:C19" location="'Table 10'!A1" display="Table 10:" xr:uid="{00000000-0004-0000-0100-00001D000000}"/>
    <hyperlink ref="B20:C20" location="'Table 11'!A1" display="Table 11:" xr:uid="{00000000-0004-0000-0100-00001E000000}"/>
    <hyperlink ref="B21:C21" location="'Table 12'!A1" display="Table 12:" xr:uid="{00000000-0004-0000-0100-00001F000000}"/>
    <hyperlink ref="B22:C22" location="'Table 13'!A1" display="Table 13:" xr:uid="{00000000-0004-0000-0100-000020000000}"/>
    <hyperlink ref="B23:C23" location="'Table 14'!A1" display="Table 14:" xr:uid="{00000000-0004-0000-0100-000021000000}"/>
    <hyperlink ref="B24:C24" location="'Table 15'!A1" display="Table 15:" xr:uid="{00000000-0004-0000-0100-000022000000}"/>
    <hyperlink ref="B25:C25" location="'Table 16'!A1" display="Table 16:" xr:uid="{00000000-0004-0000-0100-000023000000}"/>
    <hyperlink ref="B29:C29" location="'Table 17'!A1" display="Table 17:" xr:uid="{00000000-0004-0000-0100-000024000000}"/>
    <hyperlink ref="B30:C30" location="'Table 18'!A1" display="Table 18:" xr:uid="{00000000-0004-0000-0100-000025000000}"/>
    <hyperlink ref="B31:C31" location="'Table 19'!A1" display="Table 19:" xr:uid="{00000000-0004-0000-0100-000026000000}"/>
    <hyperlink ref="B35:C35" location="'Table 20'!A1" display="Table 20:" xr:uid="{00000000-0004-0000-0100-000027000000}"/>
    <hyperlink ref="B36:C36" location="'Table 21'!A1" display="Table 21:" xr:uid="{00000000-0004-0000-0100-000028000000}"/>
    <hyperlink ref="B37:C37" location="'Table 22'!A1" display="Table 22:" xr:uid="{00000000-0004-0000-0100-000029000000}"/>
    <hyperlink ref="B38:C38" location="'Table 23'!A1" display="Table 23:" xr:uid="{00000000-0004-0000-0100-00002A000000}"/>
    <hyperlink ref="B42:C42" location="'Table 24'!A1" display="Table 24:" xr:uid="{00000000-0004-0000-0100-00002B000000}"/>
    <hyperlink ref="B51:C51" location="'Table 25'!A1" display="Table 25:" xr:uid="{00000000-0004-0000-0100-00002C000000}"/>
    <hyperlink ref="B18:C18" location="'Table 9'!A1" display="Table 9:" xr:uid="{00000000-0004-0000-0100-00002D000000}"/>
    <hyperlink ref="B46" location="'Table 25'!A1" display="Table 25" xr:uid="{A7F49DC4-FA70-4B19-8E2D-D4050D5FA994}"/>
    <hyperlink ref="B47" location="'Table 26'!A1" display="Table 26" xr:uid="{D9F32AD6-C52E-4ACB-864E-06E4E78DBFA2}"/>
    <hyperlink ref="C46" location="'Table 25'!A1" display="A&amp;E Attendances by Index of Multiple Deprivation Decile Output for England 2016-17 and 2017-18" xr:uid="{74329F5E-604A-4A46-AF8A-353181269356}"/>
    <hyperlink ref="C47" location="'Table 26'!A1" display="A&amp;E Attendances by Ethnicity for England 2016-17 and 2017-18" xr:uid="{87CD47F3-83ED-4536-8838-0CAAB510BC68}"/>
    <hyperlink ref="B51" location="'Table 27'!A1" display="Table 27" xr:uid="{0A9CECC1-C591-437D-82E1-8C518A45E16D}"/>
    <hyperlink ref="C51" location="'Table 27'!A1" display="Accident &amp; Emergency Clinical Quality Indicators, England, 2017-18" xr:uid="{4D0261B9-217E-40CB-BC77-0F8AAD80DFA7}"/>
  </hyperlinks>
  <pageMargins left="0.78740157480314965" right="0.78740157480314965" top="0.78740157480314965" bottom="0.78740157480314965" header="0.78740157480314965" footer="0.78740157480314965"/>
  <pageSetup paperSize="9" scale="81" fitToHeight="0" orientation="landscape" r:id="rId2"/>
  <headerFooter alignWithMargins="0">
    <oddFooter>&amp;L&amp;C&amp;R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pageSetUpPr fitToPage="1"/>
  </sheetPr>
  <dimension ref="A1:R26"/>
  <sheetViews>
    <sheetView showGridLines="0" zoomScaleNormal="100" workbookViewId="0"/>
  </sheetViews>
  <sheetFormatPr defaultColWidth="9.109375" defaultRowHeight="12.3" x14ac:dyDescent="0.4"/>
  <cols>
    <col min="1" max="1" width="38.5546875" style="122" customWidth="1"/>
    <col min="2" max="7" width="17.88671875" style="122" customWidth="1"/>
    <col min="8" max="8" width="11.33203125" style="122" bestFit="1" customWidth="1"/>
    <col min="9" max="16384" width="9.109375" style="122"/>
  </cols>
  <sheetData>
    <row r="1" spans="1:8" s="348" customFormat="1" ht="15" customHeight="1" x14ac:dyDescent="0.4"/>
    <row r="2" spans="1:8" ht="56.25" customHeight="1" x14ac:dyDescent="0.4">
      <c r="A2" s="501" t="s">
        <v>848</v>
      </c>
      <c r="B2" s="501"/>
      <c r="C2" s="501"/>
      <c r="D2" s="501"/>
      <c r="E2" s="501"/>
      <c r="F2" s="501"/>
      <c r="G2" s="501"/>
      <c r="H2" s="366"/>
    </row>
    <row r="3" spans="1:8" ht="30" customHeight="1" x14ac:dyDescent="0.4">
      <c r="A3" s="497" t="s">
        <v>784</v>
      </c>
      <c r="B3" s="494"/>
      <c r="C3" s="494"/>
      <c r="D3" s="494"/>
      <c r="E3" s="494"/>
      <c r="F3" s="494"/>
      <c r="G3" s="494"/>
    </row>
    <row r="4" spans="1:8" ht="11.25" customHeight="1" thickBot="1" x14ac:dyDescent="0.45">
      <c r="A4" s="109"/>
    </row>
    <row r="5" spans="1:8" ht="15.6" customHeight="1" thickBot="1" x14ac:dyDescent="0.45">
      <c r="A5" s="44"/>
      <c r="B5" s="498" t="s">
        <v>673</v>
      </c>
      <c r="C5" s="499"/>
      <c r="D5" s="500"/>
      <c r="E5" s="498" t="s">
        <v>844</v>
      </c>
      <c r="F5" s="499"/>
      <c r="G5" s="500"/>
    </row>
    <row r="6" spans="1:8" ht="30" customHeight="1" thickBot="1" x14ac:dyDescent="0.45">
      <c r="A6" s="212" t="s">
        <v>3</v>
      </c>
      <c r="B6" s="91" t="s">
        <v>4</v>
      </c>
      <c r="C6" s="22" t="s">
        <v>721</v>
      </c>
      <c r="D6" s="213" t="s">
        <v>40</v>
      </c>
      <c r="E6" s="91" t="s">
        <v>4</v>
      </c>
      <c r="F6" s="23" t="s">
        <v>721</v>
      </c>
      <c r="G6" s="213" t="s">
        <v>40</v>
      </c>
    </row>
    <row r="7" spans="1:8" ht="15" customHeight="1" x14ac:dyDescent="0.4">
      <c r="A7" s="214" t="s">
        <v>5</v>
      </c>
      <c r="B7" s="221">
        <v>15457931</v>
      </c>
      <c r="C7" s="222">
        <v>15262758</v>
      </c>
      <c r="D7" s="215">
        <v>1.0127875315850501</v>
      </c>
      <c r="E7" s="221">
        <v>15498405</v>
      </c>
      <c r="F7" s="222">
        <v>15372467</v>
      </c>
      <c r="G7" s="215">
        <v>1.0081924391185877</v>
      </c>
    </row>
    <row r="8" spans="1:8" ht="15" customHeight="1" x14ac:dyDescent="0.4">
      <c r="A8" s="216" t="s">
        <v>6</v>
      </c>
      <c r="B8" s="219">
        <v>487407</v>
      </c>
      <c r="C8" s="223">
        <v>606300</v>
      </c>
      <c r="D8" s="215">
        <v>0.80390400791687289</v>
      </c>
      <c r="E8" s="219">
        <v>480220</v>
      </c>
      <c r="F8" s="223">
        <v>573853</v>
      </c>
      <c r="G8" s="215">
        <v>0.83683452033883243</v>
      </c>
    </row>
    <row r="9" spans="1:8" ht="15" customHeight="1" x14ac:dyDescent="0.4">
      <c r="A9" s="216" t="s">
        <v>7</v>
      </c>
      <c r="B9" s="219">
        <v>4542279</v>
      </c>
      <c r="C9" s="223">
        <v>7493243</v>
      </c>
      <c r="D9" s="215">
        <v>0.6061833307688006</v>
      </c>
      <c r="E9" s="219">
        <v>5020852</v>
      </c>
      <c r="F9" s="223">
        <v>7883800</v>
      </c>
      <c r="G9" s="215">
        <v>0.63685684568355361</v>
      </c>
    </row>
    <row r="10" spans="1:8" ht="15" customHeight="1" thickBot="1" x14ac:dyDescent="0.45">
      <c r="A10" s="217" t="s">
        <v>8</v>
      </c>
      <c r="B10" s="224">
        <v>116157</v>
      </c>
      <c r="C10" s="225">
        <v>0</v>
      </c>
      <c r="D10" s="215">
        <v>0</v>
      </c>
      <c r="E10" s="224">
        <v>12228</v>
      </c>
      <c r="F10" s="225">
        <v>0</v>
      </c>
      <c r="G10" s="215">
        <v>0</v>
      </c>
    </row>
    <row r="11" spans="1:8" ht="15" customHeight="1" thickBot="1" x14ac:dyDescent="0.45">
      <c r="A11" s="212" t="s">
        <v>9</v>
      </c>
      <c r="B11" s="220">
        <v>20603774</v>
      </c>
      <c r="C11" s="226">
        <v>23362301</v>
      </c>
      <c r="D11" s="218">
        <v>0.88192400226330447</v>
      </c>
      <c r="E11" s="220">
        <v>21011705</v>
      </c>
      <c r="F11" s="226">
        <v>23830120</v>
      </c>
      <c r="G11" s="218">
        <v>0.88172887925029331</v>
      </c>
      <c r="H11" s="127"/>
    </row>
    <row r="12" spans="1:8" ht="4.5" customHeight="1" x14ac:dyDescent="0.4">
      <c r="A12" s="18"/>
      <c r="B12" s="19"/>
      <c r="C12" s="20"/>
      <c r="D12" s="21"/>
      <c r="E12" s="19"/>
      <c r="F12" s="20"/>
      <c r="G12" s="21"/>
    </row>
    <row r="13" spans="1:8" x14ac:dyDescent="0.4">
      <c r="A13" s="503" t="s">
        <v>776</v>
      </c>
      <c r="B13" s="494"/>
      <c r="C13" s="494"/>
      <c r="D13" s="494"/>
      <c r="E13" s="494"/>
      <c r="F13" s="494"/>
      <c r="G13" s="494"/>
    </row>
    <row r="14" spans="1:8" ht="16.5" customHeight="1" x14ac:dyDescent="0.4">
      <c r="A14" s="503"/>
      <c r="B14" s="494"/>
      <c r="C14" s="494"/>
      <c r="D14" s="494"/>
      <c r="E14" s="494"/>
      <c r="F14" s="494"/>
      <c r="G14" s="494"/>
    </row>
    <row r="15" spans="1:8" ht="16.5" customHeight="1" x14ac:dyDescent="0.4">
      <c r="A15" s="487" t="s">
        <v>777</v>
      </c>
      <c r="B15" s="487"/>
      <c r="C15" s="487"/>
      <c r="D15" s="487"/>
      <c r="E15" s="487"/>
      <c r="F15" s="487"/>
      <c r="G15" s="487"/>
      <c r="H15" s="487"/>
    </row>
    <row r="16" spans="1:8" ht="33" customHeight="1" x14ac:dyDescent="0.4">
      <c r="A16" s="504" t="s">
        <v>1052</v>
      </c>
      <c r="B16" s="504"/>
      <c r="C16" s="504"/>
      <c r="D16" s="504"/>
      <c r="E16" s="504"/>
      <c r="F16" s="504"/>
      <c r="G16" s="504"/>
      <c r="H16" s="504"/>
    </row>
    <row r="17" spans="1:18" ht="17.100000000000001" customHeight="1" thickBot="1" x14ac:dyDescent="0.45">
      <c r="A17" s="506" t="s">
        <v>10</v>
      </c>
      <c r="B17" s="506"/>
      <c r="C17" s="506"/>
      <c r="D17" s="506"/>
      <c r="E17" s="506"/>
      <c r="F17" s="506"/>
      <c r="G17" s="506"/>
      <c r="H17" s="506"/>
    </row>
    <row r="18" spans="1:18" ht="17.100000000000001" customHeight="1" x14ac:dyDescent="0.4">
      <c r="A18" s="507" t="s">
        <v>898</v>
      </c>
      <c r="B18" s="507"/>
      <c r="C18" s="507"/>
      <c r="D18" s="507"/>
      <c r="E18" s="507"/>
      <c r="F18" s="507"/>
      <c r="G18" s="507"/>
      <c r="H18" s="507"/>
    </row>
    <row r="19" spans="1:18" ht="17.100000000000001" customHeight="1" x14ac:dyDescent="0.45">
      <c r="A19" s="505" t="s">
        <v>780</v>
      </c>
      <c r="B19" s="505"/>
      <c r="C19" s="505"/>
      <c r="D19" s="505"/>
      <c r="E19" s="505"/>
      <c r="F19" s="505"/>
      <c r="G19" s="505"/>
      <c r="H19" s="120"/>
      <c r="I19" s="120"/>
      <c r="J19" s="120"/>
      <c r="K19" s="120"/>
      <c r="L19" s="120"/>
      <c r="M19" s="120"/>
      <c r="N19" s="120"/>
      <c r="O19" s="120"/>
      <c r="P19" s="120"/>
      <c r="Q19" s="120"/>
      <c r="R19" s="120"/>
    </row>
    <row r="20" spans="1:18" ht="17.100000000000001" customHeight="1" x14ac:dyDescent="0.4">
      <c r="A20" s="508" t="s">
        <v>575</v>
      </c>
      <c r="B20" s="508"/>
      <c r="C20" s="508"/>
      <c r="D20" s="508"/>
      <c r="E20" s="508"/>
      <c r="F20" s="508"/>
      <c r="G20" s="508"/>
      <c r="H20" s="508"/>
    </row>
    <row r="21" spans="1:18" ht="12.6" thickBot="1" x14ac:dyDescent="0.45">
      <c r="A21" s="502" t="s">
        <v>846</v>
      </c>
      <c r="B21" s="502"/>
      <c r="C21" s="502"/>
      <c r="D21" s="502"/>
      <c r="E21" s="502"/>
      <c r="F21" s="502"/>
      <c r="G21" s="502"/>
      <c r="H21" s="502"/>
    </row>
    <row r="22" spans="1:18" x14ac:dyDescent="0.4">
      <c r="A22" s="128"/>
      <c r="B22" s="128"/>
      <c r="C22" s="128"/>
      <c r="D22" s="128"/>
      <c r="E22" s="128"/>
      <c r="F22" s="128"/>
      <c r="G22" s="128"/>
      <c r="H22" s="128"/>
    </row>
    <row r="23" spans="1:18" x14ac:dyDescent="0.4">
      <c r="A23" s="124" t="s">
        <v>614</v>
      </c>
    </row>
    <row r="26" spans="1:18" x14ac:dyDescent="0.4">
      <c r="A26" s="116"/>
    </row>
  </sheetData>
  <mergeCells count="13">
    <mergeCell ref="A3:G3"/>
    <mergeCell ref="B5:D5"/>
    <mergeCell ref="E5:G5"/>
    <mergeCell ref="A2:G2"/>
    <mergeCell ref="A21:H21"/>
    <mergeCell ref="A13:G13"/>
    <mergeCell ref="A14:G14"/>
    <mergeCell ref="A15:H15"/>
    <mergeCell ref="A16:H16"/>
    <mergeCell ref="A19:G19"/>
    <mergeCell ref="A17:H17"/>
    <mergeCell ref="A18:H18"/>
    <mergeCell ref="A20:H20"/>
  </mergeCells>
  <hyperlinks>
    <hyperlink ref="A23" location="Contents!A1" display="Return to Contents" xr:uid="{00000000-0004-0000-1300-000001000000}"/>
    <hyperlink ref="A20:H20" r:id="rId1" display="Contact via enquiries@NHSDigital.nhs.uk or 0300 303 5678" xr:uid="{00000000-0004-0000-1300-000002000000}"/>
    <hyperlink ref="A16" r:id="rId2" xr:uid="{9AE25B0A-45DD-4F2B-8BC0-D6A328E1634B}"/>
  </hyperlinks>
  <pageMargins left="0.78740157480314965" right="0.78740157480314965" top="0.78740157480314965" bottom="0.79781811023622051" header="0.78740157480314965" footer="0.78740157480314965"/>
  <pageSetup paperSize="9" scale="79" fitToHeight="0" orientation="landscape" r:id="rId3"/>
  <headerFooter alignWithMargins="0">
    <oddFooter>&amp;L&amp;C&amp;R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pageSetUpPr fitToPage="1"/>
  </sheetPr>
  <dimension ref="A1:AF35"/>
  <sheetViews>
    <sheetView showGridLines="0" workbookViewId="0"/>
  </sheetViews>
  <sheetFormatPr defaultColWidth="9.109375" defaultRowHeight="12.3" x14ac:dyDescent="0.4"/>
  <cols>
    <col min="1" max="1" width="43.109375" style="113" customWidth="1"/>
    <col min="2" max="5" width="17.88671875" style="113" customWidth="1"/>
    <col min="6" max="6" width="9.109375" style="113" customWidth="1"/>
    <col min="7" max="16384" width="9.109375" style="113"/>
  </cols>
  <sheetData>
    <row r="1" spans="1:32" s="351" customFormat="1" ht="15" customHeight="1" x14ac:dyDescent="0.4"/>
    <row r="2" spans="1:32" ht="56.25" customHeight="1" x14ac:dyDescent="0.75">
      <c r="A2" s="514" t="s">
        <v>849</v>
      </c>
      <c r="B2" s="514"/>
      <c r="C2" s="514"/>
      <c r="D2" s="514"/>
      <c r="E2" s="367"/>
      <c r="F2" s="361"/>
    </row>
    <row r="3" spans="1:32" ht="30" customHeight="1" x14ac:dyDescent="0.4">
      <c r="A3" s="511" t="s">
        <v>783</v>
      </c>
      <c r="B3" s="511"/>
      <c r="C3" s="511"/>
      <c r="D3" s="511"/>
      <c r="E3" s="511"/>
      <c r="F3" s="129"/>
    </row>
    <row r="4" spans="1:32" ht="11.25" customHeight="1" thickBot="1" x14ac:dyDescent="0.45">
      <c r="H4" s="432"/>
      <c r="I4" s="432"/>
      <c r="J4" s="432"/>
    </row>
    <row r="5" spans="1:32" ht="15" customHeight="1" thickBot="1" x14ac:dyDescent="0.45">
      <c r="A5" s="227"/>
      <c r="B5" s="509" t="s">
        <v>673</v>
      </c>
      <c r="C5" s="510"/>
      <c r="D5" s="509" t="s">
        <v>844</v>
      </c>
      <c r="E5" s="510"/>
      <c r="H5" s="432"/>
      <c r="I5" s="432"/>
      <c r="J5" s="432"/>
      <c r="M5" s="432"/>
      <c r="N5" s="432"/>
      <c r="O5" s="432"/>
      <c r="P5" s="432"/>
      <c r="Q5" s="432"/>
      <c r="R5" s="432"/>
      <c r="S5" s="432"/>
      <c r="T5" s="432"/>
      <c r="U5" s="432"/>
      <c r="V5" s="432"/>
      <c r="W5" s="432"/>
      <c r="X5" s="432"/>
      <c r="Y5" s="432"/>
      <c r="Z5" s="432"/>
      <c r="AA5" s="432"/>
      <c r="AB5" s="432"/>
      <c r="AC5" s="432"/>
      <c r="AD5" s="432"/>
      <c r="AE5" s="432"/>
      <c r="AF5" s="432"/>
    </row>
    <row r="6" spans="1:32" ht="30" customHeight="1" thickBot="1" x14ac:dyDescent="0.45">
      <c r="A6" s="2" t="s">
        <v>11</v>
      </c>
      <c r="B6" s="47" t="s">
        <v>12</v>
      </c>
      <c r="C6" s="48" t="s">
        <v>13</v>
      </c>
      <c r="D6" s="47" t="s">
        <v>12</v>
      </c>
      <c r="E6" s="48" t="s">
        <v>13</v>
      </c>
      <c r="F6" s="159"/>
      <c r="G6" s="159"/>
      <c r="H6" s="159"/>
      <c r="M6" s="432"/>
      <c r="N6" s="432"/>
      <c r="O6" s="432"/>
      <c r="P6" s="432"/>
      <c r="Q6" s="432"/>
      <c r="R6" s="432"/>
      <c r="S6" s="432"/>
      <c r="T6" s="432"/>
      <c r="U6" s="432"/>
      <c r="V6" s="432"/>
      <c r="W6" s="432"/>
      <c r="X6" s="432"/>
      <c r="Y6" s="432"/>
      <c r="Z6" s="432"/>
      <c r="AA6" s="432"/>
      <c r="AB6" s="432"/>
      <c r="AC6" s="432"/>
      <c r="AD6" s="432"/>
      <c r="AE6" s="432"/>
      <c r="AF6" s="432"/>
    </row>
    <row r="7" spans="1:32" ht="15" customHeight="1" x14ac:dyDescent="0.4">
      <c r="A7" s="232" t="s">
        <v>14</v>
      </c>
      <c r="B7" s="228">
        <v>20886411</v>
      </c>
      <c r="C7" s="389"/>
      <c r="D7" s="228">
        <v>21278504</v>
      </c>
      <c r="E7" s="392"/>
      <c r="F7" s="159"/>
      <c r="G7" s="159"/>
      <c r="H7" s="159"/>
      <c r="I7" s="432"/>
      <c r="J7" s="432"/>
      <c r="M7" s="432"/>
      <c r="N7" s="432"/>
      <c r="O7" s="432"/>
      <c r="P7" s="432"/>
      <c r="Q7" s="432"/>
      <c r="R7" s="432"/>
      <c r="S7" s="432"/>
      <c r="T7" s="432"/>
      <c r="U7" s="432"/>
      <c r="V7" s="432"/>
      <c r="W7" s="432"/>
      <c r="X7" s="432"/>
      <c r="Y7" s="432"/>
      <c r="Z7" s="432"/>
      <c r="AA7" s="432"/>
      <c r="AB7" s="432"/>
      <c r="AC7" s="432"/>
      <c r="AD7" s="432"/>
      <c r="AE7" s="432"/>
      <c r="AF7" s="432"/>
    </row>
    <row r="8" spans="1:32" ht="15" customHeight="1" x14ac:dyDescent="0.4">
      <c r="A8" s="233" t="s">
        <v>15</v>
      </c>
      <c r="B8" s="229">
        <v>20437190</v>
      </c>
      <c r="C8" s="390">
        <v>0.97849218805471172</v>
      </c>
      <c r="D8" s="229">
        <v>20615760</v>
      </c>
      <c r="E8" s="393">
        <v>0.96885382543810405</v>
      </c>
      <c r="F8" s="160"/>
      <c r="G8" s="159"/>
      <c r="H8" s="159"/>
      <c r="I8" s="432"/>
      <c r="J8" s="432"/>
    </row>
    <row r="9" spans="1:32" ht="15" customHeight="1" x14ac:dyDescent="0.4">
      <c r="A9" s="233" t="s">
        <v>16</v>
      </c>
      <c r="B9" s="229">
        <v>20770233</v>
      </c>
      <c r="C9" s="390">
        <v>0.99443762741238784</v>
      </c>
      <c r="D9" s="229">
        <v>21266051</v>
      </c>
      <c r="E9" s="393">
        <v>0.99941476148887154</v>
      </c>
      <c r="F9" s="160"/>
      <c r="G9" s="159"/>
      <c r="H9" s="159"/>
      <c r="I9" s="432"/>
      <c r="J9" s="432"/>
    </row>
    <row r="10" spans="1:32" ht="15" customHeight="1" x14ac:dyDescent="0.4">
      <c r="A10" s="233" t="s">
        <v>17</v>
      </c>
      <c r="B10" s="229">
        <v>20304807</v>
      </c>
      <c r="C10" s="390">
        <v>0.97215395215578204</v>
      </c>
      <c r="D10" s="229">
        <v>20828043</v>
      </c>
      <c r="E10" s="393">
        <v>0.97883023167418159</v>
      </c>
      <c r="F10" s="160"/>
      <c r="G10" s="159"/>
      <c r="H10" s="159"/>
      <c r="I10" s="432"/>
      <c r="J10" s="432"/>
    </row>
    <row r="11" spans="1:32" ht="15" customHeight="1" x14ac:dyDescent="0.4">
      <c r="A11" s="233" t="s">
        <v>18</v>
      </c>
      <c r="B11" s="229">
        <v>20414834</v>
      </c>
      <c r="C11" s="390">
        <v>0.97742182704343028</v>
      </c>
      <c r="D11" s="229">
        <v>20256439</v>
      </c>
      <c r="E11" s="393">
        <v>0.95196725296101647</v>
      </c>
      <c r="F11" s="160"/>
      <c r="G11" s="159"/>
      <c r="H11" s="159"/>
      <c r="I11" s="432"/>
      <c r="J11" s="432"/>
    </row>
    <row r="12" spans="1:32" ht="15" customHeight="1" x14ac:dyDescent="0.4">
      <c r="A12" s="233" t="s">
        <v>19</v>
      </c>
      <c r="B12" s="229">
        <v>18523589</v>
      </c>
      <c r="C12" s="390">
        <v>0.88687276143325922</v>
      </c>
      <c r="D12" s="229">
        <v>16244532</v>
      </c>
      <c r="E12" s="393">
        <v>0.76342453398039634</v>
      </c>
      <c r="F12" s="160"/>
      <c r="G12" s="159"/>
      <c r="H12" s="159"/>
      <c r="I12" s="432"/>
      <c r="J12" s="432"/>
    </row>
    <row r="13" spans="1:32" ht="15" customHeight="1" x14ac:dyDescent="0.4">
      <c r="A13" s="233" t="s">
        <v>20</v>
      </c>
      <c r="B13" s="229">
        <v>20398709</v>
      </c>
      <c r="C13" s="390">
        <v>0.976649793973699</v>
      </c>
      <c r="D13" s="229">
        <v>20711775</v>
      </c>
      <c r="E13" s="393">
        <v>0.97336612573891468</v>
      </c>
      <c r="F13" s="160"/>
      <c r="G13" s="159"/>
      <c r="H13" s="159"/>
      <c r="I13" s="432"/>
      <c r="J13" s="432"/>
    </row>
    <row r="14" spans="1:32" ht="15" customHeight="1" x14ac:dyDescent="0.4">
      <c r="A14" s="233" t="s">
        <v>21</v>
      </c>
      <c r="B14" s="229">
        <v>20185155</v>
      </c>
      <c r="C14" s="390">
        <v>0.96642525132728641</v>
      </c>
      <c r="D14" s="229">
        <v>20340463</v>
      </c>
      <c r="E14" s="393">
        <v>0.95591602680338805</v>
      </c>
      <c r="F14" s="160"/>
      <c r="G14" s="159"/>
      <c r="H14" s="159"/>
      <c r="I14" s="432"/>
      <c r="J14" s="432"/>
    </row>
    <row r="15" spans="1:32" ht="15" customHeight="1" x14ac:dyDescent="0.4">
      <c r="A15" s="233" t="s">
        <v>22</v>
      </c>
      <c r="B15" s="229">
        <v>20886411</v>
      </c>
      <c r="C15" s="390">
        <v>1</v>
      </c>
      <c r="D15" s="229">
        <v>21278504</v>
      </c>
      <c r="E15" s="393">
        <v>1</v>
      </c>
      <c r="F15" s="160"/>
      <c r="G15" s="159"/>
      <c r="H15" s="159"/>
      <c r="I15" s="432"/>
      <c r="J15" s="432"/>
    </row>
    <row r="16" spans="1:32" ht="15" customHeight="1" x14ac:dyDescent="0.4">
      <c r="A16" s="233" t="s">
        <v>23</v>
      </c>
      <c r="B16" s="229">
        <v>20886411</v>
      </c>
      <c r="C16" s="390">
        <v>1</v>
      </c>
      <c r="D16" s="229">
        <v>21278504</v>
      </c>
      <c r="E16" s="393">
        <v>1</v>
      </c>
      <c r="F16" s="160"/>
      <c r="G16" s="159"/>
      <c r="H16" s="159"/>
      <c r="I16" s="432"/>
      <c r="J16" s="432"/>
    </row>
    <row r="17" spans="1:18" ht="15" customHeight="1" x14ac:dyDescent="0.4">
      <c r="A17" s="233" t="s">
        <v>24</v>
      </c>
      <c r="B17" s="229">
        <v>18694021</v>
      </c>
      <c r="C17" s="390">
        <v>0.89503270810863578</v>
      </c>
      <c r="D17" s="229">
        <v>19022817</v>
      </c>
      <c r="E17" s="393">
        <v>0.89399221862589584</v>
      </c>
      <c r="F17" s="160"/>
      <c r="G17" s="159"/>
      <c r="H17" s="159"/>
      <c r="I17" s="432"/>
      <c r="J17" s="432"/>
    </row>
    <row r="18" spans="1:18" ht="15" customHeight="1" x14ac:dyDescent="0.4">
      <c r="A18" s="233" t="s">
        <v>25</v>
      </c>
      <c r="B18" s="229">
        <v>19506201</v>
      </c>
      <c r="C18" s="390">
        <v>0.93391827825278362</v>
      </c>
      <c r="D18" s="229">
        <v>19677495</v>
      </c>
      <c r="E18" s="393">
        <v>0.92475932518564274</v>
      </c>
      <c r="F18" s="160"/>
      <c r="G18" s="159"/>
      <c r="H18" s="159"/>
      <c r="I18" s="432"/>
      <c r="J18" s="432"/>
    </row>
    <row r="19" spans="1:18" ht="15" customHeight="1" x14ac:dyDescent="0.4">
      <c r="A19" s="233" t="s">
        <v>26</v>
      </c>
      <c r="B19" s="229">
        <v>20642515</v>
      </c>
      <c r="C19" s="390">
        <v>0.98832274247595719</v>
      </c>
      <c r="D19" s="229">
        <v>20992380</v>
      </c>
      <c r="E19" s="393">
        <v>0.98655337800063392</v>
      </c>
      <c r="F19" s="160"/>
      <c r="G19" s="159"/>
      <c r="H19" s="159"/>
      <c r="I19" s="432"/>
      <c r="J19" s="432"/>
    </row>
    <row r="20" spans="1:18" ht="15" customHeight="1" x14ac:dyDescent="0.4">
      <c r="A20" s="233" t="s">
        <v>27</v>
      </c>
      <c r="B20" s="229">
        <v>20757445</v>
      </c>
      <c r="C20" s="390">
        <v>0.99382536329482363</v>
      </c>
      <c r="D20" s="229">
        <v>21167326</v>
      </c>
      <c r="E20" s="393">
        <v>0.9947751026105971</v>
      </c>
      <c r="F20" s="160"/>
      <c r="G20" s="159"/>
      <c r="H20" s="159"/>
      <c r="I20" s="432"/>
      <c r="J20" s="432"/>
    </row>
    <row r="21" spans="1:18" ht="15" customHeight="1" x14ac:dyDescent="0.4">
      <c r="A21" s="233" t="s">
        <v>576</v>
      </c>
      <c r="B21" s="229">
        <v>13502875</v>
      </c>
      <c r="C21" s="390">
        <v>0.64649091698904138</v>
      </c>
      <c r="D21" s="229">
        <v>14768119</v>
      </c>
      <c r="E21" s="393">
        <v>0.69403934599913608</v>
      </c>
      <c r="F21" s="160"/>
      <c r="G21" s="159"/>
      <c r="H21" s="159"/>
      <c r="I21" s="432"/>
      <c r="J21" s="432"/>
    </row>
    <row r="22" spans="1:18" ht="15" customHeight="1" x14ac:dyDescent="0.4">
      <c r="A22" s="233" t="s">
        <v>577</v>
      </c>
      <c r="B22" s="230">
        <v>19581779</v>
      </c>
      <c r="C22" s="390">
        <v>0.93753680323536681</v>
      </c>
      <c r="D22" s="230">
        <v>18531716</v>
      </c>
      <c r="E22" s="393">
        <v>0.87091254159596931</v>
      </c>
      <c r="F22" s="160"/>
      <c r="G22" s="159"/>
      <c r="H22" s="159"/>
      <c r="I22" s="432"/>
      <c r="J22" s="432"/>
    </row>
    <row r="23" spans="1:18" ht="15" customHeight="1" thickBot="1" x14ac:dyDescent="0.45">
      <c r="A23" s="234" t="s">
        <v>578</v>
      </c>
      <c r="B23" s="231">
        <v>19377298</v>
      </c>
      <c r="C23" s="391">
        <v>0.92774665786285637</v>
      </c>
      <c r="D23" s="231">
        <v>18908296</v>
      </c>
      <c r="E23" s="433">
        <v>0.88861021432709741</v>
      </c>
      <c r="F23" s="160"/>
      <c r="G23" s="159"/>
      <c r="H23" s="159"/>
      <c r="I23" s="432"/>
      <c r="J23" s="432"/>
    </row>
    <row r="24" spans="1:18" ht="4.5" customHeight="1" x14ac:dyDescent="0.4">
      <c r="H24" s="432"/>
      <c r="I24" s="432"/>
      <c r="J24" s="432"/>
    </row>
    <row r="25" spans="1:18" ht="16.5" customHeight="1" x14ac:dyDescent="0.4">
      <c r="A25" s="519" t="s">
        <v>28</v>
      </c>
      <c r="B25" s="520"/>
      <c r="C25" s="520"/>
      <c r="D25" s="520"/>
      <c r="E25" s="520"/>
      <c r="F25" s="520"/>
    </row>
    <row r="26" spans="1:18" ht="17.100000000000001" customHeight="1" x14ac:dyDescent="0.4">
      <c r="A26" s="519" t="s">
        <v>29</v>
      </c>
      <c r="B26" s="520"/>
      <c r="C26" s="520"/>
      <c r="D26" s="520"/>
      <c r="E26" s="520"/>
      <c r="F26" s="520"/>
    </row>
    <row r="27" spans="1:18" ht="17.100000000000001" customHeight="1" x14ac:dyDescent="0.4">
      <c r="A27" s="519" t="s">
        <v>30</v>
      </c>
      <c r="B27" s="520"/>
      <c r="C27" s="520"/>
      <c r="D27" s="520"/>
      <c r="E27" s="520"/>
      <c r="F27" s="520"/>
    </row>
    <row r="28" spans="1:18" ht="17.100000000000001" customHeight="1" x14ac:dyDescent="0.4">
      <c r="A28" s="111"/>
    </row>
    <row r="29" spans="1:18" ht="17.100000000000001" customHeight="1" thickBot="1" x14ac:dyDescent="0.45">
      <c r="A29" s="521" t="s">
        <v>10</v>
      </c>
      <c r="B29" s="520"/>
      <c r="C29" s="520"/>
      <c r="D29" s="520"/>
      <c r="E29" s="520"/>
      <c r="F29" s="520"/>
    </row>
    <row r="30" spans="1:18" ht="17.100000000000001" customHeight="1" x14ac:dyDescent="0.4">
      <c r="A30" s="512" t="s">
        <v>898</v>
      </c>
      <c r="B30" s="513"/>
      <c r="C30" s="513"/>
      <c r="D30" s="513"/>
      <c r="E30" s="513"/>
      <c r="F30" s="513"/>
    </row>
    <row r="31" spans="1:18" ht="17.100000000000001" customHeight="1" x14ac:dyDescent="0.45">
      <c r="A31" s="505" t="s">
        <v>780</v>
      </c>
      <c r="B31" s="505"/>
      <c r="C31" s="505"/>
      <c r="D31" s="505"/>
      <c r="E31" s="505"/>
      <c r="F31" s="505"/>
      <c r="G31" s="505"/>
      <c r="H31" s="120"/>
      <c r="I31" s="120"/>
      <c r="J31" s="120"/>
      <c r="K31" s="120"/>
      <c r="L31" s="120"/>
      <c r="M31" s="120"/>
      <c r="N31" s="120"/>
      <c r="O31" s="120"/>
      <c r="P31" s="120"/>
      <c r="Q31" s="120"/>
      <c r="R31" s="120"/>
    </row>
    <row r="32" spans="1:18" ht="16.95" customHeight="1" x14ac:dyDescent="0.4">
      <c r="A32" s="515" t="s">
        <v>575</v>
      </c>
      <c r="B32" s="516"/>
      <c r="C32" s="516"/>
      <c r="D32" s="516"/>
      <c r="E32" s="516"/>
      <c r="F32" s="516"/>
    </row>
    <row r="33" spans="1:6" ht="12.6" thickBot="1" x14ac:dyDescent="0.45">
      <c r="A33" s="517" t="s">
        <v>845</v>
      </c>
      <c r="B33" s="518"/>
      <c r="C33" s="518"/>
      <c r="D33" s="518"/>
      <c r="E33" s="518"/>
      <c r="F33" s="518"/>
    </row>
    <row r="35" spans="1:6" x14ac:dyDescent="0.4">
      <c r="A35" s="124" t="s">
        <v>614</v>
      </c>
    </row>
  </sheetData>
  <mergeCells count="12">
    <mergeCell ref="A32:F32"/>
    <mergeCell ref="A33:F33"/>
    <mergeCell ref="A25:F25"/>
    <mergeCell ref="A26:F26"/>
    <mergeCell ref="A27:F27"/>
    <mergeCell ref="A29:F29"/>
    <mergeCell ref="A31:G31"/>
    <mergeCell ref="B5:C5"/>
    <mergeCell ref="D5:E5"/>
    <mergeCell ref="A3:E3"/>
    <mergeCell ref="A30:F30"/>
    <mergeCell ref="A2:D2"/>
  </mergeCells>
  <hyperlinks>
    <hyperlink ref="A32:F32" r:id="rId1" display="Contact via enquiries@NHSDigital.nhs.uk or 0300 303 5678" xr:uid="{00000000-0004-0000-1400-000000000000}"/>
    <hyperlink ref="A35" location="Contents!A1" display="Return to Contents" xr:uid="{00000000-0004-0000-1400-000001000000}"/>
  </hyperlinks>
  <pageMargins left="0.78740157480314965" right="0.78740157480314965" top="0.78740157480314965" bottom="0.78740157480314965" header="0.78740157480314965" footer="0.78740157480314965"/>
  <pageSetup paperSize="9" scale="99" fitToHeight="0" orientation="landscape" r:id="rId2"/>
  <headerFooter alignWithMargins="0">
    <oddFooter>&amp;L&amp;C&amp;R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pageSetUpPr fitToPage="1"/>
  </sheetPr>
  <dimension ref="A1:R28"/>
  <sheetViews>
    <sheetView showGridLines="0" workbookViewId="0"/>
  </sheetViews>
  <sheetFormatPr defaultColWidth="9.109375" defaultRowHeight="12.3" x14ac:dyDescent="0.4"/>
  <cols>
    <col min="1" max="1" width="32.33203125" style="113" customWidth="1"/>
    <col min="2" max="5" width="17.88671875" style="113" customWidth="1"/>
    <col min="6" max="6" width="11.33203125" style="113" customWidth="1"/>
    <col min="7" max="7" width="9.109375" style="113" customWidth="1"/>
    <col min="8" max="16384" width="9.109375" style="113"/>
  </cols>
  <sheetData>
    <row r="1" spans="1:7" s="351" customFormat="1" ht="15" customHeight="1" x14ac:dyDescent="0.4"/>
    <row r="2" spans="1:7" ht="75" customHeight="1" x14ac:dyDescent="0.75">
      <c r="A2" s="522" t="s">
        <v>850</v>
      </c>
      <c r="B2" s="523"/>
      <c r="C2" s="523"/>
      <c r="D2" s="523"/>
      <c r="E2" s="523"/>
      <c r="F2" s="523"/>
    </row>
    <row r="3" spans="1:7" ht="30" customHeight="1" x14ac:dyDescent="0.4">
      <c r="A3" s="524" t="s">
        <v>783</v>
      </c>
      <c r="B3" s="520"/>
      <c r="C3" s="520"/>
      <c r="D3" s="520"/>
      <c r="E3" s="520"/>
      <c r="F3" s="520"/>
    </row>
    <row r="4" spans="1:7" ht="11.25" customHeight="1" thickBot="1" x14ac:dyDescent="0.45"/>
    <row r="5" spans="1:7" ht="15" customHeight="1" thickBot="1" x14ac:dyDescent="0.45">
      <c r="A5" s="110"/>
      <c r="B5" s="525" t="s">
        <v>673</v>
      </c>
      <c r="C5" s="510"/>
      <c r="D5" s="525" t="s">
        <v>844</v>
      </c>
      <c r="E5" s="510"/>
    </row>
    <row r="6" spans="1:7" ht="16.5" customHeight="1" thickBot="1" x14ac:dyDescent="0.45">
      <c r="A6" s="112"/>
      <c r="B6" s="3" t="s">
        <v>31</v>
      </c>
      <c r="C6" s="4" t="s">
        <v>721</v>
      </c>
      <c r="D6" s="3" t="s">
        <v>31</v>
      </c>
      <c r="E6" s="4" t="s">
        <v>721</v>
      </c>
      <c r="F6" s="89"/>
    </row>
    <row r="7" spans="1:7" ht="15" customHeight="1" thickBot="1" x14ac:dyDescent="0.45">
      <c r="A7" s="235" t="s">
        <v>32</v>
      </c>
      <c r="B7" s="237">
        <v>191</v>
      </c>
      <c r="C7" s="238">
        <v>246</v>
      </c>
      <c r="D7" s="237">
        <v>178</v>
      </c>
      <c r="E7" s="238">
        <v>247</v>
      </c>
      <c r="F7" s="89"/>
    </row>
    <row r="8" spans="1:7" ht="15" customHeight="1" x14ac:dyDescent="0.4">
      <c r="A8" s="236" t="s">
        <v>33</v>
      </c>
      <c r="B8" s="239">
        <v>165</v>
      </c>
      <c r="C8" s="240">
        <v>168</v>
      </c>
      <c r="D8" s="239">
        <v>162</v>
      </c>
      <c r="E8" s="240">
        <v>165</v>
      </c>
      <c r="F8" s="89"/>
    </row>
    <row r="9" spans="1:7" ht="15" customHeight="1" x14ac:dyDescent="0.4">
      <c r="A9" s="236" t="s">
        <v>579</v>
      </c>
      <c r="B9" s="239">
        <v>4</v>
      </c>
      <c r="C9" s="240">
        <v>46</v>
      </c>
      <c r="D9" s="239">
        <v>1</v>
      </c>
      <c r="E9" s="240">
        <v>42</v>
      </c>
      <c r="F9" s="89"/>
    </row>
    <row r="10" spans="1:7" ht="15" customHeight="1" thickBot="1" x14ac:dyDescent="0.45">
      <c r="A10" s="236" t="s">
        <v>35</v>
      </c>
      <c r="B10" s="239">
        <v>22</v>
      </c>
      <c r="C10" s="240">
        <v>32</v>
      </c>
      <c r="D10" s="239">
        <v>15</v>
      </c>
      <c r="E10" s="240">
        <v>40</v>
      </c>
      <c r="F10" s="89"/>
    </row>
    <row r="11" spans="1:7" ht="15" customHeight="1" thickBot="1" x14ac:dyDescent="0.45">
      <c r="A11" s="235" t="s">
        <v>36</v>
      </c>
      <c r="B11" s="237">
        <v>20603774</v>
      </c>
      <c r="C11" s="238">
        <v>23362301</v>
      </c>
      <c r="D11" s="237">
        <v>21011705</v>
      </c>
      <c r="E11" s="238">
        <v>23830120</v>
      </c>
      <c r="F11" s="89"/>
      <c r="G11" s="130"/>
    </row>
    <row r="12" spans="1:7" ht="15" customHeight="1" x14ac:dyDescent="0.4">
      <c r="A12" s="236" t="s">
        <v>33</v>
      </c>
      <c r="B12" s="239">
        <v>19665566</v>
      </c>
      <c r="C12" s="240">
        <v>21295145</v>
      </c>
      <c r="D12" s="239">
        <v>19692255</v>
      </c>
      <c r="E12" s="240">
        <v>21814999</v>
      </c>
      <c r="F12" s="90"/>
    </row>
    <row r="13" spans="1:7" ht="15" customHeight="1" x14ac:dyDescent="0.4">
      <c r="A13" s="236" t="s">
        <v>579</v>
      </c>
      <c r="B13" s="239">
        <v>136449</v>
      </c>
      <c r="C13" s="240">
        <v>1133155</v>
      </c>
      <c r="D13" s="239">
        <v>65413</v>
      </c>
      <c r="E13" s="240">
        <v>1039368</v>
      </c>
      <c r="F13" s="90"/>
    </row>
    <row r="14" spans="1:7" ht="15" customHeight="1" thickBot="1" x14ac:dyDescent="0.45">
      <c r="A14" s="236" t="s">
        <v>35</v>
      </c>
      <c r="B14" s="241">
        <v>801759</v>
      </c>
      <c r="C14" s="240">
        <v>934001</v>
      </c>
      <c r="D14" s="241">
        <v>1254037</v>
      </c>
      <c r="E14" s="240">
        <v>975753</v>
      </c>
      <c r="F14" s="90"/>
    </row>
    <row r="15" spans="1:7" ht="4.5" customHeight="1" x14ac:dyDescent="0.4">
      <c r="A15" s="39"/>
      <c r="B15" s="39"/>
      <c r="C15" s="39"/>
      <c r="D15" s="39"/>
      <c r="E15" s="39"/>
    </row>
    <row r="16" spans="1:7" ht="17.100000000000001" customHeight="1" x14ac:dyDescent="0.4">
      <c r="A16" s="519" t="s">
        <v>37</v>
      </c>
      <c r="B16" s="520"/>
      <c r="C16" s="520"/>
      <c r="D16" s="520"/>
      <c r="E16" s="520"/>
      <c r="F16" s="520"/>
    </row>
    <row r="17" spans="1:18" ht="72" customHeight="1" x14ac:dyDescent="0.4">
      <c r="A17" s="519" t="s">
        <v>778</v>
      </c>
      <c r="B17" s="520"/>
      <c r="C17" s="520"/>
      <c r="D17" s="520"/>
      <c r="E17" s="520"/>
      <c r="F17" s="520"/>
    </row>
    <row r="18" spans="1:18" ht="33" customHeight="1" x14ac:dyDescent="0.4">
      <c r="A18" s="529" t="s">
        <v>1054</v>
      </c>
      <c r="B18" s="520"/>
      <c r="C18" s="520"/>
      <c r="D18" s="520"/>
      <c r="E18" s="520"/>
      <c r="F18" s="520"/>
    </row>
    <row r="19" spans="1:18" ht="12" customHeight="1" x14ac:dyDescent="0.4">
      <c r="A19" s="534"/>
      <c r="B19" s="534"/>
      <c r="C19" s="534"/>
      <c r="D19" s="534"/>
      <c r="E19" s="534"/>
      <c r="F19" s="534"/>
    </row>
    <row r="20" spans="1:18" ht="17.100000000000001" customHeight="1" x14ac:dyDescent="0.4">
      <c r="A20" s="530" t="s">
        <v>777</v>
      </c>
      <c r="B20" s="520"/>
      <c r="C20" s="520"/>
      <c r="D20" s="520"/>
      <c r="E20" s="520"/>
      <c r="F20" s="520"/>
    </row>
    <row r="21" spans="1:18" ht="33" customHeight="1" x14ac:dyDescent="0.4">
      <c r="A21" s="532" t="s">
        <v>1052</v>
      </c>
      <c r="B21" s="533"/>
      <c r="C21" s="533"/>
      <c r="D21" s="533"/>
      <c r="E21" s="533"/>
      <c r="F21" s="533"/>
    </row>
    <row r="22" spans="1:18" ht="17.100000000000001" customHeight="1" thickBot="1" x14ac:dyDescent="0.45">
      <c r="A22" s="531" t="s">
        <v>10</v>
      </c>
      <c r="B22" s="531"/>
      <c r="C22" s="531"/>
      <c r="D22" s="531"/>
      <c r="E22" s="531"/>
      <c r="F22" s="531"/>
    </row>
    <row r="23" spans="1:18" ht="17.100000000000001" customHeight="1" x14ac:dyDescent="0.4">
      <c r="A23" s="526" t="s">
        <v>898</v>
      </c>
      <c r="B23" s="513"/>
      <c r="C23" s="513"/>
      <c r="D23" s="513"/>
      <c r="E23" s="513"/>
      <c r="F23" s="513"/>
      <c r="G23" s="131"/>
    </row>
    <row r="24" spans="1:18" ht="17.100000000000001" customHeight="1" x14ac:dyDescent="0.45">
      <c r="A24" s="505" t="s">
        <v>780</v>
      </c>
      <c r="B24" s="505"/>
      <c r="C24" s="505"/>
      <c r="D24" s="505"/>
      <c r="E24" s="505"/>
      <c r="F24" s="505"/>
      <c r="G24" s="505"/>
      <c r="H24" s="120"/>
      <c r="I24" s="120"/>
      <c r="J24" s="120"/>
      <c r="K24" s="120"/>
      <c r="L24" s="120"/>
      <c r="M24" s="120"/>
      <c r="N24" s="120"/>
      <c r="O24" s="120"/>
      <c r="P24" s="120"/>
      <c r="Q24" s="120"/>
      <c r="R24" s="120"/>
    </row>
    <row r="25" spans="1:18" ht="16.95" customHeight="1" x14ac:dyDescent="0.4">
      <c r="A25" s="527" t="s">
        <v>575</v>
      </c>
      <c r="B25" s="516"/>
      <c r="C25" s="516"/>
      <c r="D25" s="516"/>
      <c r="E25" s="516"/>
      <c r="F25" s="516"/>
      <c r="G25" s="131"/>
    </row>
    <row r="26" spans="1:18" ht="12.6" thickBot="1" x14ac:dyDescent="0.45">
      <c r="A26" s="528" t="s">
        <v>845</v>
      </c>
      <c r="B26" s="518"/>
      <c r="C26" s="518"/>
      <c r="D26" s="518"/>
      <c r="E26" s="518"/>
      <c r="F26" s="518"/>
      <c r="G26" s="131"/>
    </row>
    <row r="27" spans="1:18" x14ac:dyDescent="0.4">
      <c r="G27" s="131"/>
    </row>
    <row r="28" spans="1:18" x14ac:dyDescent="0.4">
      <c r="A28" s="124" t="s">
        <v>614</v>
      </c>
      <c r="G28" s="131"/>
    </row>
  </sheetData>
  <mergeCells count="15">
    <mergeCell ref="A23:F23"/>
    <mergeCell ref="A25:F25"/>
    <mergeCell ref="A26:F26"/>
    <mergeCell ref="A17:F17"/>
    <mergeCell ref="A18:F18"/>
    <mergeCell ref="A20:F20"/>
    <mergeCell ref="A22:F22"/>
    <mergeCell ref="A21:F21"/>
    <mergeCell ref="A19:F19"/>
    <mergeCell ref="A24:G24"/>
    <mergeCell ref="A16:F16"/>
    <mergeCell ref="A2:F2"/>
    <mergeCell ref="A3:F3"/>
    <mergeCell ref="B5:C5"/>
    <mergeCell ref="D5:E5"/>
  </mergeCells>
  <hyperlinks>
    <hyperlink ref="A25:F25" r:id="rId1" display="Contact via enquiries@NHSDigital.nhs.uk or 0300 303 5678" xr:uid="{00000000-0004-0000-1500-000000000000}"/>
    <hyperlink ref="A28" location="Contents!A1" display="Return to Contents" xr:uid="{00000000-0004-0000-1500-000001000000}"/>
    <hyperlink ref="A21" r:id="rId2" xr:uid="{49206E0C-4B87-4963-BBCD-313943E69CED}"/>
  </hyperlinks>
  <pageMargins left="0.78740157480314965" right="0.78740157480314965" top="0.78740157480314965" bottom="0.78740157480314965" header="0.78740157480314965" footer="0.78740157480314965"/>
  <pageSetup paperSize="9" fitToHeight="0" orientation="landscape" r:id="rId3"/>
  <headerFooter alignWithMargins="0">
    <oddFooter>&amp;L&amp;C&amp;R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pageSetUpPr fitToPage="1"/>
  </sheetPr>
  <dimension ref="A1:R22"/>
  <sheetViews>
    <sheetView showGridLines="0" workbookViewId="0"/>
  </sheetViews>
  <sheetFormatPr defaultColWidth="9.109375" defaultRowHeight="12.3" x14ac:dyDescent="0.4"/>
  <cols>
    <col min="1" max="1" width="52.88671875" style="113" customWidth="1"/>
    <col min="2" max="5" width="17.88671875" style="113" customWidth="1"/>
    <col min="6" max="6" width="9.109375" style="113" customWidth="1"/>
    <col min="7" max="7" width="9.6640625" style="113" customWidth="1"/>
    <col min="8" max="8" width="9.109375" style="113" customWidth="1"/>
    <col min="9" max="16384" width="9.109375" style="113"/>
  </cols>
  <sheetData>
    <row r="1" spans="1:7" s="351" customFormat="1" ht="15" customHeight="1" x14ac:dyDescent="0.4"/>
    <row r="2" spans="1:7" ht="30" customHeight="1" x14ac:dyDescent="0.4">
      <c r="A2" s="514" t="s">
        <v>851</v>
      </c>
      <c r="B2" s="514"/>
      <c r="C2" s="514"/>
      <c r="D2" s="514"/>
      <c r="E2" s="514"/>
      <c r="F2" s="514"/>
      <c r="G2" s="6"/>
    </row>
    <row r="3" spans="1:7" ht="30" customHeight="1" x14ac:dyDescent="0.4">
      <c r="A3" s="511" t="s">
        <v>783</v>
      </c>
      <c r="B3" s="511"/>
      <c r="C3" s="511"/>
      <c r="D3" s="511"/>
      <c r="E3" s="511"/>
      <c r="F3" s="511"/>
      <c r="G3" s="129"/>
    </row>
    <row r="4" spans="1:7" ht="11.25" customHeight="1" thickBot="1" x14ac:dyDescent="0.45"/>
    <row r="5" spans="1:7" ht="15" customHeight="1" thickBot="1" x14ac:dyDescent="0.45">
      <c r="A5" s="132"/>
      <c r="B5" s="525" t="s">
        <v>673</v>
      </c>
      <c r="C5" s="510"/>
      <c r="D5" s="525" t="s">
        <v>844</v>
      </c>
      <c r="E5" s="510"/>
    </row>
    <row r="6" spans="1:7" ht="30" customHeight="1" thickBot="1" x14ac:dyDescent="0.45">
      <c r="A6" s="133" t="s">
        <v>38</v>
      </c>
      <c r="B6" s="134" t="s">
        <v>39</v>
      </c>
      <c r="C6" s="135" t="s">
        <v>40</v>
      </c>
      <c r="D6" s="134" t="s">
        <v>39</v>
      </c>
      <c r="E6" s="135" t="s">
        <v>40</v>
      </c>
    </row>
    <row r="7" spans="1:7" ht="15" customHeight="1" x14ac:dyDescent="0.4">
      <c r="A7" s="246" t="s">
        <v>41</v>
      </c>
      <c r="B7" s="247">
        <v>19591536</v>
      </c>
      <c r="C7" s="215">
        <v>0.93800394907483098</v>
      </c>
      <c r="D7" s="247">
        <v>20134162</v>
      </c>
      <c r="E7" s="215">
        <v>0.94622074935343203</v>
      </c>
    </row>
    <row r="8" spans="1:7" ht="15" customHeight="1" x14ac:dyDescent="0.4">
      <c r="A8" s="246" t="s">
        <v>42</v>
      </c>
      <c r="B8" s="247">
        <v>282637</v>
      </c>
      <c r="C8" s="215">
        <v>1.3532099890210912E-2</v>
      </c>
      <c r="D8" s="247">
        <v>266799</v>
      </c>
      <c r="E8" s="215">
        <v>1.2538428453428868E-2</v>
      </c>
      <c r="G8" s="446"/>
    </row>
    <row r="9" spans="1:7" ht="15" customHeight="1" x14ac:dyDescent="0.4">
      <c r="A9" s="246" t="s">
        <v>43</v>
      </c>
      <c r="B9" s="247">
        <v>430634</v>
      </c>
      <c r="C9" s="215">
        <v>2.0617903190739664E-2</v>
      </c>
      <c r="D9" s="247">
        <v>427082</v>
      </c>
      <c r="E9" s="215">
        <v>2.0071053867320748E-2</v>
      </c>
      <c r="G9" s="446"/>
    </row>
    <row r="10" spans="1:7" ht="15" customHeight="1" thickBot="1" x14ac:dyDescent="0.45">
      <c r="A10" s="246" t="s">
        <v>44</v>
      </c>
      <c r="B10" s="247">
        <v>581604</v>
      </c>
      <c r="C10" s="243">
        <v>2.7846047844217948E-2</v>
      </c>
      <c r="D10" s="247">
        <v>450461</v>
      </c>
      <c r="E10" s="215">
        <v>2.1169768325818395E-2</v>
      </c>
      <c r="G10" s="446"/>
    </row>
    <row r="11" spans="1:7" ht="15" customHeight="1" thickBot="1" x14ac:dyDescent="0.45">
      <c r="A11" s="133" t="s">
        <v>9</v>
      </c>
      <c r="B11" s="248">
        <v>20603774</v>
      </c>
      <c r="C11" s="244">
        <v>0.98646790010978913</v>
      </c>
      <c r="D11" s="248">
        <v>21011705</v>
      </c>
      <c r="E11" s="244">
        <v>0.9874615715465711</v>
      </c>
    </row>
    <row r="12" spans="1:7" ht="15" customHeight="1" thickBot="1" x14ac:dyDescent="0.45">
      <c r="A12" s="133" t="s">
        <v>45</v>
      </c>
      <c r="B12" s="248">
        <v>20886411</v>
      </c>
      <c r="C12" s="245"/>
      <c r="D12" s="248">
        <v>21278504</v>
      </c>
      <c r="E12" s="245"/>
    </row>
    <row r="13" spans="1:7" ht="4.5" customHeight="1" x14ac:dyDescent="0.4"/>
    <row r="14" spans="1:7" ht="17.100000000000001" customHeight="1" x14ac:dyDescent="0.4">
      <c r="A14" s="534" t="s">
        <v>776</v>
      </c>
      <c r="B14" s="534"/>
      <c r="C14" s="534"/>
      <c r="D14" s="534"/>
      <c r="E14" s="534"/>
      <c r="F14" s="534"/>
      <c r="G14" s="129"/>
    </row>
    <row r="15" spans="1:7" ht="17.100000000000001" customHeight="1" x14ac:dyDescent="0.4">
      <c r="A15" s="117"/>
      <c r="B15" s="117"/>
      <c r="C15" s="117"/>
      <c r="D15" s="117"/>
      <c r="E15" s="117"/>
      <c r="F15" s="117"/>
      <c r="G15" s="129"/>
    </row>
    <row r="16" spans="1:7" ht="17.100000000000001" customHeight="1" thickBot="1" x14ac:dyDescent="0.45">
      <c r="A16" s="538" t="s">
        <v>10</v>
      </c>
      <c r="B16" s="538"/>
      <c r="C16" s="538"/>
      <c r="D16" s="538"/>
      <c r="E16" s="538"/>
      <c r="F16" s="538"/>
      <c r="G16" s="138"/>
    </row>
    <row r="17" spans="1:18" ht="17.100000000000001" customHeight="1" x14ac:dyDescent="0.4">
      <c r="A17" s="539" t="s">
        <v>898</v>
      </c>
      <c r="B17" s="540"/>
      <c r="C17" s="540"/>
      <c r="D17" s="540"/>
      <c r="E17" s="540"/>
      <c r="F17" s="540"/>
      <c r="G17" s="138"/>
    </row>
    <row r="18" spans="1:18" ht="17.100000000000001" customHeight="1" x14ac:dyDescent="0.45">
      <c r="A18" s="505" t="s">
        <v>780</v>
      </c>
      <c r="B18" s="505"/>
      <c r="C18" s="505"/>
      <c r="D18" s="505"/>
      <c r="E18" s="505"/>
      <c r="F18" s="505"/>
      <c r="G18" s="505"/>
      <c r="H18" s="120"/>
      <c r="I18" s="120"/>
      <c r="J18" s="120"/>
      <c r="K18" s="120"/>
      <c r="L18" s="120"/>
      <c r="M18" s="120"/>
      <c r="N18" s="120"/>
      <c r="O18" s="120"/>
      <c r="P18" s="120"/>
      <c r="Q18" s="120"/>
      <c r="R18" s="120"/>
    </row>
    <row r="19" spans="1:18" ht="17.100000000000001" customHeight="1" x14ac:dyDescent="0.4">
      <c r="A19" s="535" t="s">
        <v>575</v>
      </c>
      <c r="B19" s="508"/>
      <c r="C19" s="508"/>
      <c r="D19" s="508"/>
      <c r="E19" s="508"/>
      <c r="F19" s="508"/>
      <c r="G19" s="139"/>
    </row>
    <row r="20" spans="1:18" ht="12.6" thickBot="1" x14ac:dyDescent="0.45">
      <c r="A20" s="536" t="s">
        <v>845</v>
      </c>
      <c r="B20" s="537"/>
      <c r="C20" s="537"/>
      <c r="D20" s="537"/>
      <c r="E20" s="537"/>
      <c r="F20" s="537"/>
      <c r="G20" s="138"/>
    </row>
    <row r="21" spans="1:18" x14ac:dyDescent="0.4">
      <c r="G21" s="131"/>
    </row>
    <row r="22" spans="1:18" x14ac:dyDescent="0.4">
      <c r="A22" s="124" t="s">
        <v>614</v>
      </c>
    </row>
  </sheetData>
  <mergeCells count="10">
    <mergeCell ref="A19:F19"/>
    <mergeCell ref="A20:F20"/>
    <mergeCell ref="A16:F16"/>
    <mergeCell ref="A17:F17"/>
    <mergeCell ref="A18:G18"/>
    <mergeCell ref="A14:F14"/>
    <mergeCell ref="A2:F2"/>
    <mergeCell ref="A3:F3"/>
    <mergeCell ref="B5:C5"/>
    <mergeCell ref="D5:E5"/>
  </mergeCells>
  <hyperlinks>
    <hyperlink ref="A22" location="Contents!A1" display="Return to Contents" xr:uid="{00000000-0004-0000-1600-000000000000}"/>
    <hyperlink ref="A19:F19" r:id="rId1" display="Contact via enquiries@NHSDigital.nhs.uk or 0300 303 5678" xr:uid="{00000000-0004-0000-1600-000001000000}"/>
  </hyperlinks>
  <pageMargins left="0.78740157480314965" right="0.78740157480314965" top="0.78740157480314965" bottom="0.78740157480314965" header="0.78740157480314965" footer="0.78740157480314965"/>
  <pageSetup paperSize="9" scale="92" fitToHeight="0" orientation="landscape" r:id="rId2"/>
  <headerFooter alignWithMargins="0">
    <oddFooter>&amp;L&amp;C&amp;R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dimension ref="A1:R18"/>
  <sheetViews>
    <sheetView showGridLines="0" workbookViewId="0"/>
  </sheetViews>
  <sheetFormatPr defaultColWidth="9.109375" defaultRowHeight="12.3" x14ac:dyDescent="0.4"/>
  <cols>
    <col min="1" max="1" width="21.5546875" style="113" customWidth="1"/>
    <col min="2" max="5" width="17.88671875" style="113" customWidth="1"/>
    <col min="6" max="7" width="9.109375" style="113" customWidth="1"/>
    <col min="8" max="16384" width="9.109375" style="113"/>
  </cols>
  <sheetData>
    <row r="1" spans="1:18" s="351" customFormat="1" ht="15" customHeight="1" x14ac:dyDescent="0.4"/>
    <row r="2" spans="1:18" ht="48.75" customHeight="1" x14ac:dyDescent="0.4">
      <c r="A2" s="514" t="s">
        <v>852</v>
      </c>
      <c r="B2" s="514"/>
      <c r="C2" s="514"/>
      <c r="D2" s="514"/>
      <c r="E2" s="514"/>
      <c r="F2" s="514"/>
      <c r="G2" s="6"/>
    </row>
    <row r="3" spans="1:18" ht="30" customHeight="1" x14ac:dyDescent="0.4">
      <c r="A3" s="511" t="s">
        <v>783</v>
      </c>
      <c r="B3" s="511"/>
      <c r="C3" s="511"/>
      <c r="D3" s="511"/>
      <c r="E3" s="511"/>
      <c r="F3" s="511"/>
      <c r="G3" s="129"/>
    </row>
    <row r="4" spans="1:18" ht="11.25" customHeight="1" thickBot="1" x14ac:dyDescent="0.45"/>
    <row r="5" spans="1:18" ht="15" customHeight="1" thickBot="1" x14ac:dyDescent="0.45">
      <c r="A5" s="249"/>
      <c r="B5" s="541" t="s">
        <v>673</v>
      </c>
      <c r="C5" s="542"/>
      <c r="D5" s="541" t="s">
        <v>844</v>
      </c>
      <c r="E5" s="510"/>
    </row>
    <row r="6" spans="1:18" ht="30" customHeight="1" thickBot="1" x14ac:dyDescent="0.45">
      <c r="A6" s="140" t="s">
        <v>46</v>
      </c>
      <c r="B6" s="134" t="s">
        <v>39</v>
      </c>
      <c r="C6" s="135" t="s">
        <v>40</v>
      </c>
      <c r="D6" s="134" t="s">
        <v>39</v>
      </c>
      <c r="E6" s="135" t="s">
        <v>40</v>
      </c>
    </row>
    <row r="7" spans="1:18" ht="15" customHeight="1" x14ac:dyDescent="0.4">
      <c r="A7" s="250" t="s">
        <v>47</v>
      </c>
      <c r="B7" s="253">
        <v>10210937</v>
      </c>
      <c r="C7" s="215">
        <v>0.48887944415151074</v>
      </c>
      <c r="D7" s="253">
        <v>10396957</v>
      </c>
      <c r="E7" s="215">
        <v>0.48861315626324109</v>
      </c>
    </row>
    <row r="8" spans="1:18" ht="15" customHeight="1" x14ac:dyDescent="0.4">
      <c r="A8" s="242" t="s">
        <v>48</v>
      </c>
      <c r="B8" s="254">
        <v>10462262</v>
      </c>
      <c r="C8" s="215">
        <v>0.500912387484858</v>
      </c>
      <c r="D8" s="254">
        <v>10766632</v>
      </c>
      <c r="E8" s="215">
        <v>0.50598632309865388</v>
      </c>
    </row>
    <row r="9" spans="1:18" ht="15" customHeight="1" thickBot="1" x14ac:dyDescent="0.45">
      <c r="A9" s="251" t="s">
        <v>8</v>
      </c>
      <c r="B9" s="255">
        <v>213212</v>
      </c>
      <c r="C9" s="215">
        <v>1.0208168363631262E-2</v>
      </c>
      <c r="D9" s="255">
        <v>114915</v>
      </c>
      <c r="E9" s="215">
        <v>5.4005206381050096E-3</v>
      </c>
    </row>
    <row r="10" spans="1:18" ht="15" customHeight="1" thickBot="1" x14ac:dyDescent="0.45">
      <c r="A10" s="140" t="s">
        <v>49</v>
      </c>
      <c r="B10" s="248">
        <v>20886411</v>
      </c>
      <c r="C10" s="245"/>
      <c r="D10" s="248">
        <v>21278504</v>
      </c>
      <c r="E10" s="245"/>
    </row>
    <row r="11" spans="1:18" ht="5.0999999999999996" customHeight="1" x14ac:dyDescent="0.4">
      <c r="A11" s="252"/>
      <c r="B11" s="252"/>
      <c r="C11" s="252"/>
      <c r="D11" s="252"/>
      <c r="E11" s="252"/>
    </row>
    <row r="12" spans="1:18" ht="17.100000000000001" customHeight="1" thickBot="1" x14ac:dyDescent="0.45">
      <c r="A12" s="543" t="s">
        <v>10</v>
      </c>
      <c r="B12" s="543"/>
      <c r="C12" s="543"/>
      <c r="D12" s="543"/>
      <c r="E12" s="543"/>
      <c r="F12" s="543"/>
      <c r="G12" s="138"/>
    </row>
    <row r="13" spans="1:18" ht="17.100000000000001" customHeight="1" x14ac:dyDescent="0.4">
      <c r="A13" s="540" t="s">
        <v>898</v>
      </c>
      <c r="B13" s="540"/>
      <c r="C13" s="540"/>
      <c r="D13" s="540"/>
      <c r="E13" s="540"/>
      <c r="F13" s="540"/>
      <c r="G13" s="138"/>
    </row>
    <row r="14" spans="1:18" ht="17.100000000000001" customHeight="1" x14ac:dyDescent="0.45">
      <c r="A14" s="505" t="s">
        <v>780</v>
      </c>
      <c r="B14" s="505"/>
      <c r="C14" s="505"/>
      <c r="D14" s="505"/>
      <c r="E14" s="505"/>
      <c r="F14" s="505"/>
      <c r="G14" s="505"/>
      <c r="H14" s="120"/>
      <c r="I14" s="120"/>
      <c r="J14" s="120"/>
      <c r="K14" s="120"/>
      <c r="L14" s="120"/>
      <c r="M14" s="120"/>
      <c r="N14" s="120"/>
      <c r="O14" s="120"/>
      <c r="P14" s="120"/>
      <c r="Q14" s="120"/>
      <c r="R14" s="120"/>
    </row>
    <row r="15" spans="1:18" ht="17.100000000000001" customHeight="1" x14ac:dyDescent="0.4">
      <c r="A15" s="508" t="s">
        <v>575</v>
      </c>
      <c r="B15" s="508"/>
      <c r="C15" s="508"/>
      <c r="D15" s="508"/>
      <c r="E15" s="508"/>
      <c r="F15" s="508"/>
      <c r="G15" s="139"/>
    </row>
    <row r="16" spans="1:18" ht="12.6" thickBot="1" x14ac:dyDescent="0.45">
      <c r="A16" s="517" t="s">
        <v>845</v>
      </c>
      <c r="B16" s="517"/>
      <c r="C16" s="517"/>
      <c r="D16" s="517"/>
      <c r="E16" s="517"/>
      <c r="F16" s="517"/>
      <c r="G16" s="138"/>
    </row>
    <row r="17" spans="1:1" x14ac:dyDescent="0.4">
      <c r="A17" s="131"/>
    </row>
    <row r="18" spans="1:1" x14ac:dyDescent="0.4">
      <c r="A18" s="124" t="s">
        <v>614</v>
      </c>
    </row>
  </sheetData>
  <mergeCells count="9">
    <mergeCell ref="A13:F13"/>
    <mergeCell ref="A15:F15"/>
    <mergeCell ref="A16:F16"/>
    <mergeCell ref="A14:G14"/>
    <mergeCell ref="A2:F2"/>
    <mergeCell ref="A3:F3"/>
    <mergeCell ref="B5:C5"/>
    <mergeCell ref="D5:E5"/>
    <mergeCell ref="A12:F12"/>
  </mergeCells>
  <hyperlinks>
    <hyperlink ref="A18" location="Contents!A1" display="Return to Contents" xr:uid="{00000000-0004-0000-1700-000000000000}"/>
    <hyperlink ref="A15:F15" r:id="rId1" display="Contact via enquiries@NHSDigital.nhs.uk or 0300 303 5678" xr:uid="{00000000-0004-0000-1700-000001000000}"/>
  </hyperlinks>
  <pageMargins left="0.78740157480314965" right="0.78740157480314965" top="0.78740157480314965" bottom="0.78740157480314965" header="0.78740157480314965" footer="0.78740157480314965"/>
  <pageSetup paperSize="9" orientation="landscape" r:id="rId2"/>
  <headerFooter alignWithMargins="0">
    <oddFooter>&amp;L&amp;C&amp;R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pageSetUpPr fitToPage="1"/>
  </sheetPr>
  <dimension ref="A1:R40"/>
  <sheetViews>
    <sheetView showGridLines="0" zoomScaleNormal="100" workbookViewId="0"/>
  </sheetViews>
  <sheetFormatPr defaultColWidth="9.109375" defaultRowHeight="12.3" x14ac:dyDescent="0.4"/>
  <cols>
    <col min="1" max="1" width="21.5546875" style="113" customWidth="1"/>
    <col min="2" max="5" width="17.88671875" style="113" customWidth="1"/>
    <col min="6" max="7" width="9.109375" style="113" customWidth="1"/>
    <col min="8" max="16384" width="9.109375" style="113"/>
  </cols>
  <sheetData>
    <row r="1" spans="1:11" s="351" customFormat="1" ht="15" customHeight="1" x14ac:dyDescent="0.4"/>
    <row r="2" spans="1:11" ht="48.75" customHeight="1" x14ac:dyDescent="0.4">
      <c r="A2" s="514" t="s">
        <v>853</v>
      </c>
      <c r="B2" s="514"/>
      <c r="C2" s="514"/>
      <c r="D2" s="514"/>
      <c r="E2" s="514"/>
      <c r="F2" s="386"/>
    </row>
    <row r="3" spans="1:11" ht="30" customHeight="1" x14ac:dyDescent="0.4">
      <c r="A3" s="511" t="s">
        <v>783</v>
      </c>
      <c r="B3" s="511"/>
      <c r="C3" s="511"/>
      <c r="D3" s="511"/>
      <c r="E3" s="511"/>
      <c r="F3" s="511"/>
    </row>
    <row r="4" spans="1:11" ht="11.25" customHeight="1" thickBot="1" x14ac:dyDescent="0.45">
      <c r="A4" s="7"/>
      <c r="B4" s="129"/>
      <c r="C4" s="129"/>
      <c r="D4" s="129"/>
      <c r="E4" s="129"/>
      <c r="F4" s="129"/>
    </row>
    <row r="5" spans="1:11" ht="15" customHeight="1" thickBot="1" x14ac:dyDescent="0.45">
      <c r="A5" s="249"/>
      <c r="B5" s="541" t="s">
        <v>673</v>
      </c>
      <c r="C5" s="510"/>
      <c r="D5" s="541" t="s">
        <v>844</v>
      </c>
      <c r="E5" s="510"/>
      <c r="G5" s="141"/>
      <c r="H5" s="544"/>
      <c r="I5" s="545"/>
      <c r="J5" s="544"/>
      <c r="K5" s="545"/>
    </row>
    <row r="6" spans="1:11" ht="30" customHeight="1" thickBot="1" x14ac:dyDescent="0.45">
      <c r="A6" s="140" t="s">
        <v>50</v>
      </c>
      <c r="B6" s="134" t="s">
        <v>39</v>
      </c>
      <c r="C6" s="135" t="s">
        <v>40</v>
      </c>
      <c r="D6" s="134" t="s">
        <v>39</v>
      </c>
      <c r="E6" s="135" t="s">
        <v>40</v>
      </c>
      <c r="G6" s="142"/>
      <c r="H6" s="143"/>
      <c r="I6" s="143"/>
      <c r="J6" s="143"/>
      <c r="K6" s="143"/>
    </row>
    <row r="7" spans="1:11" ht="15" customHeight="1" x14ac:dyDescent="0.4">
      <c r="A7" s="257">
        <v>0</v>
      </c>
      <c r="B7" s="258">
        <v>585319</v>
      </c>
      <c r="C7" s="215">
        <v>2.8023914687880076E-2</v>
      </c>
      <c r="D7" s="258">
        <v>586265</v>
      </c>
      <c r="E7" s="215">
        <v>2.7551983917666393E-2</v>
      </c>
      <c r="G7" s="141"/>
      <c r="H7" s="144"/>
      <c r="I7" s="145"/>
      <c r="J7" s="144"/>
      <c r="K7" s="145"/>
    </row>
    <row r="8" spans="1:11" ht="15" customHeight="1" x14ac:dyDescent="0.4">
      <c r="A8" s="246" t="s">
        <v>52</v>
      </c>
      <c r="B8" s="258">
        <v>1514449</v>
      </c>
      <c r="C8" s="215">
        <v>7.2508819250947418E-2</v>
      </c>
      <c r="D8" s="258">
        <v>1539847</v>
      </c>
      <c r="E8" s="215">
        <v>7.2366318609616537E-2</v>
      </c>
      <c r="F8" s="146"/>
      <c r="G8" s="434"/>
      <c r="H8" s="144"/>
      <c r="I8" s="145"/>
      <c r="J8" s="144"/>
      <c r="K8" s="145"/>
    </row>
    <row r="9" spans="1:11" ht="15" customHeight="1" x14ac:dyDescent="0.4">
      <c r="A9" s="246" t="s">
        <v>53</v>
      </c>
      <c r="B9" s="258">
        <v>1062475</v>
      </c>
      <c r="C9" s="215">
        <v>5.0869199117071863E-2</v>
      </c>
      <c r="D9" s="258">
        <v>1075422</v>
      </c>
      <c r="E9" s="215">
        <v>5.0540301141471226E-2</v>
      </c>
      <c r="G9" s="434"/>
      <c r="H9" s="144"/>
      <c r="I9" s="145"/>
      <c r="J9" s="144"/>
      <c r="K9" s="145"/>
    </row>
    <row r="10" spans="1:11" ht="15" customHeight="1" x14ac:dyDescent="0.4">
      <c r="A10" s="246" t="s">
        <v>54</v>
      </c>
      <c r="B10" s="258">
        <v>1113739</v>
      </c>
      <c r="C10" s="215">
        <v>5.3323617925549772E-2</v>
      </c>
      <c r="D10" s="258">
        <v>1099944</v>
      </c>
      <c r="E10" s="215">
        <v>5.1692731782271913E-2</v>
      </c>
      <c r="G10" s="435"/>
      <c r="H10" s="144"/>
      <c r="I10" s="145"/>
      <c r="J10" s="144"/>
      <c r="K10" s="145"/>
    </row>
    <row r="11" spans="1:11" ht="15" customHeight="1" x14ac:dyDescent="0.4">
      <c r="A11" s="257">
        <v>15</v>
      </c>
      <c r="B11" s="258">
        <v>215863</v>
      </c>
      <c r="C11" s="215">
        <v>1.0335092994196082E-2</v>
      </c>
      <c r="D11" s="258">
        <v>209314</v>
      </c>
      <c r="E11" s="215">
        <v>9.8368757502877088E-3</v>
      </c>
      <c r="G11" s="141"/>
      <c r="H11" s="144"/>
      <c r="I11" s="145"/>
      <c r="J11" s="144"/>
      <c r="K11" s="145"/>
    </row>
    <row r="12" spans="1:11" ht="15" customHeight="1" x14ac:dyDescent="0.4">
      <c r="A12" s="257">
        <v>16</v>
      </c>
      <c r="B12" s="258">
        <v>208722</v>
      </c>
      <c r="C12" s="215">
        <v>9.9931960546022006E-3</v>
      </c>
      <c r="D12" s="258">
        <v>200411</v>
      </c>
      <c r="E12" s="215">
        <v>9.4184722760585048E-3</v>
      </c>
      <c r="G12" s="141"/>
      <c r="H12" s="144"/>
      <c r="I12" s="145"/>
      <c r="J12" s="144"/>
      <c r="K12" s="145"/>
    </row>
    <row r="13" spans="1:11" ht="15" customHeight="1" x14ac:dyDescent="0.4">
      <c r="A13" s="257">
        <v>17</v>
      </c>
      <c r="B13" s="258">
        <v>233358</v>
      </c>
      <c r="C13" s="215">
        <v>1.1172718951092172E-2</v>
      </c>
      <c r="D13" s="258">
        <v>228542</v>
      </c>
      <c r="E13" s="215">
        <v>1.0740510705075883E-2</v>
      </c>
      <c r="G13" s="141"/>
      <c r="H13" s="144"/>
      <c r="I13" s="145"/>
      <c r="J13" s="144"/>
      <c r="K13" s="145"/>
    </row>
    <row r="14" spans="1:11" ht="15" customHeight="1" x14ac:dyDescent="0.4">
      <c r="A14" s="257">
        <v>18</v>
      </c>
      <c r="B14" s="258">
        <v>285712</v>
      </c>
      <c r="C14" s="215">
        <v>1.3679324801182932E-2</v>
      </c>
      <c r="D14" s="258">
        <v>283506</v>
      </c>
      <c r="E14" s="215">
        <v>1.3323587034126083E-2</v>
      </c>
      <c r="G14" s="141"/>
      <c r="H14" s="144"/>
      <c r="I14" s="145"/>
      <c r="J14" s="144"/>
      <c r="K14" s="145"/>
    </row>
    <row r="15" spans="1:11" ht="15" customHeight="1" x14ac:dyDescent="0.4">
      <c r="A15" s="257">
        <v>19</v>
      </c>
      <c r="B15" s="258">
        <v>318341</v>
      </c>
      <c r="C15" s="215">
        <v>1.5241536710160496E-2</v>
      </c>
      <c r="D15" s="258">
        <v>315433</v>
      </c>
      <c r="E15" s="215">
        <v>1.4824021463163011E-2</v>
      </c>
      <c r="G15" s="141"/>
      <c r="H15" s="144"/>
      <c r="I15" s="145"/>
      <c r="J15" s="144"/>
      <c r="K15" s="145"/>
    </row>
    <row r="16" spans="1:11" ht="15" customHeight="1" x14ac:dyDescent="0.4">
      <c r="A16" s="246" t="s">
        <v>60</v>
      </c>
      <c r="B16" s="258">
        <v>1636649</v>
      </c>
      <c r="C16" s="215">
        <v>7.835951327396555E-2</v>
      </c>
      <c r="D16" s="258">
        <v>1612943</v>
      </c>
      <c r="E16" s="215">
        <v>7.580152251304885E-2</v>
      </c>
      <c r="G16" s="141"/>
      <c r="H16" s="144"/>
      <c r="I16" s="145"/>
      <c r="J16" s="144"/>
      <c r="K16" s="145"/>
    </row>
    <row r="17" spans="1:11" ht="15" customHeight="1" x14ac:dyDescent="0.4">
      <c r="A17" s="246" t="s">
        <v>61</v>
      </c>
      <c r="B17" s="258">
        <v>1611899</v>
      </c>
      <c r="C17" s="215">
        <v>7.717453228321515E-2</v>
      </c>
      <c r="D17" s="258">
        <v>1606226</v>
      </c>
      <c r="E17" s="215">
        <v>7.5485851824921527E-2</v>
      </c>
      <c r="G17" s="141"/>
      <c r="H17" s="144"/>
      <c r="I17" s="145"/>
      <c r="J17" s="144"/>
      <c r="K17" s="145"/>
    </row>
    <row r="18" spans="1:11" ht="15" customHeight="1" x14ac:dyDescent="0.4">
      <c r="A18" s="246" t="s">
        <v>62</v>
      </c>
      <c r="B18" s="258">
        <v>1383548</v>
      </c>
      <c r="C18" s="215">
        <v>6.6241538577403267E-2</v>
      </c>
      <c r="D18" s="258">
        <v>1409281</v>
      </c>
      <c r="E18" s="215">
        <v>6.6230266939818705E-2</v>
      </c>
      <c r="G18" s="141"/>
      <c r="H18" s="144"/>
      <c r="I18" s="145"/>
      <c r="J18" s="144"/>
      <c r="K18" s="145"/>
    </row>
    <row r="19" spans="1:11" ht="15" customHeight="1" x14ac:dyDescent="0.4">
      <c r="A19" s="236" t="s">
        <v>63</v>
      </c>
      <c r="B19" s="259">
        <v>1182885</v>
      </c>
      <c r="C19" s="215">
        <v>5.6634191484597328E-2</v>
      </c>
      <c r="D19" s="259">
        <v>1230082</v>
      </c>
      <c r="E19" s="215">
        <v>5.7808669256071761E-2</v>
      </c>
      <c r="G19" s="141"/>
      <c r="H19" s="144"/>
      <c r="I19" s="145"/>
      <c r="J19" s="144"/>
      <c r="K19" s="145"/>
    </row>
    <row r="20" spans="1:11" ht="15" customHeight="1" x14ac:dyDescent="0.4">
      <c r="A20" s="236" t="s">
        <v>64</v>
      </c>
      <c r="B20" s="259">
        <v>1089712</v>
      </c>
      <c r="C20" s="215">
        <v>5.2173252743135237E-2</v>
      </c>
      <c r="D20" s="259">
        <v>1079111</v>
      </c>
      <c r="E20" s="215">
        <v>5.0713668592491275E-2</v>
      </c>
      <c r="G20" s="141"/>
      <c r="H20" s="144"/>
      <c r="I20" s="145"/>
      <c r="J20" s="144"/>
      <c r="K20" s="145"/>
    </row>
    <row r="21" spans="1:11" ht="15" customHeight="1" x14ac:dyDescent="0.4">
      <c r="A21" s="236" t="s">
        <v>65</v>
      </c>
      <c r="B21" s="259">
        <v>1150707</v>
      </c>
      <c r="C21" s="215">
        <v>5.509357256256233E-2</v>
      </c>
      <c r="D21" s="259">
        <v>1153443</v>
      </c>
      <c r="E21" s="215">
        <v>5.4206959286235534E-2</v>
      </c>
      <c r="G21" s="141"/>
      <c r="H21" s="144"/>
      <c r="I21" s="145"/>
      <c r="J21" s="144"/>
      <c r="K21" s="145"/>
    </row>
    <row r="22" spans="1:11" ht="15" customHeight="1" x14ac:dyDescent="0.4">
      <c r="A22" s="236" t="s">
        <v>66</v>
      </c>
      <c r="B22" s="259">
        <v>1130945</v>
      </c>
      <c r="C22" s="215">
        <v>5.4147407134715483E-2</v>
      </c>
      <c r="D22" s="259">
        <v>1157977</v>
      </c>
      <c r="E22" s="215">
        <v>5.4420038175616102E-2</v>
      </c>
      <c r="G22" s="141"/>
      <c r="H22" s="144"/>
      <c r="I22" s="145"/>
      <c r="J22" s="144"/>
      <c r="K22" s="145"/>
    </row>
    <row r="23" spans="1:11" ht="15" customHeight="1" x14ac:dyDescent="0.4">
      <c r="A23" s="236" t="s">
        <v>67</v>
      </c>
      <c r="B23" s="259">
        <v>972112</v>
      </c>
      <c r="C23" s="215">
        <v>4.6542797611327291E-2</v>
      </c>
      <c r="D23" s="259">
        <v>1023018</v>
      </c>
      <c r="E23" s="215">
        <v>4.8077534022128623E-2</v>
      </c>
      <c r="G23" s="141"/>
      <c r="H23" s="144"/>
      <c r="I23" s="145"/>
      <c r="J23" s="144"/>
      <c r="K23" s="145"/>
    </row>
    <row r="24" spans="1:11" ht="15" customHeight="1" x14ac:dyDescent="0.4">
      <c r="A24" s="236" t="s">
        <v>68</v>
      </c>
      <c r="B24" s="259">
        <v>833735</v>
      </c>
      <c r="C24" s="215">
        <v>3.9917580861546773E-2</v>
      </c>
      <c r="D24" s="259">
        <v>873993</v>
      </c>
      <c r="E24" s="215">
        <v>4.107398715623993E-2</v>
      </c>
      <c r="G24" s="141"/>
      <c r="H24" s="144"/>
      <c r="I24" s="145"/>
      <c r="J24" s="144"/>
      <c r="K24" s="145"/>
    </row>
    <row r="25" spans="1:11" ht="15" customHeight="1" x14ac:dyDescent="0.4">
      <c r="A25" s="236" t="s">
        <v>69</v>
      </c>
      <c r="B25" s="259">
        <v>865760</v>
      </c>
      <c r="C25" s="215">
        <v>4.1450874446548047E-2</v>
      </c>
      <c r="D25" s="259">
        <v>854230</v>
      </c>
      <c r="E25" s="215">
        <v>4.0145209456454271E-2</v>
      </c>
      <c r="G25" s="141"/>
      <c r="H25" s="144"/>
      <c r="I25" s="145"/>
      <c r="J25" s="144"/>
      <c r="K25" s="145"/>
    </row>
    <row r="26" spans="1:11" ht="15" customHeight="1" x14ac:dyDescent="0.4">
      <c r="A26" s="236" t="s">
        <v>70</v>
      </c>
      <c r="B26" s="259">
        <v>824343</v>
      </c>
      <c r="C26" s="215">
        <v>3.9467910499319393E-2</v>
      </c>
      <c r="D26" s="259">
        <v>901321</v>
      </c>
      <c r="E26" s="215">
        <v>4.2358287969868562E-2</v>
      </c>
      <c r="G26" s="141"/>
      <c r="H26" s="144"/>
      <c r="I26" s="145"/>
      <c r="J26" s="144"/>
      <c r="K26" s="145"/>
    </row>
    <row r="27" spans="1:11" ht="15" customHeight="1" x14ac:dyDescent="0.4">
      <c r="A27" s="236" t="s">
        <v>71</v>
      </c>
      <c r="B27" s="259">
        <v>800255</v>
      </c>
      <c r="C27" s="215">
        <v>3.8314624757695329E-2</v>
      </c>
      <c r="D27" s="259">
        <v>828660</v>
      </c>
      <c r="E27" s="215">
        <v>3.8943527232929535E-2</v>
      </c>
      <c r="G27" s="141"/>
      <c r="H27" s="144"/>
      <c r="I27" s="145"/>
      <c r="J27" s="144"/>
      <c r="K27" s="145"/>
    </row>
    <row r="28" spans="1:11" ht="15" customHeight="1" x14ac:dyDescent="0.4">
      <c r="A28" s="236" t="s">
        <v>72</v>
      </c>
      <c r="B28" s="259">
        <v>777996</v>
      </c>
      <c r="C28" s="215">
        <v>3.7248907914337222E-2</v>
      </c>
      <c r="D28" s="259">
        <v>808375</v>
      </c>
      <c r="E28" s="215">
        <v>3.7990217733351934E-2</v>
      </c>
      <c r="G28" s="141"/>
      <c r="H28" s="144"/>
      <c r="I28" s="145"/>
      <c r="J28" s="144"/>
      <c r="K28" s="145"/>
    </row>
    <row r="29" spans="1:11" ht="15" customHeight="1" x14ac:dyDescent="0.4">
      <c r="A29" s="236" t="s">
        <v>73</v>
      </c>
      <c r="B29" s="259">
        <v>633964</v>
      </c>
      <c r="C29" s="215">
        <v>3.0352940962427678E-2</v>
      </c>
      <c r="D29" s="259">
        <v>662075</v>
      </c>
      <c r="E29" s="215">
        <v>3.1114734381702775E-2</v>
      </c>
      <c r="G29" s="141"/>
      <c r="H29" s="144"/>
      <c r="I29" s="145"/>
      <c r="J29" s="144"/>
      <c r="K29" s="145"/>
    </row>
    <row r="30" spans="1:11" ht="15" customHeight="1" x14ac:dyDescent="0.4">
      <c r="A30" s="236" t="s">
        <v>74</v>
      </c>
      <c r="B30" s="259">
        <v>450327</v>
      </c>
      <c r="C30" s="215">
        <v>2.1560765035218352E-2</v>
      </c>
      <c r="D30" s="259">
        <v>468008</v>
      </c>
      <c r="E30" s="215">
        <v>2.1994403365950915E-2</v>
      </c>
      <c r="G30" s="141"/>
      <c r="H30" s="144"/>
      <c r="I30" s="145"/>
      <c r="J30" s="144"/>
      <c r="K30" s="145"/>
    </row>
    <row r="31" spans="1:11" ht="15" customHeight="1" thickBot="1" x14ac:dyDescent="0.45">
      <c r="A31" s="246" t="s">
        <v>8</v>
      </c>
      <c r="B31" s="258">
        <v>3596</v>
      </c>
      <c r="C31" s="215">
        <v>1.7216935930256281E-4</v>
      </c>
      <c r="D31" s="258">
        <v>71077</v>
      </c>
      <c r="E31" s="215">
        <v>3.340319413432448E-3</v>
      </c>
      <c r="G31" s="141"/>
      <c r="H31" s="144"/>
      <c r="I31" s="145"/>
      <c r="J31" s="144"/>
      <c r="K31" s="145"/>
    </row>
    <row r="32" spans="1:11" ht="15" customHeight="1" thickBot="1" x14ac:dyDescent="0.45">
      <c r="A32" s="133" t="s">
        <v>49</v>
      </c>
      <c r="B32" s="260">
        <v>20886411</v>
      </c>
      <c r="C32" s="245"/>
      <c r="D32" s="260">
        <v>21278504</v>
      </c>
      <c r="E32" s="245"/>
      <c r="I32" s="148"/>
      <c r="J32" s="147"/>
      <c r="K32" s="148"/>
    </row>
    <row r="33" spans="1:18" ht="5.0999999999999996" customHeight="1" x14ac:dyDescent="0.4"/>
    <row r="34" spans="1:18" ht="17.100000000000001" customHeight="1" thickBot="1" x14ac:dyDescent="0.45">
      <c r="A34" s="543" t="s">
        <v>10</v>
      </c>
      <c r="B34" s="543"/>
      <c r="C34" s="543"/>
      <c r="D34" s="543"/>
      <c r="E34" s="543"/>
      <c r="F34" s="543"/>
    </row>
    <row r="35" spans="1:18" ht="17.100000000000001" customHeight="1" x14ac:dyDescent="0.4">
      <c r="A35" s="540" t="s">
        <v>898</v>
      </c>
      <c r="B35" s="540"/>
      <c r="C35" s="540"/>
      <c r="D35" s="540"/>
      <c r="E35" s="540"/>
      <c r="F35" s="540"/>
    </row>
    <row r="36" spans="1:18" ht="17.100000000000001" customHeight="1" x14ac:dyDescent="0.45">
      <c r="A36" s="505" t="s">
        <v>780</v>
      </c>
      <c r="B36" s="505"/>
      <c r="C36" s="505"/>
      <c r="D36" s="505"/>
      <c r="E36" s="505"/>
      <c r="F36" s="505"/>
      <c r="G36" s="505"/>
      <c r="H36" s="120"/>
      <c r="I36" s="120"/>
      <c r="J36" s="120"/>
      <c r="K36" s="120"/>
      <c r="L36" s="120"/>
      <c r="M36" s="120"/>
      <c r="N36" s="120"/>
      <c r="O36" s="120"/>
      <c r="P36" s="120"/>
      <c r="Q36" s="120"/>
      <c r="R36" s="120"/>
    </row>
    <row r="37" spans="1:18" ht="17.100000000000001" customHeight="1" x14ac:dyDescent="0.4">
      <c r="A37" s="508" t="s">
        <v>575</v>
      </c>
      <c r="B37" s="508"/>
      <c r="C37" s="508"/>
      <c r="D37" s="508"/>
      <c r="E37" s="508"/>
      <c r="F37" s="508"/>
    </row>
    <row r="38" spans="1:18" ht="12.6" thickBot="1" x14ac:dyDescent="0.45">
      <c r="A38" s="537" t="s">
        <v>845</v>
      </c>
      <c r="B38" s="537"/>
      <c r="C38" s="537"/>
      <c r="D38" s="537"/>
      <c r="E38" s="537"/>
      <c r="F38" s="537"/>
    </row>
    <row r="40" spans="1:18" x14ac:dyDescent="0.4">
      <c r="A40" s="124" t="s">
        <v>614</v>
      </c>
    </row>
  </sheetData>
  <mergeCells count="11">
    <mergeCell ref="H5:I5"/>
    <mergeCell ref="J5:K5"/>
    <mergeCell ref="A34:F34"/>
    <mergeCell ref="A35:F35"/>
    <mergeCell ref="A37:F37"/>
    <mergeCell ref="A2:E2"/>
    <mergeCell ref="A38:F38"/>
    <mergeCell ref="A3:F3"/>
    <mergeCell ref="B5:C5"/>
    <mergeCell ref="D5:E5"/>
    <mergeCell ref="A36:G36"/>
  </mergeCells>
  <hyperlinks>
    <hyperlink ref="A40" location="Contents!A1" display="Return to Contents" xr:uid="{00000000-0004-0000-1800-000000000000}"/>
    <hyperlink ref="A37:F37" r:id="rId1" display="Contact via enquiries@NHSDigital.nhs.uk or 0300 303 5678" xr:uid="{00000000-0004-0000-1800-000001000000}"/>
  </hyperlinks>
  <pageMargins left="0.78740157480314965" right="0.78740157480314965" top="0.78740157480314965" bottom="0.78740157480314965" header="0.78740157480314965" footer="0.78740157480314965"/>
  <pageSetup paperSize="9" fitToHeight="0" orientation="landscape" r:id="rId2"/>
  <headerFooter alignWithMargins="0">
    <oddFooter>&amp;L&amp;C&amp;R</oddFooter>
  </headerFooter>
  <ignoredErrors>
    <ignoredError sqref="A10"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37">
    <pageSetUpPr fitToPage="1"/>
  </sheetPr>
  <dimension ref="A1:R40"/>
  <sheetViews>
    <sheetView showGridLines="0" workbookViewId="0"/>
  </sheetViews>
  <sheetFormatPr defaultColWidth="9.109375" defaultRowHeight="12.3" x14ac:dyDescent="0.4"/>
  <cols>
    <col min="1" max="1" width="21.5546875" style="89" customWidth="1"/>
    <col min="2" max="9" width="13.44140625" style="89" customWidth="1"/>
    <col min="10" max="10" width="12.5546875" style="89" customWidth="1"/>
    <col min="11" max="17" width="13.33203125" style="89" customWidth="1"/>
    <col min="18" max="16384" width="9.109375" style="89"/>
  </cols>
  <sheetData>
    <row r="1" spans="1:17" s="354" customFormat="1" ht="15" customHeight="1" x14ac:dyDescent="0.4"/>
    <row r="2" spans="1:17" ht="30" customHeight="1" x14ac:dyDescent="0.4">
      <c r="A2" s="546" t="s">
        <v>854</v>
      </c>
      <c r="B2" s="546"/>
      <c r="C2" s="546"/>
      <c r="D2" s="546"/>
      <c r="E2" s="546"/>
      <c r="F2" s="546"/>
      <c r="G2" s="546"/>
      <c r="H2" s="546"/>
      <c r="I2" s="546"/>
      <c r="J2" s="546"/>
      <c r="K2" s="546"/>
    </row>
    <row r="3" spans="1:17" ht="30" customHeight="1" x14ac:dyDescent="0.4">
      <c r="A3" s="547" t="s">
        <v>783</v>
      </c>
      <c r="B3" s="548"/>
      <c r="C3" s="548"/>
      <c r="D3" s="548"/>
      <c r="E3" s="548"/>
      <c r="F3" s="548"/>
      <c r="G3" s="548"/>
      <c r="H3" s="548"/>
      <c r="I3" s="548"/>
    </row>
    <row r="4" spans="1:17" ht="11.25" customHeight="1" thickBot="1" x14ac:dyDescent="0.45"/>
    <row r="5" spans="1:17" ht="12.6" thickBot="1" x14ac:dyDescent="0.45">
      <c r="B5" s="552" t="s">
        <v>658</v>
      </c>
      <c r="C5" s="553"/>
      <c r="D5" s="553"/>
      <c r="E5" s="553"/>
      <c r="F5" s="553"/>
      <c r="G5" s="553"/>
      <c r="H5" s="553"/>
      <c r="I5" s="554"/>
      <c r="J5" s="552" t="s">
        <v>648</v>
      </c>
      <c r="K5" s="553"/>
      <c r="L5" s="553"/>
      <c r="M5" s="553"/>
      <c r="N5" s="553"/>
      <c r="O5" s="553"/>
      <c r="P5" s="553"/>
      <c r="Q5" s="554"/>
    </row>
    <row r="6" spans="1:17" ht="16.5" customHeight="1" thickBot="1" x14ac:dyDescent="0.45">
      <c r="A6" s="118"/>
      <c r="B6" s="549" t="s">
        <v>673</v>
      </c>
      <c r="C6" s="550"/>
      <c r="D6" s="550"/>
      <c r="E6" s="551"/>
      <c r="F6" s="549" t="s">
        <v>844</v>
      </c>
      <c r="G6" s="550"/>
      <c r="H6" s="550"/>
      <c r="I6" s="551"/>
      <c r="J6" s="549" t="s">
        <v>673</v>
      </c>
      <c r="K6" s="550"/>
      <c r="L6" s="550"/>
      <c r="M6" s="551"/>
      <c r="N6" s="549" t="s">
        <v>844</v>
      </c>
      <c r="O6" s="550"/>
      <c r="P6" s="550"/>
      <c r="Q6" s="551"/>
    </row>
    <row r="7" spans="1:17" ht="15" customHeight="1" thickBot="1" x14ac:dyDescent="0.45">
      <c r="A7" s="172" t="s">
        <v>50</v>
      </c>
      <c r="B7" s="173" t="s">
        <v>48</v>
      </c>
      <c r="C7" s="173" t="s">
        <v>47</v>
      </c>
      <c r="D7" s="173" t="s">
        <v>44</v>
      </c>
      <c r="E7" s="174" t="s">
        <v>571</v>
      </c>
      <c r="F7" s="173" t="s">
        <v>48</v>
      </c>
      <c r="G7" s="173" t="s">
        <v>47</v>
      </c>
      <c r="H7" s="173" t="s">
        <v>44</v>
      </c>
      <c r="I7" s="174" t="s">
        <v>571</v>
      </c>
      <c r="J7" s="173" t="s">
        <v>48</v>
      </c>
      <c r="K7" s="173" t="s">
        <v>47</v>
      </c>
      <c r="L7" s="173" t="s">
        <v>44</v>
      </c>
      <c r="M7" s="174" t="s">
        <v>571</v>
      </c>
      <c r="N7" s="173" t="s">
        <v>48</v>
      </c>
      <c r="O7" s="173" t="s">
        <v>47</v>
      </c>
      <c r="P7" s="173" t="s">
        <v>44</v>
      </c>
      <c r="Q7" s="174" t="s">
        <v>571</v>
      </c>
    </row>
    <row r="8" spans="1:17" ht="15" customHeight="1" x14ac:dyDescent="0.4">
      <c r="A8" s="394" t="s">
        <v>51</v>
      </c>
      <c r="B8" s="398">
        <v>255311</v>
      </c>
      <c r="C8" s="399">
        <v>319459</v>
      </c>
      <c r="D8" s="399">
        <v>180</v>
      </c>
      <c r="E8" s="400">
        <v>10369</v>
      </c>
      <c r="F8" s="398">
        <v>258785</v>
      </c>
      <c r="G8" s="399">
        <v>322637</v>
      </c>
      <c r="H8" s="399">
        <v>164</v>
      </c>
      <c r="I8" s="400">
        <v>4679</v>
      </c>
      <c r="J8" s="395">
        <v>1.2223785120382817E-2</v>
      </c>
      <c r="K8" s="176">
        <v>1.5295064336328535E-2</v>
      </c>
      <c r="L8" s="176">
        <v>8.618043569093799E-6</v>
      </c>
      <c r="M8" s="177">
        <v>4.9644718759963115E-4</v>
      </c>
      <c r="N8" s="175">
        <v>1.2161804232102032E-2</v>
      </c>
      <c r="O8" s="176">
        <v>1.5162579098605805E-2</v>
      </c>
      <c r="P8" s="176">
        <v>7.7073087468931091E-6</v>
      </c>
      <c r="Q8" s="177">
        <v>2.1989327821166375E-4</v>
      </c>
    </row>
    <row r="9" spans="1:17" ht="15" customHeight="1" x14ac:dyDescent="0.4">
      <c r="A9" s="394" t="s">
        <v>52</v>
      </c>
      <c r="B9" s="401">
        <v>654306</v>
      </c>
      <c r="C9" s="289">
        <v>837104</v>
      </c>
      <c r="D9" s="289">
        <v>261</v>
      </c>
      <c r="E9" s="310">
        <v>22778</v>
      </c>
      <c r="F9" s="401">
        <v>670889</v>
      </c>
      <c r="G9" s="289">
        <v>857510</v>
      </c>
      <c r="H9" s="289">
        <v>263</v>
      </c>
      <c r="I9" s="310">
        <v>11185</v>
      </c>
      <c r="J9" s="396">
        <v>3.1326875641774929E-2</v>
      </c>
      <c r="K9" s="179">
        <v>4.0078881910348314E-2</v>
      </c>
      <c r="L9" s="179">
        <v>1.249616317518601E-5</v>
      </c>
      <c r="M9" s="180">
        <v>1.0905655356489921E-3</v>
      </c>
      <c r="N9" s="178">
        <v>3.1528955231063235E-2</v>
      </c>
      <c r="O9" s="179">
        <v>4.0299355631392135E-2</v>
      </c>
      <c r="P9" s="179">
        <v>1.2359891466054193E-5</v>
      </c>
      <c r="Q9" s="180">
        <v>5.2564785569511846E-4</v>
      </c>
    </row>
    <row r="10" spans="1:17" ht="15" customHeight="1" x14ac:dyDescent="0.4">
      <c r="A10" s="394" t="s">
        <v>53</v>
      </c>
      <c r="B10" s="401">
        <v>483957</v>
      </c>
      <c r="C10" s="289">
        <v>563575</v>
      </c>
      <c r="D10" s="289">
        <v>241</v>
      </c>
      <c r="E10" s="310">
        <v>14702</v>
      </c>
      <c r="F10" s="401">
        <v>491463</v>
      </c>
      <c r="G10" s="289">
        <v>575825</v>
      </c>
      <c r="H10" s="289">
        <v>161</v>
      </c>
      <c r="I10" s="310">
        <v>7973</v>
      </c>
      <c r="J10" s="396">
        <v>2.3170902842044046E-2</v>
      </c>
      <c r="K10" s="179">
        <v>2.6982855024733545E-2</v>
      </c>
      <c r="L10" s="179">
        <v>1.1538602778620031E-5</v>
      </c>
      <c r="M10" s="180">
        <v>7.0390264751565021E-4</v>
      </c>
      <c r="N10" s="178">
        <v>2.3096689504111756E-2</v>
      </c>
      <c r="O10" s="179">
        <v>2.7061347921827586E-2</v>
      </c>
      <c r="P10" s="179">
        <v>7.5663213917670155E-6</v>
      </c>
      <c r="Q10" s="180">
        <v>3.7469739414011438E-4</v>
      </c>
    </row>
    <row r="11" spans="1:17" ht="15" customHeight="1" x14ac:dyDescent="0.4">
      <c r="A11" s="394" t="s">
        <v>54</v>
      </c>
      <c r="B11" s="401">
        <v>496706</v>
      </c>
      <c r="C11" s="289">
        <v>604221</v>
      </c>
      <c r="D11" s="289">
        <v>166</v>
      </c>
      <c r="E11" s="310">
        <v>12646</v>
      </c>
      <c r="F11" s="401">
        <v>495662</v>
      </c>
      <c r="G11" s="289">
        <v>597441</v>
      </c>
      <c r="H11" s="289">
        <v>171</v>
      </c>
      <c r="I11" s="310">
        <v>6670</v>
      </c>
      <c r="J11" s="396">
        <v>2.3781299716835028E-2</v>
      </c>
      <c r="K11" s="179">
        <v>2.8928905018674581E-2</v>
      </c>
      <c r="L11" s="179">
        <v>7.9477512914976149E-6</v>
      </c>
      <c r="M11" s="180">
        <v>6.0546543874866773E-4</v>
      </c>
      <c r="N11" s="178">
        <v>2.3294024805503244E-2</v>
      </c>
      <c r="O11" s="179">
        <v>2.8077208811296134E-2</v>
      </c>
      <c r="P11" s="179">
        <v>8.0362792421873268E-6</v>
      </c>
      <c r="Q11" s="180">
        <v>3.1346188623034775E-4</v>
      </c>
    </row>
    <row r="12" spans="1:17" ht="15" customHeight="1" x14ac:dyDescent="0.4">
      <c r="A12" s="394" t="s">
        <v>55</v>
      </c>
      <c r="B12" s="401">
        <v>100197</v>
      </c>
      <c r="C12" s="289">
        <v>113185</v>
      </c>
      <c r="D12" s="289">
        <v>45</v>
      </c>
      <c r="E12" s="310">
        <v>2436</v>
      </c>
      <c r="F12" s="401">
        <v>99167</v>
      </c>
      <c r="G12" s="289">
        <v>108805</v>
      </c>
      <c r="H12" s="289">
        <v>45</v>
      </c>
      <c r="I12" s="310">
        <v>1297</v>
      </c>
      <c r="J12" s="396">
        <v>4.7972339527360634E-3</v>
      </c>
      <c r="K12" s="179">
        <v>5.4190736742660093E-3</v>
      </c>
      <c r="L12" s="179">
        <v>2.1545108922734498E-6</v>
      </c>
      <c r="M12" s="180">
        <v>1.1663085630173609E-4</v>
      </c>
      <c r="N12" s="178">
        <v>4.6604310152631029E-3</v>
      </c>
      <c r="O12" s="179">
        <v>5.1133763914981995E-3</v>
      </c>
      <c r="P12" s="179">
        <v>2.1148103268914018E-6</v>
      </c>
      <c r="Q12" s="180">
        <v>6.0953533199514405E-5</v>
      </c>
    </row>
    <row r="13" spans="1:17" ht="15" customHeight="1" x14ac:dyDescent="0.4">
      <c r="A13" s="394" t="s">
        <v>56</v>
      </c>
      <c r="B13" s="401">
        <v>105300</v>
      </c>
      <c r="C13" s="289">
        <v>100945</v>
      </c>
      <c r="D13" s="289">
        <v>50</v>
      </c>
      <c r="E13" s="310">
        <v>2427</v>
      </c>
      <c r="F13" s="401">
        <v>102468</v>
      </c>
      <c r="G13" s="289">
        <v>96744</v>
      </c>
      <c r="H13" s="289">
        <v>60</v>
      </c>
      <c r="I13" s="310">
        <v>1139</v>
      </c>
      <c r="J13" s="396">
        <v>5.0415554879198726E-3</v>
      </c>
      <c r="K13" s="179">
        <v>4.8330467115676309E-3</v>
      </c>
      <c r="L13" s="179">
        <v>2.3939009914149445E-6</v>
      </c>
      <c r="M13" s="180">
        <v>1.161999541232814E-4</v>
      </c>
      <c r="N13" s="178">
        <v>4.8155641016868478E-3</v>
      </c>
      <c r="O13" s="179">
        <v>4.546560228106262E-3</v>
      </c>
      <c r="P13" s="179">
        <v>2.8197471025218691E-6</v>
      </c>
      <c r="Q13" s="180">
        <v>5.3528199162873483E-5</v>
      </c>
    </row>
    <row r="14" spans="1:17" ht="15" customHeight="1" x14ac:dyDescent="0.4">
      <c r="A14" s="394" t="s">
        <v>57</v>
      </c>
      <c r="B14" s="401">
        <v>122909</v>
      </c>
      <c r="C14" s="289">
        <v>107549</v>
      </c>
      <c r="D14" s="289">
        <v>62</v>
      </c>
      <c r="E14" s="310">
        <v>2838</v>
      </c>
      <c r="F14" s="401">
        <v>123478</v>
      </c>
      <c r="G14" s="289">
        <v>103546</v>
      </c>
      <c r="H14" s="289">
        <v>60</v>
      </c>
      <c r="I14" s="310">
        <v>1458</v>
      </c>
      <c r="J14" s="396">
        <v>5.8846395390763882E-3</v>
      </c>
      <c r="K14" s="179">
        <v>5.1492331545137174E-3</v>
      </c>
      <c r="L14" s="179">
        <v>2.9684372293545312E-6</v>
      </c>
      <c r="M14" s="180">
        <v>1.3587782027271224E-4</v>
      </c>
      <c r="N14" s="178">
        <v>5.8029455454199222E-3</v>
      </c>
      <c r="O14" s="179">
        <v>4.8662255579621574E-3</v>
      </c>
      <c r="P14" s="179">
        <v>2.8197471025218691E-6</v>
      </c>
      <c r="Q14" s="180">
        <v>6.851985459128142E-5</v>
      </c>
    </row>
    <row r="15" spans="1:17" ht="15" customHeight="1" x14ac:dyDescent="0.4">
      <c r="A15" s="394" t="s">
        <v>58</v>
      </c>
      <c r="B15" s="401">
        <v>156098</v>
      </c>
      <c r="C15" s="289">
        <v>126291</v>
      </c>
      <c r="D15" s="289">
        <v>139</v>
      </c>
      <c r="E15" s="310">
        <v>3184</v>
      </c>
      <c r="F15" s="401">
        <v>157594</v>
      </c>
      <c r="G15" s="289">
        <v>124127</v>
      </c>
      <c r="H15" s="289">
        <v>102</v>
      </c>
      <c r="I15" s="310">
        <v>1683</v>
      </c>
      <c r="J15" s="396">
        <v>7.4736631391578E-3</v>
      </c>
      <c r="K15" s="179">
        <v>6.0465630021356949E-3</v>
      </c>
      <c r="L15" s="179">
        <v>6.6550447561335457E-6</v>
      </c>
      <c r="M15" s="180">
        <v>1.5244361513330366E-4</v>
      </c>
      <c r="N15" s="178">
        <v>7.4062537479138574E-3</v>
      </c>
      <c r="O15" s="179">
        <v>5.8334458099122003E-3</v>
      </c>
      <c r="P15" s="179">
        <v>4.793570074287177E-6</v>
      </c>
      <c r="Q15" s="180">
        <v>7.9093906225738422E-5</v>
      </c>
    </row>
    <row r="16" spans="1:17" ht="15" customHeight="1" x14ac:dyDescent="0.4">
      <c r="A16" s="394" t="s">
        <v>59</v>
      </c>
      <c r="B16" s="401">
        <v>174055</v>
      </c>
      <c r="C16" s="289">
        <v>140950</v>
      </c>
      <c r="D16" s="289">
        <v>170</v>
      </c>
      <c r="E16" s="310">
        <v>3166</v>
      </c>
      <c r="F16" s="401">
        <v>175416</v>
      </c>
      <c r="G16" s="289">
        <v>138191</v>
      </c>
      <c r="H16" s="289">
        <v>176</v>
      </c>
      <c r="I16" s="310">
        <v>1650</v>
      </c>
      <c r="J16" s="396">
        <v>8.3334087412145624E-3</v>
      </c>
      <c r="K16" s="179">
        <v>6.7484068947987284E-3</v>
      </c>
      <c r="L16" s="179">
        <v>8.1392633708108113E-6</v>
      </c>
      <c r="M16" s="180">
        <v>1.5158181077639429E-4</v>
      </c>
      <c r="N16" s="178">
        <v>8.2438126289329366E-3</v>
      </c>
      <c r="O16" s="179">
        <v>6.4943945307433266E-3</v>
      </c>
      <c r="P16" s="179">
        <v>8.2712581673974832E-6</v>
      </c>
      <c r="Q16" s="180">
        <v>7.7543045319351393E-5</v>
      </c>
    </row>
    <row r="17" spans="1:17" ht="15" customHeight="1" x14ac:dyDescent="0.4">
      <c r="A17" s="394" t="s">
        <v>60</v>
      </c>
      <c r="B17" s="401">
        <v>873523</v>
      </c>
      <c r="C17" s="289">
        <v>746005</v>
      </c>
      <c r="D17" s="289">
        <v>1158</v>
      </c>
      <c r="E17" s="310">
        <v>15963</v>
      </c>
      <c r="F17" s="401">
        <v>876703</v>
      </c>
      <c r="G17" s="289">
        <v>726790</v>
      </c>
      <c r="H17" s="289">
        <v>1036</v>
      </c>
      <c r="I17" s="310">
        <v>8414</v>
      </c>
      <c r="J17" s="396">
        <v>4.1822551514475129E-2</v>
      </c>
      <c r="K17" s="179">
        <v>3.5717242182010112E-2</v>
      </c>
      <c r="L17" s="179">
        <v>5.5442746961170111E-5</v>
      </c>
      <c r="M17" s="180">
        <v>7.6427683051913517E-4</v>
      </c>
      <c r="N17" s="178">
        <v>4.1201345733703834E-2</v>
      </c>
      <c r="O17" s="179">
        <v>3.4156066610697818E-2</v>
      </c>
      <c r="P17" s="179">
        <v>4.8687633303544273E-5</v>
      </c>
      <c r="Q17" s="180">
        <v>3.9542253534365009E-4</v>
      </c>
    </row>
    <row r="18" spans="1:17" ht="15" customHeight="1" x14ac:dyDescent="0.4">
      <c r="A18" s="394" t="s">
        <v>61</v>
      </c>
      <c r="B18" s="401">
        <v>840261</v>
      </c>
      <c r="C18" s="289">
        <v>754769</v>
      </c>
      <c r="D18" s="289">
        <v>968</v>
      </c>
      <c r="E18" s="310">
        <v>15901</v>
      </c>
      <c r="F18" s="401">
        <v>850001</v>
      </c>
      <c r="G18" s="289">
        <v>747068</v>
      </c>
      <c r="H18" s="289">
        <v>850</v>
      </c>
      <c r="I18" s="310">
        <v>8307</v>
      </c>
      <c r="J18" s="396">
        <v>4.023003281894625E-2</v>
      </c>
      <c r="K18" s="179">
        <v>3.6136845147785326E-2</v>
      </c>
      <c r="L18" s="179">
        <v>4.6345923193793321E-5</v>
      </c>
      <c r="M18" s="180">
        <v>7.6130839328978066E-4</v>
      </c>
      <c r="N18" s="178">
        <v>3.9946464281511516E-2</v>
      </c>
      <c r="O18" s="179">
        <v>3.5109047139780129E-2</v>
      </c>
      <c r="P18" s="179">
        <v>3.9946417285726481E-5</v>
      </c>
      <c r="Q18" s="180">
        <v>3.9039398634415278E-4</v>
      </c>
    </row>
    <row r="19" spans="1:17" ht="15" customHeight="1" x14ac:dyDescent="0.4">
      <c r="A19" s="394" t="s">
        <v>62</v>
      </c>
      <c r="B19" s="401">
        <v>705915</v>
      </c>
      <c r="C19" s="289">
        <v>663026</v>
      </c>
      <c r="D19" s="289">
        <v>629</v>
      </c>
      <c r="E19" s="310">
        <v>13978</v>
      </c>
      <c r="F19" s="401">
        <v>732998</v>
      </c>
      <c r="G19" s="289">
        <v>668399</v>
      </c>
      <c r="H19" s="289">
        <v>545</v>
      </c>
      <c r="I19" s="310">
        <v>7339</v>
      </c>
      <c r="J19" s="396">
        <v>3.3797812367093609E-2</v>
      </c>
      <c r="K19" s="179">
        <v>3.17443719746777E-2</v>
      </c>
      <c r="L19" s="179">
        <v>3.0115274472000001E-5</v>
      </c>
      <c r="M19" s="180">
        <v>6.692389611599619E-4</v>
      </c>
      <c r="N19" s="178">
        <v>3.4447816444238749E-2</v>
      </c>
      <c r="O19" s="179">
        <v>3.1411935726308578E-2</v>
      </c>
      <c r="P19" s="179">
        <v>2.5612702847906979E-5</v>
      </c>
      <c r="Q19" s="180">
        <v>3.4490206642346662E-4</v>
      </c>
    </row>
    <row r="20" spans="1:17" ht="15" customHeight="1" x14ac:dyDescent="0.4">
      <c r="A20" s="394" t="s">
        <v>63</v>
      </c>
      <c r="B20" s="401">
        <v>587466</v>
      </c>
      <c r="C20" s="289">
        <v>582823</v>
      </c>
      <c r="D20" s="289">
        <v>454</v>
      </c>
      <c r="E20" s="310">
        <v>12142</v>
      </c>
      <c r="F20" s="401">
        <v>618159</v>
      </c>
      <c r="G20" s="289">
        <v>605236</v>
      </c>
      <c r="H20" s="289">
        <v>349</v>
      </c>
      <c r="I20" s="310">
        <v>6338</v>
      </c>
      <c r="J20" s="396">
        <v>2.8126708796451433E-2</v>
      </c>
      <c r="K20" s="179">
        <v>2.7904411150388643E-2</v>
      </c>
      <c r="L20" s="179">
        <v>2.1736621002047694E-5</v>
      </c>
      <c r="M20" s="180">
        <v>5.8133491675520514E-4</v>
      </c>
      <c r="N20" s="178">
        <v>2.9050867485796935E-2</v>
      </c>
      <c r="O20" s="179">
        <v>2.8443540955698766E-2</v>
      </c>
      <c r="P20" s="179">
        <v>1.6401528979668873E-5</v>
      </c>
      <c r="Q20" s="180">
        <v>2.9785928559639341E-4</v>
      </c>
    </row>
    <row r="21" spans="1:17" ht="15" customHeight="1" x14ac:dyDescent="0.4">
      <c r="A21" s="394" t="s">
        <v>64</v>
      </c>
      <c r="B21" s="401">
        <v>528721</v>
      </c>
      <c r="C21" s="289">
        <v>550118</v>
      </c>
      <c r="D21" s="289">
        <v>324</v>
      </c>
      <c r="E21" s="310">
        <v>10549</v>
      </c>
      <c r="F21" s="401">
        <v>530904</v>
      </c>
      <c r="G21" s="289">
        <v>542588</v>
      </c>
      <c r="H21" s="289">
        <v>288</v>
      </c>
      <c r="I21" s="310">
        <v>5331</v>
      </c>
      <c r="J21" s="396">
        <v>2.5314114521638016E-2</v>
      </c>
      <c r="K21" s="179">
        <v>2.6338560511904127E-2</v>
      </c>
      <c r="L21" s="179">
        <v>1.551247842436884E-5</v>
      </c>
      <c r="M21" s="180">
        <v>5.0506523116872497E-4</v>
      </c>
      <c r="N21" s="178">
        <v>2.4950250261954507E-2</v>
      </c>
      <c r="O21" s="179">
        <v>2.5499349014385598E-2</v>
      </c>
      <c r="P21" s="179">
        <v>1.3534786092104971E-5</v>
      </c>
      <c r="Q21" s="180">
        <v>2.5053453005906805E-4</v>
      </c>
    </row>
    <row r="22" spans="1:17" ht="15" customHeight="1" x14ac:dyDescent="0.4">
      <c r="A22" s="394" t="s">
        <v>65</v>
      </c>
      <c r="B22" s="401">
        <v>562006</v>
      </c>
      <c r="C22" s="289">
        <v>577409</v>
      </c>
      <c r="D22" s="289">
        <v>305</v>
      </c>
      <c r="E22" s="310">
        <v>10987</v>
      </c>
      <c r="F22" s="401">
        <v>571916</v>
      </c>
      <c r="G22" s="289">
        <v>575478</v>
      </c>
      <c r="H22" s="289">
        <v>224</v>
      </c>
      <c r="I22" s="310">
        <v>5825</v>
      </c>
      <c r="J22" s="396">
        <v>2.6907734411622943E-2</v>
      </c>
      <c r="K22" s="179">
        <v>2.7645199551038231E-2</v>
      </c>
      <c r="L22" s="179">
        <v>1.4602796047631161E-5</v>
      </c>
      <c r="M22" s="180">
        <v>5.2603580385351988E-4</v>
      </c>
      <c r="N22" s="178">
        <v>2.6877641398098288E-2</v>
      </c>
      <c r="O22" s="179">
        <v>2.7045040384418004E-2</v>
      </c>
      <c r="P22" s="179">
        <v>1.0527055849414978E-5</v>
      </c>
      <c r="Q22" s="180">
        <v>2.7375044786983146E-4</v>
      </c>
    </row>
    <row r="23" spans="1:17" ht="15" customHeight="1" x14ac:dyDescent="0.4">
      <c r="A23" s="394" t="s">
        <v>66</v>
      </c>
      <c r="B23" s="401">
        <v>563910</v>
      </c>
      <c r="C23" s="289">
        <v>556279</v>
      </c>
      <c r="D23" s="289">
        <v>232</v>
      </c>
      <c r="E23" s="310">
        <v>10524</v>
      </c>
      <c r="F23" s="401">
        <v>582392</v>
      </c>
      <c r="G23" s="289">
        <v>569638</v>
      </c>
      <c r="H23" s="289">
        <v>248</v>
      </c>
      <c r="I23" s="310">
        <v>5699</v>
      </c>
      <c r="J23" s="396">
        <v>2.6998894161376026E-2</v>
      </c>
      <c r="K23" s="179">
        <v>2.6633536992066276E-2</v>
      </c>
      <c r="L23" s="179">
        <v>1.1107700600165343E-5</v>
      </c>
      <c r="M23" s="180">
        <v>5.0386828067301747E-4</v>
      </c>
      <c r="N23" s="178">
        <v>2.7369969242198606E-2</v>
      </c>
      <c r="O23" s="179">
        <v>2.6770584999772539E-2</v>
      </c>
      <c r="P23" s="179">
        <v>1.1654954690423725E-5</v>
      </c>
      <c r="Q23" s="180">
        <v>2.678289789545355E-4</v>
      </c>
    </row>
    <row r="24" spans="1:17" ht="15" customHeight="1" x14ac:dyDescent="0.4">
      <c r="A24" s="394" t="s">
        <v>67</v>
      </c>
      <c r="B24" s="401">
        <v>482052</v>
      </c>
      <c r="C24" s="289">
        <v>481217</v>
      </c>
      <c r="D24" s="289">
        <v>193</v>
      </c>
      <c r="E24" s="310">
        <v>8650</v>
      </c>
      <c r="F24" s="401">
        <v>510706</v>
      </c>
      <c r="G24" s="289">
        <v>507369</v>
      </c>
      <c r="H24" s="289">
        <v>211</v>
      </c>
      <c r="I24" s="310">
        <v>4732</v>
      </c>
      <c r="J24" s="396">
        <v>2.3079695214271136E-2</v>
      </c>
      <c r="K24" s="179">
        <v>2.3039717067714505E-2</v>
      </c>
      <c r="L24" s="179">
        <v>9.2404578268616858E-6</v>
      </c>
      <c r="M24" s="180">
        <v>4.1414487151478539E-4</v>
      </c>
      <c r="N24" s="178">
        <v>2.4001029395675562E-2</v>
      </c>
      <c r="O24" s="179">
        <v>2.3844204460990302E-2</v>
      </c>
      <c r="P24" s="179">
        <v>9.9161106438685734E-6</v>
      </c>
      <c r="Q24" s="180">
        <v>2.223840548188914E-4</v>
      </c>
    </row>
    <row r="25" spans="1:17" ht="15" customHeight="1" x14ac:dyDescent="0.4">
      <c r="A25" s="394" t="s">
        <v>68</v>
      </c>
      <c r="B25" s="401">
        <v>410501</v>
      </c>
      <c r="C25" s="289">
        <v>415975</v>
      </c>
      <c r="D25" s="289">
        <v>193</v>
      </c>
      <c r="E25" s="310">
        <v>7066</v>
      </c>
      <c r="F25" s="401">
        <v>433650</v>
      </c>
      <c r="G25" s="289">
        <v>436211</v>
      </c>
      <c r="H25" s="289">
        <v>202</v>
      </c>
      <c r="I25" s="310">
        <v>3930</v>
      </c>
      <c r="J25" s="396">
        <v>1.9653975017536521E-2</v>
      </c>
      <c r="K25" s="179">
        <v>1.9916059298076629E-2</v>
      </c>
      <c r="L25" s="179">
        <v>9.2404578268616858E-6</v>
      </c>
      <c r="M25" s="180">
        <v>3.3830608810675992E-4</v>
      </c>
      <c r="N25" s="178">
        <v>2.037972218347681E-2</v>
      </c>
      <c r="O25" s="179">
        <v>2.0500078388969452E-2</v>
      </c>
      <c r="P25" s="179">
        <v>9.4931485784902928E-6</v>
      </c>
      <c r="Q25" s="180">
        <v>1.8469343521518243E-4</v>
      </c>
    </row>
    <row r="26" spans="1:17" ht="15" customHeight="1" x14ac:dyDescent="0.4">
      <c r="A26" s="394" t="s">
        <v>69</v>
      </c>
      <c r="B26" s="401">
        <v>430379</v>
      </c>
      <c r="C26" s="289">
        <v>428401</v>
      </c>
      <c r="D26" s="289">
        <v>173</v>
      </c>
      <c r="E26" s="310">
        <v>6807</v>
      </c>
      <c r="F26" s="401">
        <v>427194</v>
      </c>
      <c r="G26" s="289">
        <v>423274</v>
      </c>
      <c r="H26" s="289">
        <v>125</v>
      </c>
      <c r="I26" s="310">
        <v>3637</v>
      </c>
      <c r="J26" s="396">
        <v>2.0605694295683447E-2</v>
      </c>
      <c r="K26" s="179">
        <v>2.0510991572463073E-2</v>
      </c>
      <c r="L26" s="179">
        <v>8.282897430295707E-6</v>
      </c>
      <c r="M26" s="180">
        <v>3.2590568097123055E-4</v>
      </c>
      <c r="N26" s="178">
        <v>2.0076317395245454E-2</v>
      </c>
      <c r="O26" s="179">
        <v>1.9892093917880695E-2</v>
      </c>
      <c r="P26" s="179">
        <v>5.8744731302538939E-6</v>
      </c>
      <c r="Q26" s="180">
        <v>1.709236701978673E-4</v>
      </c>
    </row>
    <row r="27" spans="1:17" ht="15" customHeight="1" x14ac:dyDescent="0.4">
      <c r="A27" s="394" t="s">
        <v>70</v>
      </c>
      <c r="B27" s="401">
        <v>416398</v>
      </c>
      <c r="C27" s="289">
        <v>402205</v>
      </c>
      <c r="D27" s="289">
        <v>102</v>
      </c>
      <c r="E27" s="310">
        <v>5638</v>
      </c>
      <c r="F27" s="401">
        <v>457076</v>
      </c>
      <c r="G27" s="289">
        <v>440852</v>
      </c>
      <c r="H27" s="289">
        <v>116</v>
      </c>
      <c r="I27" s="310">
        <v>3277</v>
      </c>
      <c r="J27" s="396">
        <v>1.9936311700464001E-2</v>
      </c>
      <c r="K27" s="179">
        <v>1.9256778965040956E-2</v>
      </c>
      <c r="L27" s="179">
        <v>4.8835580224864863E-6</v>
      </c>
      <c r="M27" s="180">
        <v>2.6993627579194915E-4</v>
      </c>
      <c r="N27" s="178">
        <v>2.1480645443871429E-2</v>
      </c>
      <c r="O27" s="179">
        <v>2.0718185827349515E-2</v>
      </c>
      <c r="P27" s="179">
        <v>5.4515110648756132E-6</v>
      </c>
      <c r="Q27" s="180">
        <v>1.5400518758273607E-4</v>
      </c>
    </row>
    <row r="28" spans="1:17" ht="15" customHeight="1" x14ac:dyDescent="0.4">
      <c r="A28" s="394" t="s">
        <v>71</v>
      </c>
      <c r="B28" s="401">
        <v>416318</v>
      </c>
      <c r="C28" s="289">
        <v>378912</v>
      </c>
      <c r="D28" s="289">
        <v>78</v>
      </c>
      <c r="E28" s="310">
        <v>4947</v>
      </c>
      <c r="F28" s="401">
        <v>432567</v>
      </c>
      <c r="G28" s="289">
        <v>393233</v>
      </c>
      <c r="H28" s="289">
        <v>86</v>
      </c>
      <c r="I28" s="310">
        <v>2774</v>
      </c>
      <c r="J28" s="396">
        <v>1.9932481458877736E-2</v>
      </c>
      <c r="K28" s="179">
        <v>1.8141556249180388E-2</v>
      </c>
      <c r="L28" s="179">
        <v>3.7344855466073132E-6</v>
      </c>
      <c r="M28" s="180">
        <v>2.3685256409059459E-4</v>
      </c>
      <c r="N28" s="178">
        <v>2.032882574827629E-2</v>
      </c>
      <c r="O28" s="179">
        <v>1.8480293539433035E-2</v>
      </c>
      <c r="P28" s="179">
        <v>4.0416375136146787E-6</v>
      </c>
      <c r="Q28" s="180">
        <v>1.3036630770659442E-4</v>
      </c>
    </row>
    <row r="29" spans="1:17" ht="15" customHeight="1" x14ac:dyDescent="0.4">
      <c r="A29" s="394" t="s">
        <v>72</v>
      </c>
      <c r="B29" s="401">
        <v>423256</v>
      </c>
      <c r="C29" s="289">
        <v>350690</v>
      </c>
      <c r="D29" s="289">
        <v>52</v>
      </c>
      <c r="E29" s="310">
        <v>3998</v>
      </c>
      <c r="F29" s="401">
        <v>437931</v>
      </c>
      <c r="G29" s="289">
        <v>367969</v>
      </c>
      <c r="H29" s="289">
        <v>44</v>
      </c>
      <c r="I29" s="310">
        <v>2431</v>
      </c>
      <c r="J29" s="396">
        <v>2.0264659160446473E-2</v>
      </c>
      <c r="K29" s="179">
        <v>1.6790342773586136E-2</v>
      </c>
      <c r="L29" s="179">
        <v>2.4896570310715423E-6</v>
      </c>
      <c r="M29" s="180">
        <v>1.9141632327353896E-4</v>
      </c>
      <c r="N29" s="178">
        <v>2.0580911139241743E-2</v>
      </c>
      <c r="O29" s="179">
        <v>1.729299202613116E-2</v>
      </c>
      <c r="P29" s="179">
        <v>2.0678145418493708E-6</v>
      </c>
      <c r="Q29" s="180">
        <v>1.1424675343717772E-4</v>
      </c>
    </row>
    <row r="30" spans="1:17" ht="15" customHeight="1" x14ac:dyDescent="0.4">
      <c r="A30" s="394" t="s">
        <v>73</v>
      </c>
      <c r="B30" s="401">
        <v>374020</v>
      </c>
      <c r="C30" s="289">
        <v>257007</v>
      </c>
      <c r="D30" s="289">
        <v>27</v>
      </c>
      <c r="E30" s="310">
        <v>2910</v>
      </c>
      <c r="F30" s="401">
        <v>387278</v>
      </c>
      <c r="G30" s="289">
        <v>273030</v>
      </c>
      <c r="H30" s="289">
        <v>20</v>
      </c>
      <c r="I30" s="310">
        <v>1747</v>
      </c>
      <c r="J30" s="396">
        <v>1.7907336976180351E-2</v>
      </c>
      <c r="K30" s="179">
        <v>1.2304986242011613E-2</v>
      </c>
      <c r="L30" s="179">
        <v>1.29270653536407E-6</v>
      </c>
      <c r="M30" s="180">
        <v>1.3932503770034977E-4</v>
      </c>
      <c r="N30" s="178">
        <v>1.820043363950774E-2</v>
      </c>
      <c r="O30" s="179">
        <v>1.2831259190025765E-2</v>
      </c>
      <c r="P30" s="179">
        <v>9.3991570084062301E-7</v>
      </c>
      <c r="Q30" s="180">
        <v>8.2101636468428422E-5</v>
      </c>
    </row>
    <row r="31" spans="1:17" ht="15" customHeight="1" x14ac:dyDescent="0.4">
      <c r="A31" s="394" t="s">
        <v>74</v>
      </c>
      <c r="B31" s="401">
        <v>297087</v>
      </c>
      <c r="C31" s="289">
        <v>151097</v>
      </c>
      <c r="D31" s="289">
        <v>209</v>
      </c>
      <c r="E31" s="310">
        <v>1934</v>
      </c>
      <c r="F31" s="401">
        <v>306217</v>
      </c>
      <c r="G31" s="289">
        <v>160268</v>
      </c>
      <c r="H31" s="289">
        <v>301</v>
      </c>
      <c r="I31" s="310">
        <v>1222</v>
      </c>
      <c r="J31" s="396">
        <v>1.4223937276729832E-2</v>
      </c>
      <c r="K31" s="179">
        <v>7.2342251619964774E-3</v>
      </c>
      <c r="L31" s="179">
        <v>1.0006506144114468E-5</v>
      </c>
      <c r="M31" s="180">
        <v>9.2596090347930044E-5</v>
      </c>
      <c r="N31" s="178">
        <v>1.4390908308215654E-2</v>
      </c>
      <c r="O31" s="179">
        <v>7.5319204771162485E-3</v>
      </c>
      <c r="P31" s="179">
        <v>1.4145731297651376E-5</v>
      </c>
      <c r="Q31" s="180">
        <v>5.7428849321362066E-5</v>
      </c>
    </row>
    <row r="32" spans="1:17" ht="15" customHeight="1" thickBot="1" x14ac:dyDescent="0.45">
      <c r="A32" s="394" t="s">
        <v>8</v>
      </c>
      <c r="B32" s="402">
        <v>1610</v>
      </c>
      <c r="C32" s="378">
        <v>1725</v>
      </c>
      <c r="D32" s="378">
        <v>42</v>
      </c>
      <c r="E32" s="379">
        <v>219</v>
      </c>
      <c r="F32" s="402">
        <v>36018</v>
      </c>
      <c r="G32" s="378">
        <v>34728</v>
      </c>
      <c r="H32" s="378">
        <v>101</v>
      </c>
      <c r="I32" s="379">
        <v>230</v>
      </c>
      <c r="J32" s="397">
        <v>7.7083611923561214E-5</v>
      </c>
      <c r="K32" s="182">
        <v>8.2589584203815577E-5</v>
      </c>
      <c r="L32" s="182">
        <v>2.0108768327885533E-6</v>
      </c>
      <c r="M32" s="183">
        <v>1.0485286342397456E-5</v>
      </c>
      <c r="N32" s="181">
        <v>1.6926941856438779E-3</v>
      </c>
      <c r="O32" s="182">
        <v>1.6320696229396579E-3</v>
      </c>
      <c r="P32" s="182">
        <v>4.7465742892451464E-6</v>
      </c>
      <c r="Q32" s="183">
        <v>1.0809030559667165E-5</v>
      </c>
    </row>
    <row r="33" spans="1:18" ht="4.5" customHeight="1" x14ac:dyDescent="0.4">
      <c r="A33" s="184"/>
      <c r="B33" s="197"/>
      <c r="C33" s="197"/>
      <c r="D33" s="197"/>
      <c r="E33" s="197"/>
      <c r="F33" s="197"/>
      <c r="G33" s="197"/>
      <c r="H33" s="197"/>
      <c r="I33" s="197"/>
    </row>
    <row r="34" spans="1:18" ht="17.100000000000001" customHeight="1" thickBot="1" x14ac:dyDescent="0.45">
      <c r="A34" s="557" t="s">
        <v>10</v>
      </c>
      <c r="B34" s="558"/>
      <c r="C34" s="558"/>
      <c r="D34" s="558"/>
      <c r="E34" s="558"/>
      <c r="F34" s="558"/>
      <c r="G34" s="558"/>
      <c r="H34" s="558"/>
      <c r="I34" s="558"/>
      <c r="J34" s="185"/>
      <c r="K34" s="185"/>
      <c r="L34" s="185"/>
      <c r="M34" s="185"/>
      <c r="N34" s="185"/>
      <c r="O34" s="185"/>
      <c r="P34" s="185"/>
      <c r="Q34" s="185"/>
    </row>
    <row r="35" spans="1:18" ht="17.100000000000001" customHeight="1" x14ac:dyDescent="0.4">
      <c r="A35" s="559" t="s">
        <v>898</v>
      </c>
      <c r="B35" s="559"/>
      <c r="C35" s="559"/>
      <c r="D35" s="559"/>
      <c r="E35" s="559"/>
      <c r="F35" s="559"/>
      <c r="G35" s="559"/>
      <c r="H35" s="559"/>
      <c r="I35" s="559"/>
      <c r="J35" s="186"/>
      <c r="K35" s="186"/>
      <c r="L35" s="186"/>
      <c r="M35" s="186"/>
      <c r="N35" s="186"/>
      <c r="O35" s="186"/>
      <c r="P35" s="186"/>
      <c r="Q35" s="186"/>
      <c r="R35" s="186"/>
    </row>
    <row r="36" spans="1:18" ht="17.850000000000001" customHeight="1" x14ac:dyDescent="0.45">
      <c r="A36" s="505" t="s">
        <v>780</v>
      </c>
      <c r="B36" s="505"/>
      <c r="C36" s="505"/>
      <c r="D36" s="505"/>
      <c r="E36" s="505"/>
      <c r="F36" s="505"/>
      <c r="G36" s="505"/>
      <c r="H36" s="120"/>
      <c r="I36" s="120"/>
      <c r="J36" s="120"/>
      <c r="K36" s="120"/>
      <c r="L36" s="120"/>
      <c r="M36" s="120"/>
      <c r="N36" s="120"/>
      <c r="O36" s="120"/>
      <c r="P36" s="120"/>
      <c r="Q36" s="120"/>
      <c r="R36" s="120"/>
    </row>
    <row r="37" spans="1:18" ht="17.100000000000001" customHeight="1" x14ac:dyDescent="0.4">
      <c r="A37" s="555" t="s">
        <v>575</v>
      </c>
      <c r="B37" s="555"/>
      <c r="C37" s="555"/>
      <c r="D37" s="555"/>
      <c r="E37" s="555"/>
      <c r="F37" s="555"/>
      <c r="G37" s="555"/>
      <c r="H37" s="555"/>
      <c r="I37" s="555"/>
      <c r="J37" s="187"/>
      <c r="K37" s="187"/>
      <c r="L37" s="187"/>
      <c r="M37" s="187"/>
      <c r="N37" s="187"/>
      <c r="O37" s="187"/>
      <c r="P37" s="187"/>
      <c r="Q37" s="187"/>
    </row>
    <row r="38" spans="1:18" ht="12.6" thickBot="1" x14ac:dyDescent="0.45">
      <c r="A38" s="556" t="s">
        <v>845</v>
      </c>
      <c r="B38" s="556"/>
      <c r="C38" s="556"/>
      <c r="D38" s="556"/>
      <c r="E38" s="556"/>
      <c r="F38" s="556"/>
      <c r="G38" s="556"/>
      <c r="H38" s="556"/>
      <c r="I38" s="556"/>
      <c r="J38" s="185"/>
      <c r="K38" s="185"/>
      <c r="L38" s="185"/>
      <c r="M38" s="185"/>
      <c r="N38" s="185"/>
      <c r="O38" s="185"/>
      <c r="P38" s="185"/>
      <c r="Q38" s="185"/>
      <c r="R38" s="375"/>
    </row>
    <row r="39" spans="1:18" x14ac:dyDescent="0.4">
      <c r="A39" s="186"/>
      <c r="J39" s="186"/>
      <c r="K39" s="186"/>
      <c r="L39" s="186"/>
      <c r="M39" s="186"/>
      <c r="N39" s="186"/>
      <c r="O39" s="186"/>
      <c r="P39" s="186"/>
      <c r="Q39" s="186"/>
    </row>
    <row r="40" spans="1:18" x14ac:dyDescent="0.4">
      <c r="A40" s="188" t="s">
        <v>614</v>
      </c>
    </row>
  </sheetData>
  <mergeCells count="13">
    <mergeCell ref="A37:I37"/>
    <mergeCell ref="A38:I38"/>
    <mergeCell ref="J6:M6"/>
    <mergeCell ref="N6:Q6"/>
    <mergeCell ref="A34:I34"/>
    <mergeCell ref="A35:I35"/>
    <mergeCell ref="A36:G36"/>
    <mergeCell ref="A2:K2"/>
    <mergeCell ref="A3:I3"/>
    <mergeCell ref="B6:E6"/>
    <mergeCell ref="F6:I6"/>
    <mergeCell ref="B5:I5"/>
    <mergeCell ref="J5:Q5"/>
  </mergeCells>
  <hyperlinks>
    <hyperlink ref="A37:I37" r:id="rId1" display="Contact via enquiries@NHSDigital.nhs.uk or 0300 303 5678" xr:uid="{00000000-0004-0000-1900-000000000000}"/>
    <hyperlink ref="A40" location="Contents!A1" display="Return to Contents" xr:uid="{00000000-0004-0000-1900-000001000000}"/>
  </hyperlinks>
  <pageMargins left="0.78740157480314965" right="0.78740157480314965" top="0.78740157480314965" bottom="0.78740157480314965" header="0.78740157480314965" footer="0.78740157480314965"/>
  <pageSetup paperSize="9" scale="54" fitToHeight="0" orientation="landscape" r:id="rId2"/>
  <headerFooter alignWithMargins="0">
    <oddFooter>&amp;L&amp;C&amp;R</oddFooter>
  </headerFooter>
  <ignoredErrors>
    <ignoredError sqref="A7:A10 A12:A16" numberStoredAsText="1"/>
    <ignoredError sqref="A11" twoDigitTextYear="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6"/>
  <dimension ref="A1:R27"/>
  <sheetViews>
    <sheetView showGridLines="0" workbookViewId="0"/>
  </sheetViews>
  <sheetFormatPr defaultColWidth="9.109375" defaultRowHeight="12.3" x14ac:dyDescent="0.4"/>
  <cols>
    <col min="1" max="1" width="21.5546875" style="113" customWidth="1"/>
    <col min="2" max="5" width="17.88671875" style="113" customWidth="1"/>
    <col min="6" max="6" width="9.109375" style="113" customWidth="1"/>
    <col min="7" max="7" width="9.109375" style="159" customWidth="1"/>
    <col min="8" max="15" width="9.109375" style="159"/>
    <col min="16" max="16384" width="9.109375" style="113"/>
  </cols>
  <sheetData>
    <row r="1" spans="1:15" s="351" customFormat="1" ht="15" customHeight="1" x14ac:dyDescent="0.4">
      <c r="G1" s="159"/>
      <c r="H1" s="159"/>
      <c r="I1" s="159"/>
      <c r="J1" s="159"/>
      <c r="K1" s="159"/>
      <c r="L1" s="159"/>
      <c r="M1" s="159"/>
      <c r="N1" s="159"/>
      <c r="O1" s="159"/>
    </row>
    <row r="2" spans="1:15" ht="48.75" customHeight="1" x14ac:dyDescent="0.4">
      <c r="A2" s="514" t="s">
        <v>855</v>
      </c>
      <c r="B2" s="514"/>
      <c r="C2" s="514"/>
      <c r="D2" s="514"/>
      <c r="E2" s="514"/>
      <c r="F2" s="514"/>
    </row>
    <row r="3" spans="1:15" ht="30" customHeight="1" x14ac:dyDescent="0.4">
      <c r="A3" s="511" t="s">
        <v>783</v>
      </c>
      <c r="B3" s="511"/>
      <c r="C3" s="511"/>
      <c r="D3" s="511"/>
      <c r="E3" s="511"/>
      <c r="F3" s="511"/>
    </row>
    <row r="4" spans="1:15" ht="11.25" customHeight="1" thickBot="1" x14ac:dyDescent="0.45">
      <c r="A4" s="7"/>
      <c r="B4" s="129"/>
      <c r="C4" s="129"/>
      <c r="D4" s="129"/>
      <c r="E4" s="129"/>
      <c r="F4" s="129"/>
    </row>
    <row r="5" spans="1:15" ht="15" customHeight="1" thickBot="1" x14ac:dyDescent="0.45">
      <c r="A5" s="262"/>
      <c r="B5" s="525" t="s">
        <v>673</v>
      </c>
      <c r="C5" s="510"/>
      <c r="D5" s="525" t="s">
        <v>844</v>
      </c>
      <c r="E5" s="510"/>
    </row>
    <row r="6" spans="1:15" ht="30" customHeight="1" thickBot="1" x14ac:dyDescent="0.45">
      <c r="A6" s="2" t="s">
        <v>75</v>
      </c>
      <c r="B6" s="134" t="s">
        <v>39</v>
      </c>
      <c r="C6" s="135" t="s">
        <v>40</v>
      </c>
      <c r="D6" s="134" t="s">
        <v>39</v>
      </c>
      <c r="E6" s="135" t="s">
        <v>40</v>
      </c>
    </row>
    <row r="7" spans="1:15" ht="15" customHeight="1" x14ac:dyDescent="0.4">
      <c r="A7" s="263" t="s">
        <v>76</v>
      </c>
      <c r="B7" s="258">
        <v>1669719</v>
      </c>
      <c r="C7" s="264">
        <v>7.9942839389687395E-2</v>
      </c>
      <c r="D7" s="258">
        <v>1742535</v>
      </c>
      <c r="E7" s="264">
        <v>8.1891800288215744E-2</v>
      </c>
      <c r="F7" s="149"/>
    </row>
    <row r="8" spans="1:15" ht="15" customHeight="1" x14ac:dyDescent="0.4">
      <c r="A8" s="263" t="s">
        <v>77</v>
      </c>
      <c r="B8" s="258">
        <v>1854000</v>
      </c>
      <c r="C8" s="264">
        <v>8.8765848761666141E-2</v>
      </c>
      <c r="D8" s="258">
        <v>1859099</v>
      </c>
      <c r="E8" s="264">
        <v>8.7369816975855066E-2</v>
      </c>
      <c r="F8" s="149"/>
    </row>
    <row r="9" spans="1:15" ht="15" customHeight="1" x14ac:dyDescent="0.4">
      <c r="A9" s="263" t="s">
        <v>78</v>
      </c>
      <c r="B9" s="258">
        <v>1756029</v>
      </c>
      <c r="C9" s="264">
        <v>8.4075191281067871E-2</v>
      </c>
      <c r="D9" s="258">
        <v>1798579</v>
      </c>
      <c r="E9" s="264">
        <v>8.452563206511135E-2</v>
      </c>
    </row>
    <row r="10" spans="1:15" ht="15" customHeight="1" x14ac:dyDescent="0.4">
      <c r="A10" s="263" t="s">
        <v>79</v>
      </c>
      <c r="B10" s="258">
        <v>1868915</v>
      </c>
      <c r="C10" s="264">
        <v>8.9479949427405212E-2</v>
      </c>
      <c r="D10" s="258">
        <v>1868235</v>
      </c>
      <c r="E10" s="264">
        <v>8.7799170467999066E-2</v>
      </c>
      <c r="F10" s="149"/>
    </row>
    <row r="11" spans="1:15" ht="15" customHeight="1" x14ac:dyDescent="0.4">
      <c r="A11" s="263" t="s">
        <v>80</v>
      </c>
      <c r="B11" s="258">
        <v>1738551</v>
      </c>
      <c r="C11" s="264">
        <v>8.3238379250508865E-2</v>
      </c>
      <c r="D11" s="258">
        <v>1741005</v>
      </c>
      <c r="E11" s="264">
        <v>8.1819896737101439E-2</v>
      </c>
      <c r="F11" s="149"/>
    </row>
    <row r="12" spans="1:15" ht="15" customHeight="1" x14ac:dyDescent="0.4">
      <c r="A12" s="263" t="s">
        <v>81</v>
      </c>
      <c r="B12" s="258">
        <v>1755617</v>
      </c>
      <c r="C12" s="264">
        <v>8.4055465536898605E-2</v>
      </c>
      <c r="D12" s="258">
        <v>1747012</v>
      </c>
      <c r="E12" s="264">
        <v>8.2102200417848922E-2</v>
      </c>
    </row>
    <row r="13" spans="1:15" ht="15" customHeight="1" x14ac:dyDescent="0.4">
      <c r="A13" s="263" t="s">
        <v>82</v>
      </c>
      <c r="B13" s="258">
        <v>1792546</v>
      </c>
      <c r="C13" s="264">
        <v>8.5823552931137859E-2</v>
      </c>
      <c r="D13" s="258">
        <v>1825908</v>
      </c>
      <c r="E13" s="264">
        <v>8.5809979874525016E-2</v>
      </c>
    </row>
    <row r="14" spans="1:15" ht="15" customHeight="1" x14ac:dyDescent="0.4">
      <c r="A14" s="263" t="s">
        <v>83</v>
      </c>
      <c r="B14" s="258">
        <v>1706275</v>
      </c>
      <c r="C14" s="264">
        <v>8.1693068282530687E-2</v>
      </c>
      <c r="D14" s="258">
        <v>1760628</v>
      </c>
      <c r="E14" s="264">
        <v>8.2742095026981224E-2</v>
      </c>
    </row>
    <row r="15" spans="1:15" ht="15" customHeight="1" x14ac:dyDescent="0.4">
      <c r="A15" s="263" t="s">
        <v>84</v>
      </c>
      <c r="B15" s="258">
        <v>1730488</v>
      </c>
      <c r="C15" s="264">
        <v>8.2852338776633283E-2</v>
      </c>
      <c r="D15" s="258">
        <v>1764589</v>
      </c>
      <c r="E15" s="264">
        <v>8.2928245331532702E-2</v>
      </c>
    </row>
    <row r="16" spans="1:15" ht="15" customHeight="1" x14ac:dyDescent="0.4">
      <c r="A16" s="263" t="s">
        <v>85</v>
      </c>
      <c r="B16" s="258">
        <v>1683251</v>
      </c>
      <c r="C16" s="264">
        <v>8.0590724754003931E-2</v>
      </c>
      <c r="D16" s="258">
        <v>1756659</v>
      </c>
      <c r="E16" s="264">
        <v>8.2555568756149403E-2</v>
      </c>
    </row>
    <row r="17" spans="1:18" ht="15" customHeight="1" x14ac:dyDescent="0.4">
      <c r="A17" s="263" t="s">
        <v>86</v>
      </c>
      <c r="B17" s="258">
        <v>1539294</v>
      </c>
      <c r="C17" s="264">
        <v>7.3698348653581505E-2</v>
      </c>
      <c r="D17" s="258">
        <v>1607366</v>
      </c>
      <c r="E17" s="264">
        <v>7.5539427019869446E-2</v>
      </c>
    </row>
    <row r="18" spans="1:18" ht="15" customHeight="1" thickBot="1" x14ac:dyDescent="0.45">
      <c r="A18" s="263" t="s">
        <v>87</v>
      </c>
      <c r="B18" s="258">
        <v>1791726</v>
      </c>
      <c r="C18" s="264">
        <v>8.5784292954878646E-2</v>
      </c>
      <c r="D18" s="258">
        <v>1806889</v>
      </c>
      <c r="E18" s="264">
        <v>8.4916167038810622E-2</v>
      </c>
    </row>
    <row r="19" spans="1:18" ht="15" customHeight="1" thickBot="1" x14ac:dyDescent="0.45">
      <c r="A19" s="265" t="s">
        <v>49</v>
      </c>
      <c r="B19" s="260">
        <v>20886411</v>
      </c>
      <c r="C19" s="266"/>
      <c r="D19" s="260">
        <v>21278504</v>
      </c>
      <c r="E19" s="266"/>
    </row>
    <row r="20" spans="1:18" ht="5.0999999999999996" customHeight="1" x14ac:dyDescent="0.4"/>
    <row r="21" spans="1:18" ht="17.100000000000001" customHeight="1" thickBot="1" x14ac:dyDescent="0.45">
      <c r="A21" s="543" t="s">
        <v>10</v>
      </c>
      <c r="B21" s="543"/>
      <c r="C21" s="543"/>
      <c r="D21" s="543"/>
      <c r="E21" s="543"/>
      <c r="F21" s="543"/>
    </row>
    <row r="22" spans="1:18" ht="17.100000000000001" customHeight="1" x14ac:dyDescent="0.4">
      <c r="A22" s="540" t="s">
        <v>898</v>
      </c>
      <c r="B22" s="540"/>
      <c r="C22" s="540"/>
      <c r="D22" s="540"/>
      <c r="E22" s="540"/>
      <c r="F22" s="540"/>
    </row>
    <row r="23" spans="1:18" ht="17.100000000000001" customHeight="1" x14ac:dyDescent="0.45">
      <c r="A23" s="505" t="s">
        <v>780</v>
      </c>
      <c r="B23" s="505"/>
      <c r="C23" s="505"/>
      <c r="D23" s="505"/>
      <c r="E23" s="505"/>
      <c r="F23" s="505"/>
      <c r="G23" s="505"/>
      <c r="H23" s="126"/>
      <c r="I23" s="126"/>
      <c r="J23" s="126"/>
      <c r="K23" s="126"/>
      <c r="L23" s="126"/>
      <c r="M23" s="126"/>
      <c r="N23" s="126"/>
      <c r="O23" s="126"/>
      <c r="P23" s="120"/>
      <c r="Q23" s="120"/>
      <c r="R23" s="120"/>
    </row>
    <row r="24" spans="1:18" ht="17.100000000000001" customHeight="1" x14ac:dyDescent="0.4">
      <c r="A24" s="508" t="s">
        <v>575</v>
      </c>
      <c r="B24" s="508"/>
      <c r="C24" s="508"/>
      <c r="D24" s="508"/>
      <c r="E24" s="508"/>
      <c r="F24" s="508"/>
    </row>
    <row r="25" spans="1:18" ht="12.6" thickBot="1" x14ac:dyDescent="0.45">
      <c r="A25" s="537" t="s">
        <v>845</v>
      </c>
      <c r="B25" s="537"/>
      <c r="C25" s="537"/>
      <c r="D25" s="537"/>
      <c r="E25" s="537"/>
      <c r="F25" s="537"/>
    </row>
    <row r="26" spans="1:18" x14ac:dyDescent="0.4">
      <c r="A26" s="131"/>
    </row>
    <row r="27" spans="1:18" x14ac:dyDescent="0.4">
      <c r="A27" s="124" t="s">
        <v>614</v>
      </c>
    </row>
  </sheetData>
  <mergeCells count="9">
    <mergeCell ref="A22:F22"/>
    <mergeCell ref="A24:F24"/>
    <mergeCell ref="A25:F25"/>
    <mergeCell ref="A23:G23"/>
    <mergeCell ref="A2:F2"/>
    <mergeCell ref="A3:F3"/>
    <mergeCell ref="B5:C5"/>
    <mergeCell ref="D5:E5"/>
    <mergeCell ref="A21:F21"/>
  </mergeCells>
  <hyperlinks>
    <hyperlink ref="A27" location="Contents!A1" display="Return to Contents" xr:uid="{00000000-0004-0000-1A00-000000000000}"/>
    <hyperlink ref="A24:F24" r:id="rId1" display="Contact via enquiries@NHSDigital.nhs.uk or 0300 303 5678" xr:uid="{00000000-0004-0000-1A00-000001000000}"/>
  </hyperlinks>
  <pageMargins left="0.78740157480314965" right="0.78740157480314965" top="0.78740157480314965" bottom="0.78740157480314965" header="0.78740157480314965" footer="0.78740157480314965"/>
  <pageSetup paperSize="9" orientation="landscape" r:id="rId2"/>
  <headerFooter alignWithMargins="0">
    <oddFooter>&amp;L&amp;C&amp;R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7"/>
  <dimension ref="A1:R33"/>
  <sheetViews>
    <sheetView showGridLines="0" workbookViewId="0"/>
  </sheetViews>
  <sheetFormatPr defaultColWidth="9.109375" defaultRowHeight="12.3" x14ac:dyDescent="0.4"/>
  <cols>
    <col min="1" max="1" width="21.5546875" style="113" customWidth="1"/>
    <col min="2" max="5" width="17.88671875" style="113" customWidth="1"/>
    <col min="6" max="7" width="9.109375" style="113" customWidth="1"/>
    <col min="8" max="16384" width="9.109375" style="113"/>
  </cols>
  <sheetData>
    <row r="1" spans="1:6" s="351" customFormat="1" ht="15" customHeight="1" x14ac:dyDescent="0.4"/>
    <row r="2" spans="1:6" ht="30" customHeight="1" x14ac:dyDescent="0.75">
      <c r="A2" s="522" t="s">
        <v>856</v>
      </c>
      <c r="B2" s="523"/>
      <c r="C2" s="523"/>
      <c r="D2" s="523"/>
      <c r="E2" s="523"/>
      <c r="F2" s="523"/>
    </row>
    <row r="3" spans="1:6" ht="30" customHeight="1" x14ac:dyDescent="0.4">
      <c r="A3" s="524" t="s">
        <v>783</v>
      </c>
      <c r="B3" s="520"/>
      <c r="C3" s="520"/>
      <c r="D3" s="520"/>
      <c r="E3" s="520"/>
      <c r="F3" s="520"/>
    </row>
    <row r="4" spans="1:6" ht="11.25" customHeight="1" thickBot="1" x14ac:dyDescent="0.45"/>
    <row r="5" spans="1:6" ht="15" customHeight="1" thickBot="1" x14ac:dyDescent="0.45">
      <c r="A5" s="249"/>
      <c r="B5" s="541" t="s">
        <v>673</v>
      </c>
      <c r="C5" s="510"/>
      <c r="D5" s="541" t="s">
        <v>844</v>
      </c>
      <c r="E5" s="510"/>
    </row>
    <row r="6" spans="1:6" ht="30" customHeight="1" thickBot="1" x14ac:dyDescent="0.45">
      <c r="A6" s="2" t="s">
        <v>88</v>
      </c>
      <c r="B6" s="134" t="s">
        <v>39</v>
      </c>
      <c r="C6" s="135" t="s">
        <v>40</v>
      </c>
      <c r="D6" s="134" t="s">
        <v>39</v>
      </c>
      <c r="E6" s="135" t="s">
        <v>40</v>
      </c>
    </row>
    <row r="7" spans="1:6" ht="15" customHeight="1" x14ac:dyDescent="0.4">
      <c r="A7" s="242" t="s">
        <v>89</v>
      </c>
      <c r="B7" s="254">
        <v>3297111</v>
      </c>
      <c r="C7" s="215">
        <v>0.15785914583410238</v>
      </c>
      <c r="D7" s="254">
        <v>3339758</v>
      </c>
      <c r="E7" s="215">
        <v>0.15695454906040388</v>
      </c>
    </row>
    <row r="8" spans="1:6" ht="15" customHeight="1" x14ac:dyDescent="0.4">
      <c r="A8" s="242" t="s">
        <v>90</v>
      </c>
      <c r="B8" s="254">
        <v>3007720</v>
      </c>
      <c r="C8" s="215">
        <v>0.14400367779797113</v>
      </c>
      <c r="D8" s="254">
        <v>3080911</v>
      </c>
      <c r="E8" s="215">
        <v>0.14478983108962923</v>
      </c>
    </row>
    <row r="9" spans="1:6" ht="15" customHeight="1" x14ac:dyDescent="0.4">
      <c r="A9" s="242" t="s">
        <v>91</v>
      </c>
      <c r="B9" s="254">
        <v>2943992</v>
      </c>
      <c r="C9" s="215">
        <v>0.14095250735035331</v>
      </c>
      <c r="D9" s="254">
        <v>3000339</v>
      </c>
      <c r="E9" s="215">
        <v>0.1410032866972227</v>
      </c>
    </row>
    <row r="10" spans="1:6" ht="15" customHeight="1" x14ac:dyDescent="0.4">
      <c r="A10" s="242" t="s">
        <v>92</v>
      </c>
      <c r="B10" s="254">
        <v>2914840</v>
      </c>
      <c r="C10" s="215">
        <v>0.13955676731631872</v>
      </c>
      <c r="D10" s="254">
        <v>2965710</v>
      </c>
      <c r="E10" s="215">
        <v>0.13937586965700222</v>
      </c>
    </row>
    <row r="11" spans="1:6" ht="15" customHeight="1" x14ac:dyDescent="0.4">
      <c r="A11" s="242" t="s">
        <v>93</v>
      </c>
      <c r="B11" s="254">
        <v>2936829</v>
      </c>
      <c r="C11" s="215">
        <v>0.14060955709432318</v>
      </c>
      <c r="D11" s="254">
        <v>2934123</v>
      </c>
      <c r="E11" s="215">
        <v>0.13789141379487957</v>
      </c>
    </row>
    <row r="12" spans="1:6" ht="15" customHeight="1" x14ac:dyDescent="0.4">
      <c r="A12" s="242" t="s">
        <v>94</v>
      </c>
      <c r="B12" s="254">
        <v>2852947</v>
      </c>
      <c r="C12" s="215">
        <v>0.13659345303508583</v>
      </c>
      <c r="D12" s="254">
        <v>2979470</v>
      </c>
      <c r="E12" s="215">
        <v>0.14002253165918055</v>
      </c>
    </row>
    <row r="13" spans="1:6" ht="15" customHeight="1" thickBot="1" x14ac:dyDescent="0.45">
      <c r="A13" s="242" t="s">
        <v>95</v>
      </c>
      <c r="B13" s="254">
        <v>2932972</v>
      </c>
      <c r="C13" s="215">
        <v>0.14042489157184546</v>
      </c>
      <c r="D13" s="254">
        <v>2978193</v>
      </c>
      <c r="E13" s="215">
        <v>0.13996251804168189</v>
      </c>
    </row>
    <row r="14" spans="1:6" ht="15" customHeight="1" thickBot="1" x14ac:dyDescent="0.45">
      <c r="A14" s="140" t="s">
        <v>49</v>
      </c>
      <c r="B14" s="248">
        <v>20886411</v>
      </c>
      <c r="C14" s="245"/>
      <c r="D14" s="248">
        <v>21278504</v>
      </c>
      <c r="E14" s="245"/>
    </row>
    <row r="15" spans="1:6" ht="5.0999999999999996" customHeight="1" x14ac:dyDescent="0.4"/>
    <row r="16" spans="1:6" ht="17.100000000000001" customHeight="1" thickBot="1" x14ac:dyDescent="0.45">
      <c r="A16" s="531" t="s">
        <v>10</v>
      </c>
      <c r="B16" s="518"/>
      <c r="C16" s="518"/>
      <c r="D16" s="518"/>
      <c r="E16" s="518"/>
      <c r="F16" s="518"/>
    </row>
    <row r="17" spans="1:18" ht="17.100000000000001" customHeight="1" x14ac:dyDescent="0.4">
      <c r="A17" s="512" t="s">
        <v>898</v>
      </c>
      <c r="B17" s="513"/>
      <c r="C17" s="513"/>
      <c r="D17" s="513"/>
      <c r="E17" s="513"/>
      <c r="F17" s="513"/>
    </row>
    <row r="18" spans="1:18" ht="17.100000000000001" customHeight="1" x14ac:dyDescent="0.45">
      <c r="A18" s="505" t="s">
        <v>780</v>
      </c>
      <c r="B18" s="505"/>
      <c r="C18" s="505"/>
      <c r="D18" s="505"/>
      <c r="E18" s="505"/>
      <c r="F18" s="505"/>
      <c r="G18" s="505"/>
      <c r="H18" s="120"/>
      <c r="I18" s="120"/>
      <c r="J18" s="120"/>
      <c r="K18" s="120"/>
      <c r="L18" s="120"/>
      <c r="M18" s="120"/>
      <c r="N18" s="120"/>
      <c r="O18" s="120"/>
      <c r="P18" s="120"/>
      <c r="Q18" s="120"/>
      <c r="R18" s="120"/>
    </row>
    <row r="19" spans="1:18" ht="17.100000000000001" customHeight="1" x14ac:dyDescent="0.4">
      <c r="A19" s="515" t="s">
        <v>575</v>
      </c>
      <c r="B19" s="516"/>
      <c r="C19" s="516"/>
      <c r="D19" s="516"/>
      <c r="E19" s="516"/>
      <c r="F19" s="516"/>
    </row>
    <row r="20" spans="1:18" ht="12.6" thickBot="1" x14ac:dyDescent="0.45">
      <c r="A20" s="517" t="s">
        <v>845</v>
      </c>
      <c r="B20" s="518"/>
      <c r="C20" s="518"/>
      <c r="D20" s="518"/>
      <c r="E20" s="518"/>
      <c r="F20" s="518"/>
    </row>
    <row r="22" spans="1:18" x14ac:dyDescent="0.4">
      <c r="A22" s="124" t="s">
        <v>614</v>
      </c>
    </row>
    <row r="26" spans="1:18" x14ac:dyDescent="0.4">
      <c r="E26" s="432"/>
      <c r="F26" s="432"/>
    </row>
    <row r="27" spans="1:18" x14ac:dyDescent="0.4">
      <c r="E27" s="432"/>
      <c r="F27" s="432"/>
    </row>
    <row r="28" spans="1:18" x14ac:dyDescent="0.4">
      <c r="E28" s="432"/>
      <c r="F28" s="432"/>
    </row>
    <row r="29" spans="1:18" x14ac:dyDescent="0.4">
      <c r="E29" s="432"/>
      <c r="F29" s="432"/>
    </row>
    <row r="30" spans="1:18" x14ac:dyDescent="0.4">
      <c r="E30" s="432"/>
      <c r="F30" s="432"/>
    </row>
    <row r="31" spans="1:18" x14ac:dyDescent="0.4">
      <c r="E31" s="432"/>
      <c r="F31" s="432"/>
    </row>
    <row r="32" spans="1:18" x14ac:dyDescent="0.4">
      <c r="E32" s="432"/>
      <c r="F32" s="432"/>
    </row>
    <row r="33" spans="5:6" x14ac:dyDescent="0.4">
      <c r="E33" s="432"/>
      <c r="F33" s="432"/>
    </row>
  </sheetData>
  <sortState ref="E27:F33">
    <sortCondition ref="F30"/>
  </sortState>
  <mergeCells count="9">
    <mergeCell ref="A17:F17"/>
    <mergeCell ref="A19:F19"/>
    <mergeCell ref="A20:F20"/>
    <mergeCell ref="A18:G18"/>
    <mergeCell ref="A2:F2"/>
    <mergeCell ref="A3:F3"/>
    <mergeCell ref="B5:C5"/>
    <mergeCell ref="D5:E5"/>
    <mergeCell ref="A16:F16"/>
  </mergeCells>
  <hyperlinks>
    <hyperlink ref="A19:F19" r:id="rId1" display="Contact via enquiries@NHSDigital.nhs.uk or 0300 303 5678" xr:uid="{00000000-0004-0000-1B00-000000000000}"/>
    <hyperlink ref="A22" location="Contents!A1" display="Return to Contents" xr:uid="{00000000-0004-0000-1B00-000001000000}"/>
  </hyperlinks>
  <pageMargins left="0.78740157480314965" right="0.78740157480314965" top="0.78740157480314965" bottom="0.78740157480314965" header="0.78740157480314965" footer="0.78740157480314965"/>
  <pageSetup paperSize="9" orientation="landscape" r:id="rId2"/>
  <headerFooter alignWithMargins="0">
    <oddFooter>&amp;L&amp;C&amp;R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8"/>
  <dimension ref="A1:R27"/>
  <sheetViews>
    <sheetView showGridLines="0" workbookViewId="0"/>
  </sheetViews>
  <sheetFormatPr defaultColWidth="9.109375" defaultRowHeight="12.3" x14ac:dyDescent="0.4"/>
  <cols>
    <col min="1" max="1" width="43.109375" style="113" customWidth="1"/>
    <col min="2" max="5" width="16.109375" style="113" customWidth="1"/>
    <col min="6" max="7" width="9.109375" style="113" customWidth="1"/>
    <col min="8" max="16384" width="9.109375" style="113"/>
  </cols>
  <sheetData>
    <row r="1" spans="1:16" s="351" customFormat="1" ht="15" customHeight="1" x14ac:dyDescent="0.4"/>
    <row r="2" spans="1:16" ht="56.25" customHeight="1" x14ac:dyDescent="0.75">
      <c r="A2" s="522" t="s">
        <v>857</v>
      </c>
      <c r="B2" s="523"/>
      <c r="C2" s="523"/>
      <c r="D2" s="523"/>
      <c r="E2" s="523"/>
      <c r="F2" s="523"/>
      <c r="I2" s="159"/>
      <c r="J2" s="159"/>
      <c r="K2" s="159"/>
      <c r="L2" s="159"/>
      <c r="M2" s="159"/>
      <c r="N2" s="159"/>
      <c r="O2" s="159"/>
      <c r="P2" s="159"/>
    </row>
    <row r="3" spans="1:16" ht="30" customHeight="1" x14ac:dyDescent="0.4">
      <c r="A3" s="524" t="s">
        <v>783</v>
      </c>
      <c r="B3" s="520"/>
      <c r="C3" s="520"/>
      <c r="D3" s="520"/>
      <c r="E3" s="520"/>
      <c r="F3" s="520"/>
      <c r="I3" s="159"/>
      <c r="J3" s="159"/>
      <c r="K3" s="159"/>
      <c r="L3" s="159"/>
      <c r="M3" s="159"/>
      <c r="N3" s="159"/>
      <c r="O3" s="159"/>
      <c r="P3" s="159"/>
    </row>
    <row r="4" spans="1:16" ht="11.25" customHeight="1" thickBot="1" x14ac:dyDescent="0.45">
      <c r="I4" s="159"/>
      <c r="J4" s="159"/>
      <c r="K4" s="159"/>
      <c r="L4" s="159"/>
      <c r="M4" s="159"/>
      <c r="N4" s="159"/>
      <c r="O4" s="159"/>
      <c r="P4" s="159"/>
    </row>
    <row r="5" spans="1:16" ht="15" customHeight="1" thickBot="1" x14ac:dyDescent="0.45">
      <c r="A5" s="262"/>
      <c r="B5" s="525" t="s">
        <v>673</v>
      </c>
      <c r="C5" s="510"/>
      <c r="D5" s="525" t="s">
        <v>673</v>
      </c>
      <c r="E5" s="510"/>
      <c r="I5" s="159"/>
      <c r="J5" s="159"/>
      <c r="K5" s="159"/>
      <c r="L5" s="159"/>
      <c r="M5" s="159"/>
      <c r="N5" s="159"/>
      <c r="O5" s="159"/>
      <c r="P5" s="159"/>
    </row>
    <row r="6" spans="1:16" ht="30" customHeight="1" thickBot="1" x14ac:dyDescent="0.45">
      <c r="A6" s="2" t="s">
        <v>96</v>
      </c>
      <c r="B6" s="134" t="s">
        <v>39</v>
      </c>
      <c r="C6" s="135" t="s">
        <v>40</v>
      </c>
      <c r="D6" s="134" t="s">
        <v>39</v>
      </c>
      <c r="E6" s="135" t="s">
        <v>40</v>
      </c>
      <c r="I6" s="159"/>
      <c r="J6" s="159"/>
      <c r="K6" s="159"/>
      <c r="L6" s="159"/>
      <c r="M6" s="159"/>
      <c r="N6" s="159"/>
      <c r="O6" s="159"/>
      <c r="P6" s="159"/>
    </row>
    <row r="7" spans="1:16" ht="15" customHeight="1" x14ac:dyDescent="0.4">
      <c r="A7" s="263" t="s">
        <v>97</v>
      </c>
      <c r="B7" s="258">
        <v>12988263</v>
      </c>
      <c r="C7" s="264">
        <v>0.62185231344916081</v>
      </c>
      <c r="D7" s="258">
        <v>13404428</v>
      </c>
      <c r="E7" s="264">
        <v>0.6299516168993835</v>
      </c>
      <c r="H7" s="432"/>
      <c r="I7" s="159"/>
      <c r="J7" s="159"/>
      <c r="K7" s="159"/>
      <c r="L7" s="159"/>
      <c r="M7" s="159"/>
      <c r="N7" s="159"/>
      <c r="O7" s="159"/>
      <c r="P7" s="159"/>
    </row>
    <row r="8" spans="1:16" ht="15" customHeight="1" x14ac:dyDescent="0.4">
      <c r="A8" s="263" t="s">
        <v>34</v>
      </c>
      <c r="B8" s="258">
        <v>2415484</v>
      </c>
      <c r="C8" s="264">
        <v>0.11564859084693871</v>
      </c>
      <c r="D8" s="258">
        <v>2115889</v>
      </c>
      <c r="E8" s="264">
        <v>9.9437864616798252E-2</v>
      </c>
      <c r="H8" s="432"/>
      <c r="I8" s="159"/>
      <c r="J8" s="159"/>
      <c r="K8" s="159"/>
      <c r="L8" s="159"/>
      <c r="M8" s="159"/>
      <c r="N8" s="159"/>
      <c r="O8" s="159"/>
      <c r="P8" s="159"/>
    </row>
    <row r="9" spans="1:16" ht="15" customHeight="1" x14ac:dyDescent="0.4">
      <c r="A9" s="263" t="s">
        <v>98</v>
      </c>
      <c r="B9" s="258">
        <v>2443509</v>
      </c>
      <c r="C9" s="264">
        <v>0.11699037235262678</v>
      </c>
      <c r="D9" s="258">
        <v>1824244</v>
      </c>
      <c r="E9" s="264">
        <v>8.5731778888215079E-2</v>
      </c>
      <c r="H9" s="432"/>
      <c r="I9" s="159"/>
      <c r="J9" s="159"/>
      <c r="K9" s="159"/>
      <c r="L9" s="159"/>
      <c r="M9" s="159"/>
      <c r="N9" s="159"/>
      <c r="O9" s="159"/>
      <c r="P9" s="159"/>
    </row>
    <row r="10" spans="1:16" ht="15" customHeight="1" x14ac:dyDescent="0.4">
      <c r="A10" s="263" t="s">
        <v>100</v>
      </c>
      <c r="B10" s="258">
        <v>964148</v>
      </c>
      <c r="C10" s="264">
        <v>4.6161497061414716E-2</v>
      </c>
      <c r="D10" s="258">
        <v>1562066</v>
      </c>
      <c r="E10" s="264">
        <v>7.3410517957465435E-2</v>
      </c>
      <c r="H10" s="432"/>
      <c r="I10" s="159"/>
      <c r="J10" s="159"/>
      <c r="K10" s="159"/>
      <c r="L10" s="159"/>
      <c r="M10" s="159"/>
      <c r="N10" s="159"/>
      <c r="O10" s="159"/>
      <c r="P10" s="159"/>
    </row>
    <row r="11" spans="1:16" ht="15" customHeight="1" x14ac:dyDescent="0.4">
      <c r="A11" s="263" t="s">
        <v>99</v>
      </c>
      <c r="B11" s="258">
        <v>1105531</v>
      </c>
      <c r="C11" s="264">
        <v>5.2930635138799101E-2</v>
      </c>
      <c r="D11" s="258">
        <v>1145959</v>
      </c>
      <c r="E11" s="264">
        <v>5.3855242830980976E-2</v>
      </c>
      <c r="H11" s="432"/>
      <c r="I11" s="159"/>
      <c r="J11" s="159"/>
      <c r="K11" s="159"/>
      <c r="L11" s="159"/>
      <c r="M11" s="159"/>
      <c r="N11" s="159"/>
      <c r="O11" s="159"/>
      <c r="P11" s="159"/>
    </row>
    <row r="12" spans="1:16" ht="15" customHeight="1" x14ac:dyDescent="0.4">
      <c r="A12" s="263" t="s">
        <v>101</v>
      </c>
      <c r="B12" s="258">
        <v>701256</v>
      </c>
      <c r="C12" s="264">
        <v>3.3574748672713567E-2</v>
      </c>
      <c r="D12" s="258">
        <v>932253</v>
      </c>
      <c r="E12" s="264">
        <v>4.3811961592788669E-2</v>
      </c>
      <c r="H12" s="432"/>
      <c r="I12" s="159"/>
      <c r="J12" s="159"/>
      <c r="K12" s="159"/>
      <c r="L12" s="159"/>
      <c r="M12" s="159"/>
      <c r="N12" s="159"/>
      <c r="O12" s="159"/>
      <c r="P12" s="159"/>
    </row>
    <row r="13" spans="1:16" ht="15" customHeight="1" x14ac:dyDescent="0.4">
      <c r="A13" s="263" t="s">
        <v>104</v>
      </c>
      <c r="B13" s="258">
        <v>74548</v>
      </c>
      <c r="C13" s="264">
        <v>3.5692106221600255E-3</v>
      </c>
      <c r="D13" s="258">
        <v>117084</v>
      </c>
      <c r="E13" s="264">
        <v>5.5024544958611754E-3</v>
      </c>
      <c r="H13" s="432"/>
      <c r="I13" s="159"/>
      <c r="J13" s="159"/>
      <c r="K13" s="159"/>
      <c r="L13" s="159"/>
      <c r="M13" s="159"/>
      <c r="N13" s="159"/>
      <c r="O13" s="159"/>
      <c r="P13" s="159"/>
    </row>
    <row r="14" spans="1:16" ht="15" customHeight="1" x14ac:dyDescent="0.4">
      <c r="A14" s="263" t="s">
        <v>103</v>
      </c>
      <c r="B14" s="258">
        <v>88533</v>
      </c>
      <c r="C14" s="264">
        <v>4.2387847294587857E-3</v>
      </c>
      <c r="D14" s="258">
        <v>91862</v>
      </c>
      <c r="E14" s="264">
        <v>4.3171268055310656E-3</v>
      </c>
      <c r="H14" s="432"/>
      <c r="I14" s="159"/>
      <c r="J14" s="159"/>
      <c r="K14" s="159"/>
      <c r="L14" s="159"/>
      <c r="M14" s="159"/>
      <c r="N14" s="159"/>
      <c r="O14" s="159"/>
      <c r="P14" s="159"/>
    </row>
    <row r="15" spans="1:16" ht="15" customHeight="1" x14ac:dyDescent="0.4">
      <c r="A15" s="263" t="s">
        <v>102</v>
      </c>
      <c r="B15" s="258">
        <v>85277</v>
      </c>
      <c r="C15" s="264">
        <v>4.082893896897844E-3</v>
      </c>
      <c r="D15" s="258">
        <v>65325</v>
      </c>
      <c r="E15" s="264">
        <v>3.0699996578706849E-3</v>
      </c>
      <c r="H15" s="432"/>
      <c r="I15" s="159"/>
      <c r="J15" s="159"/>
      <c r="K15" s="159"/>
      <c r="L15" s="159"/>
      <c r="M15" s="159"/>
      <c r="N15" s="159"/>
      <c r="O15" s="159"/>
      <c r="P15" s="159"/>
    </row>
    <row r="16" spans="1:16" ht="15" customHeight="1" x14ac:dyDescent="0.4">
      <c r="A16" s="263" t="s">
        <v>105</v>
      </c>
      <c r="B16" s="258">
        <v>11152</v>
      </c>
      <c r="C16" s="264">
        <v>5.3393567712518917E-4</v>
      </c>
      <c r="D16" s="258">
        <v>10700</v>
      </c>
      <c r="E16" s="264">
        <v>5.0285489994973329E-4</v>
      </c>
      <c r="H16" s="432"/>
      <c r="I16" s="159"/>
      <c r="J16" s="159"/>
      <c r="K16" s="159"/>
      <c r="L16" s="159"/>
      <c r="M16" s="159"/>
      <c r="N16" s="159"/>
      <c r="O16" s="159"/>
      <c r="P16" s="159"/>
    </row>
    <row r="17" spans="1:18" ht="15" customHeight="1" x14ac:dyDescent="0.4">
      <c r="A17" s="263" t="s">
        <v>106</v>
      </c>
      <c r="B17" s="258">
        <v>7053</v>
      </c>
      <c r="C17" s="264">
        <v>3.3768367384899204E-4</v>
      </c>
      <c r="D17" s="258">
        <v>6810</v>
      </c>
      <c r="E17" s="264">
        <v>3.2004129613623215E-4</v>
      </c>
      <c r="H17" s="432"/>
      <c r="I17" s="159"/>
      <c r="J17" s="159"/>
      <c r="K17" s="159"/>
      <c r="L17" s="159"/>
      <c r="M17" s="159"/>
      <c r="N17" s="159"/>
      <c r="O17" s="159"/>
      <c r="P17" s="159"/>
    </row>
    <row r="18" spans="1:18" ht="15" customHeight="1" thickBot="1" x14ac:dyDescent="0.45">
      <c r="A18" s="263" t="s">
        <v>107</v>
      </c>
      <c r="B18" s="258">
        <v>1657</v>
      </c>
      <c r="C18" s="264">
        <v>7.9333878855491252E-5</v>
      </c>
      <c r="D18" s="258">
        <v>1884</v>
      </c>
      <c r="E18" s="264">
        <v>8.854005901918669E-5</v>
      </c>
      <c r="H18" s="432"/>
      <c r="I18" s="159"/>
      <c r="J18" s="159"/>
      <c r="K18" s="159"/>
      <c r="L18" s="159"/>
      <c r="M18" s="159"/>
      <c r="N18" s="159"/>
      <c r="O18" s="159"/>
      <c r="P18" s="159"/>
    </row>
    <row r="19" spans="1:18" ht="15" customHeight="1" thickBot="1" x14ac:dyDescent="0.45">
      <c r="A19" s="265" t="s">
        <v>49</v>
      </c>
      <c r="B19" s="260">
        <v>20886411</v>
      </c>
      <c r="C19" s="267"/>
      <c r="D19" s="260">
        <v>21278504</v>
      </c>
      <c r="E19" s="267"/>
      <c r="I19" s="159"/>
      <c r="J19" s="159"/>
      <c r="K19" s="159"/>
      <c r="L19" s="159"/>
      <c r="M19" s="159"/>
      <c r="N19" s="159"/>
      <c r="O19" s="159"/>
      <c r="P19" s="159"/>
    </row>
    <row r="20" spans="1:18" ht="5.0999999999999996" customHeight="1" x14ac:dyDescent="0.4">
      <c r="I20" s="159"/>
      <c r="J20" s="159"/>
      <c r="K20" s="159"/>
      <c r="L20" s="159"/>
      <c r="M20" s="159"/>
      <c r="N20" s="159"/>
      <c r="O20" s="159"/>
      <c r="P20" s="159"/>
    </row>
    <row r="21" spans="1:18" ht="17.100000000000001" customHeight="1" thickBot="1" x14ac:dyDescent="0.45">
      <c r="A21" s="560" t="s">
        <v>10</v>
      </c>
      <c r="B21" s="561"/>
      <c r="C21" s="561"/>
      <c r="D21" s="561"/>
      <c r="E21" s="561"/>
      <c r="F21" s="561"/>
      <c r="I21" s="159"/>
      <c r="J21" s="159"/>
      <c r="K21" s="159"/>
      <c r="L21" s="159"/>
      <c r="M21" s="159"/>
      <c r="N21" s="159"/>
      <c r="O21" s="159"/>
      <c r="P21" s="159"/>
    </row>
    <row r="22" spans="1:18" ht="17.100000000000001" customHeight="1" x14ac:dyDescent="0.4">
      <c r="A22" s="512" t="s">
        <v>898</v>
      </c>
      <c r="B22" s="513"/>
      <c r="C22" s="513"/>
      <c r="D22" s="513"/>
      <c r="E22" s="513"/>
      <c r="F22" s="513"/>
      <c r="I22" s="159"/>
      <c r="J22" s="159"/>
      <c r="K22" s="159"/>
      <c r="L22" s="159"/>
      <c r="M22" s="159"/>
      <c r="N22" s="159"/>
      <c r="O22" s="159"/>
      <c r="P22" s="159"/>
    </row>
    <row r="23" spans="1:18" ht="17.100000000000001" customHeight="1" x14ac:dyDescent="0.45">
      <c r="A23" s="505" t="s">
        <v>780</v>
      </c>
      <c r="B23" s="505"/>
      <c r="C23" s="505"/>
      <c r="D23" s="505"/>
      <c r="E23" s="505"/>
      <c r="F23" s="505"/>
      <c r="G23" s="505"/>
      <c r="H23" s="120"/>
      <c r="I23" s="126"/>
      <c r="J23" s="126"/>
      <c r="K23" s="126"/>
      <c r="L23" s="126"/>
      <c r="M23" s="126"/>
      <c r="N23" s="126"/>
      <c r="O23" s="126"/>
      <c r="P23" s="126"/>
      <c r="Q23" s="120"/>
      <c r="R23" s="120"/>
    </row>
    <row r="24" spans="1:18" ht="17.100000000000001" customHeight="1" x14ac:dyDescent="0.4">
      <c r="A24" s="515" t="s">
        <v>575</v>
      </c>
      <c r="B24" s="516"/>
      <c r="C24" s="516"/>
      <c r="D24" s="516"/>
      <c r="E24" s="516"/>
      <c r="F24" s="516"/>
    </row>
    <row r="25" spans="1:18" ht="12.6" thickBot="1" x14ac:dyDescent="0.45">
      <c r="A25" s="517" t="s">
        <v>845</v>
      </c>
      <c r="B25" s="518"/>
      <c r="C25" s="518"/>
      <c r="D25" s="518"/>
      <c r="E25" s="518"/>
      <c r="F25" s="518"/>
    </row>
    <row r="26" spans="1:18" x14ac:dyDescent="0.4">
      <c r="A26" s="131"/>
    </row>
    <row r="27" spans="1:18" x14ac:dyDescent="0.4">
      <c r="A27" s="124" t="s">
        <v>614</v>
      </c>
    </row>
  </sheetData>
  <sortState ref="J6:L17">
    <sortCondition descending="1" ref="L11"/>
  </sortState>
  <mergeCells count="9">
    <mergeCell ref="A22:F22"/>
    <mergeCell ref="A24:F24"/>
    <mergeCell ref="A25:F25"/>
    <mergeCell ref="A23:G23"/>
    <mergeCell ref="A2:F2"/>
    <mergeCell ref="A3:F3"/>
    <mergeCell ref="B5:C5"/>
    <mergeCell ref="D5:E5"/>
    <mergeCell ref="A21:F21"/>
  </mergeCells>
  <hyperlinks>
    <hyperlink ref="A24:F24" r:id="rId1" display="Contact via enquiries@NHSDigital.nhs.uk or 0300 303 5678" xr:uid="{00000000-0004-0000-1C00-000000000000}"/>
    <hyperlink ref="A27" location="Contents!A1" display="Return to Contents" xr:uid="{00000000-0004-0000-1C00-000001000000}"/>
  </hyperlinks>
  <pageMargins left="0.78740157480314965" right="0.78740157480314965" top="0.78740157480314965" bottom="0.78740157480314965" header="0.78740157480314965" footer="0.78740157480314965"/>
  <pageSetup paperSize="9" orientation="landscape" r:id="rId2"/>
  <headerFooter alignWithMargins="0">
    <oddFooter>&amp;L&amp;C&amp;R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9"/>
  <dimension ref="A1:R18"/>
  <sheetViews>
    <sheetView showGridLines="0" workbookViewId="0"/>
  </sheetViews>
  <sheetFormatPr defaultColWidth="9.109375" defaultRowHeight="12.3" x14ac:dyDescent="0.4"/>
  <cols>
    <col min="1" max="1" width="35.6640625" style="113" customWidth="1"/>
    <col min="2" max="5" width="16.109375" style="113" customWidth="1"/>
    <col min="6" max="7" width="9.109375" style="113" customWidth="1"/>
    <col min="8" max="16384" width="9.109375" style="113"/>
  </cols>
  <sheetData>
    <row r="1" spans="1:18" s="351" customFormat="1" ht="15" customHeight="1" x14ac:dyDescent="0.4"/>
    <row r="2" spans="1:18" ht="56.25" customHeight="1" x14ac:dyDescent="0.75">
      <c r="A2" s="514" t="s">
        <v>858</v>
      </c>
      <c r="B2" s="514"/>
      <c r="C2" s="514"/>
      <c r="D2" s="514"/>
      <c r="E2" s="514"/>
      <c r="F2" s="361"/>
    </row>
    <row r="3" spans="1:18" ht="30" customHeight="1" x14ac:dyDescent="0.4">
      <c r="A3" s="524" t="s">
        <v>783</v>
      </c>
      <c r="B3" s="520"/>
      <c r="C3" s="520"/>
      <c r="D3" s="520"/>
      <c r="E3" s="520"/>
      <c r="F3" s="520"/>
    </row>
    <row r="4" spans="1:18" ht="11.25" customHeight="1" thickBot="1" x14ac:dyDescent="0.45"/>
    <row r="5" spans="1:18" ht="15" customHeight="1" thickBot="1" x14ac:dyDescent="0.45">
      <c r="A5" s="249"/>
      <c r="B5" s="541" t="s">
        <v>673</v>
      </c>
      <c r="C5" s="510"/>
      <c r="D5" s="541" t="s">
        <v>844</v>
      </c>
      <c r="E5" s="510"/>
    </row>
    <row r="6" spans="1:18" ht="30" customHeight="1" thickBot="1" x14ac:dyDescent="0.45">
      <c r="A6" s="235" t="s">
        <v>108</v>
      </c>
      <c r="B6" s="134" t="s">
        <v>39</v>
      </c>
      <c r="C6" s="135" t="s">
        <v>40</v>
      </c>
      <c r="D6" s="134" t="s">
        <v>39</v>
      </c>
      <c r="E6" s="135" t="s">
        <v>40</v>
      </c>
    </row>
    <row r="7" spans="1:18" ht="30" customHeight="1" x14ac:dyDescent="0.4">
      <c r="A7" s="246" t="s">
        <v>109</v>
      </c>
      <c r="B7" s="254">
        <v>4737928</v>
      </c>
      <c r="C7" s="215">
        <v>0.22684261072905249</v>
      </c>
      <c r="D7" s="254">
        <v>4730769</v>
      </c>
      <c r="E7" s="215">
        <v>0.22232620300750466</v>
      </c>
    </row>
    <row r="8" spans="1:18" ht="15" customHeight="1" x14ac:dyDescent="0.4">
      <c r="A8" s="246" t="s">
        <v>34</v>
      </c>
      <c r="B8" s="254">
        <v>15699262</v>
      </c>
      <c r="C8" s="215">
        <v>0.75164957732565929</v>
      </c>
      <c r="D8" s="254">
        <v>15884991</v>
      </c>
      <c r="E8" s="215">
        <v>0.74652762243059945</v>
      </c>
    </row>
    <row r="9" spans="1:18" ht="15" customHeight="1" thickBot="1" x14ac:dyDescent="0.45">
      <c r="A9" s="246" t="s">
        <v>44</v>
      </c>
      <c r="B9" s="254">
        <v>449221</v>
      </c>
      <c r="C9" s="215">
        <v>2.1507811945288256E-2</v>
      </c>
      <c r="D9" s="254">
        <v>662744</v>
      </c>
      <c r="E9" s="215">
        <v>3.1146174561895893E-2</v>
      </c>
    </row>
    <row r="10" spans="1:18" ht="15" customHeight="1" thickBot="1" x14ac:dyDescent="0.45">
      <c r="A10" s="133" t="s">
        <v>49</v>
      </c>
      <c r="B10" s="248">
        <v>20886411</v>
      </c>
      <c r="C10" s="261"/>
      <c r="D10" s="248">
        <v>21278504</v>
      </c>
      <c r="E10" s="261"/>
    </row>
    <row r="11" spans="1:18" ht="5.0999999999999996" customHeight="1" x14ac:dyDescent="0.4"/>
    <row r="12" spans="1:18" ht="17.100000000000001" customHeight="1" thickBot="1" x14ac:dyDescent="0.45">
      <c r="A12" s="521" t="s">
        <v>10</v>
      </c>
      <c r="B12" s="520"/>
      <c r="C12" s="520"/>
      <c r="D12" s="520"/>
      <c r="E12" s="520"/>
      <c r="F12" s="520"/>
    </row>
    <row r="13" spans="1:18" ht="17.100000000000001" customHeight="1" x14ac:dyDescent="0.4">
      <c r="A13" s="512" t="s">
        <v>898</v>
      </c>
      <c r="B13" s="513"/>
      <c r="C13" s="513"/>
      <c r="D13" s="513"/>
      <c r="E13" s="513"/>
      <c r="F13" s="513"/>
    </row>
    <row r="14" spans="1:18" ht="17.100000000000001" customHeight="1" x14ac:dyDescent="0.45">
      <c r="A14" s="505" t="s">
        <v>780</v>
      </c>
      <c r="B14" s="505"/>
      <c r="C14" s="505"/>
      <c r="D14" s="505"/>
      <c r="E14" s="505"/>
      <c r="F14" s="505"/>
      <c r="G14" s="505"/>
      <c r="H14" s="120"/>
      <c r="I14" s="120"/>
      <c r="J14" s="120"/>
      <c r="K14" s="120"/>
      <c r="L14" s="120"/>
      <c r="M14" s="120"/>
      <c r="N14" s="120"/>
      <c r="O14" s="120"/>
      <c r="P14" s="120"/>
      <c r="Q14" s="120"/>
      <c r="R14" s="120"/>
    </row>
    <row r="15" spans="1:18" ht="17.100000000000001" customHeight="1" x14ac:dyDescent="0.4">
      <c r="A15" s="515" t="s">
        <v>575</v>
      </c>
      <c r="B15" s="516"/>
      <c r="C15" s="516"/>
      <c r="D15" s="516"/>
      <c r="E15" s="516"/>
      <c r="F15" s="516"/>
    </row>
    <row r="16" spans="1:18" ht="12.6" thickBot="1" x14ac:dyDescent="0.45">
      <c r="A16" s="517" t="s">
        <v>845</v>
      </c>
      <c r="B16" s="518"/>
      <c r="C16" s="518"/>
      <c r="D16" s="518"/>
      <c r="E16" s="518"/>
      <c r="F16" s="518"/>
    </row>
    <row r="17" spans="1:1" x14ac:dyDescent="0.4">
      <c r="A17" s="131"/>
    </row>
    <row r="18" spans="1:1" x14ac:dyDescent="0.4">
      <c r="A18" s="124" t="s">
        <v>614</v>
      </c>
    </row>
  </sheetData>
  <mergeCells count="9">
    <mergeCell ref="A2:E2"/>
    <mergeCell ref="A13:F13"/>
    <mergeCell ref="A15:F15"/>
    <mergeCell ref="A16:F16"/>
    <mergeCell ref="A14:G14"/>
    <mergeCell ref="A3:F3"/>
    <mergeCell ref="B5:C5"/>
    <mergeCell ref="D5:E5"/>
    <mergeCell ref="A12:F12"/>
  </mergeCells>
  <hyperlinks>
    <hyperlink ref="A15:F15" r:id="rId1" display="Contact via enquiries@NHSDigital.nhs.uk or 0300 303 5678" xr:uid="{00000000-0004-0000-1D00-000000000000}"/>
    <hyperlink ref="A18" location="Contents!A1" display="Return to Contents" xr:uid="{00000000-0004-0000-1D00-000001000000}"/>
  </hyperlinks>
  <pageMargins left="0.78740157480314965" right="0.78740157480314965" top="0.78740157480314965" bottom="0.78740157480314965" header="0.78740157480314965" footer="0.78740157480314965"/>
  <pageSetup paperSize="9" orientation="landscape" r:id="rId2"/>
  <headerFooter alignWithMargins="0">
    <oddFooter>&amp;L&amp;C&amp;R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0"/>
  <dimension ref="A1:R39"/>
  <sheetViews>
    <sheetView showGridLines="0" workbookViewId="0"/>
  </sheetViews>
  <sheetFormatPr defaultColWidth="9.109375" defaultRowHeight="12.3" x14ac:dyDescent="0.4"/>
  <cols>
    <col min="1" max="1" width="21.44140625" style="122" customWidth="1"/>
    <col min="2" max="5" width="21.5546875" style="122" customWidth="1"/>
    <col min="6" max="7" width="9.109375" style="122" customWidth="1"/>
    <col min="8" max="16384" width="9.109375" style="122"/>
  </cols>
  <sheetData>
    <row r="1" spans="1:6" s="348" customFormat="1" ht="15" customHeight="1" x14ac:dyDescent="0.4"/>
    <row r="2" spans="1:6" ht="56.25" customHeight="1" x14ac:dyDescent="0.75">
      <c r="A2" s="495" t="s">
        <v>859</v>
      </c>
      <c r="B2" s="496"/>
      <c r="C2" s="496"/>
      <c r="D2" s="496"/>
      <c r="E2" s="496"/>
      <c r="F2" s="496"/>
    </row>
    <row r="3" spans="1:6" ht="30" customHeight="1" x14ac:dyDescent="0.4">
      <c r="A3" s="497" t="s">
        <v>783</v>
      </c>
      <c r="B3" s="494"/>
      <c r="C3" s="494"/>
      <c r="D3" s="494"/>
      <c r="E3" s="494"/>
      <c r="F3" s="494"/>
    </row>
    <row r="4" spans="1:6" ht="11.25" customHeight="1" thickBot="1" x14ac:dyDescent="0.45">
      <c r="A4" s="564"/>
      <c r="B4" s="494"/>
      <c r="C4" s="494"/>
      <c r="D4" s="494"/>
      <c r="E4" s="494"/>
      <c r="F4" s="494"/>
    </row>
    <row r="5" spans="1:6" ht="15" customHeight="1" thickBot="1" x14ac:dyDescent="0.45">
      <c r="A5" s="268"/>
      <c r="B5" s="565" t="s">
        <v>673</v>
      </c>
      <c r="C5" s="500"/>
      <c r="D5" s="565" t="s">
        <v>844</v>
      </c>
      <c r="E5" s="500"/>
    </row>
    <row r="6" spans="1:6" ht="42" customHeight="1" thickBot="1" x14ac:dyDescent="0.45">
      <c r="A6" s="8" t="s">
        <v>110</v>
      </c>
      <c r="B6" s="9" t="s">
        <v>111</v>
      </c>
      <c r="C6" s="1" t="s">
        <v>40</v>
      </c>
      <c r="D6" s="9" t="s">
        <v>111</v>
      </c>
      <c r="E6" s="1" t="s">
        <v>40</v>
      </c>
    </row>
    <row r="7" spans="1:6" ht="15" customHeight="1" x14ac:dyDescent="0.4">
      <c r="A7" s="269" t="s">
        <v>112</v>
      </c>
      <c r="B7" s="258">
        <v>178682</v>
      </c>
      <c r="C7" s="264">
        <v>0.44400000000000001</v>
      </c>
      <c r="D7" s="258">
        <v>173946</v>
      </c>
      <c r="E7" s="264">
        <v>0.42688649150000002</v>
      </c>
    </row>
    <row r="8" spans="1:6" ht="15" customHeight="1" x14ac:dyDescent="0.4">
      <c r="A8" s="269" t="s">
        <v>113</v>
      </c>
      <c r="B8" s="258">
        <v>156604</v>
      </c>
      <c r="C8" s="264">
        <v>0.48599999999999999</v>
      </c>
      <c r="D8" s="258">
        <v>156284</v>
      </c>
      <c r="E8" s="264">
        <v>0.47515300399999999</v>
      </c>
    </row>
    <row r="9" spans="1:6" ht="15" customHeight="1" x14ac:dyDescent="0.4">
      <c r="A9" s="269" t="s">
        <v>114</v>
      </c>
      <c r="B9" s="258">
        <v>130416</v>
      </c>
      <c r="C9" s="264">
        <v>0.5</v>
      </c>
      <c r="D9" s="258">
        <v>127894</v>
      </c>
      <c r="E9" s="264">
        <v>0.4824459156</v>
      </c>
    </row>
    <row r="10" spans="1:6" ht="15" customHeight="1" x14ac:dyDescent="0.4">
      <c r="A10" s="269" t="s">
        <v>115</v>
      </c>
      <c r="B10" s="258">
        <v>118915</v>
      </c>
      <c r="C10" s="264">
        <v>0.51700000000000002</v>
      </c>
      <c r="D10" s="258">
        <v>120498</v>
      </c>
      <c r="E10" s="264">
        <v>0.5084775802</v>
      </c>
    </row>
    <row r="11" spans="1:6" ht="15" customHeight="1" x14ac:dyDescent="0.4">
      <c r="A11" s="269" t="s">
        <v>116</v>
      </c>
      <c r="B11" s="258">
        <v>114387</v>
      </c>
      <c r="C11" s="264">
        <v>0.53800000000000003</v>
      </c>
      <c r="D11" s="258">
        <v>117991</v>
      </c>
      <c r="E11" s="264">
        <v>0.53185993890000005</v>
      </c>
    </row>
    <row r="12" spans="1:6" ht="15" customHeight="1" x14ac:dyDescent="0.4">
      <c r="A12" s="269" t="s">
        <v>117</v>
      </c>
      <c r="B12" s="258">
        <v>111628</v>
      </c>
      <c r="C12" s="264">
        <v>0.53700000000000003</v>
      </c>
      <c r="D12" s="258">
        <v>119135</v>
      </c>
      <c r="E12" s="264">
        <v>0.54172464279999999</v>
      </c>
    </row>
    <row r="13" spans="1:6" ht="15" customHeight="1" x14ac:dyDescent="0.4">
      <c r="A13" s="269" t="s">
        <v>118</v>
      </c>
      <c r="B13" s="258">
        <v>89931</v>
      </c>
      <c r="C13" s="264">
        <v>0.41099999999999998</v>
      </c>
      <c r="D13" s="258">
        <v>91056</v>
      </c>
      <c r="E13" s="264">
        <v>0.410952598</v>
      </c>
    </row>
    <row r="14" spans="1:6" ht="15" customHeight="1" x14ac:dyDescent="0.4">
      <c r="A14" s="269" t="s">
        <v>119</v>
      </c>
      <c r="B14" s="258">
        <v>91743</v>
      </c>
      <c r="C14" s="264">
        <v>0.26500000000000001</v>
      </c>
      <c r="D14" s="258">
        <v>91355</v>
      </c>
      <c r="E14" s="264">
        <v>0.26447436610000002</v>
      </c>
    </row>
    <row r="15" spans="1:6" ht="15" customHeight="1" x14ac:dyDescent="0.4">
      <c r="A15" s="269" t="s">
        <v>120</v>
      </c>
      <c r="B15" s="258">
        <v>136712</v>
      </c>
      <c r="C15" s="264">
        <v>0.161</v>
      </c>
      <c r="D15" s="258">
        <v>139716</v>
      </c>
      <c r="E15" s="264">
        <v>0.15723266189999999</v>
      </c>
    </row>
    <row r="16" spans="1:6" ht="15" customHeight="1" x14ac:dyDescent="0.4">
      <c r="A16" s="269" t="s">
        <v>121</v>
      </c>
      <c r="B16" s="258">
        <v>190666</v>
      </c>
      <c r="C16" s="264">
        <v>0.14199999999999999</v>
      </c>
      <c r="D16" s="258">
        <v>190024</v>
      </c>
      <c r="E16" s="264">
        <v>0.13851720749999999</v>
      </c>
    </row>
    <row r="17" spans="1:6" ht="15" customHeight="1" x14ac:dyDescent="0.4">
      <c r="A17" s="269" t="s">
        <v>122</v>
      </c>
      <c r="B17" s="258">
        <v>226440</v>
      </c>
      <c r="C17" s="264">
        <v>0.152</v>
      </c>
      <c r="D17" s="258">
        <v>223705</v>
      </c>
      <c r="E17" s="264">
        <v>0.14734718420000001</v>
      </c>
    </row>
    <row r="18" spans="1:6" ht="15" customHeight="1" x14ac:dyDescent="0.4">
      <c r="A18" s="269" t="s">
        <v>123</v>
      </c>
      <c r="B18" s="258">
        <v>248475</v>
      </c>
      <c r="C18" s="264">
        <v>0.16600000000000001</v>
      </c>
      <c r="D18" s="258">
        <v>245514</v>
      </c>
      <c r="E18" s="264">
        <v>0.16003196550000001</v>
      </c>
    </row>
    <row r="19" spans="1:6" ht="15" customHeight="1" x14ac:dyDescent="0.4">
      <c r="A19" s="269" t="s">
        <v>124</v>
      </c>
      <c r="B19" s="258">
        <v>255256</v>
      </c>
      <c r="C19" s="264">
        <v>0.17899999999999999</v>
      </c>
      <c r="D19" s="258">
        <v>251477</v>
      </c>
      <c r="E19" s="264">
        <v>0.1725965703</v>
      </c>
    </row>
    <row r="20" spans="1:6" ht="15" customHeight="1" x14ac:dyDescent="0.4">
      <c r="A20" s="269" t="s">
        <v>125</v>
      </c>
      <c r="B20" s="258">
        <v>256253</v>
      </c>
      <c r="C20" s="264">
        <v>0.187</v>
      </c>
      <c r="D20" s="258">
        <v>255823</v>
      </c>
      <c r="E20" s="264">
        <v>0.1823459643</v>
      </c>
    </row>
    <row r="21" spans="1:6" ht="15" customHeight="1" x14ac:dyDescent="0.4">
      <c r="A21" s="269" t="s">
        <v>126</v>
      </c>
      <c r="B21" s="258">
        <v>252574</v>
      </c>
      <c r="C21" s="264">
        <v>0.19</v>
      </c>
      <c r="D21" s="258">
        <v>251075</v>
      </c>
      <c r="E21" s="264">
        <v>0.18494074460000001</v>
      </c>
    </row>
    <row r="22" spans="1:6" ht="15" customHeight="1" x14ac:dyDescent="0.4">
      <c r="A22" s="269" t="s">
        <v>127</v>
      </c>
      <c r="B22" s="258">
        <v>259908</v>
      </c>
      <c r="C22" s="264">
        <v>0.20200000000000001</v>
      </c>
      <c r="D22" s="258">
        <v>261681</v>
      </c>
      <c r="E22" s="264">
        <v>0.197884591</v>
      </c>
    </row>
    <row r="23" spans="1:6" ht="15" customHeight="1" x14ac:dyDescent="0.4">
      <c r="A23" s="269" t="s">
        <v>128</v>
      </c>
      <c r="B23" s="258">
        <v>257068</v>
      </c>
      <c r="C23" s="264">
        <v>0.19800000000000001</v>
      </c>
      <c r="D23" s="258">
        <v>256772</v>
      </c>
      <c r="E23" s="264">
        <v>0.1937800975</v>
      </c>
    </row>
    <row r="24" spans="1:6" ht="15" customHeight="1" x14ac:dyDescent="0.4">
      <c r="A24" s="269" t="s">
        <v>129</v>
      </c>
      <c r="B24" s="258">
        <v>265422</v>
      </c>
      <c r="C24" s="264">
        <v>0.21</v>
      </c>
      <c r="D24" s="258">
        <v>269163</v>
      </c>
      <c r="E24" s="264">
        <v>0.20746019020000001</v>
      </c>
    </row>
    <row r="25" spans="1:6" ht="15" customHeight="1" x14ac:dyDescent="0.4">
      <c r="A25" s="269" t="s">
        <v>130</v>
      </c>
      <c r="B25" s="258">
        <v>252147</v>
      </c>
      <c r="C25" s="264">
        <v>0.19600000000000001</v>
      </c>
      <c r="D25" s="258">
        <v>250019</v>
      </c>
      <c r="E25" s="264">
        <v>0.19111446430000001</v>
      </c>
    </row>
    <row r="26" spans="1:6" ht="15" customHeight="1" x14ac:dyDescent="0.4">
      <c r="A26" s="269" t="s">
        <v>131</v>
      </c>
      <c r="B26" s="258">
        <v>229934</v>
      </c>
      <c r="C26" s="264">
        <v>0.19500000000000001</v>
      </c>
      <c r="D26" s="258">
        <v>225586</v>
      </c>
      <c r="E26" s="264">
        <v>0.19039203269999999</v>
      </c>
    </row>
    <row r="27" spans="1:6" ht="15" customHeight="1" x14ac:dyDescent="0.4">
      <c r="A27" s="269" t="s">
        <v>132</v>
      </c>
      <c r="B27" s="258">
        <v>247657</v>
      </c>
      <c r="C27" s="264">
        <v>0.24399999999999999</v>
      </c>
      <c r="D27" s="258">
        <v>249050</v>
      </c>
      <c r="E27" s="264">
        <v>0.24351538240000001</v>
      </c>
    </row>
    <row r="28" spans="1:6" ht="15" customHeight="1" x14ac:dyDescent="0.4">
      <c r="A28" s="269" t="s">
        <v>133</v>
      </c>
      <c r="B28" s="258">
        <v>239804</v>
      </c>
      <c r="C28" s="264">
        <v>0.28999999999999998</v>
      </c>
      <c r="D28" s="258">
        <v>241127</v>
      </c>
      <c r="E28" s="264">
        <v>0.2868776784</v>
      </c>
    </row>
    <row r="29" spans="1:6" ht="15" customHeight="1" x14ac:dyDescent="0.4">
      <c r="A29" s="269" t="s">
        <v>134</v>
      </c>
      <c r="B29" s="258">
        <v>221925</v>
      </c>
      <c r="C29" s="264">
        <v>0.33500000000000002</v>
      </c>
      <c r="D29" s="258">
        <v>219852</v>
      </c>
      <c r="E29" s="264">
        <v>0.32849522609999998</v>
      </c>
    </row>
    <row r="30" spans="1:6" ht="15" customHeight="1" thickBot="1" x14ac:dyDescent="0.45">
      <c r="A30" s="269" t="s">
        <v>135</v>
      </c>
      <c r="B30" s="258">
        <v>205381</v>
      </c>
      <c r="C30" s="264">
        <v>0.39200000000000002</v>
      </c>
      <c r="D30" s="258">
        <v>202026</v>
      </c>
      <c r="E30" s="264">
        <v>0.38086996849999999</v>
      </c>
    </row>
    <row r="31" spans="1:6" ht="4.5" customHeight="1" x14ac:dyDescent="0.4">
      <c r="A31" s="150"/>
      <c r="B31" s="150"/>
      <c r="C31" s="150"/>
      <c r="D31" s="150"/>
      <c r="E31" s="150"/>
    </row>
    <row r="32" spans="1:6" ht="17.100000000000001" customHeight="1" thickBot="1" x14ac:dyDescent="0.45">
      <c r="A32" s="566" t="s">
        <v>10</v>
      </c>
      <c r="B32" s="567"/>
      <c r="C32" s="567"/>
      <c r="D32" s="567"/>
      <c r="E32" s="567"/>
      <c r="F32" s="567"/>
    </row>
    <row r="33" spans="1:18" ht="17.100000000000001" customHeight="1" x14ac:dyDescent="0.4">
      <c r="A33" s="568" t="s">
        <v>898</v>
      </c>
      <c r="B33" s="569"/>
      <c r="C33" s="569"/>
      <c r="D33" s="569"/>
      <c r="E33" s="569"/>
      <c r="F33" s="569"/>
    </row>
    <row r="34" spans="1:18" ht="17.100000000000001" customHeight="1" x14ac:dyDescent="0.45">
      <c r="A34" s="505" t="s">
        <v>780</v>
      </c>
      <c r="B34" s="505"/>
      <c r="C34" s="505"/>
      <c r="D34" s="505"/>
      <c r="E34" s="505"/>
      <c r="F34" s="505"/>
      <c r="G34" s="505"/>
      <c r="H34" s="120"/>
      <c r="I34" s="120"/>
      <c r="J34" s="120"/>
      <c r="K34" s="120"/>
      <c r="L34" s="120"/>
      <c r="M34" s="120"/>
      <c r="N34" s="120"/>
      <c r="O34" s="120"/>
      <c r="P34" s="120"/>
      <c r="Q34" s="120"/>
      <c r="R34" s="120"/>
    </row>
    <row r="35" spans="1:18" ht="17.100000000000001" customHeight="1" x14ac:dyDescent="0.4">
      <c r="A35" s="515" t="s">
        <v>575</v>
      </c>
      <c r="B35" s="516"/>
      <c r="C35" s="516"/>
      <c r="D35" s="516"/>
      <c r="E35" s="516"/>
      <c r="F35" s="516"/>
    </row>
    <row r="36" spans="1:18" ht="12.6" thickBot="1" x14ac:dyDescent="0.45">
      <c r="A36" s="562" t="s">
        <v>845</v>
      </c>
      <c r="B36" s="563"/>
      <c r="C36" s="563"/>
      <c r="D36" s="563"/>
      <c r="E36" s="563"/>
      <c r="F36" s="563"/>
    </row>
    <row r="37" spans="1:18" x14ac:dyDescent="0.4">
      <c r="A37" s="128"/>
    </row>
    <row r="38" spans="1:18" x14ac:dyDescent="0.4">
      <c r="A38" s="124" t="s">
        <v>614</v>
      </c>
    </row>
    <row r="39" spans="1:18" x14ac:dyDescent="0.4">
      <c r="C39" s="122" t="s">
        <v>580</v>
      </c>
    </row>
  </sheetData>
  <mergeCells count="10">
    <mergeCell ref="A36:F36"/>
    <mergeCell ref="A2:F2"/>
    <mergeCell ref="A3:F3"/>
    <mergeCell ref="A4:F4"/>
    <mergeCell ref="B5:C5"/>
    <mergeCell ref="D5:E5"/>
    <mergeCell ref="A32:F32"/>
    <mergeCell ref="A33:F33"/>
    <mergeCell ref="A35:F35"/>
    <mergeCell ref="A34:G34"/>
  </mergeCells>
  <hyperlinks>
    <hyperlink ref="A35:F35" r:id="rId1" display="Contact via enquiries@NHSDigital.nhs.uk or 0300 303 5678" xr:uid="{00000000-0004-0000-1E00-000000000000}"/>
    <hyperlink ref="A38" location="Contents!A1" display="Return to Contents" xr:uid="{00000000-0004-0000-1E00-000001000000}"/>
  </hyperlinks>
  <pageMargins left="0.78740157480314965" right="0.78740157480314965" top="0.78740157480314965" bottom="0.78740157480314965" header="0.78740157480314965" footer="0.78740157480314965"/>
  <pageSetup paperSize="9" orientation="landscape" r:id="rId2"/>
  <headerFooter alignWithMargins="0">
    <oddFooter>&amp;L&amp;C&amp;R</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9">
    <pageSetUpPr fitToPage="1"/>
  </sheetPr>
  <dimension ref="A1:R40"/>
  <sheetViews>
    <sheetView workbookViewId="0"/>
  </sheetViews>
  <sheetFormatPr defaultColWidth="9.109375" defaultRowHeight="12.3" x14ac:dyDescent="0.4"/>
  <cols>
    <col min="1" max="1" width="21.44140625" style="51" customWidth="1"/>
    <col min="2" max="8" width="13.44140625" style="51" customWidth="1"/>
    <col min="9" max="9" width="15.88671875" style="51" customWidth="1"/>
    <col min="10" max="16384" width="9.109375" style="51"/>
  </cols>
  <sheetData>
    <row r="1" spans="1:18" ht="15" customHeight="1" x14ac:dyDescent="0.4"/>
    <row r="2" spans="1:18" ht="56.25" customHeight="1" x14ac:dyDescent="0.75">
      <c r="A2" s="573" t="s">
        <v>860</v>
      </c>
      <c r="B2" s="574"/>
      <c r="C2" s="574"/>
      <c r="D2" s="574"/>
      <c r="E2" s="574"/>
      <c r="F2" s="574"/>
      <c r="G2" s="574"/>
      <c r="H2" s="574"/>
      <c r="I2" s="574"/>
      <c r="J2" s="50"/>
    </row>
    <row r="3" spans="1:18" ht="30" customHeight="1" x14ac:dyDescent="0.4">
      <c r="A3" s="575" t="s">
        <v>783</v>
      </c>
      <c r="B3" s="576"/>
      <c r="C3" s="576"/>
      <c r="D3" s="576"/>
      <c r="E3" s="576"/>
      <c r="F3" s="576"/>
      <c r="G3" s="576"/>
      <c r="H3" s="576"/>
      <c r="I3" s="576"/>
      <c r="J3" s="50"/>
    </row>
    <row r="4" spans="1:18" ht="11.25" customHeight="1" thickBot="1" x14ac:dyDescent="0.45">
      <c r="A4" s="50"/>
      <c r="B4" s="50"/>
      <c r="C4" s="50"/>
      <c r="D4" s="50"/>
      <c r="E4" s="50"/>
      <c r="F4" s="50"/>
      <c r="G4" s="50"/>
      <c r="H4" s="50"/>
      <c r="I4" s="50"/>
      <c r="J4" s="448"/>
      <c r="K4" s="449"/>
      <c r="L4" s="449"/>
      <c r="M4" s="449"/>
      <c r="N4" s="449"/>
      <c r="O4" s="449"/>
      <c r="P4" s="449"/>
      <c r="Q4" s="449"/>
      <c r="R4" s="449"/>
    </row>
    <row r="5" spans="1:18" ht="15" customHeight="1" thickBot="1" x14ac:dyDescent="0.45">
      <c r="A5" s="577" t="s">
        <v>50</v>
      </c>
      <c r="B5" s="579" t="s">
        <v>647</v>
      </c>
      <c r="C5" s="580"/>
      <c r="D5" s="580"/>
      <c r="E5" s="581"/>
      <c r="F5" s="582" t="s">
        <v>648</v>
      </c>
      <c r="G5" s="580"/>
      <c r="H5" s="580"/>
      <c r="I5" s="581"/>
      <c r="J5" s="448"/>
      <c r="K5" s="449"/>
      <c r="L5" s="449"/>
      <c r="M5" s="449"/>
      <c r="N5" s="449"/>
      <c r="O5" s="449"/>
      <c r="P5" s="449"/>
      <c r="Q5" s="449"/>
      <c r="R5" s="449"/>
    </row>
    <row r="6" spans="1:18" ht="15" customHeight="1" thickBot="1" x14ac:dyDescent="0.45">
      <c r="A6" s="578"/>
      <c r="B6" s="410" t="s">
        <v>47</v>
      </c>
      <c r="C6" s="52" t="s">
        <v>48</v>
      </c>
      <c r="D6" s="52" t="s">
        <v>8</v>
      </c>
      <c r="E6" s="53" t="s">
        <v>49</v>
      </c>
      <c r="F6" s="416" t="s">
        <v>47</v>
      </c>
      <c r="G6" s="417" t="s">
        <v>48</v>
      </c>
      <c r="H6" s="417" t="s">
        <v>8</v>
      </c>
      <c r="I6" s="418" t="s">
        <v>49</v>
      </c>
      <c r="J6" s="448"/>
      <c r="K6" s="449"/>
      <c r="L6" s="449"/>
      <c r="M6" s="449"/>
      <c r="N6" s="449"/>
      <c r="O6" s="449"/>
      <c r="P6" s="449"/>
      <c r="Q6" s="449"/>
      <c r="R6" s="449"/>
    </row>
    <row r="7" spans="1:18" ht="15" customHeight="1" x14ac:dyDescent="0.4">
      <c r="A7" s="40" t="s">
        <v>51</v>
      </c>
      <c r="B7" s="411">
        <v>47034</v>
      </c>
      <c r="C7" s="412">
        <v>36192</v>
      </c>
      <c r="D7" s="412">
        <v>1991</v>
      </c>
      <c r="E7" s="436">
        <v>85217</v>
      </c>
      <c r="F7" s="419">
        <v>9.9421468264461865E-3</v>
      </c>
      <c r="G7" s="420">
        <v>7.6503418366020409E-3</v>
      </c>
      <c r="H7" s="421">
        <v>4.208618091477305E-4</v>
      </c>
      <c r="I7" s="429">
        <v>1.8013350472195957E-2</v>
      </c>
      <c r="J7" s="448"/>
      <c r="K7" s="450"/>
      <c r="L7" s="450"/>
      <c r="M7" s="450"/>
      <c r="N7" s="450"/>
      <c r="O7" s="449"/>
      <c r="P7" s="449"/>
      <c r="Q7" s="449"/>
      <c r="R7" s="449"/>
    </row>
    <row r="8" spans="1:18" ht="15" customHeight="1" x14ac:dyDescent="0.4">
      <c r="A8" s="40" t="s">
        <v>52</v>
      </c>
      <c r="B8" s="413">
        <v>98181</v>
      </c>
      <c r="C8" s="302">
        <v>70340</v>
      </c>
      <c r="D8" s="302">
        <v>2284</v>
      </c>
      <c r="E8" s="437">
        <v>170805</v>
      </c>
      <c r="F8" s="422">
        <v>2.0753708329449186E-2</v>
      </c>
      <c r="G8" s="405">
        <v>1.4868618611477331E-2</v>
      </c>
      <c r="H8" s="423">
        <v>4.8279677151854172E-4</v>
      </c>
      <c r="I8" s="430">
        <v>3.6105123712445057E-2</v>
      </c>
      <c r="J8" s="448"/>
      <c r="K8" s="450"/>
      <c r="L8" s="450"/>
      <c r="M8" s="450"/>
      <c r="N8" s="450"/>
      <c r="O8" s="449"/>
      <c r="P8" s="449"/>
      <c r="Q8" s="449"/>
      <c r="R8" s="449"/>
    </row>
    <row r="9" spans="1:18" ht="15" customHeight="1" x14ac:dyDescent="0.4">
      <c r="A9" s="40" t="s">
        <v>53</v>
      </c>
      <c r="B9" s="413">
        <v>35658</v>
      </c>
      <c r="C9" s="302">
        <v>24883</v>
      </c>
      <c r="D9" s="302">
        <v>1337</v>
      </c>
      <c r="E9" s="437">
        <v>61878</v>
      </c>
      <c r="F9" s="422">
        <v>7.5374637823153066E-3</v>
      </c>
      <c r="G9" s="405">
        <v>5.2598213947880352E-3</v>
      </c>
      <c r="H9" s="423">
        <v>2.826178999651008E-4</v>
      </c>
      <c r="I9" s="430">
        <v>1.3079903077068442E-2</v>
      </c>
      <c r="J9" s="448"/>
      <c r="K9" s="450"/>
      <c r="L9" s="450"/>
      <c r="M9" s="450"/>
      <c r="N9" s="450"/>
      <c r="O9" s="449"/>
      <c r="P9" s="449"/>
      <c r="Q9" s="449"/>
      <c r="R9" s="449"/>
    </row>
    <row r="10" spans="1:18" ht="15" customHeight="1" x14ac:dyDescent="0.4">
      <c r="A10" s="40" t="s">
        <v>54</v>
      </c>
      <c r="B10" s="413">
        <v>34425</v>
      </c>
      <c r="C10" s="302">
        <v>29970</v>
      </c>
      <c r="D10" s="302">
        <v>943</v>
      </c>
      <c r="E10" s="437">
        <v>65338</v>
      </c>
      <c r="F10" s="422">
        <v>7.2768296232599812E-3</v>
      </c>
      <c r="G10" s="405">
        <v>6.3351222602498663E-3</v>
      </c>
      <c r="H10" s="423">
        <v>1.9933334305691105E-4</v>
      </c>
      <c r="I10" s="430">
        <v>1.381128522656676E-2</v>
      </c>
      <c r="J10" s="448"/>
      <c r="K10" s="450"/>
      <c r="L10" s="450"/>
      <c r="M10" s="450"/>
      <c r="N10" s="450"/>
      <c r="O10" s="449"/>
      <c r="P10" s="449"/>
      <c r="Q10" s="449"/>
      <c r="R10" s="449"/>
    </row>
    <row r="11" spans="1:18" ht="15" customHeight="1" x14ac:dyDescent="0.4">
      <c r="A11" s="40" t="s">
        <v>55</v>
      </c>
      <c r="B11" s="413">
        <v>8570</v>
      </c>
      <c r="C11" s="302">
        <v>10699</v>
      </c>
      <c r="D11" s="302">
        <v>175</v>
      </c>
      <c r="E11" s="437">
        <v>19444</v>
      </c>
      <c r="F11" s="422">
        <v>1.8115448038151937E-3</v>
      </c>
      <c r="G11" s="405">
        <v>2.2615773460932039E-3</v>
      </c>
      <c r="H11" s="423">
        <v>3.6991871723180733E-5</v>
      </c>
      <c r="I11" s="430">
        <v>4.1101140216315783E-3</v>
      </c>
      <c r="J11" s="448"/>
      <c r="K11" s="450"/>
      <c r="L11" s="450"/>
      <c r="M11" s="450"/>
      <c r="N11" s="450"/>
      <c r="O11" s="449"/>
      <c r="P11" s="449"/>
      <c r="Q11" s="449"/>
      <c r="R11" s="449"/>
    </row>
    <row r="12" spans="1:18" ht="15" customHeight="1" x14ac:dyDescent="0.4">
      <c r="A12" s="40" t="s">
        <v>56</v>
      </c>
      <c r="B12" s="413">
        <v>10168</v>
      </c>
      <c r="C12" s="302">
        <v>13065</v>
      </c>
      <c r="D12" s="302">
        <v>106</v>
      </c>
      <c r="E12" s="437">
        <v>23339</v>
      </c>
      <c r="F12" s="422">
        <v>2.1493334381788667E-3</v>
      </c>
      <c r="G12" s="405">
        <v>2.7617074517906075E-3</v>
      </c>
      <c r="H12" s="423">
        <v>2.2406505158040902E-5</v>
      </c>
      <c r="I12" s="430">
        <v>4.9334473951275154E-3</v>
      </c>
      <c r="J12" s="448"/>
      <c r="K12" s="450"/>
      <c r="L12" s="450"/>
      <c r="M12" s="450"/>
      <c r="N12" s="450"/>
      <c r="O12" s="449"/>
      <c r="P12" s="449"/>
      <c r="Q12" s="449"/>
      <c r="R12" s="449"/>
    </row>
    <row r="13" spans="1:18" ht="15" customHeight="1" x14ac:dyDescent="0.4">
      <c r="A13" s="40" t="s">
        <v>57</v>
      </c>
      <c r="B13" s="413">
        <v>12471</v>
      </c>
      <c r="C13" s="302">
        <v>16951</v>
      </c>
      <c r="D13" s="302">
        <v>121</v>
      </c>
      <c r="E13" s="437">
        <v>29543</v>
      </c>
      <c r="F13" s="422">
        <v>2.6361464700559254E-3</v>
      </c>
      <c r="G13" s="405">
        <v>3.5831383861693522E-3</v>
      </c>
      <c r="H13" s="423">
        <v>2.5577237020027821E-5</v>
      </c>
      <c r="I13" s="430">
        <v>6.244862093245305E-3</v>
      </c>
      <c r="J13" s="448"/>
      <c r="K13" s="450"/>
      <c r="L13" s="450"/>
      <c r="M13" s="450"/>
      <c r="N13" s="450"/>
      <c r="O13" s="449"/>
      <c r="P13" s="449"/>
      <c r="Q13" s="449"/>
      <c r="R13" s="449"/>
    </row>
    <row r="14" spans="1:18" ht="15" customHeight="1" x14ac:dyDescent="0.4">
      <c r="A14" s="40" t="s">
        <v>58</v>
      </c>
      <c r="B14" s="413">
        <v>17069</v>
      </c>
      <c r="C14" s="302">
        <v>22905</v>
      </c>
      <c r="D14" s="302">
        <v>122</v>
      </c>
      <c r="E14" s="437">
        <v>40096</v>
      </c>
      <c r="F14" s="422">
        <v>3.6080814768169826E-3</v>
      </c>
      <c r="G14" s="405">
        <v>4.8417075532540266E-3</v>
      </c>
      <c r="H14" s="423">
        <v>2.5788619144160282E-5</v>
      </c>
      <c r="I14" s="430">
        <v>8.4755776492151692E-3</v>
      </c>
      <c r="J14" s="448"/>
      <c r="K14" s="450"/>
      <c r="L14" s="450"/>
      <c r="M14" s="450"/>
      <c r="N14" s="450"/>
      <c r="O14" s="449"/>
      <c r="P14" s="449"/>
      <c r="Q14" s="449"/>
      <c r="R14" s="449"/>
    </row>
    <row r="15" spans="1:18" ht="15" customHeight="1" x14ac:dyDescent="0.4">
      <c r="A15" s="40" t="s">
        <v>59</v>
      </c>
      <c r="B15" s="413">
        <v>18729</v>
      </c>
      <c r="C15" s="302">
        <v>24945</v>
      </c>
      <c r="D15" s="302">
        <v>173</v>
      </c>
      <c r="E15" s="437">
        <v>43847</v>
      </c>
      <c r="F15" s="422">
        <v>3.9589758028768683E-3</v>
      </c>
      <c r="G15" s="405">
        <v>5.2729270864842479E-3</v>
      </c>
      <c r="H15" s="423">
        <v>3.656910747491581E-5</v>
      </c>
      <c r="I15" s="430">
        <v>9.2684719968360325E-3</v>
      </c>
      <c r="J15" s="448"/>
      <c r="K15" s="450"/>
      <c r="L15" s="450"/>
      <c r="M15" s="450"/>
      <c r="N15" s="450"/>
      <c r="O15" s="449"/>
      <c r="P15" s="449"/>
      <c r="Q15" s="449"/>
      <c r="R15" s="449"/>
    </row>
    <row r="16" spans="1:18" ht="15" customHeight="1" x14ac:dyDescent="0.4">
      <c r="A16" s="40" t="s">
        <v>60</v>
      </c>
      <c r="B16" s="413">
        <v>93073</v>
      </c>
      <c r="C16" s="302">
        <v>116508</v>
      </c>
      <c r="D16" s="302">
        <v>1205</v>
      </c>
      <c r="E16" s="437">
        <v>210786</v>
      </c>
      <c r="F16" s="422">
        <v>1.9673968439380574E-2</v>
      </c>
      <c r="G16" s="405">
        <v>2.4627708518424805E-2</v>
      </c>
      <c r="H16" s="423">
        <v>2.5471545957961593E-4</v>
      </c>
      <c r="I16" s="430">
        <v>4.4556392417384995E-2</v>
      </c>
      <c r="J16" s="448"/>
      <c r="K16" s="450"/>
      <c r="L16" s="450"/>
      <c r="M16" s="450"/>
      <c r="N16" s="450"/>
      <c r="O16" s="449"/>
      <c r="P16" s="449"/>
      <c r="Q16" s="449"/>
      <c r="R16" s="449"/>
    </row>
    <row r="17" spans="1:18" ht="15" customHeight="1" x14ac:dyDescent="0.4">
      <c r="A17" s="40" t="s">
        <v>61</v>
      </c>
      <c r="B17" s="413">
        <v>97560</v>
      </c>
      <c r="C17" s="302">
        <v>112579</v>
      </c>
      <c r="D17" s="302">
        <v>1410</v>
      </c>
      <c r="E17" s="437">
        <v>211549</v>
      </c>
      <c r="F17" s="422">
        <v>2.062244003036293E-2</v>
      </c>
      <c r="G17" s="405">
        <v>2.3797188152708364E-2</v>
      </c>
      <c r="H17" s="423">
        <v>2.9804879502677047E-4</v>
      </c>
      <c r="I17" s="430">
        <v>4.4717676978098066E-2</v>
      </c>
      <c r="J17" s="448"/>
      <c r="K17" s="450"/>
      <c r="L17" s="450"/>
      <c r="M17" s="450"/>
      <c r="N17" s="450"/>
      <c r="O17" s="449"/>
      <c r="P17" s="449"/>
      <c r="Q17" s="449"/>
      <c r="R17" s="449"/>
    </row>
    <row r="18" spans="1:18" ht="15" customHeight="1" x14ac:dyDescent="0.4">
      <c r="A18" s="40" t="s">
        <v>62</v>
      </c>
      <c r="B18" s="413">
        <v>93012</v>
      </c>
      <c r="C18" s="302">
        <v>101929</v>
      </c>
      <c r="D18" s="302">
        <v>1367</v>
      </c>
      <c r="E18" s="437">
        <v>196308</v>
      </c>
      <c r="F18" s="422">
        <v>1.9661074129808494E-2</v>
      </c>
      <c r="G18" s="405">
        <v>2.1545968530697651E-2</v>
      </c>
      <c r="H18" s="423">
        <v>2.8895936368907466E-4</v>
      </c>
      <c r="I18" s="430">
        <v>4.1496002024195219E-2</v>
      </c>
      <c r="J18" s="448"/>
      <c r="K18" s="450"/>
      <c r="L18" s="450"/>
      <c r="M18" s="450"/>
      <c r="N18" s="450"/>
      <c r="O18" s="449"/>
      <c r="P18" s="449"/>
      <c r="Q18" s="449"/>
      <c r="R18" s="449"/>
    </row>
    <row r="19" spans="1:18" ht="15" customHeight="1" x14ac:dyDescent="0.4">
      <c r="A19" s="40" t="s">
        <v>63</v>
      </c>
      <c r="B19" s="413">
        <v>92395</v>
      </c>
      <c r="C19" s="302">
        <v>93212</v>
      </c>
      <c r="D19" s="302">
        <v>1183</v>
      </c>
      <c r="E19" s="437">
        <v>186790</v>
      </c>
      <c r="F19" s="422">
        <v>1.9530651359218765E-2</v>
      </c>
      <c r="G19" s="405">
        <v>1.9703350554634985E-2</v>
      </c>
      <c r="H19" s="423">
        <v>2.5006505284870176E-4</v>
      </c>
      <c r="I19" s="430">
        <v>3.9484066966702452E-2</v>
      </c>
      <c r="J19" s="448"/>
      <c r="K19" s="450"/>
      <c r="L19" s="450"/>
      <c r="M19" s="450"/>
      <c r="N19" s="450"/>
      <c r="O19" s="449"/>
      <c r="P19" s="449"/>
      <c r="Q19" s="449"/>
      <c r="R19" s="449"/>
    </row>
    <row r="20" spans="1:18" ht="15" customHeight="1" x14ac:dyDescent="0.4">
      <c r="A20" s="40" t="s">
        <v>64</v>
      </c>
      <c r="B20" s="413">
        <v>93444</v>
      </c>
      <c r="C20" s="302">
        <v>89320</v>
      </c>
      <c r="D20" s="302">
        <v>907</v>
      </c>
      <c r="E20" s="437">
        <v>183671</v>
      </c>
      <c r="F20" s="422">
        <v>1.9752391207433717E-2</v>
      </c>
      <c r="G20" s="405">
        <v>1.8880651327511447E-2</v>
      </c>
      <c r="H20" s="423">
        <v>1.9172358658814243E-4</v>
      </c>
      <c r="I20" s="430">
        <v>3.8824766121533308E-2</v>
      </c>
      <c r="J20" s="448"/>
      <c r="K20" s="450"/>
      <c r="L20" s="450"/>
      <c r="M20" s="450"/>
      <c r="N20" s="450"/>
      <c r="O20" s="449"/>
      <c r="P20" s="449"/>
      <c r="Q20" s="449"/>
      <c r="R20" s="449"/>
    </row>
    <row r="21" spans="1:18" ht="15" customHeight="1" x14ac:dyDescent="0.4">
      <c r="A21" s="40" t="s">
        <v>65</v>
      </c>
      <c r="B21" s="413">
        <v>111736</v>
      </c>
      <c r="C21" s="302">
        <v>106379</v>
      </c>
      <c r="D21" s="302">
        <v>880</v>
      </c>
      <c r="E21" s="437">
        <v>218995</v>
      </c>
      <c r="F21" s="422">
        <v>2.3618993022064699E-2</v>
      </c>
      <c r="G21" s="405">
        <v>2.2486618983087105E-2</v>
      </c>
      <c r="H21" s="423">
        <v>1.8601626923656599E-4</v>
      </c>
      <c r="I21" s="430">
        <v>4.6291628274388374E-2</v>
      </c>
      <c r="J21" s="448"/>
      <c r="K21" s="450"/>
      <c r="L21" s="450"/>
      <c r="M21" s="450"/>
      <c r="N21" s="450"/>
      <c r="O21" s="449"/>
      <c r="P21" s="449"/>
      <c r="Q21" s="449"/>
      <c r="R21" s="449"/>
    </row>
    <row r="22" spans="1:18" ht="15" customHeight="1" x14ac:dyDescent="0.4">
      <c r="A22" s="40" t="s">
        <v>66</v>
      </c>
      <c r="B22" s="413">
        <v>125351</v>
      </c>
      <c r="C22" s="302">
        <v>114593</v>
      </c>
      <c r="D22" s="302">
        <v>828</v>
      </c>
      <c r="E22" s="437">
        <v>240772</v>
      </c>
      <c r="F22" s="422">
        <v>2.6496960642128163E-2</v>
      </c>
      <c r="G22" s="405">
        <v>2.4222911750711142E-2</v>
      </c>
      <c r="H22" s="423">
        <v>1.7502439878167798E-4</v>
      </c>
      <c r="I22" s="430">
        <v>5.0894896791620979E-2</v>
      </c>
      <c r="J22" s="448"/>
      <c r="K22" s="450"/>
      <c r="L22" s="450"/>
      <c r="M22" s="450"/>
      <c r="N22" s="450"/>
      <c r="O22" s="449"/>
      <c r="P22" s="449"/>
      <c r="Q22" s="449"/>
      <c r="R22" s="449"/>
    </row>
    <row r="23" spans="1:18" ht="15" customHeight="1" x14ac:dyDescent="0.4">
      <c r="A23" s="40" t="s">
        <v>67</v>
      </c>
      <c r="B23" s="413">
        <v>125255</v>
      </c>
      <c r="C23" s="302">
        <v>107231</v>
      </c>
      <c r="D23" s="302">
        <v>637</v>
      </c>
      <c r="E23" s="437">
        <v>233123</v>
      </c>
      <c r="F23" s="422">
        <v>2.6476667958211447E-2</v>
      </c>
      <c r="G23" s="405">
        <v>2.2666716552847962E-2</v>
      </c>
      <c r="H23" s="423">
        <v>1.3465041307237786E-4</v>
      </c>
      <c r="I23" s="430">
        <v>4.9278034924131783E-2</v>
      </c>
      <c r="J23" s="448"/>
      <c r="K23" s="450"/>
      <c r="L23" s="450"/>
      <c r="M23" s="450"/>
      <c r="N23" s="450"/>
      <c r="O23" s="449"/>
      <c r="P23" s="449"/>
      <c r="Q23" s="449"/>
      <c r="R23" s="449"/>
    </row>
    <row r="24" spans="1:18" ht="15" customHeight="1" x14ac:dyDescent="0.4">
      <c r="A24" s="40" t="s">
        <v>68</v>
      </c>
      <c r="B24" s="413">
        <v>123428</v>
      </c>
      <c r="C24" s="302">
        <v>104030</v>
      </c>
      <c r="D24" s="302">
        <v>548</v>
      </c>
      <c r="E24" s="437">
        <v>228006</v>
      </c>
      <c r="F24" s="422">
        <v>2.609047281742144E-2</v>
      </c>
      <c r="G24" s="405">
        <v>2.1990082373499954E-2</v>
      </c>
      <c r="H24" s="423">
        <v>1.1583740402458882E-4</v>
      </c>
      <c r="I24" s="430">
        <v>4.8196392594945979E-2</v>
      </c>
      <c r="J24" s="448"/>
      <c r="K24" s="450"/>
      <c r="L24" s="450"/>
      <c r="M24" s="450"/>
      <c r="N24" s="450"/>
      <c r="O24" s="449"/>
      <c r="P24" s="449"/>
      <c r="Q24" s="449"/>
      <c r="R24" s="449"/>
    </row>
    <row r="25" spans="1:18" ht="15" customHeight="1" x14ac:dyDescent="0.4">
      <c r="A25" s="40" t="s">
        <v>69</v>
      </c>
      <c r="B25" s="413">
        <v>143078</v>
      </c>
      <c r="C25" s="302">
        <v>124193</v>
      </c>
      <c r="D25" s="302">
        <v>506</v>
      </c>
      <c r="E25" s="437">
        <v>267777</v>
      </c>
      <c r="F25" s="422">
        <v>3.0244131556624303E-2</v>
      </c>
      <c r="G25" s="405">
        <v>2.6252180142382772E-2</v>
      </c>
      <c r="H25" s="423">
        <v>1.0695935481102544E-4</v>
      </c>
      <c r="I25" s="430">
        <v>5.6603271053818099E-2</v>
      </c>
      <c r="J25" s="448"/>
      <c r="K25" s="450"/>
      <c r="L25" s="450"/>
      <c r="M25" s="450"/>
      <c r="N25" s="450"/>
      <c r="O25" s="449"/>
      <c r="P25" s="449"/>
      <c r="Q25" s="449"/>
      <c r="R25" s="449"/>
    </row>
    <row r="26" spans="1:18" ht="15" customHeight="1" x14ac:dyDescent="0.4">
      <c r="A26" s="40" t="s">
        <v>70</v>
      </c>
      <c r="B26" s="413">
        <v>176506</v>
      </c>
      <c r="C26" s="302">
        <v>165806</v>
      </c>
      <c r="D26" s="302">
        <v>493</v>
      </c>
      <c r="E26" s="437">
        <v>342805</v>
      </c>
      <c r="F26" s="422">
        <v>3.7310213202124222E-2</v>
      </c>
      <c r="G26" s="405">
        <v>3.5048424473906888E-2</v>
      </c>
      <c r="H26" s="423">
        <v>1.0421138719730344E-4</v>
      </c>
      <c r="I26" s="430">
        <v>7.2462849063228404E-2</v>
      </c>
      <c r="J26" s="448"/>
      <c r="K26" s="450"/>
      <c r="L26" s="450"/>
      <c r="M26" s="450"/>
      <c r="N26" s="450"/>
      <c r="O26" s="449"/>
      <c r="P26" s="449"/>
      <c r="Q26" s="449"/>
      <c r="R26" s="449"/>
    </row>
    <row r="27" spans="1:18" ht="15" customHeight="1" x14ac:dyDescent="0.4">
      <c r="A27" s="40" t="s">
        <v>71</v>
      </c>
      <c r="B27" s="413">
        <v>189251</v>
      </c>
      <c r="C27" s="302">
        <v>199043</v>
      </c>
      <c r="D27" s="302">
        <v>396</v>
      </c>
      <c r="E27" s="437">
        <v>388690</v>
      </c>
      <c r="F27" s="422">
        <v>4.0004278374192438E-2</v>
      </c>
      <c r="G27" s="405">
        <v>4.2074132133697505E-2</v>
      </c>
      <c r="H27" s="423">
        <v>8.3707321156454691E-5</v>
      </c>
      <c r="I27" s="430">
        <v>8.2162117829046394E-2</v>
      </c>
      <c r="J27" s="448"/>
      <c r="K27" s="450"/>
      <c r="L27" s="450"/>
      <c r="M27" s="450"/>
      <c r="N27" s="450"/>
      <c r="O27" s="449"/>
      <c r="P27" s="449"/>
      <c r="Q27" s="449"/>
      <c r="R27" s="449"/>
    </row>
    <row r="28" spans="1:18" ht="15" customHeight="1" x14ac:dyDescent="0.4">
      <c r="A28" s="40" t="s">
        <v>72</v>
      </c>
      <c r="B28" s="413">
        <v>209784</v>
      </c>
      <c r="C28" s="302">
        <v>250087</v>
      </c>
      <c r="D28" s="302">
        <v>290</v>
      </c>
      <c r="E28" s="437">
        <v>460161</v>
      </c>
      <c r="F28" s="422">
        <v>4.4344587529004269E-2</v>
      </c>
      <c r="G28" s="405">
        <v>5.2863921277914859E-2</v>
      </c>
      <c r="H28" s="423">
        <v>6.130081599841379E-5</v>
      </c>
      <c r="I28" s="430">
        <v>9.7269809622917536E-2</v>
      </c>
      <c r="J28" s="448"/>
      <c r="K28" s="450"/>
      <c r="L28" s="450"/>
      <c r="M28" s="450"/>
      <c r="N28" s="450"/>
      <c r="O28" s="449"/>
      <c r="P28" s="449"/>
      <c r="Q28" s="449"/>
      <c r="R28" s="449"/>
    </row>
    <row r="29" spans="1:18" ht="15" customHeight="1" x14ac:dyDescent="0.4">
      <c r="A29" s="40" t="s">
        <v>73</v>
      </c>
      <c r="B29" s="413">
        <v>179064</v>
      </c>
      <c r="C29" s="302">
        <v>264062</v>
      </c>
      <c r="D29" s="302">
        <v>168</v>
      </c>
      <c r="E29" s="437">
        <v>443294</v>
      </c>
      <c r="F29" s="422">
        <v>3.7850928675655059E-2</v>
      </c>
      <c r="G29" s="405">
        <v>5.581798646266601E-2</v>
      </c>
      <c r="H29" s="423">
        <v>3.5512196854253508E-5</v>
      </c>
      <c r="I29" s="430">
        <v>9.3704427335175311E-2</v>
      </c>
      <c r="J29" s="448"/>
      <c r="K29" s="450"/>
      <c r="L29" s="450"/>
      <c r="M29" s="450"/>
      <c r="N29" s="450"/>
      <c r="O29" s="449"/>
      <c r="P29" s="449"/>
      <c r="Q29" s="449"/>
      <c r="R29" s="449"/>
    </row>
    <row r="30" spans="1:18" ht="15" customHeight="1" x14ac:dyDescent="0.4">
      <c r="A30" s="40" t="s">
        <v>74</v>
      </c>
      <c r="B30" s="413">
        <v>120106</v>
      </c>
      <c r="C30" s="302">
        <v>240724</v>
      </c>
      <c r="D30" s="302">
        <v>335</v>
      </c>
      <c r="E30" s="437">
        <v>361165</v>
      </c>
      <c r="F30" s="422">
        <v>2.5388261401053401E-2</v>
      </c>
      <c r="G30" s="405">
        <v>5.0884750449662626E-2</v>
      </c>
      <c r="H30" s="423">
        <v>7.0813011584374547E-5</v>
      </c>
      <c r="I30" s="430">
        <v>7.6343824862300402E-2</v>
      </c>
      <c r="J30" s="448"/>
      <c r="K30" s="450"/>
      <c r="L30" s="450"/>
      <c r="M30" s="450"/>
      <c r="N30" s="450"/>
      <c r="O30" s="449"/>
      <c r="P30" s="449"/>
      <c r="Q30" s="449"/>
      <c r="R30" s="449"/>
    </row>
    <row r="31" spans="1:18" ht="15" customHeight="1" thickBot="1" x14ac:dyDescent="0.45">
      <c r="A31" s="40" t="s">
        <v>8</v>
      </c>
      <c r="B31" s="414">
        <v>8252</v>
      </c>
      <c r="C31" s="404">
        <v>9032</v>
      </c>
      <c r="D31" s="404">
        <v>86</v>
      </c>
      <c r="E31" s="438">
        <v>17370</v>
      </c>
      <c r="F31" s="424">
        <v>1.744325288341071E-3</v>
      </c>
      <c r="G31" s="425">
        <v>1.9092033451643907E-3</v>
      </c>
      <c r="H31" s="426">
        <v>1.8178862675391674E-5</v>
      </c>
      <c r="I31" s="431">
        <v>3.6717074961808535E-3</v>
      </c>
      <c r="J31" s="448"/>
      <c r="K31" s="450"/>
      <c r="L31" s="450"/>
      <c r="M31" s="450"/>
      <c r="N31" s="450"/>
      <c r="O31" s="449"/>
      <c r="P31" s="449"/>
      <c r="Q31" s="449"/>
      <c r="R31" s="449"/>
    </row>
    <row r="32" spans="1:18" ht="15" customHeight="1" thickBot="1" x14ac:dyDescent="0.45">
      <c r="A32" s="403" t="s">
        <v>49</v>
      </c>
      <c r="B32" s="406">
        <v>2263600</v>
      </c>
      <c r="C32" s="407">
        <v>2448678</v>
      </c>
      <c r="D32" s="407">
        <v>18491</v>
      </c>
      <c r="E32" s="415">
        <v>4730769</v>
      </c>
      <c r="F32" s="427">
        <v>0.47848457618623946</v>
      </c>
      <c r="G32" s="408">
        <v>0.51760675695642722</v>
      </c>
      <c r="H32" s="409">
        <v>3.9086668573333422E-3</v>
      </c>
      <c r="I32" s="428">
        <v>1</v>
      </c>
      <c r="J32" s="448"/>
      <c r="K32" s="449"/>
      <c r="L32" s="449"/>
      <c r="M32" s="449"/>
      <c r="N32" s="449"/>
      <c r="O32" s="449"/>
      <c r="P32" s="449"/>
      <c r="Q32" s="449"/>
      <c r="R32" s="449"/>
    </row>
    <row r="33" spans="1:18" ht="4.5" customHeight="1" x14ac:dyDescent="0.4">
      <c r="A33" s="50"/>
      <c r="B33" s="50"/>
      <c r="C33" s="50"/>
      <c r="D33" s="50"/>
      <c r="E33" s="50"/>
      <c r="F33" s="50"/>
      <c r="G33" s="50"/>
      <c r="H33" s="50"/>
      <c r="I33" s="50"/>
      <c r="J33" s="448"/>
      <c r="K33" s="449"/>
      <c r="L33" s="449"/>
      <c r="M33" s="449"/>
      <c r="N33" s="449"/>
      <c r="O33" s="449"/>
      <c r="P33" s="449"/>
      <c r="Q33" s="449"/>
      <c r="R33" s="449"/>
    </row>
    <row r="34" spans="1:18" ht="16.5" customHeight="1" thickBot="1" x14ac:dyDescent="0.45">
      <c r="A34" s="570" t="s">
        <v>10</v>
      </c>
      <c r="B34" s="570"/>
      <c r="C34" s="570"/>
      <c r="D34" s="570"/>
      <c r="E34" s="570"/>
      <c r="F34" s="570"/>
      <c r="G34" s="570"/>
      <c r="H34" s="570"/>
      <c r="I34" s="570"/>
      <c r="J34" s="570"/>
    </row>
    <row r="35" spans="1:18" ht="16.5" customHeight="1" x14ac:dyDescent="0.4">
      <c r="A35" s="571" t="s">
        <v>898</v>
      </c>
      <c r="B35" s="571"/>
      <c r="C35" s="571"/>
      <c r="D35" s="571"/>
      <c r="E35" s="571"/>
      <c r="F35" s="571"/>
      <c r="G35" s="571"/>
      <c r="H35" s="571"/>
      <c r="I35" s="571"/>
      <c r="J35" s="571"/>
    </row>
    <row r="36" spans="1:18" ht="16.5" customHeight="1" x14ac:dyDescent="0.45">
      <c r="A36" s="505" t="s">
        <v>780</v>
      </c>
      <c r="B36" s="505"/>
      <c r="C36" s="505"/>
      <c r="D36" s="505"/>
      <c r="E36" s="505"/>
      <c r="F36" s="505"/>
      <c r="G36" s="505"/>
      <c r="H36" s="120"/>
      <c r="I36" s="120"/>
      <c r="J36" s="120"/>
      <c r="K36" s="120"/>
      <c r="L36" s="120"/>
      <c r="M36" s="120"/>
      <c r="N36" s="120"/>
      <c r="O36" s="120"/>
      <c r="P36" s="120"/>
      <c r="Q36" s="120"/>
      <c r="R36" s="120"/>
    </row>
    <row r="37" spans="1:18" ht="16.5" customHeight="1" x14ac:dyDescent="0.4">
      <c r="A37" s="555" t="s">
        <v>575</v>
      </c>
      <c r="B37" s="555"/>
      <c r="C37" s="555"/>
      <c r="D37" s="555"/>
      <c r="E37" s="555"/>
      <c r="F37" s="555"/>
      <c r="G37" s="555"/>
      <c r="H37" s="555"/>
      <c r="I37" s="555"/>
      <c r="J37" s="555"/>
    </row>
    <row r="38" spans="1:18" ht="12.6" thickBot="1" x14ac:dyDescent="0.45">
      <c r="A38" s="572" t="s">
        <v>845</v>
      </c>
      <c r="B38" s="572"/>
      <c r="C38" s="572"/>
      <c r="D38" s="572"/>
      <c r="E38" s="572"/>
      <c r="F38" s="572"/>
      <c r="G38" s="572"/>
      <c r="H38" s="572"/>
      <c r="I38" s="572"/>
      <c r="J38" s="572"/>
    </row>
    <row r="39" spans="1:18" x14ac:dyDescent="0.4">
      <c r="A39" s="205"/>
      <c r="B39" s="50"/>
      <c r="C39" s="50"/>
      <c r="D39" s="50"/>
      <c r="E39" s="50"/>
      <c r="F39" s="50"/>
      <c r="G39" s="50"/>
      <c r="H39" s="50"/>
      <c r="I39" s="50"/>
      <c r="J39" s="205"/>
    </row>
    <row r="40" spans="1:18" x14ac:dyDescent="0.4">
      <c r="A40" s="193" t="s">
        <v>614</v>
      </c>
      <c r="B40" s="50"/>
      <c r="C40" s="50"/>
      <c r="D40" s="50"/>
      <c r="E40" s="50"/>
      <c r="F40" s="50"/>
      <c r="G40" s="50"/>
      <c r="H40" s="50"/>
      <c r="I40" s="50"/>
      <c r="J40" s="50"/>
    </row>
  </sheetData>
  <mergeCells count="10">
    <mergeCell ref="A2:I2"/>
    <mergeCell ref="A3:I3"/>
    <mergeCell ref="A5:A6"/>
    <mergeCell ref="B5:E5"/>
    <mergeCell ref="F5:I5"/>
    <mergeCell ref="A34:J34"/>
    <mergeCell ref="A35:J35"/>
    <mergeCell ref="A37:J37"/>
    <mergeCell ref="A38:J38"/>
    <mergeCell ref="A36:G36"/>
  </mergeCells>
  <hyperlinks>
    <hyperlink ref="A37:I37" r:id="rId1" display="Contact via enquiries@NHSDigital.nhs.uk or 0300 303 5678" xr:uid="{00000000-0004-0000-1F00-000000000000}"/>
    <hyperlink ref="A40" location="Contents!A1" display="Return to Contents" xr:uid="{00000000-0004-0000-1F00-000001000000}"/>
  </hyperlinks>
  <pageMargins left="0.7" right="0.7" top="0.75" bottom="0.75" header="0.3" footer="0.3"/>
  <pageSetup paperSize="9" scale="89" fitToHeight="0" orientation="landscape" r:id="rId2"/>
  <ignoredErrors>
    <ignoredError sqref="A7 A11:A15" numberStoredAsText="1"/>
    <ignoredError sqref="A10" twoDigitTextYear="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44">
    <pageSetUpPr fitToPage="1"/>
  </sheetPr>
  <dimension ref="A1:R42"/>
  <sheetViews>
    <sheetView workbookViewId="0">
      <selection activeCell="B7" sqref="B7"/>
    </sheetView>
  </sheetViews>
  <sheetFormatPr defaultColWidth="9.109375" defaultRowHeight="12.3" x14ac:dyDescent="0.4"/>
  <cols>
    <col min="1" max="1" width="21.44140625" style="51" customWidth="1"/>
    <col min="2" max="6" width="17.88671875" style="51" customWidth="1"/>
    <col min="7" max="9" width="9.109375" style="51" customWidth="1"/>
    <col min="10" max="16384" width="9.109375" style="51"/>
  </cols>
  <sheetData>
    <row r="1" spans="1:10" ht="15" customHeight="1" x14ac:dyDescent="0.4"/>
    <row r="2" spans="1:10" ht="56.25" customHeight="1" x14ac:dyDescent="0.75">
      <c r="A2" s="586" t="s">
        <v>861</v>
      </c>
      <c r="B2" s="586"/>
      <c r="C2" s="586"/>
      <c r="D2" s="586"/>
      <c r="E2" s="586"/>
      <c r="F2" s="586"/>
      <c r="G2" s="365"/>
      <c r="H2" s="365"/>
      <c r="I2" s="362"/>
      <c r="J2" s="355"/>
    </row>
    <row r="3" spans="1:10" ht="30" customHeight="1" x14ac:dyDescent="0.4">
      <c r="A3" s="587" t="s">
        <v>783</v>
      </c>
      <c r="B3" s="587"/>
      <c r="C3" s="587"/>
      <c r="D3" s="587"/>
      <c r="E3" s="587"/>
      <c r="F3" s="587"/>
      <c r="G3" s="374"/>
      <c r="H3" s="374"/>
      <c r="I3" s="374"/>
      <c r="J3" s="355"/>
    </row>
    <row r="4" spans="1:10" ht="11.25" customHeight="1" thickBot="1" x14ac:dyDescent="0.45">
      <c r="A4" s="355"/>
      <c r="B4" s="355"/>
      <c r="C4" s="355"/>
      <c r="D4" s="355"/>
      <c r="E4" s="355"/>
      <c r="F4" s="355"/>
      <c r="G4" s="355"/>
      <c r="H4" s="355"/>
      <c r="I4" s="355"/>
      <c r="J4" s="355"/>
    </row>
    <row r="5" spans="1:10" ht="15" customHeight="1" thickBot="1" x14ac:dyDescent="0.45">
      <c r="A5" s="583" t="s">
        <v>781</v>
      </c>
      <c r="B5" s="585" t="s">
        <v>649</v>
      </c>
      <c r="C5" s="581"/>
      <c r="D5" s="579" t="s">
        <v>34</v>
      </c>
      <c r="E5" s="581"/>
      <c r="F5" s="355"/>
      <c r="G5" s="355"/>
      <c r="H5" s="355"/>
      <c r="I5" s="355"/>
      <c r="J5" s="355"/>
    </row>
    <row r="6" spans="1:10" ht="30" customHeight="1" thickBot="1" x14ac:dyDescent="0.45">
      <c r="A6" s="584"/>
      <c r="B6" s="134" t="s">
        <v>39</v>
      </c>
      <c r="C6" s="135" t="s">
        <v>40</v>
      </c>
      <c r="D6" s="134" t="s">
        <v>39</v>
      </c>
      <c r="E6" s="135" t="s">
        <v>40</v>
      </c>
      <c r="F6" s="355"/>
      <c r="G6" s="355"/>
      <c r="H6" s="355"/>
      <c r="I6" s="355"/>
      <c r="J6" s="355"/>
    </row>
    <row r="7" spans="1:10" ht="15" customHeight="1" x14ac:dyDescent="0.4">
      <c r="A7" s="359">
        <v>0</v>
      </c>
      <c r="B7" s="303">
        <v>85217</v>
      </c>
      <c r="C7" s="305">
        <v>1.8013350472195957E-2</v>
      </c>
      <c r="D7" s="303">
        <v>501048</v>
      </c>
      <c r="E7" s="305">
        <v>3.027894754176327E-2</v>
      </c>
      <c r="F7" s="355"/>
      <c r="G7" s="201"/>
      <c r="H7" s="355"/>
      <c r="I7" s="201"/>
      <c r="J7" s="355"/>
    </row>
    <row r="8" spans="1:10" ht="15" customHeight="1" x14ac:dyDescent="0.4">
      <c r="A8" s="202" t="s">
        <v>52</v>
      </c>
      <c r="B8" s="303">
        <v>170805</v>
      </c>
      <c r="C8" s="305">
        <v>3.6105123712445057E-2</v>
      </c>
      <c r="D8" s="303">
        <v>1369042</v>
      </c>
      <c r="E8" s="305">
        <v>8.2732893655838705E-2</v>
      </c>
      <c r="F8" s="355"/>
      <c r="G8" s="355"/>
      <c r="H8" s="355"/>
      <c r="I8" s="201"/>
      <c r="J8" s="355"/>
    </row>
    <row r="9" spans="1:10" ht="15" customHeight="1" x14ac:dyDescent="0.4">
      <c r="A9" s="202" t="s">
        <v>53</v>
      </c>
      <c r="B9" s="303">
        <v>61878</v>
      </c>
      <c r="C9" s="305">
        <v>1.3079903077068442E-2</v>
      </c>
      <c r="D9" s="303">
        <v>1013544</v>
      </c>
      <c r="E9" s="305">
        <v>6.1249711818566109E-2</v>
      </c>
      <c r="F9" s="355"/>
      <c r="G9" s="203"/>
      <c r="H9" s="355"/>
      <c r="I9" s="355"/>
      <c r="J9" s="355"/>
    </row>
    <row r="10" spans="1:10" ht="15" customHeight="1" x14ac:dyDescent="0.4">
      <c r="A10" s="202" t="s">
        <v>54</v>
      </c>
      <c r="B10" s="303">
        <v>65338</v>
      </c>
      <c r="C10" s="305">
        <v>1.381128522656676E-2</v>
      </c>
      <c r="D10" s="303">
        <v>1034606</v>
      </c>
      <c r="E10" s="305">
        <v>6.2522514410582472E-2</v>
      </c>
      <c r="F10" s="355"/>
      <c r="G10" s="201"/>
      <c r="H10" s="355"/>
      <c r="I10" s="201"/>
      <c r="J10" s="355"/>
    </row>
    <row r="11" spans="1:10" ht="15" customHeight="1" x14ac:dyDescent="0.4">
      <c r="A11" s="200">
        <v>15</v>
      </c>
      <c r="B11" s="303">
        <v>19444</v>
      </c>
      <c r="C11" s="305">
        <v>4.1101140216315783E-3</v>
      </c>
      <c r="D11" s="303">
        <v>189870</v>
      </c>
      <c r="E11" s="305">
        <v>1.1474077872288865E-2</v>
      </c>
      <c r="F11" s="355"/>
      <c r="G11" s="201"/>
      <c r="H11" s="355"/>
      <c r="I11" s="355"/>
      <c r="J11" s="355"/>
    </row>
    <row r="12" spans="1:10" ht="15" customHeight="1" x14ac:dyDescent="0.4">
      <c r="A12" s="200">
        <v>16</v>
      </c>
      <c r="B12" s="303">
        <v>23339</v>
      </c>
      <c r="C12" s="305">
        <v>4.9334473951275154E-3</v>
      </c>
      <c r="D12" s="303">
        <v>177072</v>
      </c>
      <c r="E12" s="305">
        <v>1.0700678975098405E-2</v>
      </c>
      <c r="F12" s="355"/>
      <c r="G12" s="355"/>
      <c r="H12" s="355"/>
      <c r="I12" s="355"/>
      <c r="J12" s="355"/>
    </row>
    <row r="13" spans="1:10" ht="15" customHeight="1" x14ac:dyDescent="0.4">
      <c r="A13" s="200">
        <v>17</v>
      </c>
      <c r="B13" s="303">
        <v>29543</v>
      </c>
      <c r="C13" s="305">
        <v>6.244862093245305E-3</v>
      </c>
      <c r="D13" s="303">
        <v>198999</v>
      </c>
      <c r="E13" s="305">
        <v>1.2025754582122569E-2</v>
      </c>
      <c r="F13" s="355"/>
      <c r="G13" s="355"/>
      <c r="H13" s="355"/>
      <c r="I13" s="355"/>
      <c r="J13" s="355"/>
    </row>
    <row r="14" spans="1:10" ht="15" customHeight="1" x14ac:dyDescent="0.4">
      <c r="A14" s="200">
        <v>18</v>
      </c>
      <c r="B14" s="303">
        <v>40096</v>
      </c>
      <c r="C14" s="305">
        <v>8.4755776492151692E-3</v>
      </c>
      <c r="D14" s="303">
        <v>243410</v>
      </c>
      <c r="E14" s="305">
        <v>1.4709565991962041E-2</v>
      </c>
      <c r="F14" s="355"/>
      <c r="G14" s="355"/>
      <c r="H14" s="355"/>
      <c r="I14" s="355"/>
      <c r="J14" s="355"/>
    </row>
    <row r="15" spans="1:10" ht="15" customHeight="1" x14ac:dyDescent="0.4">
      <c r="A15" s="200">
        <v>19</v>
      </c>
      <c r="B15" s="303">
        <v>43847</v>
      </c>
      <c r="C15" s="305">
        <v>9.2684719968360325E-3</v>
      </c>
      <c r="D15" s="303">
        <v>271586</v>
      </c>
      <c r="E15" s="305">
        <v>1.6412276362898003E-2</v>
      </c>
      <c r="F15" s="355"/>
      <c r="G15" s="355"/>
      <c r="H15" s="355"/>
      <c r="I15" s="355"/>
      <c r="J15" s="355"/>
    </row>
    <row r="16" spans="1:10" ht="15" customHeight="1" x14ac:dyDescent="0.4">
      <c r="A16" s="202" t="s">
        <v>60</v>
      </c>
      <c r="B16" s="303">
        <v>210786</v>
      </c>
      <c r="C16" s="305">
        <v>4.4556392417384995E-2</v>
      </c>
      <c r="D16" s="303">
        <v>1402157</v>
      </c>
      <c r="E16" s="305">
        <v>8.4734073877784477E-2</v>
      </c>
      <c r="F16" s="355"/>
      <c r="G16" s="355"/>
      <c r="H16" s="355"/>
      <c r="I16" s="355"/>
      <c r="J16" s="355"/>
    </row>
    <row r="17" spans="1:11" ht="15" customHeight="1" x14ac:dyDescent="0.4">
      <c r="A17" s="202" t="s">
        <v>61</v>
      </c>
      <c r="B17" s="303">
        <v>211549</v>
      </c>
      <c r="C17" s="305">
        <v>4.4717676978098066E-2</v>
      </c>
      <c r="D17" s="303">
        <v>1394677</v>
      </c>
      <c r="E17" s="305">
        <v>8.428204826823732E-2</v>
      </c>
      <c r="F17" s="355"/>
      <c r="G17" s="355"/>
      <c r="H17" s="355"/>
      <c r="I17" s="355"/>
      <c r="J17" s="355"/>
    </row>
    <row r="18" spans="1:11" ht="15" customHeight="1" x14ac:dyDescent="0.4">
      <c r="A18" s="202" t="s">
        <v>62</v>
      </c>
      <c r="B18" s="303">
        <v>196308</v>
      </c>
      <c r="C18" s="305">
        <v>4.1496002024195219E-2</v>
      </c>
      <c r="D18" s="303">
        <v>1212973</v>
      </c>
      <c r="E18" s="305">
        <v>7.3301451830114508E-2</v>
      </c>
      <c r="F18" s="355"/>
      <c r="G18" s="355"/>
      <c r="H18" s="355"/>
      <c r="I18" s="355"/>
      <c r="J18" s="355"/>
    </row>
    <row r="19" spans="1:11" ht="15" customHeight="1" x14ac:dyDescent="0.4">
      <c r="A19" s="37" t="s">
        <v>63</v>
      </c>
      <c r="B19" s="303">
        <v>186790</v>
      </c>
      <c r="C19" s="305">
        <v>3.9484066966702452E-2</v>
      </c>
      <c r="D19" s="303">
        <v>1043292</v>
      </c>
      <c r="E19" s="305">
        <v>6.3047420084984443E-2</v>
      </c>
      <c r="F19" s="355"/>
      <c r="G19" s="355"/>
      <c r="H19" s="355"/>
      <c r="I19" s="355"/>
      <c r="J19" s="355"/>
    </row>
    <row r="20" spans="1:11" ht="15" customHeight="1" x14ac:dyDescent="0.4">
      <c r="A20" s="37" t="s">
        <v>64</v>
      </c>
      <c r="B20" s="303">
        <v>183671</v>
      </c>
      <c r="C20" s="305">
        <v>3.8824766121533308E-2</v>
      </c>
      <c r="D20" s="303">
        <v>895440</v>
      </c>
      <c r="E20" s="305">
        <v>5.4112541686218686E-2</v>
      </c>
      <c r="F20" s="355"/>
      <c r="G20" s="355"/>
      <c r="H20" s="355"/>
      <c r="I20" s="355"/>
      <c r="J20" s="355"/>
    </row>
    <row r="21" spans="1:11" ht="15" customHeight="1" x14ac:dyDescent="0.4">
      <c r="A21" s="37" t="s">
        <v>65</v>
      </c>
      <c r="B21" s="303">
        <v>218995</v>
      </c>
      <c r="C21" s="305">
        <v>4.6291628274388374E-2</v>
      </c>
      <c r="D21" s="303">
        <v>934448</v>
      </c>
      <c r="E21" s="305">
        <v>5.6469843153760919E-2</v>
      </c>
      <c r="F21" s="355"/>
      <c r="G21" s="355"/>
      <c r="H21" s="355"/>
      <c r="I21" s="355"/>
      <c r="J21" s="355"/>
    </row>
    <row r="22" spans="1:11" ht="15" customHeight="1" x14ac:dyDescent="0.4">
      <c r="A22" s="37" t="s">
        <v>66</v>
      </c>
      <c r="B22" s="303">
        <v>240772</v>
      </c>
      <c r="C22" s="305">
        <v>5.0894896791620979E-2</v>
      </c>
      <c r="D22" s="303">
        <v>917205</v>
      </c>
      <c r="E22" s="305">
        <v>5.5427827433784743E-2</v>
      </c>
      <c r="F22" s="355"/>
      <c r="G22" s="355"/>
      <c r="H22" s="355"/>
      <c r="I22" s="355"/>
      <c r="J22" s="355"/>
    </row>
    <row r="23" spans="1:11" ht="15" customHeight="1" x14ac:dyDescent="0.4">
      <c r="A23" s="37" t="s">
        <v>67</v>
      </c>
      <c r="B23" s="303">
        <v>233123</v>
      </c>
      <c r="C23" s="305">
        <v>4.9278034924131783E-2</v>
      </c>
      <c r="D23" s="303">
        <v>789895</v>
      </c>
      <c r="E23" s="305">
        <v>4.7734327386799461E-2</v>
      </c>
      <c r="F23" s="355"/>
      <c r="G23" s="355"/>
      <c r="H23" s="355"/>
      <c r="I23" s="355"/>
      <c r="J23" s="355"/>
    </row>
    <row r="24" spans="1:11" ht="15" customHeight="1" x14ac:dyDescent="0.4">
      <c r="A24" s="37" t="s">
        <v>68</v>
      </c>
      <c r="B24" s="303">
        <v>228006</v>
      </c>
      <c r="C24" s="305">
        <v>4.8196392594945979E-2</v>
      </c>
      <c r="D24" s="303">
        <v>645987</v>
      </c>
      <c r="E24" s="305">
        <v>3.903778976397676E-2</v>
      </c>
      <c r="F24" s="355"/>
      <c r="G24" s="355"/>
      <c r="H24" s="355"/>
      <c r="I24" s="355"/>
      <c r="J24" s="355"/>
    </row>
    <row r="25" spans="1:11" ht="15" customHeight="1" x14ac:dyDescent="0.4">
      <c r="A25" s="37" t="s">
        <v>69</v>
      </c>
      <c r="B25" s="303">
        <v>267777</v>
      </c>
      <c r="C25" s="305">
        <v>5.6603271053818099E-2</v>
      </c>
      <c r="D25" s="303">
        <v>586453</v>
      </c>
      <c r="E25" s="305">
        <v>3.5440076844353623E-2</v>
      </c>
      <c r="F25" s="355"/>
      <c r="G25" s="355"/>
      <c r="H25" s="355"/>
      <c r="I25" s="355"/>
      <c r="J25" s="355"/>
    </row>
    <row r="26" spans="1:11" ht="15" customHeight="1" x14ac:dyDescent="0.4">
      <c r="A26" s="37" t="s">
        <v>70</v>
      </c>
      <c r="B26" s="303">
        <v>342805</v>
      </c>
      <c r="C26" s="305">
        <v>7.2462849063228404E-2</v>
      </c>
      <c r="D26" s="303">
        <v>558516</v>
      </c>
      <c r="E26" s="305">
        <v>3.3751809537679929E-2</v>
      </c>
      <c r="F26" s="355"/>
      <c r="G26" s="355"/>
      <c r="H26" s="355"/>
      <c r="I26" s="355"/>
      <c r="J26" s="355"/>
    </row>
    <row r="27" spans="1:11" ht="15" customHeight="1" x14ac:dyDescent="0.4">
      <c r="A27" s="37" t="s">
        <v>71</v>
      </c>
      <c r="B27" s="303">
        <v>388690</v>
      </c>
      <c r="C27" s="305">
        <v>8.2162117829046394E-2</v>
      </c>
      <c r="D27" s="303">
        <v>439970</v>
      </c>
      <c r="E27" s="305">
        <v>2.6587928801131998E-2</v>
      </c>
      <c r="F27" s="355"/>
      <c r="G27" s="355"/>
      <c r="H27" s="355"/>
      <c r="I27" s="355"/>
      <c r="J27" s="355"/>
    </row>
    <row r="28" spans="1:11" ht="15" customHeight="1" x14ac:dyDescent="0.4">
      <c r="A28" s="37" t="s">
        <v>72</v>
      </c>
      <c r="B28" s="303">
        <v>460161</v>
      </c>
      <c r="C28" s="305">
        <v>9.7269809622917536E-2</v>
      </c>
      <c r="D28" s="303">
        <v>348214</v>
      </c>
      <c r="E28" s="305">
        <v>2.104300074904511E-2</v>
      </c>
      <c r="F28" s="355"/>
      <c r="G28" s="355"/>
      <c r="H28" s="355"/>
      <c r="I28" s="355"/>
      <c r="J28" s="355"/>
    </row>
    <row r="29" spans="1:11" ht="15" customHeight="1" x14ac:dyDescent="0.4">
      <c r="A29" s="37" t="s">
        <v>73</v>
      </c>
      <c r="B29" s="303">
        <v>443294</v>
      </c>
      <c r="C29" s="305">
        <v>9.3704427335175311E-2</v>
      </c>
      <c r="D29" s="303">
        <v>218781</v>
      </c>
      <c r="E29" s="305">
        <v>1.3221205198173647E-2</v>
      </c>
      <c r="F29" s="355"/>
      <c r="G29" s="355"/>
      <c r="H29" s="355"/>
      <c r="I29" s="355"/>
      <c r="J29" s="355"/>
    </row>
    <row r="30" spans="1:11" ht="15" customHeight="1" x14ac:dyDescent="0.4">
      <c r="A30" s="37" t="s">
        <v>74</v>
      </c>
      <c r="B30" s="303">
        <v>361165</v>
      </c>
      <c r="C30" s="305">
        <v>7.6343824862300402E-2</v>
      </c>
      <c r="D30" s="303">
        <v>106843</v>
      </c>
      <c r="E30" s="305">
        <v>6.4566540375465284E-3</v>
      </c>
      <c r="F30" s="355"/>
      <c r="G30" s="370"/>
      <c r="H30" s="370"/>
      <c r="I30" s="370"/>
      <c r="J30" s="370"/>
      <c r="K30" s="371"/>
    </row>
    <row r="31" spans="1:11" ht="15" customHeight="1" thickBot="1" x14ac:dyDescent="0.45">
      <c r="A31" s="37" t="s">
        <v>8</v>
      </c>
      <c r="B31" s="303">
        <v>17370</v>
      </c>
      <c r="C31" s="305">
        <v>3.6717074961808535E-3</v>
      </c>
      <c r="D31" s="303">
        <v>53707</v>
      </c>
      <c r="E31" s="305">
        <v>3.2455801352873972E-3</v>
      </c>
      <c r="F31" s="355"/>
      <c r="G31" s="370"/>
      <c r="H31" s="370"/>
      <c r="I31" s="370"/>
      <c r="J31" s="370"/>
      <c r="K31" s="371"/>
    </row>
    <row r="32" spans="1:11" ht="15" customHeight="1" thickBot="1" x14ac:dyDescent="0.45">
      <c r="A32" s="199" t="s">
        <v>49</v>
      </c>
      <c r="B32" s="304">
        <v>4730769</v>
      </c>
      <c r="C32" s="204"/>
      <c r="D32" s="304">
        <v>16547735</v>
      </c>
      <c r="E32" s="204"/>
      <c r="F32" s="355"/>
      <c r="G32" s="370"/>
      <c r="H32" s="370"/>
      <c r="I32" s="370"/>
      <c r="J32" s="370"/>
      <c r="K32" s="371"/>
    </row>
    <row r="33" spans="1:18" ht="4.5" customHeight="1" x14ac:dyDescent="0.4">
      <c r="A33" s="355"/>
      <c r="B33" s="355"/>
      <c r="C33" s="355"/>
      <c r="D33" s="355"/>
      <c r="E33" s="355"/>
      <c r="F33" s="355"/>
      <c r="G33" s="370"/>
      <c r="H33" s="370"/>
      <c r="I33" s="370"/>
      <c r="J33" s="370"/>
      <c r="K33" s="371"/>
    </row>
    <row r="34" spans="1:18" ht="16.5" customHeight="1" thickBot="1" x14ac:dyDescent="0.45">
      <c r="A34" s="570" t="s">
        <v>10</v>
      </c>
      <c r="B34" s="570"/>
      <c r="C34" s="570"/>
      <c r="D34" s="570"/>
      <c r="E34" s="570"/>
      <c r="F34" s="570"/>
      <c r="G34" s="372"/>
      <c r="H34" s="372"/>
      <c r="I34" s="372"/>
      <c r="J34" s="372"/>
      <c r="K34" s="371"/>
    </row>
    <row r="35" spans="1:18" ht="16.5" customHeight="1" x14ac:dyDescent="0.4">
      <c r="A35" s="571" t="s">
        <v>898</v>
      </c>
      <c r="B35" s="571"/>
      <c r="C35" s="571"/>
      <c r="D35" s="571"/>
      <c r="E35" s="571"/>
      <c r="F35" s="571"/>
      <c r="G35" s="373"/>
      <c r="H35" s="373"/>
      <c r="I35" s="373"/>
      <c r="J35" s="373"/>
      <c r="K35" s="371"/>
    </row>
    <row r="36" spans="1:18" ht="16.5" customHeight="1" x14ac:dyDescent="0.45">
      <c r="A36" s="505" t="s">
        <v>780</v>
      </c>
      <c r="B36" s="505"/>
      <c r="C36" s="505"/>
      <c r="D36" s="505"/>
      <c r="E36" s="505"/>
      <c r="F36" s="505"/>
      <c r="G36" s="368"/>
      <c r="H36" s="347"/>
      <c r="I36" s="347"/>
      <c r="J36" s="347"/>
      <c r="K36" s="347"/>
      <c r="L36" s="120"/>
      <c r="M36" s="120"/>
      <c r="N36" s="120"/>
      <c r="O36" s="120"/>
      <c r="P36" s="120"/>
      <c r="Q36" s="120"/>
      <c r="R36" s="120"/>
    </row>
    <row r="37" spans="1:18" ht="16.5" customHeight="1" x14ac:dyDescent="0.4">
      <c r="A37" s="588" t="s">
        <v>575</v>
      </c>
      <c r="B37" s="588"/>
      <c r="C37" s="588"/>
      <c r="D37" s="588"/>
      <c r="E37" s="588"/>
      <c r="F37" s="588"/>
      <c r="G37" s="369"/>
      <c r="H37" s="369"/>
      <c r="I37" s="369"/>
      <c r="J37" s="369"/>
      <c r="K37" s="371"/>
    </row>
    <row r="38" spans="1:18" ht="13.5" customHeight="1" thickBot="1" x14ac:dyDescent="0.45">
      <c r="A38" s="572" t="s">
        <v>845</v>
      </c>
      <c r="B38" s="572"/>
      <c r="C38" s="572"/>
      <c r="D38" s="572"/>
      <c r="E38" s="572"/>
      <c r="F38" s="572"/>
      <c r="G38" s="211"/>
      <c r="H38" s="211"/>
      <c r="I38" s="211"/>
      <c r="J38" s="211"/>
      <c r="K38" s="371"/>
    </row>
    <row r="39" spans="1:18" x14ac:dyDescent="0.4">
      <c r="A39" s="205"/>
      <c r="B39" s="355"/>
      <c r="C39" s="355"/>
      <c r="D39" s="355"/>
      <c r="E39" s="355"/>
      <c r="F39" s="355"/>
      <c r="G39" s="370"/>
      <c r="H39" s="370"/>
      <c r="I39" s="370"/>
      <c r="J39" s="370"/>
      <c r="K39" s="371"/>
    </row>
    <row r="40" spans="1:18" x14ac:dyDescent="0.4">
      <c r="A40" s="193" t="s">
        <v>614</v>
      </c>
      <c r="B40" s="355"/>
      <c r="C40" s="355"/>
      <c r="D40" s="355"/>
      <c r="E40" s="355"/>
      <c r="F40" s="355"/>
      <c r="G40" s="370"/>
      <c r="H40" s="370"/>
      <c r="I40" s="370"/>
      <c r="J40" s="370"/>
      <c r="K40" s="371"/>
    </row>
    <row r="41" spans="1:18" x14ac:dyDescent="0.4">
      <c r="G41" s="371"/>
      <c r="H41" s="371"/>
      <c r="I41" s="371"/>
      <c r="J41" s="371"/>
      <c r="K41" s="371"/>
    </row>
    <row r="42" spans="1:18" x14ac:dyDescent="0.4">
      <c r="G42" s="371"/>
      <c r="H42" s="371"/>
      <c r="I42" s="371"/>
      <c r="J42" s="371"/>
      <c r="K42" s="371"/>
    </row>
  </sheetData>
  <mergeCells count="10">
    <mergeCell ref="A35:F35"/>
    <mergeCell ref="A34:F34"/>
    <mergeCell ref="A36:F36"/>
    <mergeCell ref="A37:F37"/>
    <mergeCell ref="A38:F38"/>
    <mergeCell ref="A5:A6"/>
    <mergeCell ref="B5:C5"/>
    <mergeCell ref="D5:E5"/>
    <mergeCell ref="A2:F2"/>
    <mergeCell ref="A3:F3"/>
  </mergeCells>
  <hyperlinks>
    <hyperlink ref="A40" location="Contents!A1" display="Return to Contents" xr:uid="{00000000-0004-0000-2000-000000000000}"/>
    <hyperlink ref="A37:F37" r:id="rId1" display="Contact via enquiries@NHSDigital.nhs.uk or 0300 303 5678" xr:uid="{2AE54936-37DE-488B-B000-E50D52B1F3FA}"/>
  </hyperlinks>
  <pageMargins left="0.7" right="0.7" top="0.75" bottom="0.75" header="0.3" footer="0.3"/>
  <pageSetup paperSize="9" fitToHeight="0" orientation="landscape" r:id="rId2"/>
  <ignoredErrors>
    <ignoredError sqref="A10" twoDigitTextYear="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43">
    <pageSetUpPr fitToPage="1"/>
  </sheetPr>
  <dimension ref="A1:R20"/>
  <sheetViews>
    <sheetView workbookViewId="0"/>
  </sheetViews>
  <sheetFormatPr defaultColWidth="9.109375" defaultRowHeight="12.3" x14ac:dyDescent="0.4"/>
  <cols>
    <col min="1" max="1" width="27.109375" style="51" customWidth="1"/>
    <col min="2" max="7" width="17.88671875" style="51" customWidth="1"/>
    <col min="8" max="9" width="9.109375" style="51" customWidth="1"/>
    <col min="10" max="16384" width="9.109375" style="51"/>
  </cols>
  <sheetData>
    <row r="1" spans="1:18" ht="15" customHeight="1" x14ac:dyDescent="0.4"/>
    <row r="2" spans="1:18" ht="56.25" customHeight="1" x14ac:dyDescent="0.75">
      <c r="A2" s="586" t="s">
        <v>862</v>
      </c>
      <c r="B2" s="586"/>
      <c r="C2" s="586"/>
      <c r="D2" s="586"/>
      <c r="E2" s="586"/>
      <c r="F2" s="586"/>
      <c r="G2" s="586"/>
      <c r="H2" s="362"/>
      <c r="I2" s="362"/>
      <c r="J2" s="355"/>
    </row>
    <row r="3" spans="1:18" ht="30" customHeight="1" x14ac:dyDescent="0.4">
      <c r="A3" s="587" t="s">
        <v>783</v>
      </c>
      <c r="B3" s="587"/>
      <c r="C3" s="587"/>
      <c r="D3" s="587"/>
      <c r="E3" s="587"/>
      <c r="F3" s="587"/>
      <c r="G3" s="587"/>
      <c r="H3" s="374"/>
      <c r="I3" s="374"/>
      <c r="J3" s="355"/>
    </row>
    <row r="4" spans="1:18" ht="11.25" customHeight="1" thickBot="1" x14ac:dyDescent="0.45">
      <c r="A4" s="355"/>
      <c r="B4" s="355"/>
      <c r="C4" s="355"/>
      <c r="D4" s="355"/>
      <c r="E4" s="355"/>
      <c r="F4" s="355"/>
      <c r="G4" s="355"/>
      <c r="H4" s="355"/>
      <c r="I4" s="355"/>
      <c r="J4" s="355"/>
    </row>
    <row r="5" spans="1:18" ht="15" customHeight="1" thickBot="1" x14ac:dyDescent="0.45">
      <c r="A5" s="583" t="s">
        <v>782</v>
      </c>
      <c r="B5" s="585" t="s">
        <v>649</v>
      </c>
      <c r="C5" s="581"/>
      <c r="D5" s="579" t="s">
        <v>34</v>
      </c>
      <c r="E5" s="581"/>
      <c r="F5" s="579" t="s">
        <v>8</v>
      </c>
      <c r="G5" s="581"/>
      <c r="H5" s="355"/>
      <c r="I5" s="355"/>
      <c r="J5" s="355"/>
    </row>
    <row r="6" spans="1:18" ht="30" customHeight="1" thickBot="1" x14ac:dyDescent="0.45">
      <c r="A6" s="584"/>
      <c r="B6" s="28" t="s">
        <v>647</v>
      </c>
      <c r="C6" s="35" t="s">
        <v>648</v>
      </c>
      <c r="D6" s="34" t="s">
        <v>647</v>
      </c>
      <c r="E6" s="35" t="s">
        <v>648</v>
      </c>
      <c r="F6" s="34" t="s">
        <v>647</v>
      </c>
      <c r="G6" s="35" t="s">
        <v>648</v>
      </c>
      <c r="H6" s="355"/>
      <c r="I6" s="355"/>
      <c r="J6" s="355"/>
    </row>
    <row r="7" spans="1:18" ht="15" customHeight="1" x14ac:dyDescent="0.4">
      <c r="A7" s="360" t="s">
        <v>650</v>
      </c>
      <c r="B7" s="303">
        <v>2302140</v>
      </c>
      <c r="C7" s="305">
        <v>0.48663124325030455</v>
      </c>
      <c r="D7" s="303">
        <v>1715413</v>
      </c>
      <c r="E7" s="305">
        <v>0.10798954812124224</v>
      </c>
      <c r="F7" s="303">
        <v>36364</v>
      </c>
      <c r="G7" s="305">
        <v>5.486884830341731E-2</v>
      </c>
      <c r="H7" s="355"/>
      <c r="I7" s="355"/>
      <c r="J7" s="355"/>
    </row>
    <row r="8" spans="1:18" ht="15" customHeight="1" x14ac:dyDescent="0.4">
      <c r="A8" s="37" t="s">
        <v>659</v>
      </c>
      <c r="B8" s="303">
        <v>1223605</v>
      </c>
      <c r="C8" s="305">
        <v>0.25864822399910037</v>
      </c>
      <c r="D8" s="303">
        <v>7084126</v>
      </c>
      <c r="E8" s="305">
        <v>0.44596348842753514</v>
      </c>
      <c r="F8" s="303">
        <v>183939</v>
      </c>
      <c r="G8" s="305">
        <v>0.27754155450671752</v>
      </c>
      <c r="H8" s="355"/>
      <c r="I8" s="355"/>
      <c r="J8" s="355"/>
    </row>
    <row r="9" spans="1:18" ht="15" customHeight="1" x14ac:dyDescent="0.4">
      <c r="A9" s="37" t="s">
        <v>660</v>
      </c>
      <c r="B9" s="303">
        <v>572163</v>
      </c>
      <c r="C9" s="305">
        <v>0.12094503029000148</v>
      </c>
      <c r="D9" s="303">
        <v>2967128</v>
      </c>
      <c r="E9" s="305">
        <v>0.1867881448595092</v>
      </c>
      <c r="F9" s="303">
        <v>43786</v>
      </c>
      <c r="G9" s="305">
        <v>6.6067742597443357E-2</v>
      </c>
      <c r="H9" s="355"/>
      <c r="I9" s="355"/>
      <c r="J9" s="355"/>
    </row>
    <row r="10" spans="1:18" ht="15" customHeight="1" x14ac:dyDescent="0.4">
      <c r="A10" s="37" t="s">
        <v>651</v>
      </c>
      <c r="B10" s="303">
        <v>434324</v>
      </c>
      <c r="C10" s="305">
        <v>9.1808329681707143E-2</v>
      </c>
      <c r="D10" s="303">
        <v>2023074</v>
      </c>
      <c r="E10" s="305">
        <v>0.12735757923942168</v>
      </c>
      <c r="F10" s="303">
        <v>362553</v>
      </c>
      <c r="G10" s="305">
        <v>0.54704833238776962</v>
      </c>
      <c r="H10" s="355"/>
      <c r="I10" s="355"/>
      <c r="J10" s="355"/>
    </row>
    <row r="11" spans="1:18" ht="15" customHeight="1" thickBot="1" x14ac:dyDescent="0.45">
      <c r="A11" s="37" t="s">
        <v>645</v>
      </c>
      <c r="B11" s="303">
        <v>198537</v>
      </c>
      <c r="C11" s="305">
        <v>4.196717277888648E-2</v>
      </c>
      <c r="D11" s="303">
        <v>2095250</v>
      </c>
      <c r="E11" s="305">
        <v>0.13190123935229173</v>
      </c>
      <c r="F11" s="303">
        <v>36102</v>
      </c>
      <c r="G11" s="305">
        <v>5.4473522204652174E-2</v>
      </c>
      <c r="H11" s="355"/>
      <c r="I11" s="355"/>
      <c r="J11" s="355"/>
    </row>
    <row r="12" spans="1:18" ht="15" customHeight="1" thickBot="1" x14ac:dyDescent="0.45">
      <c r="A12" s="199" t="s">
        <v>49</v>
      </c>
      <c r="B12" s="304">
        <v>4730769</v>
      </c>
      <c r="C12" s="204"/>
      <c r="D12" s="304">
        <v>15884991</v>
      </c>
      <c r="E12" s="204"/>
      <c r="F12" s="304">
        <v>662744</v>
      </c>
      <c r="G12" s="204"/>
      <c r="H12" s="355"/>
      <c r="I12" s="355"/>
      <c r="J12" s="355"/>
    </row>
    <row r="13" spans="1:18" ht="4.5" customHeight="1" x14ac:dyDescent="0.4">
      <c r="A13" s="355"/>
      <c r="B13" s="355"/>
      <c r="C13" s="355"/>
      <c r="D13" s="355"/>
      <c r="E13" s="355"/>
      <c r="F13" s="355"/>
      <c r="G13" s="355"/>
      <c r="H13" s="355"/>
      <c r="I13" s="355"/>
      <c r="J13" s="355"/>
    </row>
    <row r="14" spans="1:18" ht="16.5" customHeight="1" thickBot="1" x14ac:dyDescent="0.45">
      <c r="A14" s="570" t="s">
        <v>10</v>
      </c>
      <c r="B14" s="570"/>
      <c r="C14" s="570"/>
      <c r="D14" s="570"/>
      <c r="E14" s="570"/>
      <c r="F14" s="570"/>
      <c r="G14" s="570"/>
      <c r="H14" s="372"/>
      <c r="I14" s="372"/>
      <c r="J14" s="372"/>
    </row>
    <row r="15" spans="1:18" ht="16.5" customHeight="1" x14ac:dyDescent="0.4">
      <c r="A15" s="571" t="s">
        <v>898</v>
      </c>
      <c r="B15" s="571"/>
      <c r="C15" s="571"/>
      <c r="D15" s="571"/>
      <c r="E15" s="571"/>
      <c r="F15" s="571"/>
      <c r="G15" s="571"/>
      <c r="H15" s="373"/>
      <c r="I15" s="373"/>
      <c r="J15" s="373"/>
    </row>
    <row r="16" spans="1:18" ht="16.5" customHeight="1" x14ac:dyDescent="0.45">
      <c r="A16" s="505" t="s">
        <v>780</v>
      </c>
      <c r="B16" s="505"/>
      <c r="C16" s="505"/>
      <c r="D16" s="505"/>
      <c r="E16" s="505"/>
      <c r="F16" s="505"/>
      <c r="G16" s="505"/>
      <c r="H16" s="120"/>
      <c r="I16" s="120"/>
      <c r="J16" s="120"/>
      <c r="K16" s="120"/>
      <c r="L16" s="120"/>
      <c r="M16" s="120"/>
      <c r="N16" s="120"/>
      <c r="O16" s="120"/>
      <c r="P16" s="120"/>
      <c r="Q16" s="120"/>
      <c r="R16" s="120"/>
    </row>
    <row r="17" spans="1:10" ht="16.5" customHeight="1" x14ac:dyDescent="0.4">
      <c r="A17" s="588" t="s">
        <v>575</v>
      </c>
      <c r="B17" s="588"/>
      <c r="C17" s="588"/>
      <c r="D17" s="588"/>
      <c r="E17" s="588"/>
      <c r="F17" s="588"/>
      <c r="G17" s="588"/>
      <c r="H17" s="369"/>
      <c r="I17" s="369"/>
      <c r="J17" s="369"/>
    </row>
    <row r="18" spans="1:10" ht="13.5" customHeight="1" thickBot="1" x14ac:dyDescent="0.45">
      <c r="A18" s="572" t="s">
        <v>845</v>
      </c>
      <c r="B18" s="572"/>
      <c r="C18" s="572"/>
      <c r="D18" s="572"/>
      <c r="E18" s="572"/>
      <c r="F18" s="572"/>
      <c r="G18" s="572"/>
      <c r="H18" s="211"/>
      <c r="I18" s="211"/>
      <c r="J18" s="211"/>
    </row>
    <row r="19" spans="1:10" x14ac:dyDescent="0.4">
      <c r="A19" s="205"/>
      <c r="B19" s="355"/>
      <c r="C19" s="355"/>
      <c r="D19" s="355"/>
      <c r="E19" s="355"/>
      <c r="F19" s="355"/>
      <c r="G19" s="355"/>
      <c r="H19" s="355"/>
      <c r="I19" s="355"/>
      <c r="J19" s="370"/>
    </row>
    <row r="20" spans="1:10" x14ac:dyDescent="0.4">
      <c r="A20" s="193" t="s">
        <v>614</v>
      </c>
      <c r="B20" s="355"/>
      <c r="C20" s="355"/>
      <c r="D20" s="355"/>
      <c r="E20" s="355"/>
      <c r="F20" s="355"/>
      <c r="G20" s="355"/>
      <c r="H20" s="355"/>
      <c r="I20" s="355"/>
      <c r="J20" s="355"/>
    </row>
  </sheetData>
  <mergeCells count="11">
    <mergeCell ref="A2:G2"/>
    <mergeCell ref="A3:G3"/>
    <mergeCell ref="A14:G14"/>
    <mergeCell ref="A15:G15"/>
    <mergeCell ref="A17:G17"/>
    <mergeCell ref="A18:G18"/>
    <mergeCell ref="A16:G16"/>
    <mergeCell ref="A5:A6"/>
    <mergeCell ref="B5:C5"/>
    <mergeCell ref="D5:E5"/>
    <mergeCell ref="F5:G5"/>
  </mergeCells>
  <hyperlinks>
    <hyperlink ref="A20" location="Contents!A1" display="Return to Contents" xr:uid="{00000000-0004-0000-2100-000000000000}"/>
    <hyperlink ref="A17:G17" r:id="rId1" display="Contact via enquiries@NHSDigital.nhs.uk or 0300 303 5678" xr:uid="{80904E76-7DF8-491B-8FF0-068A6E2A0D17}"/>
  </hyperlinks>
  <pageMargins left="0.7" right="0.7" top="0.75" bottom="0.75" header="0.3" footer="0.3"/>
  <pageSetup paperSize="9" scale="93" fitToHeight="0" orientation="landscape"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1"/>
  <dimension ref="A1:R24"/>
  <sheetViews>
    <sheetView showGridLines="0" workbookViewId="0"/>
  </sheetViews>
  <sheetFormatPr defaultColWidth="9.109375" defaultRowHeight="12.3" x14ac:dyDescent="0.4"/>
  <cols>
    <col min="1" max="1" width="21.5546875" style="113" customWidth="1"/>
    <col min="2" max="5" width="17.88671875" style="113" customWidth="1"/>
    <col min="6" max="6" width="15.5" style="113" customWidth="1"/>
    <col min="7" max="7" width="9.109375" style="113" customWidth="1"/>
    <col min="8" max="16384" width="9.109375" style="113"/>
  </cols>
  <sheetData>
    <row r="1" spans="1:6" s="351" customFormat="1" ht="15" customHeight="1" x14ac:dyDescent="0.4"/>
    <row r="2" spans="1:6" ht="56.25" customHeight="1" x14ac:dyDescent="0.75">
      <c r="A2" s="522" t="s">
        <v>863</v>
      </c>
      <c r="B2" s="523"/>
      <c r="C2" s="523"/>
      <c r="D2" s="523"/>
      <c r="E2" s="523"/>
      <c r="F2" s="523"/>
    </row>
    <row r="3" spans="1:6" ht="30" customHeight="1" x14ac:dyDescent="0.4">
      <c r="A3" s="524" t="s">
        <v>783</v>
      </c>
      <c r="B3" s="520"/>
      <c r="C3" s="520"/>
      <c r="D3" s="520"/>
      <c r="E3" s="520"/>
      <c r="F3" s="520"/>
    </row>
    <row r="4" spans="1:6" ht="11.25" customHeight="1" thickBot="1" x14ac:dyDescent="0.45"/>
    <row r="5" spans="1:6" ht="15" customHeight="1" thickBot="1" x14ac:dyDescent="0.45">
      <c r="A5" s="110"/>
      <c r="B5" s="589" t="s">
        <v>673</v>
      </c>
      <c r="C5" s="590"/>
      <c r="D5" s="589" t="s">
        <v>844</v>
      </c>
      <c r="E5" s="590"/>
    </row>
    <row r="6" spans="1:6" ht="30" customHeight="1" thickBot="1" x14ac:dyDescent="0.45">
      <c r="A6" s="2" t="s">
        <v>136</v>
      </c>
      <c r="B6" s="134" t="s">
        <v>39</v>
      </c>
      <c r="C6" s="135" t="s">
        <v>40</v>
      </c>
      <c r="D6" s="134" t="s">
        <v>39</v>
      </c>
      <c r="E6" s="135" t="s">
        <v>40</v>
      </c>
    </row>
    <row r="7" spans="1:6" ht="15" customHeight="1" x14ac:dyDescent="0.4">
      <c r="A7" s="136" t="s">
        <v>34</v>
      </c>
      <c r="B7" s="87">
        <v>15852515</v>
      </c>
      <c r="C7" s="59">
        <v>0.75898702749840552</v>
      </c>
      <c r="D7" s="87">
        <v>15964296</v>
      </c>
      <c r="E7" s="59">
        <v>0.75025462316335767</v>
      </c>
    </row>
    <row r="8" spans="1:6" ht="15" customHeight="1" x14ac:dyDescent="0.4">
      <c r="A8" s="136" t="s">
        <v>137</v>
      </c>
      <c r="B8" s="87">
        <v>3738315</v>
      </c>
      <c r="C8" s="59">
        <v>0.17898311969442715</v>
      </c>
      <c r="D8" s="87">
        <v>4047759</v>
      </c>
      <c r="E8" s="59">
        <v>0.19022761186594697</v>
      </c>
    </row>
    <row r="9" spans="1:6" ht="15" customHeight="1" x14ac:dyDescent="0.4">
      <c r="A9" s="136" t="s">
        <v>101</v>
      </c>
      <c r="B9" s="87">
        <v>487702</v>
      </c>
      <c r="C9" s="59">
        <v>2.3350206026301026E-2</v>
      </c>
      <c r="D9" s="87">
        <v>566729</v>
      </c>
      <c r="E9" s="59">
        <v>2.6633874261085273E-2</v>
      </c>
    </row>
    <row r="10" spans="1:6" ht="15" customHeight="1" x14ac:dyDescent="0.4">
      <c r="A10" s="136" t="s">
        <v>138</v>
      </c>
      <c r="B10" s="87">
        <v>331625</v>
      </c>
      <c r="C10" s="59">
        <v>1.5877548325559619E-2</v>
      </c>
      <c r="D10" s="87">
        <v>283826</v>
      </c>
      <c r="E10" s="59">
        <v>1.3338625685339533E-2</v>
      </c>
    </row>
    <row r="11" spans="1:6" ht="15" customHeight="1" x14ac:dyDescent="0.4">
      <c r="A11" s="136" t="s">
        <v>139</v>
      </c>
      <c r="B11" s="87">
        <v>234715</v>
      </c>
      <c r="C11" s="59">
        <v>1.1237689423999173E-2</v>
      </c>
      <c r="D11" s="87">
        <v>192590</v>
      </c>
      <c r="E11" s="59">
        <v>9.0509182412447792E-3</v>
      </c>
    </row>
    <row r="12" spans="1:6" ht="15" customHeight="1" x14ac:dyDescent="0.4">
      <c r="A12" s="136" t="s">
        <v>140</v>
      </c>
      <c r="B12" s="87">
        <v>122295</v>
      </c>
      <c r="C12" s="59">
        <v>5.8552424349018126E-3</v>
      </c>
      <c r="D12" s="87">
        <v>112166</v>
      </c>
      <c r="E12" s="59">
        <v>5.271329225024466E-3</v>
      </c>
    </row>
    <row r="13" spans="1:6" ht="15" customHeight="1" x14ac:dyDescent="0.4">
      <c r="A13" s="136" t="s">
        <v>141</v>
      </c>
      <c r="B13" s="87">
        <v>111406</v>
      </c>
      <c r="C13" s="59">
        <v>5.3338986769914656E-3</v>
      </c>
      <c r="D13" s="87">
        <v>102885</v>
      </c>
      <c r="E13" s="59">
        <v>4.8351613440493751E-3</v>
      </c>
    </row>
    <row r="14" spans="1:6" ht="15" customHeight="1" x14ac:dyDescent="0.4">
      <c r="A14" s="136" t="s">
        <v>142</v>
      </c>
      <c r="B14" s="87">
        <v>5340</v>
      </c>
      <c r="C14" s="59">
        <v>2.5566862588311608E-4</v>
      </c>
      <c r="D14" s="87">
        <v>4436</v>
      </c>
      <c r="E14" s="59">
        <v>2.0847330244645019E-4</v>
      </c>
    </row>
    <row r="15" spans="1:6" ht="15" customHeight="1" thickBot="1" x14ac:dyDescent="0.45">
      <c r="A15" s="136" t="s">
        <v>143</v>
      </c>
      <c r="B15" s="87">
        <v>2498</v>
      </c>
      <c r="C15" s="59">
        <v>1.1959929353109062E-4</v>
      </c>
      <c r="D15" s="87">
        <v>3817</v>
      </c>
      <c r="E15" s="59">
        <v>1.7938291150543291E-4</v>
      </c>
    </row>
    <row r="16" spans="1:6" ht="15" customHeight="1" thickBot="1" x14ac:dyDescent="0.45">
      <c r="A16" s="137" t="s">
        <v>49</v>
      </c>
      <c r="B16" s="74">
        <v>20886411</v>
      </c>
      <c r="C16" s="75"/>
      <c r="D16" s="74">
        <v>21278504</v>
      </c>
      <c r="E16" s="75"/>
    </row>
    <row r="17" spans="1:18" ht="5.0999999999999996" customHeight="1" x14ac:dyDescent="0.4"/>
    <row r="18" spans="1:18" ht="17.100000000000001" customHeight="1" thickBot="1" x14ac:dyDescent="0.45">
      <c r="A18" s="560" t="s">
        <v>10</v>
      </c>
      <c r="B18" s="561"/>
      <c r="C18" s="561"/>
      <c r="D18" s="561"/>
      <c r="E18" s="561"/>
      <c r="F18" s="561"/>
    </row>
    <row r="19" spans="1:18" ht="17.100000000000001" customHeight="1" x14ac:dyDescent="0.4">
      <c r="A19" s="512" t="s">
        <v>898</v>
      </c>
      <c r="B19" s="513"/>
      <c r="C19" s="513"/>
      <c r="D19" s="513"/>
      <c r="E19" s="513"/>
      <c r="F19" s="513"/>
    </row>
    <row r="20" spans="1:18" ht="17.100000000000001" customHeight="1" x14ac:dyDescent="0.45">
      <c r="A20" s="505" t="s">
        <v>780</v>
      </c>
      <c r="B20" s="505"/>
      <c r="C20" s="505"/>
      <c r="D20" s="505"/>
      <c r="E20" s="505"/>
      <c r="F20" s="505"/>
      <c r="G20" s="505"/>
      <c r="H20" s="120"/>
      <c r="I20" s="120"/>
      <c r="J20" s="120"/>
      <c r="K20" s="120"/>
      <c r="L20" s="120"/>
      <c r="M20" s="120"/>
      <c r="N20" s="120"/>
      <c r="O20" s="120"/>
      <c r="P20" s="120"/>
      <c r="Q20" s="120"/>
      <c r="R20" s="120"/>
    </row>
    <row r="21" spans="1:18" ht="17.100000000000001" customHeight="1" x14ac:dyDescent="0.4">
      <c r="A21" s="515" t="s">
        <v>575</v>
      </c>
      <c r="B21" s="516"/>
      <c r="C21" s="516"/>
      <c r="D21" s="516"/>
      <c r="E21" s="516"/>
      <c r="F21" s="516"/>
    </row>
    <row r="22" spans="1:18" ht="12.6" thickBot="1" x14ac:dyDescent="0.45">
      <c r="A22" s="517" t="s">
        <v>845</v>
      </c>
      <c r="B22" s="518"/>
      <c r="C22" s="518"/>
      <c r="D22" s="518"/>
      <c r="E22" s="518"/>
      <c r="F22" s="518"/>
    </row>
    <row r="23" spans="1:18" x14ac:dyDescent="0.4">
      <c r="A23" s="131"/>
    </row>
    <row r="24" spans="1:18" x14ac:dyDescent="0.4">
      <c r="A24" s="124" t="s">
        <v>614</v>
      </c>
    </row>
  </sheetData>
  <sortState ref="G7:I16">
    <sortCondition descending="1" ref="H12"/>
  </sortState>
  <mergeCells count="9">
    <mergeCell ref="A19:F19"/>
    <mergeCell ref="A21:F21"/>
    <mergeCell ref="A22:F22"/>
    <mergeCell ref="A20:G20"/>
    <mergeCell ref="A2:F2"/>
    <mergeCell ref="A3:F3"/>
    <mergeCell ref="B5:C5"/>
    <mergeCell ref="D5:E5"/>
    <mergeCell ref="A18:F18"/>
  </mergeCells>
  <hyperlinks>
    <hyperlink ref="A21:F21" r:id="rId1" display="Contact via enquiries@NHSDigital.nhs.uk or 0300 303 5678" xr:uid="{00000000-0004-0000-2200-000000000000}"/>
    <hyperlink ref="A24" location="Contents!A1" display="Return to Contents" xr:uid="{00000000-0004-0000-2200-000001000000}"/>
  </hyperlinks>
  <pageMargins left="0.78740157480314965" right="0.78740157480314965" top="0.78740157480314965" bottom="0.78740157480314965" header="0.78740157480314965" footer="0.78740157480314965"/>
  <pageSetup paperSize="9" orientation="landscape" r:id="rId2"/>
  <headerFooter alignWithMargins="0">
    <oddFooter>&amp;L&amp;C&amp;R</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2">
    <pageSetUpPr fitToPage="1"/>
  </sheetPr>
  <dimension ref="A1:T44"/>
  <sheetViews>
    <sheetView showGridLines="0" workbookViewId="0"/>
  </sheetViews>
  <sheetFormatPr defaultColWidth="9.109375" defaultRowHeight="12.3" x14ac:dyDescent="0.4"/>
  <cols>
    <col min="1" max="1" width="69" style="113" bestFit="1" customWidth="1"/>
    <col min="2" max="7" width="17.88671875" style="113" customWidth="1"/>
    <col min="8" max="8" width="13.71875" style="162" customWidth="1"/>
    <col min="9" max="9" width="9.109375" style="162" customWidth="1"/>
    <col min="10" max="12" width="9.109375" style="162"/>
    <col min="13" max="13" width="12.88671875" style="162" bestFit="1" customWidth="1"/>
    <col min="14" max="20" width="9.109375" style="162"/>
    <col min="21" max="16384" width="9.109375" style="113"/>
  </cols>
  <sheetData>
    <row r="1" spans="1:20" s="351" customFormat="1" ht="15" customHeight="1" x14ac:dyDescent="0.4">
      <c r="H1" s="162"/>
      <c r="I1" s="162"/>
      <c r="J1" s="162"/>
      <c r="K1" s="162"/>
      <c r="L1" s="162"/>
      <c r="M1" s="162"/>
      <c r="N1" s="162"/>
      <c r="O1" s="162"/>
      <c r="P1" s="162"/>
      <c r="Q1" s="162"/>
      <c r="R1" s="162"/>
      <c r="S1" s="162"/>
      <c r="T1" s="162"/>
    </row>
    <row r="2" spans="1:20" ht="56.25" customHeight="1" x14ac:dyDescent="0.75">
      <c r="A2" s="514" t="s">
        <v>864</v>
      </c>
      <c r="B2" s="591"/>
      <c r="C2" s="591"/>
      <c r="D2" s="591"/>
      <c r="E2" s="591"/>
      <c r="F2" s="591"/>
      <c r="G2" s="591"/>
      <c r="H2" s="591"/>
      <c r="I2" s="439"/>
    </row>
    <row r="3" spans="1:20" ht="80.400000000000006" customHeight="1" x14ac:dyDescent="0.4">
      <c r="A3" s="524" t="s">
        <v>1321</v>
      </c>
      <c r="B3" s="520"/>
      <c r="C3" s="520"/>
      <c r="D3" s="520"/>
      <c r="E3" s="520"/>
      <c r="F3" s="520"/>
      <c r="G3" s="520"/>
      <c r="H3" s="520"/>
    </row>
    <row r="4" spans="1:20" ht="11.25" customHeight="1" thickBot="1" x14ac:dyDescent="0.45"/>
    <row r="5" spans="1:20" ht="15" customHeight="1" thickBot="1" x14ac:dyDescent="0.45">
      <c r="A5" s="110"/>
      <c r="B5" s="525" t="s">
        <v>673</v>
      </c>
      <c r="C5" s="592"/>
      <c r="D5" s="590"/>
      <c r="E5" s="525" t="s">
        <v>844</v>
      </c>
      <c r="F5" s="592"/>
      <c r="G5" s="590"/>
    </row>
    <row r="6" spans="1:20" ht="52.5" customHeight="1" thickBot="1" x14ac:dyDescent="0.45">
      <c r="A6" s="2" t="s">
        <v>144</v>
      </c>
      <c r="B6" s="3" t="s">
        <v>39</v>
      </c>
      <c r="C6" s="10" t="s">
        <v>40</v>
      </c>
      <c r="D6" s="4" t="s">
        <v>145</v>
      </c>
      <c r="E6" s="3" t="s">
        <v>39</v>
      </c>
      <c r="F6" s="10" t="s">
        <v>40</v>
      </c>
      <c r="G6" s="4" t="s">
        <v>145</v>
      </c>
    </row>
    <row r="7" spans="1:20" ht="15" customHeight="1" x14ac:dyDescent="0.4">
      <c r="A7" s="136" t="s">
        <v>146</v>
      </c>
      <c r="B7" s="270">
        <v>271826</v>
      </c>
      <c r="C7" s="63">
        <v>1.3014490617847173E-2</v>
      </c>
      <c r="D7" s="64">
        <v>1.3881578379574195E-2</v>
      </c>
      <c r="E7" s="270">
        <v>337837</v>
      </c>
      <c r="F7" s="63">
        <v>1.5876915031244679E-2</v>
      </c>
      <c r="G7" s="64">
        <v>1.8230205988479426E-2</v>
      </c>
    </row>
    <row r="8" spans="1:20" ht="15" customHeight="1" x14ac:dyDescent="0.4">
      <c r="A8" s="136" t="s">
        <v>147</v>
      </c>
      <c r="B8" s="270">
        <v>143393</v>
      </c>
      <c r="C8" s="65">
        <v>6.8653728972392627E-3</v>
      </c>
      <c r="D8" s="64">
        <v>7.3227769550458111E-3</v>
      </c>
      <c r="E8" s="270">
        <v>174518</v>
      </c>
      <c r="F8" s="65">
        <v>8.2016104139651918E-3</v>
      </c>
      <c r="G8" s="64">
        <v>9.4172606573508892E-3</v>
      </c>
    </row>
    <row r="9" spans="1:20" ht="15" customHeight="1" x14ac:dyDescent="0.4">
      <c r="A9" s="136" t="s">
        <v>148</v>
      </c>
      <c r="B9" s="270">
        <v>1338509</v>
      </c>
      <c r="C9" s="65">
        <v>6.4085160442356515E-2</v>
      </c>
      <c r="D9" s="64">
        <v>6.8354821081373654E-2</v>
      </c>
      <c r="E9" s="270">
        <v>1424667</v>
      </c>
      <c r="F9" s="65">
        <v>6.6953344088475392E-2</v>
      </c>
      <c r="G9" s="64">
        <v>7.6877230365498803E-2</v>
      </c>
    </row>
    <row r="10" spans="1:20" ht="15" customHeight="1" x14ac:dyDescent="0.4">
      <c r="A10" s="136" t="s">
        <v>149</v>
      </c>
      <c r="B10" s="270">
        <v>18625</v>
      </c>
      <c r="C10" s="65">
        <v>8.9172811930206676E-4</v>
      </c>
      <c r="D10" s="64">
        <v>9.5113932191758475E-4</v>
      </c>
      <c r="E10" s="270">
        <v>28047</v>
      </c>
      <c r="F10" s="65">
        <v>1.3180907830738476E-3</v>
      </c>
      <c r="G10" s="64">
        <v>1.5134594119616338E-3</v>
      </c>
    </row>
    <row r="11" spans="1:20" ht="15" customHeight="1" x14ac:dyDescent="0.4">
      <c r="A11" s="136" t="s">
        <v>150</v>
      </c>
      <c r="B11" s="270">
        <v>34298</v>
      </c>
      <c r="C11" s="65">
        <v>1.6421203240709953E-3</v>
      </c>
      <c r="D11" s="64">
        <v>1.7515262530539233E-3</v>
      </c>
      <c r="E11" s="270">
        <v>36907</v>
      </c>
      <c r="F11" s="65">
        <v>1.7344734385462436E-3</v>
      </c>
      <c r="G11" s="64">
        <v>1.9915586878193042E-3</v>
      </c>
    </row>
    <row r="12" spans="1:20" ht="15" customHeight="1" x14ac:dyDescent="0.4">
      <c r="A12" s="136" t="s">
        <v>151</v>
      </c>
      <c r="B12" s="270">
        <v>177956</v>
      </c>
      <c r="C12" s="65">
        <v>8.5201808965647569E-3</v>
      </c>
      <c r="D12" s="64">
        <v>9.0878361971095684E-3</v>
      </c>
      <c r="E12" s="270">
        <v>211943</v>
      </c>
      <c r="F12" s="65">
        <v>9.9604276691632083E-3</v>
      </c>
      <c r="G12" s="64">
        <v>1.1436771424729366E-2</v>
      </c>
    </row>
    <row r="13" spans="1:20" ht="15" customHeight="1" x14ac:dyDescent="0.4">
      <c r="A13" s="136" t="s">
        <v>152</v>
      </c>
      <c r="B13" s="270">
        <v>1</v>
      </c>
      <c r="C13" s="65">
        <v>4.7878019828298891E-8</v>
      </c>
      <c r="D13" s="64">
        <v>5.1067883055977704E-8</v>
      </c>
      <c r="E13" s="270">
        <v>0</v>
      </c>
      <c r="F13" s="65">
        <v>0</v>
      </c>
      <c r="G13" s="64">
        <v>0</v>
      </c>
    </row>
    <row r="14" spans="1:20" ht="15" customHeight="1" x14ac:dyDescent="0.4">
      <c r="A14" s="136" t="s">
        <v>153</v>
      </c>
      <c r="B14" s="270">
        <v>595220</v>
      </c>
      <c r="C14" s="65">
        <v>2.8497954962200065E-2</v>
      </c>
      <c r="D14" s="64">
        <v>3.0396625352579049E-2</v>
      </c>
      <c r="E14" s="270">
        <v>611958</v>
      </c>
      <c r="F14" s="65">
        <v>2.8759446622751299E-2</v>
      </c>
      <c r="G14" s="64">
        <v>3.3022198268093467E-2</v>
      </c>
    </row>
    <row r="15" spans="1:20" ht="15" customHeight="1" x14ac:dyDescent="0.4">
      <c r="A15" s="136" t="s">
        <v>154</v>
      </c>
      <c r="B15" s="270">
        <v>56253</v>
      </c>
      <c r="C15" s="65">
        <v>2.6932822494012973E-3</v>
      </c>
      <c r="D15" s="64">
        <v>2.8727216255479138E-3</v>
      </c>
      <c r="E15" s="270">
        <v>46230</v>
      </c>
      <c r="F15" s="65">
        <v>2.1726151424930999E-3</v>
      </c>
      <c r="G15" s="64">
        <v>2.4946421583408682E-3</v>
      </c>
    </row>
    <row r="16" spans="1:20" ht="15" customHeight="1" x14ac:dyDescent="0.4">
      <c r="A16" s="136" t="s">
        <v>155</v>
      </c>
      <c r="B16" s="270">
        <v>18061</v>
      </c>
      <c r="C16" s="65">
        <v>8.647249161189062E-4</v>
      </c>
      <c r="D16" s="64">
        <v>9.2233703587401325E-4</v>
      </c>
      <c r="E16" s="270">
        <v>14480</v>
      </c>
      <c r="F16" s="65">
        <v>6.8049896740861109E-4</v>
      </c>
      <c r="G16" s="64">
        <v>7.8136315061163252E-4</v>
      </c>
    </row>
    <row r="17" spans="1:7" ht="15" customHeight="1" x14ac:dyDescent="0.4">
      <c r="A17" s="136" t="s">
        <v>156</v>
      </c>
      <c r="B17" s="270">
        <v>705287</v>
      </c>
      <c r="C17" s="65">
        <v>3.3767744970641438E-2</v>
      </c>
      <c r="D17" s="64">
        <v>3.6017514036901344E-2</v>
      </c>
      <c r="E17" s="270">
        <v>791168</v>
      </c>
      <c r="F17" s="65">
        <v>3.7181561260133701E-2</v>
      </c>
      <c r="G17" s="64">
        <v>4.2692646487783432E-2</v>
      </c>
    </row>
    <row r="18" spans="1:7" ht="15" customHeight="1" x14ac:dyDescent="0.4">
      <c r="A18" s="136" t="s">
        <v>157</v>
      </c>
      <c r="B18" s="270">
        <v>3558</v>
      </c>
      <c r="C18" s="65">
        <v>1.7034999454908743E-4</v>
      </c>
      <c r="D18" s="64">
        <v>1.8169952791316867E-4</v>
      </c>
      <c r="E18" s="270">
        <v>2742</v>
      </c>
      <c r="F18" s="65">
        <v>1.2886244258524942E-4</v>
      </c>
      <c r="G18" s="64">
        <v>1.4796255241554532E-4</v>
      </c>
    </row>
    <row r="19" spans="1:7" ht="15" customHeight="1" x14ac:dyDescent="0.4">
      <c r="A19" s="136" t="s">
        <v>158</v>
      </c>
      <c r="B19" s="270">
        <v>1487832</v>
      </c>
      <c r="C19" s="65">
        <v>7.1234449997177596E-2</v>
      </c>
      <c r="D19" s="64">
        <v>7.5980430582941419E-2</v>
      </c>
      <c r="E19" s="270">
        <v>1448385</v>
      </c>
      <c r="F19" s="65">
        <v>6.8067990118102287E-2</v>
      </c>
      <c r="G19" s="64">
        <v>7.8157090255430203E-2</v>
      </c>
    </row>
    <row r="20" spans="1:7" ht="15" customHeight="1" x14ac:dyDescent="0.4">
      <c r="A20" s="136" t="s">
        <v>159</v>
      </c>
      <c r="B20" s="270">
        <v>5341</v>
      </c>
      <c r="C20" s="65">
        <v>2.5571650390294434E-4</v>
      </c>
      <c r="D20" s="64">
        <v>2.7275356340197691E-4</v>
      </c>
      <c r="E20" s="270">
        <v>3026</v>
      </c>
      <c r="F20" s="65">
        <v>1.4220924553718625E-4</v>
      </c>
      <c r="G20" s="64">
        <v>1.6328763078389503E-4</v>
      </c>
    </row>
    <row r="21" spans="1:7" ht="15" customHeight="1" x14ac:dyDescent="0.4">
      <c r="A21" s="136" t="s">
        <v>160</v>
      </c>
      <c r="B21" s="270">
        <v>23826</v>
      </c>
      <c r="C21" s="65">
        <v>1.1407417004290492E-3</v>
      </c>
      <c r="D21" s="64">
        <v>1.2167433816917248E-3</v>
      </c>
      <c r="E21" s="270">
        <v>27008</v>
      </c>
      <c r="F21" s="65">
        <v>1.2692621624151774E-3</v>
      </c>
      <c r="G21" s="64">
        <v>1.4573933682126361E-3</v>
      </c>
    </row>
    <row r="22" spans="1:7" ht="15" customHeight="1" x14ac:dyDescent="0.4">
      <c r="A22" s="136" t="s">
        <v>161</v>
      </c>
      <c r="B22" s="270">
        <v>22221</v>
      </c>
      <c r="C22" s="65">
        <v>1.0638974786046295E-3</v>
      </c>
      <c r="D22" s="64">
        <v>1.1347794293868805E-3</v>
      </c>
      <c r="E22" s="270">
        <v>23288</v>
      </c>
      <c r="F22" s="65">
        <v>1.0944378420588215E-3</v>
      </c>
      <c r="G22" s="64">
        <v>1.2566564262046754E-3</v>
      </c>
    </row>
    <row r="23" spans="1:7" ht="15" customHeight="1" x14ac:dyDescent="0.4">
      <c r="A23" s="136" t="s">
        <v>162</v>
      </c>
      <c r="B23" s="270">
        <v>8028164</v>
      </c>
      <c r="C23" s="65">
        <v>0.38437259517683531</v>
      </c>
      <c r="D23" s="64">
        <v>0.4099813403062102</v>
      </c>
      <c r="E23" s="270">
        <v>6829508</v>
      </c>
      <c r="F23" s="65">
        <v>0.32095808991083208</v>
      </c>
      <c r="G23" s="64">
        <v>0.36853079337067329</v>
      </c>
    </row>
    <row r="24" spans="1:7" ht="15" customHeight="1" x14ac:dyDescent="0.4">
      <c r="A24" s="136" t="s">
        <v>34</v>
      </c>
      <c r="B24" s="270">
        <v>1339994</v>
      </c>
      <c r="C24" s="65">
        <v>6.4156259301801535E-2</v>
      </c>
      <c r="D24" s="64">
        <v>6.8430656887711785E-2</v>
      </c>
      <c r="E24" s="270">
        <v>1256237</v>
      </c>
      <c r="F24" s="65">
        <v>5.9037844013846083E-2</v>
      </c>
      <c r="G24" s="64">
        <v>6.7788487585283524E-2</v>
      </c>
    </row>
    <row r="25" spans="1:7" ht="15" customHeight="1" x14ac:dyDescent="0.4">
      <c r="A25" s="136" t="s">
        <v>163</v>
      </c>
      <c r="B25" s="270">
        <v>68989</v>
      </c>
      <c r="C25" s="65">
        <v>3.3030567099345122E-3</v>
      </c>
      <c r="D25" s="64">
        <v>3.5231221841488455E-3</v>
      </c>
      <c r="E25" s="270">
        <v>70401</v>
      </c>
      <c r="F25" s="65">
        <v>3.3085502627440348E-3</v>
      </c>
      <c r="G25" s="64">
        <v>3.7989466275006587E-3</v>
      </c>
    </row>
    <row r="26" spans="1:7" ht="15" customHeight="1" x14ac:dyDescent="0.4">
      <c r="A26" s="136" t="s">
        <v>164</v>
      </c>
      <c r="B26" s="270">
        <v>106574</v>
      </c>
      <c r="C26" s="65">
        <v>5.1025520851811258E-3</v>
      </c>
      <c r="D26" s="64">
        <v>5.4425085688077678E-3</v>
      </c>
      <c r="E26" s="270">
        <v>178538</v>
      </c>
      <c r="F26" s="65">
        <v>8.3905334698341581E-3</v>
      </c>
      <c r="G26" s="64">
        <v>9.6341860624240081E-3</v>
      </c>
    </row>
    <row r="27" spans="1:7" ht="15" customHeight="1" x14ac:dyDescent="0.4">
      <c r="A27" s="136" t="s">
        <v>165</v>
      </c>
      <c r="B27" s="270">
        <v>13723</v>
      </c>
      <c r="C27" s="65">
        <v>6.5703006610374559E-4</v>
      </c>
      <c r="D27" s="64">
        <v>7.0080455917718206E-4</v>
      </c>
      <c r="E27" s="270">
        <v>13077</v>
      </c>
      <c r="F27" s="65">
        <v>6.1456388099464132E-4</v>
      </c>
      <c r="G27" s="64">
        <v>7.0565510501024303E-4</v>
      </c>
    </row>
    <row r="28" spans="1:7" ht="15" customHeight="1" x14ac:dyDescent="0.4">
      <c r="A28" s="136" t="s">
        <v>166</v>
      </c>
      <c r="B28" s="270">
        <v>8382</v>
      </c>
      <c r="C28" s="65">
        <v>4.0131356220080125E-4</v>
      </c>
      <c r="D28" s="64">
        <v>4.280509957752051E-4</v>
      </c>
      <c r="E28" s="270">
        <v>13039</v>
      </c>
      <c r="F28" s="65">
        <v>6.1277804116304413E-4</v>
      </c>
      <c r="G28" s="64">
        <v>7.0360456635532292E-4</v>
      </c>
    </row>
    <row r="29" spans="1:7" ht="15" customHeight="1" x14ac:dyDescent="0.4">
      <c r="A29" s="136" t="s">
        <v>167</v>
      </c>
      <c r="B29" s="270">
        <v>107889</v>
      </c>
      <c r="C29" s="65">
        <v>5.1655116812553388E-3</v>
      </c>
      <c r="D29" s="64">
        <v>5.5096628350263781E-3</v>
      </c>
      <c r="E29" s="270">
        <v>103758</v>
      </c>
      <c r="F29" s="65">
        <v>4.8761886643910683E-3</v>
      </c>
      <c r="G29" s="64">
        <v>5.5989418357155919E-3</v>
      </c>
    </row>
    <row r="30" spans="1:7" ht="15" customHeight="1" x14ac:dyDescent="0.4">
      <c r="A30" s="136" t="s">
        <v>168</v>
      </c>
      <c r="B30" s="270">
        <v>468254</v>
      </c>
      <c r="C30" s="65">
        <v>2.2419074296680268E-2</v>
      </c>
      <c r="D30" s="64">
        <v>2.3912740512493782E-2</v>
      </c>
      <c r="E30" s="270">
        <v>536806</v>
      </c>
      <c r="F30" s="65">
        <v>2.5227619385272574E-2</v>
      </c>
      <c r="G30" s="64">
        <v>2.8966880347184254E-2</v>
      </c>
    </row>
    <row r="31" spans="1:7" ht="15" customHeight="1" thickBot="1" x14ac:dyDescent="0.45">
      <c r="A31" s="136" t="s">
        <v>169</v>
      </c>
      <c r="B31" s="270">
        <v>4537603</v>
      </c>
      <c r="C31" s="65">
        <v>0.21725144640694852</v>
      </c>
      <c r="D31" s="64">
        <v>0.23172577935845359</v>
      </c>
      <c r="E31" s="270">
        <v>4348148</v>
      </c>
      <c r="F31" s="65">
        <v>0.20434462873893766</v>
      </c>
      <c r="G31" s="64">
        <v>0.23463277766613733</v>
      </c>
    </row>
    <row r="32" spans="1:7" ht="15" customHeight="1" thickBot="1" x14ac:dyDescent="0.45">
      <c r="A32" s="5" t="s">
        <v>170</v>
      </c>
      <c r="B32" s="271">
        <v>19581779</v>
      </c>
      <c r="C32" s="70">
        <v>0.93753680323536681</v>
      </c>
      <c r="D32" s="71">
        <v>1</v>
      </c>
      <c r="E32" s="271">
        <v>18531716</v>
      </c>
      <c r="F32" s="70">
        <v>0.87091254159596931</v>
      </c>
      <c r="G32" s="71">
        <v>1</v>
      </c>
    </row>
    <row r="33" spans="1:18" ht="15" customHeight="1" x14ac:dyDescent="0.4">
      <c r="A33" s="38" t="s">
        <v>171</v>
      </c>
      <c r="B33" s="272">
        <v>1302207</v>
      </c>
      <c r="C33" s="72">
        <v>6.2347092566549613E-2</v>
      </c>
      <c r="D33" s="66"/>
      <c r="E33" s="272">
        <v>2744806</v>
      </c>
      <c r="F33" s="72">
        <v>0.12899431275807735</v>
      </c>
      <c r="G33" s="66"/>
    </row>
    <row r="34" spans="1:18" ht="15" customHeight="1" thickBot="1" x14ac:dyDescent="0.45">
      <c r="A34" s="38" t="s">
        <v>172</v>
      </c>
      <c r="B34" s="272">
        <v>2425</v>
      </c>
      <c r="C34" s="72">
        <v>1.161041980836248E-4</v>
      </c>
      <c r="D34" s="66"/>
      <c r="E34" s="272">
        <v>1982</v>
      </c>
      <c r="F34" s="72">
        <v>9.3145645953305741E-5</v>
      </c>
      <c r="G34" s="66"/>
    </row>
    <row r="35" spans="1:18" ht="15" customHeight="1" thickBot="1" x14ac:dyDescent="0.45">
      <c r="A35" s="5" t="s">
        <v>173</v>
      </c>
      <c r="B35" s="271">
        <v>1304632</v>
      </c>
      <c r="C35" s="70">
        <v>6.2463196764633237E-2</v>
      </c>
      <c r="D35" s="73"/>
      <c r="E35" s="271">
        <v>2746788</v>
      </c>
      <c r="F35" s="70">
        <v>0.12908745840403066</v>
      </c>
      <c r="G35" s="73"/>
    </row>
    <row r="36" spans="1:18" ht="15" customHeight="1" thickBot="1" x14ac:dyDescent="0.45">
      <c r="A36" s="5" t="s">
        <v>49</v>
      </c>
      <c r="B36" s="271">
        <v>20886411</v>
      </c>
      <c r="C36" s="70">
        <v>1</v>
      </c>
      <c r="D36" s="73"/>
      <c r="E36" s="271">
        <v>21278504</v>
      </c>
      <c r="F36" s="70">
        <v>1</v>
      </c>
      <c r="G36" s="73"/>
    </row>
    <row r="37" spans="1:18" ht="4.5" customHeight="1" x14ac:dyDescent="0.4"/>
    <row r="38" spans="1:18" ht="17.100000000000001" customHeight="1" thickBot="1" x14ac:dyDescent="0.45">
      <c r="A38" s="560" t="s">
        <v>10</v>
      </c>
      <c r="B38" s="561"/>
      <c r="C38" s="561"/>
      <c r="D38" s="561"/>
      <c r="E38" s="561"/>
      <c r="F38" s="561"/>
      <c r="G38" s="561"/>
      <c r="H38" s="561"/>
    </row>
    <row r="39" spans="1:18" ht="17.100000000000001" customHeight="1" x14ac:dyDescent="0.4">
      <c r="A39" s="512" t="s">
        <v>898</v>
      </c>
      <c r="B39" s="513"/>
      <c r="C39" s="513"/>
      <c r="D39" s="513"/>
      <c r="E39" s="513"/>
      <c r="F39" s="513"/>
      <c r="G39" s="513"/>
      <c r="H39" s="513"/>
    </row>
    <row r="40" spans="1:18" ht="17.100000000000001" customHeight="1" x14ac:dyDescent="0.45">
      <c r="A40" s="505" t="s">
        <v>780</v>
      </c>
      <c r="B40" s="505"/>
      <c r="C40" s="505"/>
      <c r="D40" s="505"/>
      <c r="E40" s="505"/>
      <c r="F40" s="505"/>
      <c r="G40" s="505"/>
      <c r="H40" s="440"/>
      <c r="I40" s="440"/>
      <c r="J40" s="440"/>
      <c r="K40" s="440"/>
      <c r="L40" s="440"/>
      <c r="M40" s="440"/>
      <c r="N40" s="440"/>
      <c r="O40" s="440"/>
      <c r="P40" s="440"/>
      <c r="Q40" s="440"/>
      <c r="R40" s="440"/>
    </row>
    <row r="41" spans="1:18" ht="17.100000000000001" customHeight="1" x14ac:dyDescent="0.4">
      <c r="A41" s="515" t="s">
        <v>575</v>
      </c>
      <c r="B41" s="516"/>
      <c r="C41" s="516"/>
      <c r="D41" s="516"/>
      <c r="E41" s="516"/>
      <c r="F41" s="516"/>
      <c r="G41" s="516"/>
      <c r="H41" s="516"/>
    </row>
    <row r="42" spans="1:18" ht="12.6" thickBot="1" x14ac:dyDescent="0.45">
      <c r="A42" s="517" t="s">
        <v>845</v>
      </c>
      <c r="B42" s="518"/>
      <c r="C42" s="518"/>
      <c r="D42" s="518"/>
      <c r="E42" s="518"/>
      <c r="F42" s="518"/>
      <c r="G42" s="518"/>
      <c r="H42" s="518"/>
    </row>
    <row r="43" spans="1:18" x14ac:dyDescent="0.4">
      <c r="A43" s="131"/>
    </row>
    <row r="44" spans="1:18" x14ac:dyDescent="0.4">
      <c r="A44" s="124" t="s">
        <v>614</v>
      </c>
    </row>
  </sheetData>
  <sortState ref="J7:M30">
    <sortCondition ref="L13"/>
  </sortState>
  <mergeCells count="9">
    <mergeCell ref="A2:H2"/>
    <mergeCell ref="A38:H38"/>
    <mergeCell ref="A39:H39"/>
    <mergeCell ref="A41:H41"/>
    <mergeCell ref="A42:H42"/>
    <mergeCell ref="A40:G40"/>
    <mergeCell ref="A3:H3"/>
    <mergeCell ref="B5:D5"/>
    <mergeCell ref="E5:G5"/>
  </mergeCells>
  <hyperlinks>
    <hyperlink ref="A41:H41" r:id="rId1" display="Contact via enquiries@NHSDigital.nhs.uk or 0300 303 5678" xr:uid="{00000000-0004-0000-2300-000000000000}"/>
    <hyperlink ref="A44" location="Contents!A1" display="Return to Contents" xr:uid="{00000000-0004-0000-2300-000001000000}"/>
  </hyperlinks>
  <pageMargins left="0.78740157480314965" right="0.78740157480314965" top="0.78740157480314965" bottom="0.78740157480314965" header="0.78740157480314965" footer="0.78740157480314965"/>
  <pageSetup paperSize="9" scale="79" fitToHeight="0" orientation="landscape" r:id="rId2"/>
  <headerFooter alignWithMargins="0">
    <oddFooter>&amp;L&amp;C&amp;R</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3">
    <pageSetUpPr fitToPage="1"/>
  </sheetPr>
  <dimension ref="A1:R58"/>
  <sheetViews>
    <sheetView showGridLines="0" workbookViewId="0"/>
  </sheetViews>
  <sheetFormatPr defaultColWidth="9.109375" defaultRowHeight="12.3" x14ac:dyDescent="0.4"/>
  <cols>
    <col min="1" max="1" width="40.44140625" style="113" customWidth="1"/>
    <col min="2" max="7" width="17.88671875" style="113" customWidth="1"/>
    <col min="8" max="8" width="15.83203125" style="113" customWidth="1"/>
    <col min="9" max="16384" width="9.109375" style="113"/>
  </cols>
  <sheetData>
    <row r="1" spans="1:12" s="351" customFormat="1" ht="15" customHeight="1" x14ac:dyDescent="0.4"/>
    <row r="2" spans="1:12" ht="56.25" customHeight="1" x14ac:dyDescent="0.4">
      <c r="A2" s="514" t="s">
        <v>865</v>
      </c>
      <c r="B2" s="514"/>
      <c r="C2" s="514"/>
      <c r="D2" s="514"/>
      <c r="E2" s="514"/>
      <c r="F2" s="514"/>
      <c r="G2" s="514"/>
      <c r="H2" s="514"/>
    </row>
    <row r="3" spans="1:12" ht="84" customHeight="1" x14ac:dyDescent="0.4">
      <c r="A3" s="524" t="s">
        <v>1321</v>
      </c>
      <c r="B3" s="520"/>
      <c r="C3" s="520"/>
      <c r="D3" s="520"/>
      <c r="E3" s="520"/>
      <c r="F3" s="520"/>
      <c r="G3" s="520"/>
      <c r="H3" s="520"/>
    </row>
    <row r="4" spans="1:12" ht="11.25" customHeight="1" thickBot="1" x14ac:dyDescent="0.45"/>
    <row r="5" spans="1:12" ht="15" customHeight="1" thickBot="1" x14ac:dyDescent="0.45">
      <c r="A5" s="110"/>
      <c r="B5" s="541" t="s">
        <v>673</v>
      </c>
      <c r="C5" s="592"/>
      <c r="D5" s="590"/>
      <c r="E5" s="541" t="s">
        <v>844</v>
      </c>
      <c r="F5" s="592"/>
      <c r="G5" s="590"/>
    </row>
    <row r="6" spans="1:12" ht="52.5" customHeight="1" thickBot="1" x14ac:dyDescent="0.45">
      <c r="A6" s="2" t="s">
        <v>174</v>
      </c>
      <c r="B6" s="3" t="s">
        <v>39</v>
      </c>
      <c r="C6" s="10" t="s">
        <v>40</v>
      </c>
      <c r="D6" s="4" t="s">
        <v>145</v>
      </c>
      <c r="E6" s="3" t="s">
        <v>39</v>
      </c>
      <c r="F6" s="10" t="s">
        <v>40</v>
      </c>
      <c r="G6" s="4" t="s">
        <v>145</v>
      </c>
      <c r="I6" s="432"/>
      <c r="J6" s="432"/>
    </row>
    <row r="7" spans="1:12" ht="15" customHeight="1" x14ac:dyDescent="0.4">
      <c r="A7" s="136" t="s">
        <v>175</v>
      </c>
      <c r="B7" s="270">
        <v>81757</v>
      </c>
      <c r="C7" s="84">
        <v>3.9143632671022324E-3</v>
      </c>
      <c r="D7" s="85">
        <v>6.0547846291993373E-3</v>
      </c>
      <c r="E7" s="270">
        <v>88429</v>
      </c>
      <c r="F7" s="84">
        <v>4.1557902754817723E-3</v>
      </c>
      <c r="G7" s="85">
        <v>5.9878309485453087E-3</v>
      </c>
      <c r="I7" s="432"/>
      <c r="J7" s="432"/>
      <c r="K7" s="151"/>
      <c r="L7" s="151"/>
    </row>
    <row r="8" spans="1:12" ht="15" customHeight="1" x14ac:dyDescent="0.4">
      <c r="A8" s="136" t="s">
        <v>176</v>
      </c>
      <c r="B8" s="270">
        <v>94389</v>
      </c>
      <c r="C8" s="84">
        <v>4.5191584135733038E-3</v>
      </c>
      <c r="D8" s="85">
        <v>6.9902891050979887E-3</v>
      </c>
      <c r="E8" s="270">
        <v>83009</v>
      </c>
      <c r="F8" s="84">
        <v>3.9010731205539636E-3</v>
      </c>
      <c r="G8" s="85">
        <v>5.620824155059964E-3</v>
      </c>
      <c r="I8" s="432"/>
      <c r="J8" s="432"/>
      <c r="K8" s="151"/>
      <c r="L8" s="151"/>
    </row>
    <row r="9" spans="1:12" ht="15" customHeight="1" x14ac:dyDescent="0.4">
      <c r="A9" s="136" t="s">
        <v>177</v>
      </c>
      <c r="B9" s="270">
        <v>122578</v>
      </c>
      <c r="C9" s="84">
        <v>5.8687919145132212E-3</v>
      </c>
      <c r="D9" s="85">
        <v>9.0779185914110876E-3</v>
      </c>
      <c r="E9" s="270">
        <v>124776</v>
      </c>
      <c r="F9" s="84">
        <v>5.8639460744044792E-3</v>
      </c>
      <c r="G9" s="85">
        <v>8.4490110081046881E-3</v>
      </c>
      <c r="I9" s="432"/>
      <c r="J9" s="432"/>
      <c r="K9" s="151"/>
      <c r="L9" s="151"/>
    </row>
    <row r="10" spans="1:12" ht="15" customHeight="1" x14ac:dyDescent="0.4">
      <c r="A10" s="136" t="s">
        <v>178</v>
      </c>
      <c r="B10" s="270">
        <v>508592</v>
      </c>
      <c r="C10" s="84">
        <v>2.4350377860514187E-2</v>
      </c>
      <c r="D10" s="85">
        <v>3.7665460133490092E-2</v>
      </c>
      <c r="E10" s="270">
        <v>554769</v>
      </c>
      <c r="F10" s="84">
        <v>2.6071804671982578E-2</v>
      </c>
      <c r="G10" s="85">
        <v>3.75653121430021E-2</v>
      </c>
      <c r="I10" s="432"/>
      <c r="J10" s="432"/>
      <c r="K10" s="151"/>
      <c r="L10" s="151"/>
    </row>
    <row r="11" spans="1:12" ht="15" customHeight="1" x14ac:dyDescent="0.4">
      <c r="A11" s="136" t="s">
        <v>179</v>
      </c>
      <c r="B11" s="270">
        <v>286701</v>
      </c>
      <c r="C11" s="84">
        <v>1.3726676162793119E-2</v>
      </c>
      <c r="D11" s="85">
        <v>2.1232589355970489E-2</v>
      </c>
      <c r="E11" s="270">
        <v>283000</v>
      </c>
      <c r="F11" s="84">
        <v>1.3299807166894816E-2</v>
      </c>
      <c r="G11" s="85">
        <v>1.9162900840655469E-2</v>
      </c>
      <c r="I11" s="432"/>
      <c r="J11" s="432"/>
      <c r="K11" s="151"/>
      <c r="L11" s="151"/>
    </row>
    <row r="12" spans="1:12" ht="15" customHeight="1" x14ac:dyDescent="0.4">
      <c r="A12" s="136" t="s">
        <v>180</v>
      </c>
      <c r="B12" s="270">
        <v>93961</v>
      </c>
      <c r="C12" s="84">
        <v>4.4986666210867915E-3</v>
      </c>
      <c r="D12" s="85">
        <v>6.9585921516714033E-3</v>
      </c>
      <c r="E12" s="270">
        <v>143589</v>
      </c>
      <c r="F12" s="84">
        <v>6.7480777784002105E-3</v>
      </c>
      <c r="G12" s="85">
        <v>9.722903776709816E-3</v>
      </c>
      <c r="I12" s="432"/>
      <c r="J12" s="432"/>
      <c r="K12" s="151"/>
      <c r="L12" s="151"/>
    </row>
    <row r="13" spans="1:12" ht="15" customHeight="1" x14ac:dyDescent="0.4">
      <c r="A13" s="136" t="s">
        <v>181</v>
      </c>
      <c r="B13" s="270">
        <v>503139</v>
      </c>
      <c r="C13" s="84">
        <v>2.4089299018390475E-2</v>
      </c>
      <c r="D13" s="85">
        <v>3.7261620210510722E-2</v>
      </c>
      <c r="E13" s="270">
        <v>594540</v>
      </c>
      <c r="F13" s="84">
        <v>2.7940874038889198E-2</v>
      </c>
      <c r="G13" s="85">
        <v>4.0258342988704246E-2</v>
      </c>
      <c r="I13" s="432"/>
      <c r="J13" s="432"/>
      <c r="K13" s="151"/>
      <c r="L13" s="151"/>
    </row>
    <row r="14" spans="1:12" ht="15" customHeight="1" x14ac:dyDescent="0.4">
      <c r="A14" s="136" t="s">
        <v>182</v>
      </c>
      <c r="B14" s="270">
        <v>159206</v>
      </c>
      <c r="C14" s="84">
        <v>7.6224680247841525E-3</v>
      </c>
      <c r="D14" s="85">
        <v>1.1790526091665664E-2</v>
      </c>
      <c r="E14" s="270">
        <v>183142</v>
      </c>
      <c r="F14" s="84">
        <v>8.6069020641676691E-3</v>
      </c>
      <c r="G14" s="85">
        <v>1.2401173094555915E-2</v>
      </c>
      <c r="I14" s="432"/>
      <c r="J14" s="432"/>
      <c r="K14" s="151"/>
      <c r="L14" s="151"/>
    </row>
    <row r="15" spans="1:12" ht="15" customHeight="1" x14ac:dyDescent="0.4">
      <c r="A15" s="136" t="s">
        <v>183</v>
      </c>
      <c r="B15" s="270">
        <v>62594</v>
      </c>
      <c r="C15" s="84">
        <v>2.9968767731325405E-3</v>
      </c>
      <c r="D15" s="85">
        <v>4.6356053803356693E-3</v>
      </c>
      <c r="E15" s="270">
        <v>71683</v>
      </c>
      <c r="F15" s="84">
        <v>3.3687988591679188E-3</v>
      </c>
      <c r="G15" s="85">
        <v>4.8539018408505514E-3</v>
      </c>
      <c r="I15" s="432"/>
      <c r="J15" s="432"/>
      <c r="K15" s="151"/>
      <c r="L15" s="151"/>
    </row>
    <row r="16" spans="1:12" ht="15" customHeight="1" x14ac:dyDescent="0.4">
      <c r="A16" s="136" t="s">
        <v>184</v>
      </c>
      <c r="B16" s="270">
        <v>2960363</v>
      </c>
      <c r="C16" s="84">
        <v>0.14173631841296239</v>
      </c>
      <c r="D16" s="85">
        <v>0.21923945826351796</v>
      </c>
      <c r="E16" s="270">
        <v>3015969</v>
      </c>
      <c r="F16" s="84">
        <v>0.14173783081742963</v>
      </c>
      <c r="G16" s="85">
        <v>0.20422160736922557</v>
      </c>
      <c r="I16" s="432"/>
      <c r="J16" s="432"/>
      <c r="K16" s="151"/>
      <c r="L16" s="151"/>
    </row>
    <row r="17" spans="1:12" ht="15" customHeight="1" x14ac:dyDescent="0.4">
      <c r="A17" s="136" t="s">
        <v>185</v>
      </c>
      <c r="B17" s="270">
        <v>906392</v>
      </c>
      <c r="C17" s="84">
        <v>4.3396254148211487E-2</v>
      </c>
      <c r="D17" s="85">
        <v>6.7125852827638555E-2</v>
      </c>
      <c r="E17" s="270">
        <v>988998</v>
      </c>
      <c r="F17" s="84">
        <v>4.6478737414998722E-2</v>
      </c>
      <c r="G17" s="85">
        <v>6.6968447369634546E-2</v>
      </c>
      <c r="I17" s="432"/>
      <c r="J17" s="432"/>
      <c r="K17" s="151"/>
      <c r="L17" s="151"/>
    </row>
    <row r="18" spans="1:12" ht="15" customHeight="1" x14ac:dyDescent="0.4">
      <c r="A18" s="136" t="s">
        <v>186</v>
      </c>
      <c r="B18" s="270">
        <v>3455</v>
      </c>
      <c r="C18" s="84">
        <v>1.6541855850677264E-4</v>
      </c>
      <c r="D18" s="85">
        <v>2.5587143478703609E-4</v>
      </c>
      <c r="E18" s="270">
        <v>2459</v>
      </c>
      <c r="F18" s="84">
        <v>1.155626354183546E-4</v>
      </c>
      <c r="G18" s="85">
        <v>1.6650732567905229E-4</v>
      </c>
      <c r="I18" s="432"/>
      <c r="J18" s="432"/>
      <c r="K18" s="151"/>
      <c r="L18" s="151"/>
    </row>
    <row r="19" spans="1:12" ht="15" customHeight="1" x14ac:dyDescent="0.4">
      <c r="A19" s="136" t="s">
        <v>187</v>
      </c>
      <c r="B19" s="270">
        <v>392036</v>
      </c>
      <c r="C19" s="84">
        <v>1.8769907381406981E-2</v>
      </c>
      <c r="D19" s="85">
        <v>2.903352063912315E-2</v>
      </c>
      <c r="E19" s="270">
        <v>436170</v>
      </c>
      <c r="F19" s="84">
        <v>2.0498151561782727E-2</v>
      </c>
      <c r="G19" s="85">
        <v>2.9534566995295743E-2</v>
      </c>
      <c r="I19" s="432"/>
      <c r="J19" s="432"/>
      <c r="K19" s="151"/>
      <c r="L19" s="151"/>
    </row>
    <row r="20" spans="1:12" ht="15" customHeight="1" x14ac:dyDescent="0.4">
      <c r="A20" s="136" t="s">
        <v>188</v>
      </c>
      <c r="B20" s="270">
        <v>58854</v>
      </c>
      <c r="C20" s="84">
        <v>2.8178129789747028E-3</v>
      </c>
      <c r="D20" s="85">
        <v>4.3586273293650425E-3</v>
      </c>
      <c r="E20" s="270">
        <v>60298</v>
      </c>
      <c r="F20" s="84">
        <v>2.8337518464643945E-3</v>
      </c>
      <c r="G20" s="85">
        <v>4.0829844342397297E-3</v>
      </c>
      <c r="I20" s="432"/>
      <c r="J20" s="432"/>
      <c r="K20" s="151"/>
      <c r="L20" s="151"/>
    </row>
    <row r="21" spans="1:12" ht="15" customHeight="1" x14ac:dyDescent="0.4">
      <c r="A21" s="136" t="s">
        <v>189</v>
      </c>
      <c r="B21" s="270">
        <v>151357</v>
      </c>
      <c r="C21" s="84">
        <v>7.246673447151835E-3</v>
      </c>
      <c r="D21" s="85">
        <v>1.1209242476139341E-2</v>
      </c>
      <c r="E21" s="270">
        <v>159574</v>
      </c>
      <c r="F21" s="84">
        <v>7.4993054022970788E-3</v>
      </c>
      <c r="G21" s="85">
        <v>1.0805302963769454E-2</v>
      </c>
      <c r="I21" s="432"/>
      <c r="J21" s="432"/>
      <c r="K21" s="151"/>
      <c r="L21" s="151"/>
    </row>
    <row r="22" spans="1:12" ht="15" customHeight="1" x14ac:dyDescent="0.4">
      <c r="A22" s="136" t="s">
        <v>190</v>
      </c>
      <c r="B22" s="270">
        <v>812964</v>
      </c>
      <c r="C22" s="84">
        <v>3.892310651169318E-2</v>
      </c>
      <c r="D22" s="85">
        <v>6.0206733751145589E-2</v>
      </c>
      <c r="E22" s="270">
        <v>887397</v>
      </c>
      <c r="F22" s="84">
        <v>4.1703918658943316E-2</v>
      </c>
      <c r="G22" s="85">
        <v>6.0088695114117109E-2</v>
      </c>
      <c r="I22" s="432"/>
      <c r="J22" s="432"/>
      <c r="K22" s="151"/>
      <c r="L22" s="151"/>
    </row>
    <row r="23" spans="1:12" ht="15" customHeight="1" x14ac:dyDescent="0.4">
      <c r="A23" s="136" t="s">
        <v>191</v>
      </c>
      <c r="B23" s="270">
        <v>172686</v>
      </c>
      <c r="C23" s="84">
        <v>8.2678637320696222E-3</v>
      </c>
      <c r="D23" s="85">
        <v>1.2788832007998296E-2</v>
      </c>
      <c r="E23" s="270">
        <v>184008</v>
      </c>
      <c r="F23" s="84">
        <v>8.6476004140140679E-3</v>
      </c>
      <c r="G23" s="85">
        <v>1.2459812925396932E-2</v>
      </c>
      <c r="I23" s="432"/>
      <c r="J23" s="432"/>
      <c r="K23" s="151"/>
      <c r="L23" s="151"/>
    </row>
    <row r="24" spans="1:12" ht="15" customHeight="1" x14ac:dyDescent="0.4">
      <c r="A24" s="136" t="s">
        <v>192</v>
      </c>
      <c r="B24" s="270">
        <v>50303</v>
      </c>
      <c r="C24" s="84">
        <v>2.4084080314229189E-3</v>
      </c>
      <c r="D24" s="85">
        <v>3.7253547855549281E-3</v>
      </c>
      <c r="E24" s="270">
        <v>66115</v>
      </c>
      <c r="F24" s="84">
        <v>3.1071263280538896E-3</v>
      </c>
      <c r="G24" s="85">
        <v>4.4768734596464183E-3</v>
      </c>
      <c r="I24" s="432"/>
      <c r="J24" s="432"/>
      <c r="K24" s="151"/>
      <c r="L24" s="151"/>
    </row>
    <row r="25" spans="1:12" ht="15" customHeight="1" x14ac:dyDescent="0.4">
      <c r="A25" s="136" t="s">
        <v>193</v>
      </c>
      <c r="B25" s="270">
        <v>449584</v>
      </c>
      <c r="C25" s="84">
        <v>2.1525191666485928E-2</v>
      </c>
      <c r="D25" s="85">
        <v>3.3295427825555668E-2</v>
      </c>
      <c r="E25" s="270">
        <v>443758</v>
      </c>
      <c r="F25" s="84">
        <v>2.0854755578681661E-2</v>
      </c>
      <c r="G25" s="85">
        <v>3.0048376506175228E-2</v>
      </c>
      <c r="I25" s="432"/>
      <c r="J25" s="432"/>
      <c r="K25" s="151"/>
      <c r="L25" s="151"/>
    </row>
    <row r="26" spans="1:12" ht="15" customHeight="1" x14ac:dyDescent="0.4">
      <c r="A26" s="136" t="s">
        <v>194</v>
      </c>
      <c r="B26" s="270">
        <v>279246</v>
      </c>
      <c r="C26" s="84">
        <v>1.3369745524973151E-2</v>
      </c>
      <c r="D26" s="85">
        <v>2.06804847115892E-2</v>
      </c>
      <c r="E26" s="270">
        <v>300854</v>
      </c>
      <c r="F26" s="84">
        <v>1.413886991303524E-2</v>
      </c>
      <c r="G26" s="85">
        <v>2.037185642938007E-2</v>
      </c>
      <c r="I26" s="432"/>
      <c r="J26" s="432"/>
      <c r="K26" s="151"/>
      <c r="L26" s="151"/>
    </row>
    <row r="27" spans="1:12" ht="15" customHeight="1" x14ac:dyDescent="0.4">
      <c r="A27" s="136" t="s">
        <v>195</v>
      </c>
      <c r="B27" s="270">
        <v>708826</v>
      </c>
      <c r="C27" s="84">
        <v>3.3937185282813788E-2</v>
      </c>
      <c r="D27" s="85">
        <v>5.2494450255964005E-2</v>
      </c>
      <c r="E27" s="270">
        <v>765851</v>
      </c>
      <c r="F27" s="84">
        <v>3.5991768970224595E-2</v>
      </c>
      <c r="G27" s="85">
        <v>5.1858398486631915E-2</v>
      </c>
      <c r="I27" s="432"/>
      <c r="J27" s="432"/>
      <c r="K27" s="151"/>
      <c r="L27" s="151"/>
    </row>
    <row r="28" spans="1:12" ht="15" customHeight="1" x14ac:dyDescent="0.4">
      <c r="A28" s="136" t="s">
        <v>196</v>
      </c>
      <c r="B28" s="270">
        <v>322549</v>
      </c>
      <c r="C28" s="84">
        <v>1.5443007417597979E-2</v>
      </c>
      <c r="D28" s="85">
        <v>2.3887431380354183E-2</v>
      </c>
      <c r="E28" s="270">
        <v>336319</v>
      </c>
      <c r="F28" s="84">
        <v>1.5805575429550873E-2</v>
      </c>
      <c r="G28" s="85">
        <v>2.2773313243209917E-2</v>
      </c>
      <c r="I28" s="432"/>
      <c r="J28" s="432"/>
      <c r="K28" s="151"/>
      <c r="L28" s="151"/>
    </row>
    <row r="29" spans="1:12" ht="15" customHeight="1" x14ac:dyDescent="0.4">
      <c r="A29" s="136" t="s">
        <v>197</v>
      </c>
      <c r="B29" s="270">
        <v>279454</v>
      </c>
      <c r="C29" s="84">
        <v>1.3379704153097437E-2</v>
      </c>
      <c r="D29" s="85">
        <v>2.0695888838488101E-2</v>
      </c>
      <c r="E29" s="270">
        <v>295815</v>
      </c>
      <c r="F29" s="84">
        <v>1.3902058152208444E-2</v>
      </c>
      <c r="G29" s="85">
        <v>2.0030648452927551E-2</v>
      </c>
      <c r="I29" s="432"/>
      <c r="J29" s="432"/>
      <c r="K29" s="151"/>
      <c r="L29" s="151"/>
    </row>
    <row r="30" spans="1:12" ht="15" customHeight="1" x14ac:dyDescent="0.4">
      <c r="A30" s="136" t="s">
        <v>198</v>
      </c>
      <c r="B30" s="270">
        <v>1155</v>
      </c>
      <c r="C30" s="84">
        <v>5.5299112901685214E-5</v>
      </c>
      <c r="D30" s="85">
        <v>8.5537339270340572E-5</v>
      </c>
      <c r="E30" s="270">
        <v>1681</v>
      </c>
      <c r="F30" s="84">
        <v>7.8999914655654364E-5</v>
      </c>
      <c r="G30" s="85">
        <v>1.1382627672488284E-4</v>
      </c>
      <c r="I30" s="432"/>
      <c r="J30" s="432"/>
      <c r="K30" s="151"/>
      <c r="L30" s="151"/>
    </row>
    <row r="31" spans="1:12" ht="15" customHeight="1" x14ac:dyDescent="0.4">
      <c r="A31" s="136" t="s">
        <v>199</v>
      </c>
      <c r="B31" s="270">
        <v>15535</v>
      </c>
      <c r="C31" s="84">
        <v>7.4378503803262323E-4</v>
      </c>
      <c r="D31" s="85">
        <v>1.1504957277616804E-3</v>
      </c>
      <c r="E31" s="270">
        <v>12474</v>
      </c>
      <c r="F31" s="84">
        <v>5.8622542261429654E-4</v>
      </c>
      <c r="G31" s="85">
        <v>8.4465733246055232E-4</v>
      </c>
      <c r="I31" s="432"/>
      <c r="J31" s="432"/>
      <c r="K31" s="151"/>
      <c r="L31" s="151"/>
    </row>
    <row r="32" spans="1:12" ht="15" customHeight="1" x14ac:dyDescent="0.4">
      <c r="A32" s="136" t="s">
        <v>200</v>
      </c>
      <c r="B32" s="270">
        <v>407417</v>
      </c>
      <c r="C32" s="84">
        <v>1.9506319204386047E-2</v>
      </c>
      <c r="D32" s="85">
        <v>3.0172611388315451E-2</v>
      </c>
      <c r="E32" s="270">
        <v>623224</v>
      </c>
      <c r="F32" s="84">
        <v>2.928890113703482E-2</v>
      </c>
      <c r="G32" s="85">
        <v>4.2200635030094219E-2</v>
      </c>
      <c r="I32" s="432"/>
      <c r="J32" s="432"/>
      <c r="K32" s="151"/>
      <c r="L32" s="151"/>
    </row>
    <row r="33" spans="1:12" ht="15" customHeight="1" x14ac:dyDescent="0.4">
      <c r="A33" s="136" t="s">
        <v>201</v>
      </c>
      <c r="B33" s="270">
        <v>39832</v>
      </c>
      <c r="C33" s="84">
        <v>1.9070772858008013E-3</v>
      </c>
      <c r="D33" s="85">
        <v>2.9498903011395722E-3</v>
      </c>
      <c r="E33" s="270">
        <v>37082</v>
      </c>
      <c r="F33" s="84">
        <v>1.7426977009285991E-3</v>
      </c>
      <c r="G33" s="85">
        <v>2.5109494310006576E-3</v>
      </c>
      <c r="I33" s="432"/>
      <c r="J33" s="432"/>
      <c r="K33" s="151"/>
      <c r="L33" s="151"/>
    </row>
    <row r="34" spans="1:12" ht="15" customHeight="1" x14ac:dyDescent="0.4">
      <c r="A34" s="136" t="s">
        <v>202</v>
      </c>
      <c r="B34" s="270">
        <v>453334</v>
      </c>
      <c r="C34" s="84">
        <v>2.1704734240842048E-2</v>
      </c>
      <c r="D34" s="85">
        <v>3.3573146459550278E-2</v>
      </c>
      <c r="E34" s="270">
        <v>480152</v>
      </c>
      <c r="F34" s="84">
        <v>2.2565120179501342E-2</v>
      </c>
      <c r="G34" s="85">
        <v>3.2512739096969626E-2</v>
      </c>
      <c r="I34" s="432"/>
      <c r="J34" s="432"/>
      <c r="K34" s="151"/>
      <c r="L34" s="151"/>
    </row>
    <row r="35" spans="1:12" ht="15" customHeight="1" x14ac:dyDescent="0.4">
      <c r="A35" s="136" t="s">
        <v>203</v>
      </c>
      <c r="B35" s="270">
        <v>62769</v>
      </c>
      <c r="C35" s="84">
        <v>3.005255426602493E-3</v>
      </c>
      <c r="D35" s="85">
        <v>4.6485655832554183E-3</v>
      </c>
      <c r="E35" s="270">
        <v>73100</v>
      </c>
      <c r="F35" s="84">
        <v>3.4353918865724772E-3</v>
      </c>
      <c r="G35" s="85">
        <v>4.949851771914893E-3</v>
      </c>
      <c r="I35" s="432"/>
      <c r="J35" s="432"/>
      <c r="K35" s="151"/>
      <c r="L35" s="151"/>
    </row>
    <row r="36" spans="1:12" ht="15" customHeight="1" x14ac:dyDescent="0.4">
      <c r="A36" s="136" t="s">
        <v>204</v>
      </c>
      <c r="B36" s="270">
        <v>181143</v>
      </c>
      <c r="C36" s="84">
        <v>8.6727681457575458E-3</v>
      </c>
      <c r="D36" s="85">
        <v>1.3415143071382946E-2</v>
      </c>
      <c r="E36" s="270">
        <v>215735</v>
      </c>
      <c r="F36" s="84">
        <v>1.0138635686042591E-2</v>
      </c>
      <c r="G36" s="85">
        <v>1.4608156935896847E-2</v>
      </c>
      <c r="I36" s="432"/>
      <c r="J36" s="432"/>
      <c r="K36" s="151"/>
      <c r="L36" s="151"/>
    </row>
    <row r="37" spans="1:12" ht="15" customHeight="1" x14ac:dyDescent="0.4">
      <c r="A37" s="136" t="s">
        <v>205</v>
      </c>
      <c r="B37" s="270">
        <v>175082</v>
      </c>
      <c r="C37" s="84">
        <v>8.3825794675782255E-3</v>
      </c>
      <c r="D37" s="85">
        <v>1.2966275700545255E-2</v>
      </c>
      <c r="E37" s="270">
        <v>209761</v>
      </c>
      <c r="F37" s="84">
        <v>9.857882866201496E-3</v>
      </c>
      <c r="G37" s="85">
        <v>1.4203636901896579E-2</v>
      </c>
      <c r="I37" s="432"/>
      <c r="J37" s="432"/>
      <c r="K37" s="151"/>
      <c r="L37" s="151"/>
    </row>
    <row r="38" spans="1:12" ht="15" customHeight="1" x14ac:dyDescent="0.4">
      <c r="A38" s="136" t="s">
        <v>206</v>
      </c>
      <c r="B38" s="270">
        <v>697502</v>
      </c>
      <c r="C38" s="84">
        <v>3.3395014586278131E-2</v>
      </c>
      <c r="D38" s="85">
        <v>5.1655814039602677E-2</v>
      </c>
      <c r="E38" s="270">
        <v>913646</v>
      </c>
      <c r="F38" s="84">
        <v>4.293751102051159E-2</v>
      </c>
      <c r="G38" s="85">
        <v>6.18661049521608E-2</v>
      </c>
      <c r="I38" s="432"/>
      <c r="J38" s="432"/>
      <c r="K38" s="151"/>
      <c r="L38" s="151"/>
    </row>
    <row r="39" spans="1:12" ht="15" customHeight="1" x14ac:dyDescent="0.4">
      <c r="A39" s="136" t="s">
        <v>207</v>
      </c>
      <c r="B39" s="270">
        <v>72168</v>
      </c>
      <c r="C39" s="84">
        <v>3.455260934968674E-3</v>
      </c>
      <c r="D39" s="85">
        <v>5.3446395674995144E-3</v>
      </c>
      <c r="E39" s="270">
        <v>86762</v>
      </c>
      <c r="F39" s="84">
        <v>4.0774483018167071E-3</v>
      </c>
      <c r="G39" s="85">
        <v>5.8749526598478787E-3</v>
      </c>
      <c r="I39" s="432"/>
      <c r="J39" s="432"/>
      <c r="K39" s="151"/>
      <c r="L39" s="151"/>
    </row>
    <row r="40" spans="1:12" ht="15" customHeight="1" x14ac:dyDescent="0.4">
      <c r="A40" s="136" t="s">
        <v>208</v>
      </c>
      <c r="B40" s="270">
        <v>46197</v>
      </c>
      <c r="C40" s="84">
        <v>2.2118208820079239E-3</v>
      </c>
      <c r="D40" s="85">
        <v>3.4212713959064275E-3</v>
      </c>
      <c r="E40" s="270">
        <v>50335</v>
      </c>
      <c r="F40" s="84">
        <v>2.3655328400906382E-3</v>
      </c>
      <c r="G40" s="85">
        <v>3.4083555258459116E-3</v>
      </c>
      <c r="I40" s="432"/>
      <c r="J40" s="432"/>
      <c r="K40" s="151"/>
      <c r="L40" s="151"/>
    </row>
    <row r="41" spans="1:12" ht="15" customHeight="1" x14ac:dyDescent="0.4">
      <c r="A41" s="136" t="s">
        <v>209</v>
      </c>
      <c r="B41" s="270">
        <v>735510</v>
      </c>
      <c r="C41" s="84">
        <v>3.5214762363912112E-2</v>
      </c>
      <c r="D41" s="85">
        <v>5.4470621997167269E-2</v>
      </c>
      <c r="E41" s="270">
        <v>703635</v>
      </c>
      <c r="F41" s="84">
        <v>3.3067879208049586E-2</v>
      </c>
      <c r="G41" s="85">
        <v>4.7645539692631134E-2</v>
      </c>
      <c r="I41" s="432"/>
      <c r="J41" s="432"/>
      <c r="K41" s="151"/>
      <c r="L41" s="151"/>
    </row>
    <row r="42" spans="1:12" ht="15" customHeight="1" x14ac:dyDescent="0.4">
      <c r="A42" s="136" t="s">
        <v>210</v>
      </c>
      <c r="B42" s="270">
        <v>726724</v>
      </c>
      <c r="C42" s="84">
        <v>3.4794106081700679E-2</v>
      </c>
      <c r="D42" s="85">
        <v>5.3819945752293492E-2</v>
      </c>
      <c r="E42" s="270">
        <v>781930</v>
      </c>
      <c r="F42" s="84">
        <v>3.6747414197915419E-2</v>
      </c>
      <c r="G42" s="85">
        <v>5.2947162736161589E-2</v>
      </c>
      <c r="I42" s="432"/>
      <c r="J42" s="432"/>
      <c r="K42" s="151"/>
      <c r="L42" s="151"/>
    </row>
    <row r="43" spans="1:12" ht="15" customHeight="1" x14ac:dyDescent="0.4">
      <c r="A43" s="136" t="s">
        <v>211</v>
      </c>
      <c r="B43" s="270">
        <v>412075</v>
      </c>
      <c r="C43" s="84">
        <v>1.9729335020746263E-2</v>
      </c>
      <c r="D43" s="85">
        <v>3.0517574960887958E-2</v>
      </c>
      <c r="E43" s="270">
        <v>490346</v>
      </c>
      <c r="F43" s="84">
        <v>2.3044195212219808E-2</v>
      </c>
      <c r="G43" s="85">
        <v>3.3203009807816417E-2</v>
      </c>
      <c r="I43" s="432"/>
      <c r="J43" s="432"/>
      <c r="K43" s="151"/>
      <c r="L43" s="151"/>
    </row>
    <row r="44" spans="1:12" ht="15" customHeight="1" x14ac:dyDescent="0.4">
      <c r="A44" s="136" t="s">
        <v>212</v>
      </c>
      <c r="B44" s="270">
        <v>9487</v>
      </c>
      <c r="C44" s="84">
        <v>4.5421877411107157E-4</v>
      </c>
      <c r="D44" s="85">
        <v>7.0259111485516978E-4</v>
      </c>
      <c r="E44" s="270">
        <v>7659</v>
      </c>
      <c r="F44" s="84">
        <v>3.5994071763691658E-4</v>
      </c>
      <c r="G44" s="85">
        <v>5.1861716444727998E-4</v>
      </c>
      <c r="I44" s="432"/>
      <c r="J44" s="432"/>
      <c r="K44" s="151"/>
      <c r="L44" s="151"/>
    </row>
    <row r="45" spans="1:12" ht="15" customHeight="1" thickBot="1" x14ac:dyDescent="0.45">
      <c r="A45" s="136" t="s">
        <v>213</v>
      </c>
      <c r="B45" s="270">
        <v>5959</v>
      </c>
      <c r="C45" s="152">
        <v>2.8530512015683307E-4</v>
      </c>
      <c r="D45" s="153">
        <v>4.4131342399303852E-4</v>
      </c>
      <c r="E45" s="270">
        <v>10075</v>
      </c>
      <c r="F45" s="84">
        <v>4.7348253429846382E-4</v>
      </c>
      <c r="G45" s="85">
        <v>6.8221281261344113E-4</v>
      </c>
      <c r="I45" s="432"/>
      <c r="J45" s="432"/>
      <c r="K45" s="151"/>
      <c r="L45" s="151"/>
    </row>
    <row r="46" spans="1:12" ht="15" customHeight="1" thickBot="1" x14ac:dyDescent="0.45">
      <c r="A46" s="49" t="s">
        <v>170</v>
      </c>
      <c r="B46" s="275">
        <v>13502875</v>
      </c>
      <c r="C46" s="154">
        <v>0.64649091698904138</v>
      </c>
      <c r="D46" s="155">
        <v>1</v>
      </c>
      <c r="E46" s="275">
        <v>14768119</v>
      </c>
      <c r="F46" s="154">
        <v>0.69403934599913608</v>
      </c>
      <c r="G46" s="155">
        <v>1</v>
      </c>
      <c r="K46" s="151"/>
      <c r="L46" s="151"/>
    </row>
    <row r="47" spans="1:12" ht="15" customHeight="1" x14ac:dyDescent="0.4">
      <c r="A47" s="38" t="s">
        <v>171</v>
      </c>
      <c r="B47" s="273">
        <v>6055910</v>
      </c>
      <c r="C47" s="156">
        <v>0.2899449790583935</v>
      </c>
      <c r="D47" s="69"/>
      <c r="E47" s="273">
        <v>5524866</v>
      </c>
      <c r="F47" s="156">
        <v>0.25964541492202647</v>
      </c>
      <c r="G47" s="69"/>
      <c r="K47" s="151"/>
      <c r="L47" s="151"/>
    </row>
    <row r="48" spans="1:12" ht="15" customHeight="1" thickBot="1" x14ac:dyDescent="0.45">
      <c r="A48" s="38" t="s">
        <v>172</v>
      </c>
      <c r="B48" s="274">
        <v>1327626</v>
      </c>
      <c r="C48" s="152">
        <v>6.3564103952565135E-2</v>
      </c>
      <c r="D48" s="67"/>
      <c r="E48" s="274">
        <v>985519</v>
      </c>
      <c r="F48" s="152">
        <v>4.63152390788375E-2</v>
      </c>
      <c r="G48" s="67"/>
      <c r="K48" s="151"/>
      <c r="L48" s="151"/>
    </row>
    <row r="49" spans="1:18" ht="15" customHeight="1" thickBot="1" x14ac:dyDescent="0.45">
      <c r="A49" s="49" t="s">
        <v>173</v>
      </c>
      <c r="B49" s="275">
        <v>7383536</v>
      </c>
      <c r="C49" s="154">
        <v>0.35350908301095868</v>
      </c>
      <c r="D49" s="68"/>
      <c r="E49" s="275">
        <v>6510385</v>
      </c>
      <c r="F49" s="154">
        <v>0.30596065400086397</v>
      </c>
      <c r="G49" s="68"/>
      <c r="K49" s="151"/>
      <c r="L49" s="151"/>
    </row>
    <row r="50" spans="1:18" ht="15" customHeight="1" thickBot="1" x14ac:dyDescent="0.45">
      <c r="A50" s="49" t="s">
        <v>49</v>
      </c>
      <c r="B50" s="275">
        <v>20886411</v>
      </c>
      <c r="C50" s="154">
        <v>1</v>
      </c>
      <c r="D50" s="68"/>
      <c r="E50" s="275">
        <v>21278504</v>
      </c>
      <c r="F50" s="154">
        <v>1</v>
      </c>
      <c r="G50" s="68"/>
      <c r="K50" s="151"/>
      <c r="L50" s="151"/>
    </row>
    <row r="51" spans="1:18" ht="4.5" customHeight="1" x14ac:dyDescent="0.4"/>
    <row r="52" spans="1:18" ht="17.100000000000001" customHeight="1" thickBot="1" x14ac:dyDescent="0.45">
      <c r="A52" s="538" t="s">
        <v>10</v>
      </c>
      <c r="B52" s="538"/>
      <c r="C52" s="538"/>
      <c r="D52" s="538"/>
      <c r="E52" s="538"/>
      <c r="F52" s="538"/>
      <c r="G52" s="538"/>
      <c r="H52" s="538"/>
    </row>
    <row r="53" spans="1:18" ht="17.100000000000001" customHeight="1" x14ac:dyDescent="0.4">
      <c r="A53" s="540" t="s">
        <v>898</v>
      </c>
      <c r="B53" s="540"/>
      <c r="C53" s="540"/>
      <c r="D53" s="540"/>
      <c r="E53" s="540"/>
      <c r="F53" s="540"/>
      <c r="G53" s="540"/>
      <c r="H53" s="540"/>
    </row>
    <row r="54" spans="1:18" ht="17.100000000000001" customHeight="1" x14ac:dyDescent="0.45">
      <c r="A54" s="505" t="s">
        <v>780</v>
      </c>
      <c r="B54" s="505"/>
      <c r="C54" s="505"/>
      <c r="D54" s="505"/>
      <c r="E54" s="505"/>
      <c r="F54" s="505"/>
      <c r="G54" s="505"/>
      <c r="H54" s="120"/>
      <c r="I54" s="120"/>
      <c r="J54" s="120"/>
      <c r="K54" s="120"/>
      <c r="L54" s="120"/>
      <c r="M54" s="120"/>
      <c r="N54" s="120"/>
      <c r="O54" s="120"/>
      <c r="P54" s="120"/>
      <c r="Q54" s="120"/>
      <c r="R54" s="120"/>
    </row>
    <row r="55" spans="1:18" ht="17.100000000000001" customHeight="1" x14ac:dyDescent="0.4">
      <c r="A55" s="508" t="s">
        <v>575</v>
      </c>
      <c r="B55" s="508"/>
      <c r="C55" s="508"/>
      <c r="D55" s="508"/>
      <c r="E55" s="508"/>
      <c r="F55" s="508"/>
      <c r="G55" s="508"/>
      <c r="H55" s="508"/>
    </row>
    <row r="56" spans="1:18" ht="12.6" thickBot="1" x14ac:dyDescent="0.45">
      <c r="A56" s="537" t="s">
        <v>845</v>
      </c>
      <c r="B56" s="537"/>
      <c r="C56" s="537"/>
      <c r="D56" s="537"/>
      <c r="E56" s="537"/>
      <c r="F56" s="537"/>
      <c r="G56" s="537"/>
      <c r="H56" s="537"/>
    </row>
    <row r="57" spans="1:18" x14ac:dyDescent="0.4">
      <c r="A57" s="131"/>
    </row>
    <row r="58" spans="1:18" x14ac:dyDescent="0.4">
      <c r="A58" s="124" t="s">
        <v>614</v>
      </c>
    </row>
  </sheetData>
  <sortState ref="I7:J45">
    <sortCondition ref="I14"/>
  </sortState>
  <mergeCells count="9">
    <mergeCell ref="A53:H53"/>
    <mergeCell ref="A55:H55"/>
    <mergeCell ref="A56:H56"/>
    <mergeCell ref="A54:G54"/>
    <mergeCell ref="A2:H2"/>
    <mergeCell ref="A3:H3"/>
    <mergeCell ref="B5:D5"/>
    <mergeCell ref="E5:G5"/>
    <mergeCell ref="A52:H52"/>
  </mergeCells>
  <hyperlinks>
    <hyperlink ref="A58" location="Contents!A1" display="Return to Contents" xr:uid="{00000000-0004-0000-2400-000000000000}"/>
    <hyperlink ref="A55:H55" r:id="rId1" display="Contact via enquiries@NHSDigital.nhs.uk or 0300 303 5678" xr:uid="{00000000-0004-0000-2400-000001000000}"/>
  </hyperlinks>
  <pageMargins left="0.78740157480314965" right="0.78740157480314965" top="0.78740157480314965" bottom="0.78740157480314965" header="0.78740157480314965" footer="0.78740157480314965"/>
  <pageSetup paperSize="9" scale="79" fitToHeight="0" orientation="landscape" r:id="rId2"/>
  <headerFooter alignWithMargins="0">
    <oddFooter>&amp;L&amp;C&amp;R</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4">
    <pageSetUpPr fitToPage="1"/>
  </sheetPr>
  <dimension ref="A1:R81"/>
  <sheetViews>
    <sheetView showGridLines="0" workbookViewId="0"/>
  </sheetViews>
  <sheetFormatPr defaultColWidth="9.109375" defaultRowHeight="12.3" x14ac:dyDescent="0.4"/>
  <cols>
    <col min="1" max="1" width="40.44140625" style="113" customWidth="1"/>
    <col min="2" max="7" width="17.88671875" style="113" customWidth="1"/>
    <col min="8" max="8" width="9.109375" style="113" customWidth="1"/>
    <col min="9" max="16384" width="9.109375" style="113"/>
  </cols>
  <sheetData>
    <row r="1" spans="1:11" s="351" customFormat="1" ht="15" customHeight="1" x14ac:dyDescent="0.4"/>
    <row r="2" spans="1:11" ht="56.25" customHeight="1" x14ac:dyDescent="0.4">
      <c r="A2" s="514" t="s">
        <v>866</v>
      </c>
      <c r="B2" s="514"/>
      <c r="C2" s="514"/>
      <c r="D2" s="514"/>
      <c r="E2" s="514"/>
      <c r="F2" s="514"/>
      <c r="G2" s="514"/>
      <c r="H2" s="367"/>
    </row>
    <row r="3" spans="1:11" ht="100.2" customHeight="1" x14ac:dyDescent="0.4">
      <c r="A3" s="524" t="s">
        <v>1321</v>
      </c>
      <c r="B3" s="520"/>
      <c r="C3" s="520"/>
      <c r="D3" s="520"/>
      <c r="E3" s="520"/>
      <c r="F3" s="520"/>
      <c r="G3" s="520"/>
      <c r="H3" s="520"/>
    </row>
    <row r="4" spans="1:11" ht="11.25" customHeight="1" thickBot="1" x14ac:dyDescent="0.45"/>
    <row r="5" spans="1:11" ht="15" customHeight="1" thickBot="1" x14ac:dyDescent="0.45">
      <c r="A5" s="110"/>
      <c r="B5" s="594" t="s">
        <v>673</v>
      </c>
      <c r="C5" s="595"/>
      <c r="D5" s="596"/>
      <c r="E5" s="594" t="s">
        <v>844</v>
      </c>
      <c r="F5" s="595"/>
      <c r="G5" s="596"/>
    </row>
    <row r="6" spans="1:11" ht="52.5" customHeight="1" thickBot="1" x14ac:dyDescent="0.45">
      <c r="A6" s="2" t="s">
        <v>214</v>
      </c>
      <c r="B6" s="3" t="s">
        <v>39</v>
      </c>
      <c r="C6" s="10" t="s">
        <v>40</v>
      </c>
      <c r="D6" s="4" t="s">
        <v>145</v>
      </c>
      <c r="E6" s="3" t="s">
        <v>39</v>
      </c>
      <c r="F6" s="10" t="s">
        <v>40</v>
      </c>
      <c r="G6" s="4" t="s">
        <v>145</v>
      </c>
      <c r="I6" s="432"/>
      <c r="J6" s="151"/>
      <c r="K6" s="151"/>
    </row>
    <row r="7" spans="1:11" ht="15" customHeight="1" x14ac:dyDescent="0.4">
      <c r="A7" s="136" t="s">
        <v>215</v>
      </c>
      <c r="B7" s="270">
        <v>2779</v>
      </c>
      <c r="C7" s="84">
        <v>1.3305301710284261E-4</v>
      </c>
      <c r="D7" s="85">
        <v>1.4341524809083288E-4</v>
      </c>
      <c r="E7" s="270">
        <v>2437</v>
      </c>
      <c r="F7" s="84">
        <v>1.1452872814742991E-4</v>
      </c>
      <c r="G7" s="85">
        <v>1.2888522582891657E-4</v>
      </c>
      <c r="I7" s="432"/>
      <c r="J7" s="151"/>
      <c r="K7" s="151"/>
    </row>
    <row r="8" spans="1:11" ht="15" customHeight="1" x14ac:dyDescent="0.4">
      <c r="A8" s="136" t="s">
        <v>216</v>
      </c>
      <c r="B8" s="270">
        <v>77946</v>
      </c>
      <c r="C8" s="84">
        <v>3.7319001335365852E-3</v>
      </c>
      <c r="D8" s="85">
        <v>4.0225422553753368E-3</v>
      </c>
      <c r="E8" s="270">
        <v>77021</v>
      </c>
      <c r="F8" s="84">
        <v>3.6196623597222811E-3</v>
      </c>
      <c r="G8" s="85">
        <v>4.0733972008900219E-3</v>
      </c>
      <c r="I8" s="432"/>
      <c r="J8" s="151"/>
      <c r="K8" s="151"/>
    </row>
    <row r="9" spans="1:11" ht="15" customHeight="1" x14ac:dyDescent="0.4">
      <c r="A9" s="136" t="s">
        <v>217</v>
      </c>
      <c r="B9" s="270">
        <v>3401</v>
      </c>
      <c r="C9" s="84">
        <v>1.6283314543604451E-4</v>
      </c>
      <c r="D9" s="85">
        <v>1.7551466669914453E-4</v>
      </c>
      <c r="E9" s="270">
        <v>2285</v>
      </c>
      <c r="F9" s="84">
        <v>1.0738536882104117E-4</v>
      </c>
      <c r="G9" s="85">
        <v>1.208464263516924E-4</v>
      </c>
      <c r="I9" s="432"/>
      <c r="J9" s="151"/>
      <c r="K9" s="151"/>
    </row>
    <row r="10" spans="1:11" ht="15" customHeight="1" x14ac:dyDescent="0.4">
      <c r="A10" s="136" t="s">
        <v>218</v>
      </c>
      <c r="B10" s="270">
        <v>140157</v>
      </c>
      <c r="C10" s="84">
        <v>6.7104396250748872E-3</v>
      </c>
      <c r="D10" s="85">
        <v>7.2330517908121145E-3</v>
      </c>
      <c r="E10" s="270">
        <v>101564</v>
      </c>
      <c r="F10" s="84">
        <v>4.7730799120088516E-3</v>
      </c>
      <c r="G10" s="85">
        <v>5.3713988822683967E-3</v>
      </c>
      <c r="I10" s="432"/>
      <c r="J10" s="151"/>
      <c r="K10" s="151"/>
    </row>
    <row r="11" spans="1:11" ht="15" customHeight="1" x14ac:dyDescent="0.4">
      <c r="A11" s="136" t="s">
        <v>219</v>
      </c>
      <c r="B11" s="270">
        <v>11332</v>
      </c>
      <c r="C11" s="84">
        <v>5.4255372069428299E-4</v>
      </c>
      <c r="D11" s="85">
        <v>5.8480805734628227E-4</v>
      </c>
      <c r="E11" s="270">
        <v>17243</v>
      </c>
      <c r="F11" s="84">
        <v>8.1034832147974312E-4</v>
      </c>
      <c r="G11" s="85">
        <v>9.119277591169506E-4</v>
      </c>
      <c r="I11" s="432"/>
      <c r="J11" s="151"/>
      <c r="K11" s="151"/>
    </row>
    <row r="12" spans="1:11" ht="15" customHeight="1" x14ac:dyDescent="0.4">
      <c r="A12" s="136" t="s">
        <v>220</v>
      </c>
      <c r="B12" s="270">
        <v>5303</v>
      </c>
      <c r="C12" s="84">
        <v>2.5389713914946902E-4</v>
      </c>
      <c r="D12" s="85">
        <v>2.7367076668790457E-4</v>
      </c>
      <c r="E12" s="270">
        <v>3864</v>
      </c>
      <c r="F12" s="84">
        <v>1.8159171340240837E-4</v>
      </c>
      <c r="G12" s="85">
        <v>2.0435474460522512E-4</v>
      </c>
      <c r="I12" s="432"/>
      <c r="J12" s="151"/>
      <c r="K12" s="151"/>
    </row>
    <row r="13" spans="1:11" ht="15" customHeight="1" x14ac:dyDescent="0.4">
      <c r="A13" s="136" t="s">
        <v>221</v>
      </c>
      <c r="B13" s="270">
        <v>1251</v>
      </c>
      <c r="C13" s="84">
        <v>5.9895402805201908E-5</v>
      </c>
      <c r="D13" s="85">
        <v>6.4560084692922616E-5</v>
      </c>
      <c r="E13" s="270">
        <v>1178</v>
      </c>
      <c r="F13" s="84">
        <v>5.5361034779512692E-5</v>
      </c>
      <c r="G13" s="85">
        <v>6.2300695948487366E-5</v>
      </c>
      <c r="I13" s="432"/>
      <c r="J13" s="151"/>
      <c r="K13" s="151"/>
    </row>
    <row r="14" spans="1:11" ht="15" customHeight="1" x14ac:dyDescent="0.4">
      <c r="A14" s="136" t="s">
        <v>222</v>
      </c>
      <c r="B14" s="270">
        <v>2085</v>
      </c>
      <c r="C14" s="84">
        <v>9.9825671342003175E-5</v>
      </c>
      <c r="D14" s="85">
        <v>1.0760014115487102E-4</v>
      </c>
      <c r="E14" s="270">
        <v>2307</v>
      </c>
      <c r="F14" s="84">
        <v>1.0841927609196587E-4</v>
      </c>
      <c r="G14" s="85">
        <v>1.2200993680234326E-4</v>
      </c>
      <c r="I14" s="432"/>
      <c r="J14" s="151"/>
      <c r="K14" s="151"/>
    </row>
    <row r="15" spans="1:11" ht="15" customHeight="1" x14ac:dyDescent="0.4">
      <c r="A15" s="136" t="s">
        <v>812</v>
      </c>
      <c r="B15" s="270">
        <v>5246</v>
      </c>
      <c r="C15" s="84">
        <v>2.5116809201925595E-4</v>
      </c>
      <c r="D15" s="85">
        <v>2.7072918009518149E-4</v>
      </c>
      <c r="E15" s="270">
        <v>5616</v>
      </c>
      <c r="F15" s="84">
        <v>2.6392832879604695E-4</v>
      </c>
      <c r="G15" s="85">
        <v>2.9701248594796696E-4</v>
      </c>
      <c r="I15" s="432"/>
      <c r="J15" s="151"/>
      <c r="K15" s="151"/>
    </row>
    <row r="16" spans="1:11" ht="15" customHeight="1" x14ac:dyDescent="0.4">
      <c r="A16" s="136" t="s">
        <v>223</v>
      </c>
      <c r="B16" s="270">
        <v>666</v>
      </c>
      <c r="C16" s="84">
        <v>3.1886761205647058E-5</v>
      </c>
      <c r="D16" s="85">
        <v>3.437011703076456E-5</v>
      </c>
      <c r="E16" s="270">
        <v>616</v>
      </c>
      <c r="F16" s="84">
        <v>2.8949403585891188E-5</v>
      </c>
      <c r="G16" s="85">
        <v>3.2578292618224294E-5</v>
      </c>
      <c r="I16" s="432"/>
      <c r="J16" s="151"/>
      <c r="K16" s="151"/>
    </row>
    <row r="17" spans="1:11" ht="15" customHeight="1" x14ac:dyDescent="0.4">
      <c r="A17" s="136" t="s">
        <v>224</v>
      </c>
      <c r="B17" s="270">
        <v>1438</v>
      </c>
      <c r="C17" s="84">
        <v>6.8848592513093794E-5</v>
      </c>
      <c r="D17" s="85">
        <v>7.4210552988347492E-5</v>
      </c>
      <c r="E17" s="270">
        <v>1886</v>
      </c>
      <c r="F17" s="84">
        <v>8.8634050589270747E-5</v>
      </c>
      <c r="G17" s="85">
        <v>9.9744577723978939E-5</v>
      </c>
      <c r="I17" s="432"/>
      <c r="J17" s="151"/>
      <c r="K17" s="151"/>
    </row>
    <row r="18" spans="1:11" ht="15" customHeight="1" x14ac:dyDescent="0.4">
      <c r="A18" s="136" t="s">
        <v>225</v>
      </c>
      <c r="B18" s="270">
        <v>18136</v>
      </c>
      <c r="C18" s="84">
        <v>8.6831576760602858E-4</v>
      </c>
      <c r="D18" s="85">
        <v>9.3594060430922821E-4</v>
      </c>
      <c r="E18" s="270">
        <v>13376</v>
      </c>
      <c r="F18" s="84">
        <v>6.2861562072220867E-4</v>
      </c>
      <c r="G18" s="85">
        <v>7.0741435399572755E-4</v>
      </c>
      <c r="I18" s="432"/>
      <c r="J18" s="151"/>
      <c r="K18" s="151"/>
    </row>
    <row r="19" spans="1:11" ht="15" customHeight="1" x14ac:dyDescent="0.4">
      <c r="A19" s="136" t="s">
        <v>226</v>
      </c>
      <c r="B19" s="270">
        <v>394827</v>
      </c>
      <c r="C19" s="84">
        <v>1.8903534934747765E-2</v>
      </c>
      <c r="D19" s="85">
        <v>2.0375751046404923E-2</v>
      </c>
      <c r="E19" s="270">
        <v>441214</v>
      </c>
      <c r="F19" s="84">
        <v>2.0735198301534731E-2</v>
      </c>
      <c r="G19" s="85">
        <v>2.3334413635157817E-2</v>
      </c>
      <c r="I19" s="432"/>
      <c r="J19" s="151"/>
      <c r="K19" s="151"/>
    </row>
    <row r="20" spans="1:11" ht="15" customHeight="1" x14ac:dyDescent="0.4">
      <c r="A20" s="136" t="s">
        <v>227</v>
      </c>
      <c r="B20" s="270">
        <v>54474</v>
      </c>
      <c r="C20" s="84">
        <v>2.6081072521267536E-3</v>
      </c>
      <c r="D20" s="85">
        <v>2.8112278605613643E-3</v>
      </c>
      <c r="E20" s="270">
        <v>45791</v>
      </c>
      <c r="F20" s="84">
        <v>2.1519839928596483E-3</v>
      </c>
      <c r="G20" s="85">
        <v>2.4217412293524492E-3</v>
      </c>
      <c r="I20" s="432"/>
      <c r="J20" s="151"/>
      <c r="K20" s="151"/>
    </row>
    <row r="21" spans="1:11" ht="15" customHeight="1" x14ac:dyDescent="0.4">
      <c r="A21" s="136" t="s">
        <v>228</v>
      </c>
      <c r="B21" s="270">
        <v>6705</v>
      </c>
      <c r="C21" s="84">
        <v>3.2102212294874403E-4</v>
      </c>
      <c r="D21" s="85">
        <v>3.4602347551242695E-4</v>
      </c>
      <c r="E21" s="270">
        <v>8519</v>
      </c>
      <c r="F21" s="84">
        <v>4.0035709277306338E-4</v>
      </c>
      <c r="G21" s="85">
        <v>4.5054297859521556E-4</v>
      </c>
      <c r="I21" s="432"/>
      <c r="J21" s="151"/>
      <c r="K21" s="151"/>
    </row>
    <row r="22" spans="1:11" ht="15" customHeight="1" x14ac:dyDescent="0.4">
      <c r="A22" s="136" t="s">
        <v>229</v>
      </c>
      <c r="B22" s="270">
        <v>8030</v>
      </c>
      <c r="C22" s="84">
        <v>3.8446049922124007E-4</v>
      </c>
      <c r="D22" s="85">
        <v>4.1440246209765676E-4</v>
      </c>
      <c r="E22" s="270">
        <v>14380</v>
      </c>
      <c r="F22" s="84">
        <v>6.7579938890440796E-4</v>
      </c>
      <c r="G22" s="85">
        <v>7.6051274001633995E-4</v>
      </c>
      <c r="I22" s="432"/>
      <c r="J22" s="151"/>
      <c r="K22" s="151"/>
    </row>
    <row r="23" spans="1:11" ht="15" customHeight="1" x14ac:dyDescent="0.4">
      <c r="A23" s="136" t="s">
        <v>230</v>
      </c>
      <c r="B23" s="270">
        <v>11582</v>
      </c>
      <c r="C23" s="84">
        <v>5.5452322565135775E-4</v>
      </c>
      <c r="D23" s="85">
        <v>5.9770975292840103E-4</v>
      </c>
      <c r="E23" s="270">
        <v>7761</v>
      </c>
      <c r="F23" s="84">
        <v>3.6473428771120373E-4</v>
      </c>
      <c r="G23" s="85">
        <v>4.1045475488642657E-4</v>
      </c>
      <c r="I23" s="432"/>
      <c r="J23" s="151"/>
      <c r="K23" s="151"/>
    </row>
    <row r="24" spans="1:11" ht="15" customHeight="1" x14ac:dyDescent="0.4">
      <c r="A24" s="136" t="s">
        <v>231</v>
      </c>
      <c r="B24" s="270">
        <v>7545407</v>
      </c>
      <c r="C24" s="84">
        <v>0.36125914595858521</v>
      </c>
      <c r="D24" s="85">
        <v>0.38939417662875392</v>
      </c>
      <c r="E24" s="270">
        <v>7008654</v>
      </c>
      <c r="F24" s="84">
        <v>0.32937719681797178</v>
      </c>
      <c r="G24" s="85">
        <v>0.37066555336345486</v>
      </c>
      <c r="I24" s="432"/>
      <c r="J24" s="151"/>
      <c r="K24" s="151"/>
    </row>
    <row r="25" spans="1:11" ht="15" customHeight="1" x14ac:dyDescent="0.4">
      <c r="A25" s="136" t="s">
        <v>232</v>
      </c>
      <c r="B25" s="270">
        <v>29312</v>
      </c>
      <c r="C25" s="84">
        <v>1.403400517207097E-3</v>
      </c>
      <c r="D25" s="85">
        <v>1.5126980036122683E-3</v>
      </c>
      <c r="E25" s="270">
        <v>18189</v>
      </c>
      <c r="F25" s="84">
        <v>8.5480633412950461E-4</v>
      </c>
      <c r="G25" s="85">
        <v>9.6195870849493791E-4</v>
      </c>
      <c r="I25" s="432"/>
      <c r="J25" s="151"/>
      <c r="K25" s="151"/>
    </row>
    <row r="26" spans="1:11" ht="15" customHeight="1" x14ac:dyDescent="0.4">
      <c r="A26" s="136" t="s">
        <v>233</v>
      </c>
      <c r="B26" s="270">
        <v>221059</v>
      </c>
      <c r="C26" s="84">
        <v>1.0583867185223923E-2</v>
      </c>
      <c r="D26" s="85">
        <v>1.1408143694750425E-2</v>
      </c>
      <c r="E26" s="270">
        <v>219053</v>
      </c>
      <c r="F26" s="84">
        <v>1.029456770081205E-2</v>
      </c>
      <c r="G26" s="85">
        <v>1.1585020670292025E-2</v>
      </c>
      <c r="I26" s="432"/>
      <c r="J26" s="432"/>
      <c r="K26" s="151"/>
    </row>
    <row r="27" spans="1:11" ht="15" customHeight="1" x14ac:dyDescent="0.4">
      <c r="A27" s="136" t="s">
        <v>234</v>
      </c>
      <c r="B27" s="270">
        <v>887499</v>
      </c>
      <c r="C27" s="84">
        <v>4.2491694719595435E-2</v>
      </c>
      <c r="D27" s="85">
        <v>4.5800967709739508E-2</v>
      </c>
      <c r="E27" s="270">
        <v>875478</v>
      </c>
      <c r="F27" s="84">
        <v>4.1143775897027349E-2</v>
      </c>
      <c r="G27" s="85">
        <v>4.6301263741587294E-2</v>
      </c>
      <c r="I27" s="432"/>
      <c r="J27" s="151"/>
      <c r="K27" s="151"/>
    </row>
    <row r="28" spans="1:11" ht="15" customHeight="1" x14ac:dyDescent="0.4">
      <c r="A28" s="136" t="s">
        <v>813</v>
      </c>
      <c r="B28" s="270">
        <v>4473</v>
      </c>
      <c r="C28" s="84">
        <v>2.1415838269198093E-4</v>
      </c>
      <c r="D28" s="85">
        <v>2.3083713735527007E-4</v>
      </c>
      <c r="E28" s="270">
        <v>4897</v>
      </c>
      <c r="F28" s="84">
        <v>2.3013835935082653E-4</v>
      </c>
      <c r="G28" s="85">
        <v>2.5898684894715E-4</v>
      </c>
      <c r="I28" s="432"/>
      <c r="J28" s="151"/>
      <c r="K28" s="151"/>
    </row>
    <row r="29" spans="1:11" ht="15" customHeight="1" x14ac:dyDescent="0.4">
      <c r="A29" s="136" t="s">
        <v>235</v>
      </c>
      <c r="B29" s="270">
        <v>1145</v>
      </c>
      <c r="C29" s="84">
        <v>5.482033270340223E-5</v>
      </c>
      <c r="D29" s="85">
        <v>5.908976576610423E-5</v>
      </c>
      <c r="E29" s="270">
        <v>1123</v>
      </c>
      <c r="F29" s="84">
        <v>5.2776266602200979E-5</v>
      </c>
      <c r="G29" s="85">
        <v>5.93919198218602E-5</v>
      </c>
      <c r="I29" s="432"/>
      <c r="J29" s="151"/>
      <c r="K29" s="151"/>
    </row>
    <row r="30" spans="1:11" ht="15" customHeight="1" x14ac:dyDescent="0.4">
      <c r="A30" s="136" t="s">
        <v>236</v>
      </c>
      <c r="B30" s="270">
        <v>10257</v>
      </c>
      <c r="C30" s="84">
        <v>4.9108484937886165E-4</v>
      </c>
      <c r="D30" s="85">
        <v>5.2933076634317127E-4</v>
      </c>
      <c r="E30" s="270">
        <v>18279</v>
      </c>
      <c r="F30" s="84">
        <v>8.5903595478328744E-4</v>
      </c>
      <c r="G30" s="85">
        <v>9.6671852397487324E-4</v>
      </c>
      <c r="I30" s="432"/>
      <c r="J30" s="151"/>
      <c r="K30" s="151"/>
    </row>
    <row r="31" spans="1:11" ht="15" customHeight="1" x14ac:dyDescent="0.4">
      <c r="A31" s="136" t="s">
        <v>237</v>
      </c>
      <c r="B31" s="270">
        <v>73396</v>
      </c>
      <c r="C31" s="84">
        <v>3.5140551433178254E-3</v>
      </c>
      <c r="D31" s="85">
        <v>3.7877313957807739E-3</v>
      </c>
      <c r="E31" s="270">
        <v>78862</v>
      </c>
      <c r="F31" s="84">
        <v>3.7061815999846607E-3</v>
      </c>
      <c r="G31" s="85">
        <v>4.1707618708740329E-3</v>
      </c>
      <c r="I31" s="432"/>
      <c r="J31" s="151"/>
      <c r="K31" s="151"/>
    </row>
    <row r="32" spans="1:11" ht="15" customHeight="1" x14ac:dyDescent="0.4">
      <c r="A32" s="136" t="s">
        <v>238</v>
      </c>
      <c r="B32" s="270">
        <v>331</v>
      </c>
      <c r="C32" s="84">
        <v>1.5847624563166931E-5</v>
      </c>
      <c r="D32" s="85">
        <v>1.7081844950725328E-5</v>
      </c>
      <c r="E32" s="270">
        <v>498</v>
      </c>
      <c r="F32" s="84">
        <v>2.3403900950931514E-5</v>
      </c>
      <c r="G32" s="85">
        <v>2.633764565564237E-5</v>
      </c>
      <c r="I32" s="432"/>
      <c r="J32" s="151"/>
      <c r="K32" s="151"/>
    </row>
    <row r="33" spans="1:11" ht="15" customHeight="1" x14ac:dyDescent="0.4">
      <c r="A33" s="136" t="s">
        <v>239</v>
      </c>
      <c r="B33" s="270">
        <v>30590</v>
      </c>
      <c r="C33" s="84">
        <v>1.4645886265476629E-3</v>
      </c>
      <c r="D33" s="85">
        <v>1.5786514714280597E-3</v>
      </c>
      <c r="E33" s="270">
        <v>30813</v>
      </c>
      <c r="F33" s="84">
        <v>1.4480811245001059E-3</v>
      </c>
      <c r="G33" s="85">
        <v>1.6296021598138722E-3</v>
      </c>
      <c r="I33" s="432"/>
      <c r="J33" s="151"/>
      <c r="K33" s="151"/>
    </row>
    <row r="34" spans="1:11" ht="15" customHeight="1" x14ac:dyDescent="0.4">
      <c r="A34" s="136" t="s">
        <v>240</v>
      </c>
      <c r="B34" s="270">
        <v>1380153</v>
      </c>
      <c r="C34" s="84">
        <v>6.60789927000862E-2</v>
      </c>
      <c r="D34" s="85">
        <v>7.1225255450992189E-2</v>
      </c>
      <c r="E34" s="270">
        <v>1535292</v>
      </c>
      <c r="F34" s="84">
        <v>7.2152252808750095E-2</v>
      </c>
      <c r="G34" s="85">
        <v>8.1196740309121454E-2</v>
      </c>
      <c r="I34" s="432"/>
      <c r="J34" s="151"/>
      <c r="K34" s="151"/>
    </row>
    <row r="35" spans="1:11" ht="15" customHeight="1" x14ac:dyDescent="0.4">
      <c r="A35" s="136" t="s">
        <v>241</v>
      </c>
      <c r="B35" s="270">
        <v>765</v>
      </c>
      <c r="C35" s="84">
        <v>3.6626685168648649E-5</v>
      </c>
      <c r="D35" s="85">
        <v>3.9479188481283613E-5</v>
      </c>
      <c r="E35" s="270">
        <v>613</v>
      </c>
      <c r="F35" s="84">
        <v>2.8808416230765094E-5</v>
      </c>
      <c r="G35" s="85">
        <v>3.2419632102226453E-5</v>
      </c>
      <c r="I35" s="432"/>
      <c r="J35" s="151"/>
      <c r="K35" s="151"/>
    </row>
    <row r="36" spans="1:11" ht="15" customHeight="1" x14ac:dyDescent="0.4">
      <c r="A36" s="136" t="s">
        <v>242</v>
      </c>
      <c r="B36" s="270">
        <v>11840</v>
      </c>
      <c r="C36" s="84">
        <v>5.6687575476705885E-4</v>
      </c>
      <c r="D36" s="85">
        <v>6.1102430276914769E-4</v>
      </c>
      <c r="E36" s="270">
        <v>12533</v>
      </c>
      <c r="F36" s="84">
        <v>5.889981739317764E-4</v>
      </c>
      <c r="G36" s="85">
        <v>6.62830749000333E-4</v>
      </c>
      <c r="I36" s="432"/>
      <c r="J36" s="151"/>
      <c r="K36" s="151"/>
    </row>
    <row r="37" spans="1:11" ht="15" customHeight="1" x14ac:dyDescent="0.4">
      <c r="A37" s="136" t="s">
        <v>243</v>
      </c>
      <c r="B37" s="270">
        <v>1468</v>
      </c>
      <c r="C37" s="84">
        <v>7.0284933107942767E-5</v>
      </c>
      <c r="D37" s="85">
        <v>7.5758756458201758E-5</v>
      </c>
      <c r="E37" s="270">
        <v>1487</v>
      </c>
      <c r="F37" s="84">
        <v>6.988273235750032E-5</v>
      </c>
      <c r="G37" s="85">
        <v>7.8642729096265468E-5</v>
      </c>
      <c r="I37" s="432"/>
      <c r="J37" s="151"/>
      <c r="K37" s="151"/>
    </row>
    <row r="38" spans="1:11" ht="15" customHeight="1" x14ac:dyDescent="0.4">
      <c r="A38" s="136" t="s">
        <v>244</v>
      </c>
      <c r="B38" s="270">
        <v>96105</v>
      </c>
      <c r="C38" s="84">
        <v>4.601317095598665E-3</v>
      </c>
      <c r="D38" s="85">
        <v>4.9596698156781195E-3</v>
      </c>
      <c r="E38" s="270">
        <v>89423</v>
      </c>
      <c r="F38" s="84">
        <v>4.2025040858135517E-3</v>
      </c>
      <c r="G38" s="85">
        <v>4.7292997740251159E-3</v>
      </c>
      <c r="I38" s="432"/>
      <c r="J38" s="432"/>
      <c r="K38" s="151"/>
    </row>
    <row r="39" spans="1:11" ht="15" customHeight="1" x14ac:dyDescent="0.4">
      <c r="A39" s="136" t="s">
        <v>245</v>
      </c>
      <c r="B39" s="270">
        <v>2117049</v>
      </c>
      <c r="C39" s="84">
        <v>0.10136011399948033</v>
      </c>
      <c r="D39" s="85">
        <v>0.10925408692171633</v>
      </c>
      <c r="E39" s="270">
        <v>1793430</v>
      </c>
      <c r="F39" s="84">
        <v>8.428365076792993E-2</v>
      </c>
      <c r="G39" s="85">
        <v>9.4848843068672084E-2</v>
      </c>
      <c r="I39" s="432"/>
      <c r="J39" s="151"/>
      <c r="K39" s="151"/>
    </row>
    <row r="40" spans="1:11" ht="15" customHeight="1" x14ac:dyDescent="0.4">
      <c r="A40" s="136" t="s">
        <v>246</v>
      </c>
      <c r="B40" s="270">
        <v>1596045</v>
      </c>
      <c r="C40" s="84">
        <v>7.6415474156857302E-2</v>
      </c>
      <c r="D40" s="85">
        <v>8.2366746901451376E-2</v>
      </c>
      <c r="E40" s="270">
        <v>2043086</v>
      </c>
      <c r="F40" s="84">
        <v>9.601643047838325E-2</v>
      </c>
      <c r="G40" s="85">
        <v>0.10805235966265812</v>
      </c>
      <c r="I40" s="432"/>
      <c r="J40" s="151"/>
      <c r="K40" s="151"/>
    </row>
    <row r="41" spans="1:11" ht="15" customHeight="1" x14ac:dyDescent="0.4">
      <c r="A41" s="136" t="s">
        <v>247</v>
      </c>
      <c r="B41" s="270">
        <v>6999</v>
      </c>
      <c r="C41" s="84">
        <v>3.3509826077826393E-4</v>
      </c>
      <c r="D41" s="85">
        <v>3.6119586951699869E-4</v>
      </c>
      <c r="E41" s="270">
        <v>13064</v>
      </c>
      <c r="F41" s="84">
        <v>6.1395293578909494E-4</v>
      </c>
      <c r="G41" s="85">
        <v>6.9091366033195169E-4</v>
      </c>
      <c r="I41" s="432"/>
      <c r="J41" s="151"/>
      <c r="K41" s="151"/>
    </row>
    <row r="42" spans="1:11" ht="15" customHeight="1" x14ac:dyDescent="0.4">
      <c r="A42" s="136" t="s">
        <v>248</v>
      </c>
      <c r="B42" s="270">
        <v>7234</v>
      </c>
      <c r="C42" s="84">
        <v>3.4634959543791417E-4</v>
      </c>
      <c r="D42" s="85">
        <v>3.7332346336419039E-4</v>
      </c>
      <c r="E42" s="270">
        <v>4531</v>
      </c>
      <c r="F42" s="84">
        <v>2.1293790202544315E-4</v>
      </c>
      <c r="G42" s="85">
        <v>2.396302659954128E-4</v>
      </c>
      <c r="I42" s="432"/>
      <c r="J42" s="151"/>
      <c r="K42" s="151"/>
    </row>
    <row r="43" spans="1:11" ht="15" customHeight="1" x14ac:dyDescent="0.4">
      <c r="A43" s="136" t="s">
        <v>249</v>
      </c>
      <c r="B43" s="270">
        <v>430175</v>
      </c>
      <c r="C43" s="84">
        <v>2.0595927179638474E-2</v>
      </c>
      <c r="D43" s="85">
        <v>2.2199947588151869E-2</v>
      </c>
      <c r="E43" s="270">
        <v>319060</v>
      </c>
      <c r="F43" s="84">
        <v>1.4994475175510459E-2</v>
      </c>
      <c r="G43" s="85">
        <v>1.687407474475754E-2</v>
      </c>
      <c r="I43" s="432"/>
      <c r="J43" s="151"/>
      <c r="K43" s="151"/>
    </row>
    <row r="44" spans="1:11" ht="15" customHeight="1" x14ac:dyDescent="0.4">
      <c r="A44" s="136" t="s">
        <v>250</v>
      </c>
      <c r="B44" s="270">
        <v>660339</v>
      </c>
      <c r="C44" s="84">
        <v>3.1615723735399059E-2</v>
      </c>
      <c r="D44" s="85">
        <v>3.407797103600306E-2</v>
      </c>
      <c r="E44" s="270">
        <v>676664</v>
      </c>
      <c r="F44" s="84">
        <v>3.1800355889680963E-2</v>
      </c>
      <c r="G44" s="85">
        <v>3.5786619799055397E-2</v>
      </c>
      <c r="I44" s="432"/>
      <c r="J44" s="432"/>
      <c r="K44" s="151"/>
    </row>
    <row r="45" spans="1:11" ht="15" customHeight="1" x14ac:dyDescent="0.4">
      <c r="A45" s="136" t="s">
        <v>251</v>
      </c>
      <c r="B45" s="270">
        <v>1729</v>
      </c>
      <c r="C45" s="84">
        <v>8.2781096283128774E-5</v>
      </c>
      <c r="D45" s="85">
        <v>8.9228126645933819E-5</v>
      </c>
      <c r="E45" s="270">
        <v>1639</v>
      </c>
      <c r="F45" s="84">
        <v>7.7026091683889055E-5</v>
      </c>
      <c r="G45" s="85">
        <v>8.6681528573489644E-5</v>
      </c>
      <c r="I45" s="432"/>
      <c r="J45" s="151"/>
      <c r="K45" s="151"/>
    </row>
    <row r="46" spans="1:11" ht="15" customHeight="1" x14ac:dyDescent="0.4">
      <c r="A46" s="136" t="s">
        <v>252</v>
      </c>
      <c r="B46" s="270">
        <v>91</v>
      </c>
      <c r="C46" s="84">
        <v>4.3568998043751986E-6</v>
      </c>
      <c r="D46" s="85">
        <v>4.6962171918912534E-6</v>
      </c>
      <c r="E46" s="270">
        <v>48</v>
      </c>
      <c r="F46" s="84">
        <v>2.2557976820174954E-6</v>
      </c>
      <c r="G46" s="85">
        <v>2.5385682559655298E-6</v>
      </c>
      <c r="I46" s="432"/>
      <c r="J46" s="151"/>
      <c r="K46" s="151"/>
    </row>
    <row r="47" spans="1:11" ht="15" customHeight="1" x14ac:dyDescent="0.4">
      <c r="A47" s="136" t="s">
        <v>253</v>
      </c>
      <c r="B47" s="270">
        <v>16082</v>
      </c>
      <c r="C47" s="84">
        <v>7.6997431487870274E-4</v>
      </c>
      <c r="D47" s="85">
        <v>8.2994027340653996E-4</v>
      </c>
      <c r="E47" s="270">
        <v>24456</v>
      </c>
      <c r="F47" s="84">
        <v>1.1493289189879138E-3</v>
      </c>
      <c r="G47" s="85">
        <v>1.2934005264144373E-3</v>
      </c>
      <c r="I47" s="432"/>
      <c r="J47" s="432"/>
      <c r="K47" s="151"/>
    </row>
    <row r="48" spans="1:11" ht="15" customHeight="1" x14ac:dyDescent="0.4">
      <c r="A48" s="136" t="s">
        <v>254</v>
      </c>
      <c r="B48" s="270">
        <v>167336</v>
      </c>
      <c r="C48" s="84">
        <v>8.0117163259882229E-3</v>
      </c>
      <c r="D48" s="85">
        <v>8.635672527717745E-3</v>
      </c>
      <c r="E48" s="270">
        <v>160825</v>
      </c>
      <c r="F48" s="84">
        <v>7.5580971293846598E-3</v>
      </c>
      <c r="G48" s="85">
        <v>8.5055258284511721E-3</v>
      </c>
      <c r="I48" s="432"/>
      <c r="J48" s="151"/>
      <c r="K48" s="151"/>
    </row>
    <row r="49" spans="1:11" ht="15" customHeight="1" x14ac:dyDescent="0.4">
      <c r="A49" s="136" t="s">
        <v>255</v>
      </c>
      <c r="B49" s="270">
        <v>4</v>
      </c>
      <c r="C49" s="84">
        <v>1.9151207931319556E-7</v>
      </c>
      <c r="D49" s="85">
        <v>2.0642712931390124E-7</v>
      </c>
      <c r="E49" s="270">
        <v>2</v>
      </c>
      <c r="F49" s="84">
        <v>9.3991570084062303E-8</v>
      </c>
      <c r="G49" s="85">
        <v>1.0577367733189707E-7</v>
      </c>
      <c r="I49" s="432"/>
      <c r="J49" s="151"/>
      <c r="K49" s="151"/>
    </row>
    <row r="50" spans="1:11" ht="15" customHeight="1" x14ac:dyDescent="0.4">
      <c r="A50" s="136" t="s">
        <v>256</v>
      </c>
      <c r="B50" s="270">
        <v>573606</v>
      </c>
      <c r="C50" s="84">
        <v>2.7463119441631212E-2</v>
      </c>
      <c r="D50" s="85">
        <v>2.960195998430741E-2</v>
      </c>
      <c r="E50" s="270">
        <v>599999</v>
      </c>
      <c r="F50" s="84">
        <v>2.8197424029433649E-2</v>
      </c>
      <c r="G50" s="85">
        <v>3.1732050312730457E-2</v>
      </c>
      <c r="I50" s="432"/>
      <c r="J50" s="151"/>
      <c r="K50" s="151"/>
    </row>
    <row r="51" spans="1:11" ht="15" customHeight="1" x14ac:dyDescent="0.4">
      <c r="A51" s="136" t="s">
        <v>257</v>
      </c>
      <c r="B51" s="270">
        <v>31432</v>
      </c>
      <c r="C51" s="84">
        <v>1.5049019192430906E-3</v>
      </c>
      <c r="D51" s="85">
        <v>1.6221043821486359E-3</v>
      </c>
      <c r="E51" s="270">
        <v>23816</v>
      </c>
      <c r="F51" s="84">
        <v>1.119251616561014E-3</v>
      </c>
      <c r="G51" s="85">
        <v>1.2595529496682303E-3</v>
      </c>
      <c r="I51" s="432"/>
      <c r="J51" s="151"/>
      <c r="K51" s="151"/>
    </row>
    <row r="52" spans="1:11" ht="15" customHeight="1" x14ac:dyDescent="0.4">
      <c r="A52" s="136" t="s">
        <v>258</v>
      </c>
      <c r="B52" s="270">
        <v>1838321</v>
      </c>
      <c r="C52" s="84">
        <v>8.8015169288778242E-2</v>
      </c>
      <c r="D52" s="85">
        <v>9.4869831696865067E-2</v>
      </c>
      <c r="E52" s="270">
        <v>1703421</v>
      </c>
      <c r="F52" s="84">
        <v>8.0053607152081749E-2</v>
      </c>
      <c r="G52" s="85">
        <v>9.0088551607188719E-2</v>
      </c>
      <c r="I52" s="432"/>
      <c r="J52" s="151"/>
      <c r="K52" s="151"/>
    </row>
    <row r="53" spans="1:11" ht="15" customHeight="1" x14ac:dyDescent="0.4">
      <c r="A53" s="136" t="s">
        <v>259</v>
      </c>
      <c r="B53" s="270">
        <v>57912</v>
      </c>
      <c r="C53" s="84">
        <v>2.7727118842964453E-3</v>
      </c>
      <c r="D53" s="85">
        <v>2.9886519782066621E-3</v>
      </c>
      <c r="E53" s="270">
        <v>55508</v>
      </c>
      <c r="F53" s="84">
        <v>2.6086420361130652E-3</v>
      </c>
      <c r="G53" s="85">
        <v>2.9356426406694711E-3</v>
      </c>
      <c r="I53" s="432"/>
      <c r="J53" s="151"/>
      <c r="K53" s="151"/>
    </row>
    <row r="54" spans="1:11" ht="15" customHeight="1" x14ac:dyDescent="0.4">
      <c r="A54" s="136" t="s">
        <v>260</v>
      </c>
      <c r="B54" s="270">
        <v>17618</v>
      </c>
      <c r="C54" s="84">
        <v>8.4351495333496985E-4</v>
      </c>
      <c r="D54" s="85">
        <v>9.0920829106307804E-4</v>
      </c>
      <c r="E54" s="270">
        <v>17075</v>
      </c>
      <c r="F54" s="84">
        <v>8.0245302959268188E-4</v>
      </c>
      <c r="G54" s="85">
        <v>9.0304277022107123E-4</v>
      </c>
      <c r="I54" s="432"/>
      <c r="J54" s="151"/>
      <c r="K54" s="151"/>
    </row>
    <row r="55" spans="1:11" ht="15" customHeight="1" x14ac:dyDescent="0.4">
      <c r="A55" s="136" t="s">
        <v>261</v>
      </c>
      <c r="B55" s="270">
        <v>92654</v>
      </c>
      <c r="C55" s="84">
        <v>4.4360900491712055E-3</v>
      </c>
      <c r="D55" s="85">
        <v>4.7815748098625514E-3</v>
      </c>
      <c r="E55" s="270">
        <v>102623</v>
      </c>
      <c r="F55" s="84">
        <v>4.8228484483683626E-3</v>
      </c>
      <c r="G55" s="85">
        <v>5.4274060444156362E-3</v>
      </c>
      <c r="I55" s="432"/>
      <c r="J55" s="151"/>
      <c r="K55" s="151"/>
    </row>
    <row r="56" spans="1:11" ht="15" customHeight="1" x14ac:dyDescent="0.4">
      <c r="A56" s="136" t="s">
        <v>262</v>
      </c>
      <c r="B56" s="270">
        <v>4071</v>
      </c>
      <c r="C56" s="84">
        <v>1.9491141872100476E-4</v>
      </c>
      <c r="D56" s="85">
        <v>2.1009121085922299E-4</v>
      </c>
      <c r="E56" s="270">
        <v>4227</v>
      </c>
      <c r="F56" s="84">
        <v>1.9865118337266568E-4</v>
      </c>
      <c r="G56" s="85">
        <v>2.2355266704096445E-4</v>
      </c>
      <c r="I56" s="432"/>
      <c r="J56" s="151"/>
      <c r="K56" s="151"/>
    </row>
    <row r="57" spans="1:11" ht="15" customHeight="1" x14ac:dyDescent="0.4">
      <c r="A57" s="136" t="s">
        <v>263</v>
      </c>
      <c r="B57" s="270">
        <v>234064</v>
      </c>
      <c r="C57" s="84">
        <v>1.1206520833090951E-2</v>
      </c>
      <c r="D57" s="85">
        <v>1.2079289898932245E-2</v>
      </c>
      <c r="E57" s="270">
        <v>257960</v>
      </c>
      <c r="F57" s="84">
        <v>1.2123032709442356E-2</v>
      </c>
      <c r="G57" s="85">
        <v>1.3642688902268083E-2</v>
      </c>
      <c r="I57" s="432"/>
      <c r="J57" s="151"/>
      <c r="K57" s="151"/>
    </row>
    <row r="58" spans="1:11" ht="15" customHeight="1" x14ac:dyDescent="0.4">
      <c r="A58" s="136" t="s">
        <v>264</v>
      </c>
      <c r="B58" s="270">
        <v>44971</v>
      </c>
      <c r="C58" s="84">
        <v>2.1531224296984291E-3</v>
      </c>
      <c r="D58" s="85">
        <v>2.3208086080938632E-3</v>
      </c>
      <c r="E58" s="270">
        <v>62643</v>
      </c>
      <c r="F58" s="84">
        <v>2.9439569623879573E-3</v>
      </c>
      <c r="G58" s="85">
        <v>3.3129902345510141E-3</v>
      </c>
      <c r="I58" s="432"/>
      <c r="J58" s="432"/>
      <c r="K58" s="151"/>
    </row>
    <row r="59" spans="1:11" ht="15" customHeight="1" x14ac:dyDescent="0.4">
      <c r="A59" s="136" t="s">
        <v>265</v>
      </c>
      <c r="B59" s="270">
        <v>80302</v>
      </c>
      <c r="C59" s="84">
        <v>3.8447007482520575E-3</v>
      </c>
      <c r="D59" s="85">
        <v>4.1441278345412244E-3</v>
      </c>
      <c r="E59" s="270">
        <v>77530</v>
      </c>
      <c r="F59" s="84">
        <v>3.6435832143086751E-3</v>
      </c>
      <c r="G59" s="85">
        <v>4.1003166017709895E-3</v>
      </c>
      <c r="I59" s="432"/>
      <c r="J59" s="151"/>
      <c r="K59" s="151"/>
    </row>
    <row r="60" spans="1:11" ht="15" customHeight="1" x14ac:dyDescent="0.4">
      <c r="A60" s="136" t="s">
        <v>266</v>
      </c>
      <c r="B60" s="270">
        <v>21447</v>
      </c>
      <c r="C60" s="84">
        <v>1.0268398912575262E-3</v>
      </c>
      <c r="D60" s="85">
        <v>1.10681066059881E-3</v>
      </c>
      <c r="E60" s="270">
        <v>21009</v>
      </c>
      <c r="F60" s="84">
        <v>9.8733444794803248E-4</v>
      </c>
      <c r="G60" s="85">
        <v>1.1110995935329126E-3</v>
      </c>
      <c r="I60" s="432"/>
      <c r="J60" s="151"/>
      <c r="K60" s="151"/>
    </row>
    <row r="61" spans="1:11" ht="15" customHeight="1" x14ac:dyDescent="0.4">
      <c r="A61" s="136" t="s">
        <v>267</v>
      </c>
      <c r="B61" s="270">
        <v>33984</v>
      </c>
      <c r="C61" s="84">
        <v>1.6270866258449093E-3</v>
      </c>
      <c r="D61" s="85">
        <v>1.7538048906509049E-3</v>
      </c>
      <c r="E61" s="270">
        <v>33565</v>
      </c>
      <c r="F61" s="84">
        <v>1.5774135249357756E-3</v>
      </c>
      <c r="G61" s="85">
        <v>1.7751467398225626E-3</v>
      </c>
      <c r="I61" s="432"/>
      <c r="J61" s="151"/>
      <c r="K61" s="151"/>
    </row>
    <row r="62" spans="1:11" ht="15" customHeight="1" x14ac:dyDescent="0.4">
      <c r="A62" s="136" t="s">
        <v>268</v>
      </c>
      <c r="B62" s="270">
        <v>144087</v>
      </c>
      <c r="C62" s="84">
        <v>6.8986002430001022E-3</v>
      </c>
      <c r="D62" s="85">
        <v>7.4358664453630218E-3</v>
      </c>
      <c r="E62" s="270">
        <v>114351</v>
      </c>
      <c r="F62" s="84">
        <v>5.374015015341304E-3</v>
      </c>
      <c r="G62" s="85">
        <v>6.0476628882898805E-3</v>
      </c>
      <c r="I62" s="432"/>
      <c r="J62" s="151"/>
      <c r="K62" s="151"/>
    </row>
    <row r="63" spans="1:11" ht="15" customHeight="1" thickBot="1" x14ac:dyDescent="0.45">
      <c r="A63" s="136" t="s">
        <v>269</v>
      </c>
      <c r="B63" s="270">
        <v>160588</v>
      </c>
      <c r="C63" s="152">
        <v>7.6886354481868618E-3</v>
      </c>
      <c r="D63" s="153">
        <v>8.287429960565194E-3</v>
      </c>
      <c r="E63" s="270">
        <v>155512</v>
      </c>
      <c r="F63" s="152">
        <v>7.3084085234563483E-3</v>
      </c>
      <c r="G63" s="153">
        <v>8.2245380546189881E-3</v>
      </c>
      <c r="I63" s="432"/>
      <c r="J63" s="151"/>
      <c r="K63" s="151"/>
    </row>
    <row r="64" spans="1:11" ht="15" customHeight="1" thickBot="1" x14ac:dyDescent="0.45">
      <c r="A64" s="49" t="s">
        <v>170</v>
      </c>
      <c r="B64" s="275">
        <v>19377298</v>
      </c>
      <c r="C64" s="154">
        <v>0.92774665786285637</v>
      </c>
      <c r="D64" s="155">
        <v>1</v>
      </c>
      <c r="E64" s="275">
        <v>18908296</v>
      </c>
      <c r="F64" s="154">
        <v>0.88861021432709741</v>
      </c>
      <c r="G64" s="155">
        <v>1</v>
      </c>
      <c r="J64" s="151"/>
      <c r="K64" s="151"/>
    </row>
    <row r="65" spans="1:18" ht="15" customHeight="1" x14ac:dyDescent="0.4">
      <c r="A65" s="38" t="s">
        <v>171</v>
      </c>
      <c r="B65" s="272">
        <v>1505825</v>
      </c>
      <c r="C65" s="84">
        <v>7.2095919207948167E-2</v>
      </c>
      <c r="D65" s="66"/>
      <c r="E65" s="272">
        <v>2368683</v>
      </c>
      <c r="F65" s="84">
        <v>0.11131811710071347</v>
      </c>
      <c r="G65" s="66"/>
      <c r="K65" s="151"/>
    </row>
    <row r="66" spans="1:18" ht="15" customHeight="1" thickBot="1" x14ac:dyDescent="0.45">
      <c r="A66" s="38" t="s">
        <v>172</v>
      </c>
      <c r="B66" s="274">
        <v>3288</v>
      </c>
      <c r="C66" s="152">
        <v>1.5742292919544674E-4</v>
      </c>
      <c r="D66" s="67"/>
      <c r="E66" s="274">
        <v>1525</v>
      </c>
      <c r="F66" s="152">
        <v>7.16685721890975E-5</v>
      </c>
      <c r="G66" s="67"/>
      <c r="J66" s="151"/>
      <c r="K66" s="151"/>
    </row>
    <row r="67" spans="1:18" ht="15" customHeight="1" thickBot="1" x14ac:dyDescent="0.45">
      <c r="A67" s="49" t="s">
        <v>173</v>
      </c>
      <c r="B67" s="275">
        <v>1509113</v>
      </c>
      <c r="C67" s="154">
        <v>7.2253342137143614E-2</v>
      </c>
      <c r="D67" s="68"/>
      <c r="E67" s="275">
        <v>2370208</v>
      </c>
      <c r="F67" s="154">
        <v>0.11138978567290257</v>
      </c>
      <c r="G67" s="68"/>
      <c r="J67" s="151"/>
      <c r="K67" s="151"/>
    </row>
    <row r="68" spans="1:18" ht="15" customHeight="1" thickBot="1" x14ac:dyDescent="0.45">
      <c r="A68" s="49" t="s">
        <v>49</v>
      </c>
      <c r="B68" s="275">
        <v>20886411</v>
      </c>
      <c r="C68" s="154">
        <v>1</v>
      </c>
      <c r="D68" s="68"/>
      <c r="E68" s="275">
        <v>21278504</v>
      </c>
      <c r="F68" s="154">
        <v>1</v>
      </c>
      <c r="G68" s="68"/>
    </row>
    <row r="69" spans="1:18" ht="4.5" customHeight="1" x14ac:dyDescent="0.4"/>
    <row r="70" spans="1:18" ht="17.100000000000001" customHeight="1" thickBot="1" x14ac:dyDescent="0.45">
      <c r="A70" s="538" t="s">
        <v>10</v>
      </c>
      <c r="B70" s="538"/>
      <c r="C70" s="538"/>
      <c r="D70" s="538"/>
      <c r="E70" s="538"/>
      <c r="F70" s="538"/>
      <c r="G70" s="538"/>
      <c r="H70" s="538"/>
    </row>
    <row r="71" spans="1:18" ht="17.100000000000001" customHeight="1" x14ac:dyDescent="0.4">
      <c r="A71" s="593" t="s">
        <v>898</v>
      </c>
      <c r="B71" s="593"/>
      <c r="C71" s="593"/>
      <c r="D71" s="593"/>
      <c r="E71" s="593"/>
      <c r="F71" s="593"/>
      <c r="G71" s="593"/>
      <c r="H71" s="593"/>
    </row>
    <row r="72" spans="1:18" ht="17.100000000000001" customHeight="1" x14ac:dyDescent="0.45">
      <c r="A72" s="505" t="s">
        <v>780</v>
      </c>
      <c r="B72" s="505"/>
      <c r="C72" s="505"/>
      <c r="D72" s="505"/>
      <c r="E72" s="505"/>
      <c r="F72" s="505"/>
      <c r="G72" s="505"/>
      <c r="H72" s="120"/>
      <c r="I72" s="120"/>
      <c r="J72" s="120"/>
      <c r="K72" s="120"/>
      <c r="L72" s="120"/>
      <c r="M72" s="120"/>
      <c r="N72" s="120"/>
      <c r="O72" s="120"/>
      <c r="P72" s="120"/>
      <c r="Q72" s="120"/>
      <c r="R72" s="120"/>
    </row>
    <row r="73" spans="1:18" ht="17.100000000000001" customHeight="1" x14ac:dyDescent="0.4">
      <c r="A73" s="508" t="s">
        <v>575</v>
      </c>
      <c r="B73" s="508"/>
      <c r="C73" s="508"/>
      <c r="D73" s="508"/>
      <c r="E73" s="508"/>
      <c r="F73" s="508"/>
      <c r="G73" s="508"/>
      <c r="H73" s="508"/>
    </row>
    <row r="74" spans="1:18" ht="12.6" thickBot="1" x14ac:dyDescent="0.45">
      <c r="A74" s="537" t="s">
        <v>845</v>
      </c>
      <c r="B74" s="537"/>
      <c r="C74" s="537"/>
      <c r="D74" s="537"/>
      <c r="E74" s="537"/>
      <c r="F74" s="537"/>
      <c r="G74" s="537"/>
      <c r="H74" s="537"/>
    </row>
    <row r="75" spans="1:18" x14ac:dyDescent="0.4">
      <c r="A75" s="131"/>
    </row>
    <row r="76" spans="1:18" x14ac:dyDescent="0.4">
      <c r="A76" s="124" t="s">
        <v>614</v>
      </c>
    </row>
    <row r="81" spans="1:1" x14ac:dyDescent="0.4">
      <c r="A81" s="131"/>
    </row>
  </sheetData>
  <sortState ref="I7:J63">
    <sortCondition ref="I47"/>
  </sortState>
  <mergeCells count="9">
    <mergeCell ref="A2:G2"/>
    <mergeCell ref="A71:H71"/>
    <mergeCell ref="A73:H73"/>
    <mergeCell ref="A74:H74"/>
    <mergeCell ref="A72:G72"/>
    <mergeCell ref="A3:H3"/>
    <mergeCell ref="B5:D5"/>
    <mergeCell ref="E5:G5"/>
    <mergeCell ref="A70:H70"/>
  </mergeCells>
  <hyperlinks>
    <hyperlink ref="A76" location="Contents!A1" display="Return to Contents" xr:uid="{00000000-0004-0000-2500-000000000000}"/>
    <hyperlink ref="A73:H73" r:id="rId1" display="Contact via enquiries@NHSDigital.nhs.uk or 0300 303 5678" xr:uid="{00000000-0004-0000-2500-000001000000}"/>
  </hyperlinks>
  <pageMargins left="0.78740157480314965" right="0.78740157480314965" top="0.78740157480314965" bottom="0.78740157480314965" header="0.78740157480314965" footer="0.78740157480314965"/>
  <pageSetup paperSize="9" scale="79" fitToHeight="0" orientation="landscape" r:id="rId2"/>
  <headerFooter alignWithMargins="0">
    <oddFooter>&amp;L&amp;C&amp;R</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5"/>
  <dimension ref="A1:S30"/>
  <sheetViews>
    <sheetView showGridLines="0" workbookViewId="0"/>
  </sheetViews>
  <sheetFormatPr defaultColWidth="9.109375" defaultRowHeight="12.3" x14ac:dyDescent="0.4"/>
  <cols>
    <col min="1" max="1" width="45.6640625" style="113" customWidth="1"/>
    <col min="2" max="5" width="17.88671875" style="113" customWidth="1"/>
    <col min="6" max="6" width="9.109375" style="113" customWidth="1"/>
    <col min="7" max="7" width="9.109375" style="159"/>
    <col min="8" max="8" width="9.109375" style="159" customWidth="1"/>
    <col min="9" max="19" width="9.109375" style="159"/>
    <col min="20" max="16384" width="9.109375" style="113"/>
  </cols>
  <sheetData>
    <row r="1" spans="1:19" s="351" customFormat="1" ht="15" customHeight="1" x14ac:dyDescent="0.4">
      <c r="G1" s="159"/>
      <c r="H1" s="159"/>
      <c r="I1" s="159"/>
      <c r="J1" s="159"/>
      <c r="K1" s="159"/>
      <c r="L1" s="159"/>
      <c r="M1" s="159"/>
      <c r="N1" s="159"/>
      <c r="O1" s="159"/>
      <c r="P1" s="159"/>
      <c r="Q1" s="159"/>
      <c r="R1" s="159"/>
      <c r="S1" s="159"/>
    </row>
    <row r="2" spans="1:19" ht="56.25" customHeight="1" x14ac:dyDescent="0.4">
      <c r="A2" s="514" t="s">
        <v>867</v>
      </c>
      <c r="B2" s="514"/>
      <c r="C2" s="514"/>
      <c r="D2" s="514"/>
      <c r="E2" s="514"/>
      <c r="F2" s="514"/>
    </row>
    <row r="3" spans="1:19" ht="30" customHeight="1" x14ac:dyDescent="0.4">
      <c r="A3" s="511" t="s">
        <v>783</v>
      </c>
      <c r="B3" s="511"/>
      <c r="C3" s="511"/>
      <c r="D3" s="511"/>
      <c r="E3" s="511"/>
      <c r="F3" s="129"/>
    </row>
    <row r="4" spans="1:19" ht="11.25" customHeight="1" thickBot="1" x14ac:dyDescent="0.45"/>
    <row r="5" spans="1:19" ht="15" customHeight="1" thickBot="1" x14ac:dyDescent="0.45">
      <c r="A5" s="110"/>
      <c r="B5" s="525" t="s">
        <v>673</v>
      </c>
      <c r="C5" s="590"/>
      <c r="D5" s="525" t="s">
        <v>844</v>
      </c>
      <c r="E5" s="590"/>
      <c r="G5" s="441"/>
      <c r="H5" s="441"/>
      <c r="I5" s="441"/>
      <c r="J5" s="441"/>
      <c r="K5" s="441"/>
      <c r="L5" s="441"/>
      <c r="M5" s="441"/>
      <c r="N5" s="441"/>
      <c r="O5" s="441"/>
      <c r="P5" s="441"/>
      <c r="Q5" s="441"/>
    </row>
    <row r="6" spans="1:19" ht="30" customHeight="1" thickBot="1" x14ac:dyDescent="0.45">
      <c r="A6" s="2" t="s">
        <v>270</v>
      </c>
      <c r="B6" s="3" t="s">
        <v>39</v>
      </c>
      <c r="C6" s="4" t="s">
        <v>40</v>
      </c>
      <c r="D6" s="3" t="s">
        <v>39</v>
      </c>
      <c r="E6" s="4" t="s">
        <v>40</v>
      </c>
      <c r="G6" s="441"/>
      <c r="H6" s="441"/>
      <c r="I6" s="441"/>
      <c r="J6" s="441"/>
      <c r="K6" s="441"/>
      <c r="L6" s="441"/>
      <c r="M6" s="441"/>
      <c r="N6" s="441"/>
      <c r="O6" s="441"/>
      <c r="P6" s="441"/>
      <c r="Q6" s="441"/>
    </row>
    <row r="7" spans="1:19" ht="30" customHeight="1" x14ac:dyDescent="0.4">
      <c r="A7" s="157" t="s">
        <v>1055</v>
      </c>
      <c r="B7" s="276">
        <v>4241383</v>
      </c>
      <c r="C7" s="62">
        <v>0.20306901937340982</v>
      </c>
      <c r="D7" s="276">
        <v>4053917</v>
      </c>
      <c r="E7" s="62">
        <v>0.19051701191023579</v>
      </c>
      <c r="G7" s="441"/>
      <c r="H7" s="441"/>
      <c r="I7" s="441"/>
      <c r="J7" s="441"/>
      <c r="K7" s="441"/>
      <c r="L7" s="441"/>
      <c r="M7" s="441"/>
      <c r="N7" s="441"/>
      <c r="O7" s="441"/>
      <c r="P7" s="441"/>
      <c r="Q7" s="441"/>
    </row>
    <row r="8" spans="1:19" ht="30" customHeight="1" x14ac:dyDescent="0.4">
      <c r="A8" s="157" t="s">
        <v>1056</v>
      </c>
      <c r="B8" s="276">
        <v>4054401</v>
      </c>
      <c r="C8" s="62">
        <v>0.19411669146987484</v>
      </c>
      <c r="D8" s="276">
        <v>3583077</v>
      </c>
      <c r="E8" s="62">
        <v>0.16838951648104586</v>
      </c>
      <c r="G8" s="441"/>
      <c r="H8" s="441"/>
      <c r="I8" s="441"/>
      <c r="J8" s="441"/>
      <c r="K8" s="441"/>
      <c r="L8" s="441"/>
      <c r="M8" s="441"/>
      <c r="N8" s="441"/>
      <c r="O8" s="441"/>
      <c r="P8" s="441"/>
      <c r="Q8" s="441"/>
    </row>
    <row r="9" spans="1:19" ht="15" customHeight="1" x14ac:dyDescent="0.4">
      <c r="A9" s="157" t="s">
        <v>1057</v>
      </c>
      <c r="B9" s="276">
        <v>7747171</v>
      </c>
      <c r="C9" s="62">
        <v>0.37091920675122214</v>
      </c>
      <c r="D9" s="276">
        <v>8491670</v>
      </c>
      <c r="E9" s="62">
        <v>0.39907269796786465</v>
      </c>
      <c r="G9" s="441"/>
      <c r="H9" s="441"/>
      <c r="I9" s="441"/>
      <c r="J9" s="441"/>
      <c r="K9" s="441"/>
      <c r="L9" s="441"/>
      <c r="M9" s="441"/>
      <c r="N9" s="441"/>
      <c r="O9" s="441"/>
      <c r="P9" s="441"/>
      <c r="Q9" s="441"/>
    </row>
    <row r="10" spans="1:19" ht="15" customHeight="1" x14ac:dyDescent="0.4">
      <c r="A10" s="157" t="s">
        <v>645</v>
      </c>
      <c r="B10" s="276">
        <v>2593674</v>
      </c>
      <c r="C10" s="62">
        <v>0.12417997520014329</v>
      </c>
      <c r="D10" s="276">
        <v>2329889</v>
      </c>
      <c r="E10" s="62">
        <v>0.10949496261579292</v>
      </c>
      <c r="J10" s="441"/>
      <c r="M10" s="441"/>
      <c r="N10" s="441"/>
      <c r="O10" s="441"/>
      <c r="P10" s="441"/>
      <c r="Q10" s="441"/>
    </row>
    <row r="11" spans="1:19" ht="15" customHeight="1" x14ac:dyDescent="0.4">
      <c r="A11" s="136" t="s">
        <v>271</v>
      </c>
      <c r="B11" s="270">
        <v>794461</v>
      </c>
      <c r="C11" s="59">
        <v>3.8037219510810162E-2</v>
      </c>
      <c r="D11" s="270">
        <v>712576</v>
      </c>
      <c r="E11" s="59">
        <v>3.3488068522110392E-2</v>
      </c>
      <c r="G11" s="441"/>
      <c r="H11" s="441"/>
      <c r="I11" s="441"/>
      <c r="J11" s="441"/>
      <c r="K11" s="441"/>
      <c r="L11" s="441"/>
      <c r="M11" s="441"/>
      <c r="N11" s="441"/>
      <c r="O11" s="441"/>
      <c r="P11" s="441"/>
      <c r="Q11" s="441"/>
    </row>
    <row r="12" spans="1:19" ht="15" customHeight="1" x14ac:dyDescent="0.4">
      <c r="A12" s="136" t="s">
        <v>272</v>
      </c>
      <c r="B12" s="270">
        <v>861449</v>
      </c>
      <c r="C12" s="59">
        <v>4.1244472303068248E-2</v>
      </c>
      <c r="D12" s="270">
        <v>770048</v>
      </c>
      <c r="E12" s="59">
        <v>3.6189010280046001E-2</v>
      </c>
      <c r="G12" s="441"/>
      <c r="H12" s="441"/>
      <c r="I12" s="441"/>
      <c r="J12" s="441"/>
      <c r="K12" s="441"/>
      <c r="L12" s="441"/>
      <c r="M12" s="441"/>
      <c r="N12" s="441"/>
      <c r="O12" s="441"/>
      <c r="P12" s="441"/>
      <c r="Q12" s="441"/>
    </row>
    <row r="13" spans="1:19" ht="15" customHeight="1" x14ac:dyDescent="0.4">
      <c r="A13" s="136" t="s">
        <v>273</v>
      </c>
      <c r="B13" s="270">
        <v>442374</v>
      </c>
      <c r="C13" s="59">
        <v>2.1179991143523893E-2</v>
      </c>
      <c r="D13" s="270">
        <v>420155</v>
      </c>
      <c r="E13" s="59">
        <v>1.9745514064334599E-2</v>
      </c>
      <c r="G13" s="441"/>
      <c r="H13" s="441"/>
      <c r="I13" s="441"/>
      <c r="J13" s="441"/>
      <c r="K13" s="441"/>
      <c r="L13" s="441"/>
      <c r="M13" s="441"/>
      <c r="N13" s="441"/>
      <c r="O13" s="441"/>
      <c r="P13" s="441"/>
      <c r="Q13" s="441"/>
    </row>
    <row r="14" spans="1:19" ht="15" customHeight="1" x14ac:dyDescent="0.4">
      <c r="A14" s="136" t="s">
        <v>274</v>
      </c>
      <c r="B14" s="270">
        <v>495390</v>
      </c>
      <c r="C14" s="59">
        <v>2.3718292242740985E-2</v>
      </c>
      <c r="D14" s="270">
        <v>427110</v>
      </c>
      <c r="E14" s="59">
        <v>2.0072369749301926E-2</v>
      </c>
      <c r="G14" s="441"/>
      <c r="H14" s="441"/>
      <c r="I14" s="441"/>
      <c r="J14" s="441"/>
      <c r="K14" s="441"/>
      <c r="L14" s="441"/>
      <c r="M14" s="441"/>
      <c r="N14" s="441"/>
      <c r="O14" s="441"/>
      <c r="P14" s="441"/>
      <c r="Q14" s="441"/>
    </row>
    <row r="15" spans="1:19" ht="15" customHeight="1" x14ac:dyDescent="0.4">
      <c r="A15" s="157" t="s">
        <v>1058</v>
      </c>
      <c r="B15" s="276">
        <v>2249782</v>
      </c>
      <c r="C15" s="62">
        <v>0.10771510720534992</v>
      </c>
      <c r="D15" s="276">
        <v>2819951</v>
      </c>
      <c r="E15" s="62">
        <v>0.13252581102506078</v>
      </c>
      <c r="J15" s="441"/>
      <c r="M15" s="441"/>
      <c r="N15" s="441"/>
      <c r="O15" s="441"/>
      <c r="P15" s="441"/>
      <c r="Q15" s="441"/>
    </row>
    <row r="16" spans="1:19" ht="15" customHeight="1" x14ac:dyDescent="0.4">
      <c r="A16" s="136" t="s">
        <v>275</v>
      </c>
      <c r="B16" s="270">
        <v>620145</v>
      </c>
      <c r="C16" s="59">
        <v>2.9691314606420414E-2</v>
      </c>
      <c r="D16" s="270">
        <v>573694</v>
      </c>
      <c r="E16" s="59">
        <v>2.696119990390302E-2</v>
      </c>
      <c r="G16" s="441"/>
      <c r="H16" s="441"/>
      <c r="I16" s="441"/>
      <c r="J16" s="441"/>
      <c r="K16" s="441"/>
      <c r="L16" s="441"/>
      <c r="M16" s="441"/>
      <c r="N16" s="441"/>
      <c r="O16" s="441"/>
      <c r="P16" s="441"/>
      <c r="Q16" s="441"/>
    </row>
    <row r="17" spans="1:18" ht="15" customHeight="1" x14ac:dyDescent="0.4">
      <c r="A17" s="136" t="s">
        <v>277</v>
      </c>
      <c r="B17" s="270">
        <v>91638</v>
      </c>
      <c r="C17" s="59">
        <v>4.3874459810256533E-3</v>
      </c>
      <c r="D17" s="270">
        <v>68372</v>
      </c>
      <c r="E17" s="59">
        <v>3.2131958148937539E-3</v>
      </c>
      <c r="G17" s="441"/>
      <c r="H17" s="441"/>
      <c r="I17" s="441"/>
      <c r="J17" s="441"/>
      <c r="K17" s="441"/>
      <c r="L17" s="441"/>
      <c r="M17" s="441"/>
      <c r="N17" s="441"/>
      <c r="O17" s="441"/>
      <c r="P17" s="441"/>
      <c r="Q17" s="441"/>
    </row>
    <row r="18" spans="1:18" ht="15" customHeight="1" x14ac:dyDescent="0.4">
      <c r="A18" s="136" t="s">
        <v>276</v>
      </c>
      <c r="B18" s="270">
        <v>424000</v>
      </c>
      <c r="C18" s="59">
        <v>2.030028040719873E-2</v>
      </c>
      <c r="D18" s="270">
        <v>543681</v>
      </c>
      <c r="E18" s="59">
        <v>2.5550715407436538E-2</v>
      </c>
      <c r="G18" s="441"/>
      <c r="H18" s="441"/>
      <c r="I18" s="441"/>
      <c r="J18" s="441"/>
      <c r="K18" s="441"/>
      <c r="L18" s="441"/>
      <c r="M18" s="441"/>
      <c r="N18" s="441"/>
      <c r="O18" s="441"/>
      <c r="P18" s="441"/>
      <c r="Q18" s="441"/>
    </row>
    <row r="19" spans="1:18" ht="15" customHeight="1" x14ac:dyDescent="0.4">
      <c r="A19" s="136" t="s">
        <v>278</v>
      </c>
      <c r="B19" s="270">
        <v>19350</v>
      </c>
      <c r="C19" s="59">
        <v>9.2643968367758344E-4</v>
      </c>
      <c r="D19" s="270">
        <v>17664</v>
      </c>
      <c r="E19" s="59">
        <v>8.3013354698243823E-4</v>
      </c>
      <c r="G19" s="441"/>
      <c r="H19" s="441"/>
      <c r="I19" s="441"/>
      <c r="J19" s="441"/>
      <c r="K19" s="441"/>
      <c r="L19" s="441"/>
      <c r="M19" s="441"/>
      <c r="N19" s="441"/>
      <c r="O19" s="441"/>
      <c r="P19" s="441"/>
      <c r="Q19" s="441"/>
    </row>
    <row r="20" spans="1:18" ht="15" customHeight="1" x14ac:dyDescent="0.4">
      <c r="A20" s="136" t="s">
        <v>34</v>
      </c>
      <c r="B20" s="270">
        <v>623072</v>
      </c>
      <c r="C20" s="59">
        <v>2.9831453570457845E-2</v>
      </c>
      <c r="D20" s="270">
        <v>594475</v>
      </c>
      <c r="E20" s="59">
        <v>2.7937819312861469E-2</v>
      </c>
      <c r="G20" s="441"/>
      <c r="H20" s="441"/>
      <c r="I20" s="441"/>
      <c r="J20" s="441"/>
      <c r="K20" s="441"/>
      <c r="L20" s="441"/>
      <c r="M20" s="441"/>
      <c r="N20" s="441"/>
      <c r="O20" s="441"/>
      <c r="P20" s="441"/>
      <c r="Q20" s="441"/>
    </row>
    <row r="21" spans="1:18" ht="15" customHeight="1" thickBot="1" x14ac:dyDescent="0.45">
      <c r="A21" s="136" t="s">
        <v>101</v>
      </c>
      <c r="B21" s="270">
        <v>471577</v>
      </c>
      <c r="C21" s="59">
        <v>2.2578172956569706E-2</v>
      </c>
      <c r="D21" s="270">
        <v>1022065</v>
      </c>
      <c r="E21" s="59">
        <v>4.8032747038983567E-2</v>
      </c>
      <c r="G21" s="441"/>
      <c r="H21" s="441"/>
      <c r="I21" s="441"/>
      <c r="J21" s="441"/>
      <c r="K21" s="441"/>
      <c r="L21" s="441"/>
      <c r="M21" s="441"/>
      <c r="N21" s="441"/>
      <c r="O21" s="441"/>
      <c r="P21" s="441"/>
      <c r="Q21" s="441"/>
    </row>
    <row r="22" spans="1:18" ht="15" customHeight="1" thickBot="1" x14ac:dyDescent="0.45">
      <c r="A22" s="158" t="s">
        <v>49</v>
      </c>
      <c r="B22" s="256">
        <v>20886411</v>
      </c>
      <c r="C22" s="346"/>
      <c r="D22" s="256">
        <v>21278504</v>
      </c>
      <c r="E22" s="346"/>
      <c r="G22" s="441"/>
      <c r="H22" s="441"/>
      <c r="I22" s="441"/>
      <c r="J22" s="441"/>
      <c r="K22" s="441"/>
      <c r="L22" s="441"/>
      <c r="M22" s="441"/>
      <c r="N22" s="441"/>
      <c r="O22" s="441"/>
      <c r="P22" s="441"/>
      <c r="Q22" s="441"/>
    </row>
    <row r="23" spans="1:18" ht="5.0999999999999996" customHeight="1" x14ac:dyDescent="0.4">
      <c r="G23" s="441"/>
      <c r="H23" s="441"/>
      <c r="I23" s="441"/>
      <c r="J23" s="441"/>
      <c r="K23" s="441"/>
      <c r="L23" s="441"/>
      <c r="M23" s="441"/>
      <c r="N23" s="441"/>
      <c r="O23" s="441"/>
      <c r="P23" s="441"/>
      <c r="Q23" s="441"/>
    </row>
    <row r="24" spans="1:18" ht="17.100000000000001" customHeight="1" thickBot="1" x14ac:dyDescent="0.45">
      <c r="A24" s="538" t="s">
        <v>10</v>
      </c>
      <c r="B24" s="538"/>
      <c r="C24" s="538"/>
      <c r="D24" s="538"/>
      <c r="E24" s="538"/>
      <c r="F24" s="538"/>
      <c r="G24" s="441"/>
      <c r="H24" s="441"/>
      <c r="I24" s="441"/>
      <c r="J24" s="441"/>
      <c r="K24" s="441"/>
      <c r="L24" s="441"/>
      <c r="M24" s="441"/>
      <c r="N24" s="441"/>
      <c r="O24" s="441"/>
      <c r="P24" s="441"/>
      <c r="Q24" s="441"/>
    </row>
    <row r="25" spans="1:18" ht="17.100000000000001" customHeight="1" x14ac:dyDescent="0.4">
      <c r="A25" s="540" t="s">
        <v>898</v>
      </c>
      <c r="B25" s="540"/>
      <c r="C25" s="540"/>
      <c r="D25" s="540"/>
      <c r="E25" s="540"/>
      <c r="F25" s="540"/>
      <c r="G25" s="441"/>
      <c r="H25" s="441"/>
      <c r="I25" s="441"/>
      <c r="J25" s="441"/>
      <c r="K25" s="441"/>
      <c r="L25" s="441"/>
      <c r="M25" s="441"/>
      <c r="N25" s="441"/>
      <c r="O25" s="441"/>
      <c r="P25" s="441"/>
      <c r="Q25" s="441"/>
    </row>
    <row r="26" spans="1:18" ht="17.100000000000001" customHeight="1" x14ac:dyDescent="0.45">
      <c r="A26" s="505" t="s">
        <v>780</v>
      </c>
      <c r="B26" s="505"/>
      <c r="C26" s="505"/>
      <c r="D26" s="505"/>
      <c r="E26" s="505"/>
      <c r="F26" s="505"/>
      <c r="G26" s="505"/>
      <c r="H26" s="126"/>
      <c r="I26" s="126"/>
      <c r="J26" s="126"/>
      <c r="K26" s="126"/>
      <c r="L26" s="126"/>
      <c r="M26" s="126"/>
      <c r="N26" s="126"/>
      <c r="O26" s="126"/>
      <c r="P26" s="126"/>
      <c r="Q26" s="126"/>
      <c r="R26" s="126"/>
    </row>
    <row r="27" spans="1:18" ht="17.100000000000001" customHeight="1" x14ac:dyDescent="0.4">
      <c r="A27" s="508" t="s">
        <v>575</v>
      </c>
      <c r="B27" s="508"/>
      <c r="C27" s="508"/>
      <c r="D27" s="508"/>
      <c r="E27" s="508"/>
      <c r="F27" s="508"/>
    </row>
    <row r="28" spans="1:18" ht="12.6" thickBot="1" x14ac:dyDescent="0.45">
      <c r="A28" s="537" t="s">
        <v>845</v>
      </c>
      <c r="B28" s="537"/>
      <c r="C28" s="537"/>
      <c r="D28" s="537"/>
      <c r="E28" s="537"/>
      <c r="F28" s="537"/>
    </row>
    <row r="29" spans="1:18" x14ac:dyDescent="0.4">
      <c r="A29" s="131"/>
      <c r="F29" s="131"/>
    </row>
    <row r="30" spans="1:18" x14ac:dyDescent="0.4">
      <c r="A30" s="124" t="s">
        <v>614</v>
      </c>
      <c r="F30" s="131"/>
    </row>
  </sheetData>
  <mergeCells count="9">
    <mergeCell ref="A25:F25"/>
    <mergeCell ref="A27:F27"/>
    <mergeCell ref="A28:F28"/>
    <mergeCell ref="A26:G26"/>
    <mergeCell ref="A2:F2"/>
    <mergeCell ref="A3:E3"/>
    <mergeCell ref="B5:C5"/>
    <mergeCell ref="D5:E5"/>
    <mergeCell ref="A24:F24"/>
  </mergeCells>
  <hyperlinks>
    <hyperlink ref="A30" location="Contents!A1" display="Return to Contents" xr:uid="{00000000-0004-0000-2600-000000000000}"/>
    <hyperlink ref="A27:F27" r:id="rId1" display="Contact via enquiries@NHSDigital.nhs.uk or 0300 303 5678" xr:uid="{00000000-0004-0000-2600-000001000000}"/>
  </hyperlinks>
  <pageMargins left="0.78740157480314965" right="0.78740157480314965" top="0.78740157480314965" bottom="0.78740157480314965" header="0.78740157480314965" footer="0.78740157480314965"/>
  <pageSetup paperSize="9" orientation="landscape" r:id="rId2"/>
  <headerFooter alignWithMargins="0">
    <oddFooter>&amp;L&amp;C&amp;R</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8"/>
  <dimension ref="A1:R82"/>
  <sheetViews>
    <sheetView zoomScaleNormal="100" workbookViewId="0"/>
  </sheetViews>
  <sheetFormatPr defaultColWidth="9.109375" defaultRowHeight="13.8" x14ac:dyDescent="0.45"/>
  <cols>
    <col min="1" max="1" width="13.6640625" style="189" customWidth="1"/>
    <col min="2" max="6" width="14.5546875" style="189" customWidth="1"/>
    <col min="7" max="7" width="9.109375" style="189" customWidth="1"/>
    <col min="8" max="16384" width="9.109375" style="189"/>
  </cols>
  <sheetData>
    <row r="1" spans="1:7" ht="15" customHeight="1" x14ac:dyDescent="0.45"/>
    <row r="2" spans="1:7" ht="56.25" customHeight="1" x14ac:dyDescent="0.45">
      <c r="A2" s="546" t="s">
        <v>868</v>
      </c>
      <c r="B2" s="546"/>
      <c r="C2" s="546"/>
      <c r="D2" s="546"/>
      <c r="E2" s="546"/>
      <c r="F2" s="546"/>
      <c r="G2" s="546"/>
    </row>
    <row r="3" spans="1:7" ht="30" customHeight="1" x14ac:dyDescent="0.45">
      <c r="A3" s="598" t="s">
        <v>783</v>
      </c>
      <c r="B3" s="598"/>
      <c r="C3" s="598"/>
      <c r="D3" s="598"/>
      <c r="E3" s="598"/>
      <c r="F3" s="598"/>
      <c r="G3" s="598"/>
    </row>
    <row r="4" spans="1:7" ht="11.25" customHeight="1" thickBot="1" x14ac:dyDescent="0.5"/>
    <row r="5" spans="1:7" s="192" customFormat="1" ht="41.25" customHeight="1" thickBot="1" x14ac:dyDescent="0.5">
      <c r="A5" s="36" t="s">
        <v>657</v>
      </c>
      <c r="B5" s="194" t="s">
        <v>642</v>
      </c>
      <c r="C5" s="195" t="s">
        <v>643</v>
      </c>
      <c r="D5" s="195" t="s">
        <v>644</v>
      </c>
      <c r="E5" s="195" t="s">
        <v>645</v>
      </c>
      <c r="F5" s="196" t="s">
        <v>646</v>
      </c>
      <c r="G5" s="197"/>
    </row>
    <row r="6" spans="1:7" s="192" customFormat="1" ht="15" customHeight="1" x14ac:dyDescent="0.45">
      <c r="A6" s="299" t="s">
        <v>617</v>
      </c>
      <c r="B6" s="290">
        <v>23528</v>
      </c>
      <c r="C6" s="291">
        <v>24004</v>
      </c>
      <c r="D6" s="291">
        <v>76644</v>
      </c>
      <c r="E6" s="291">
        <v>23532</v>
      </c>
      <c r="F6" s="292">
        <v>92283</v>
      </c>
      <c r="G6" s="198"/>
    </row>
    <row r="7" spans="1:7" s="192" customFormat="1" ht="15" customHeight="1" x14ac:dyDescent="0.45">
      <c r="A7" s="300" t="s">
        <v>618</v>
      </c>
      <c r="B7" s="293">
        <v>29552</v>
      </c>
      <c r="C7" s="294">
        <v>73690</v>
      </c>
      <c r="D7" s="294">
        <v>223127</v>
      </c>
      <c r="E7" s="294">
        <v>57689</v>
      </c>
      <c r="F7" s="295">
        <v>157877</v>
      </c>
      <c r="G7" s="198"/>
    </row>
    <row r="8" spans="1:7" s="192" customFormat="1" ht="15" customHeight="1" x14ac:dyDescent="0.45">
      <c r="A8" s="300" t="s">
        <v>619</v>
      </c>
      <c r="B8" s="293">
        <v>35939</v>
      </c>
      <c r="C8" s="294">
        <v>106196</v>
      </c>
      <c r="D8" s="294">
        <v>328375</v>
      </c>
      <c r="E8" s="294">
        <v>78468</v>
      </c>
      <c r="F8" s="295">
        <v>178003</v>
      </c>
      <c r="G8" s="198"/>
    </row>
    <row r="9" spans="1:7" s="192" customFormat="1" ht="15" customHeight="1" x14ac:dyDescent="0.45">
      <c r="A9" s="300" t="s">
        <v>620</v>
      </c>
      <c r="B9" s="293">
        <v>37628</v>
      </c>
      <c r="C9" s="294">
        <v>120656</v>
      </c>
      <c r="D9" s="294">
        <v>366036</v>
      </c>
      <c r="E9" s="294">
        <v>87288</v>
      </c>
      <c r="F9" s="295">
        <v>169674</v>
      </c>
      <c r="G9" s="198"/>
    </row>
    <row r="10" spans="1:7" s="192" customFormat="1" ht="15" customHeight="1" x14ac:dyDescent="0.45">
      <c r="A10" s="300" t="s">
        <v>621</v>
      </c>
      <c r="B10" s="293">
        <v>37489</v>
      </c>
      <c r="C10" s="294">
        <v>128245</v>
      </c>
      <c r="D10" s="294">
        <v>385471</v>
      </c>
      <c r="E10" s="294">
        <v>94519</v>
      </c>
      <c r="F10" s="295">
        <v>155402</v>
      </c>
      <c r="G10" s="198"/>
    </row>
    <row r="11" spans="1:7" s="192" customFormat="1" ht="15" customHeight="1" x14ac:dyDescent="0.45">
      <c r="A11" s="300" t="s">
        <v>622</v>
      </c>
      <c r="B11" s="293">
        <v>36922</v>
      </c>
      <c r="C11" s="294">
        <v>132842</v>
      </c>
      <c r="D11" s="294">
        <v>395052</v>
      </c>
      <c r="E11" s="294">
        <v>100570</v>
      </c>
      <c r="F11" s="295">
        <v>141707</v>
      </c>
      <c r="G11" s="198"/>
    </row>
    <row r="12" spans="1:7" s="192" customFormat="1" ht="15" customHeight="1" x14ac:dyDescent="0.45">
      <c r="A12" s="300" t="s">
        <v>623</v>
      </c>
      <c r="B12" s="293">
        <v>37772</v>
      </c>
      <c r="C12" s="294">
        <v>136296</v>
      </c>
      <c r="D12" s="294">
        <v>396900</v>
      </c>
      <c r="E12" s="294">
        <v>103781</v>
      </c>
      <c r="F12" s="295">
        <v>130014</v>
      </c>
      <c r="G12" s="198"/>
    </row>
    <row r="13" spans="1:7" s="192" customFormat="1" ht="15" customHeight="1" x14ac:dyDescent="0.45">
      <c r="A13" s="300" t="s">
        <v>624</v>
      </c>
      <c r="B13" s="293">
        <v>38712</v>
      </c>
      <c r="C13" s="294">
        <v>137545</v>
      </c>
      <c r="D13" s="294">
        <v>393337</v>
      </c>
      <c r="E13" s="294">
        <v>106167</v>
      </c>
      <c r="F13" s="295">
        <v>119084</v>
      </c>
      <c r="G13" s="198"/>
    </row>
    <row r="14" spans="1:7" s="192" customFormat="1" ht="15" customHeight="1" x14ac:dyDescent="0.45">
      <c r="A14" s="300" t="s">
        <v>625</v>
      </c>
      <c r="B14" s="293">
        <v>40628</v>
      </c>
      <c r="C14" s="294">
        <v>139007</v>
      </c>
      <c r="D14" s="294">
        <v>385474</v>
      </c>
      <c r="E14" s="294">
        <v>107419</v>
      </c>
      <c r="F14" s="295">
        <v>109344</v>
      </c>
      <c r="G14" s="198"/>
    </row>
    <row r="15" spans="1:7" s="192" customFormat="1" ht="15" customHeight="1" x14ac:dyDescent="0.45">
      <c r="A15" s="300" t="s">
        <v>626</v>
      </c>
      <c r="B15" s="293">
        <v>44153</v>
      </c>
      <c r="C15" s="294">
        <v>140416</v>
      </c>
      <c r="D15" s="294">
        <v>375166</v>
      </c>
      <c r="E15" s="294">
        <v>106565</v>
      </c>
      <c r="F15" s="295">
        <v>101842</v>
      </c>
      <c r="G15" s="198"/>
    </row>
    <row r="16" spans="1:7" s="192" customFormat="1" ht="15" customHeight="1" x14ac:dyDescent="0.45">
      <c r="A16" s="300" t="s">
        <v>627</v>
      </c>
      <c r="B16" s="293">
        <v>47997</v>
      </c>
      <c r="C16" s="294">
        <v>141514</v>
      </c>
      <c r="D16" s="294">
        <v>364442</v>
      </c>
      <c r="E16" s="294">
        <v>104492</v>
      </c>
      <c r="F16" s="295">
        <v>95250</v>
      </c>
      <c r="G16" s="198"/>
    </row>
    <row r="17" spans="1:7" s="192" customFormat="1" ht="15" customHeight="1" x14ac:dyDescent="0.45">
      <c r="A17" s="300" t="s">
        <v>628</v>
      </c>
      <c r="B17" s="293">
        <v>53766</v>
      </c>
      <c r="C17" s="294">
        <v>142104</v>
      </c>
      <c r="D17" s="294">
        <v>352948</v>
      </c>
      <c r="E17" s="294">
        <v>102339</v>
      </c>
      <c r="F17" s="295">
        <v>89092</v>
      </c>
      <c r="G17" s="198"/>
    </row>
    <row r="18" spans="1:7" s="192" customFormat="1" ht="15" customHeight="1" x14ac:dyDescent="0.45">
      <c r="A18" s="300" t="s">
        <v>629</v>
      </c>
      <c r="B18" s="293">
        <v>58972</v>
      </c>
      <c r="C18" s="294">
        <v>143673</v>
      </c>
      <c r="D18" s="294">
        <v>343511</v>
      </c>
      <c r="E18" s="294">
        <v>99847</v>
      </c>
      <c r="F18" s="295">
        <v>84474</v>
      </c>
      <c r="G18" s="198"/>
    </row>
    <row r="19" spans="1:7" s="192" customFormat="1" ht="15" customHeight="1" x14ac:dyDescent="0.45">
      <c r="A19" s="300" t="s">
        <v>630</v>
      </c>
      <c r="B19" s="293">
        <v>65965</v>
      </c>
      <c r="C19" s="294">
        <v>142998</v>
      </c>
      <c r="D19" s="294">
        <v>329212</v>
      </c>
      <c r="E19" s="294">
        <v>95380</v>
      </c>
      <c r="F19" s="295">
        <v>79449</v>
      </c>
      <c r="G19" s="198"/>
    </row>
    <row r="20" spans="1:7" s="192" customFormat="1" ht="15" customHeight="1" x14ac:dyDescent="0.45">
      <c r="A20" s="300" t="s">
        <v>631</v>
      </c>
      <c r="B20" s="293">
        <v>73190</v>
      </c>
      <c r="C20" s="294">
        <v>143827</v>
      </c>
      <c r="D20" s="294">
        <v>316634</v>
      </c>
      <c r="E20" s="294">
        <v>91092</v>
      </c>
      <c r="F20" s="295">
        <v>74940</v>
      </c>
      <c r="G20" s="198"/>
    </row>
    <row r="21" spans="1:7" s="192" customFormat="1" ht="15" customHeight="1" x14ac:dyDescent="0.45">
      <c r="A21" s="300" t="s">
        <v>632</v>
      </c>
      <c r="B21" s="293">
        <v>81905</v>
      </c>
      <c r="C21" s="294">
        <v>141516</v>
      </c>
      <c r="D21" s="294">
        <v>303015</v>
      </c>
      <c r="E21" s="294">
        <v>87363</v>
      </c>
      <c r="F21" s="295">
        <v>71741</v>
      </c>
      <c r="G21" s="198"/>
    </row>
    <row r="22" spans="1:7" s="192" customFormat="1" ht="15" customHeight="1" x14ac:dyDescent="0.45">
      <c r="A22" s="300" t="s">
        <v>633</v>
      </c>
      <c r="B22" s="293">
        <v>90533</v>
      </c>
      <c r="C22" s="294">
        <v>140296</v>
      </c>
      <c r="D22" s="294">
        <v>289467</v>
      </c>
      <c r="E22" s="294">
        <v>82926</v>
      </c>
      <c r="F22" s="295">
        <v>69054</v>
      </c>
      <c r="G22" s="198"/>
    </row>
    <row r="23" spans="1:7" s="192" customFormat="1" ht="15" customHeight="1" x14ac:dyDescent="0.45">
      <c r="A23" s="300" t="s">
        <v>634</v>
      </c>
      <c r="B23" s="293">
        <v>100983</v>
      </c>
      <c r="C23" s="294">
        <v>139010</v>
      </c>
      <c r="D23" s="294">
        <v>278874</v>
      </c>
      <c r="E23" s="294">
        <v>79597</v>
      </c>
      <c r="F23" s="295">
        <v>66616</v>
      </c>
      <c r="G23" s="198"/>
    </row>
    <row r="24" spans="1:7" s="192" customFormat="1" ht="15" customHeight="1" x14ac:dyDescent="0.45">
      <c r="A24" s="300" t="s">
        <v>635</v>
      </c>
      <c r="B24" s="293">
        <v>116218</v>
      </c>
      <c r="C24" s="294">
        <v>143208</v>
      </c>
      <c r="D24" s="294">
        <v>278579</v>
      </c>
      <c r="E24" s="294">
        <v>78646</v>
      </c>
      <c r="F24" s="295">
        <v>66643</v>
      </c>
      <c r="G24" s="198"/>
    </row>
    <row r="25" spans="1:7" s="192" customFormat="1" ht="15" customHeight="1" x14ac:dyDescent="0.45">
      <c r="A25" s="300" t="s">
        <v>636</v>
      </c>
      <c r="B25" s="293">
        <v>133974</v>
      </c>
      <c r="C25" s="294">
        <v>139857</v>
      </c>
      <c r="D25" s="294">
        <v>265572</v>
      </c>
      <c r="E25" s="294">
        <v>74569</v>
      </c>
      <c r="F25" s="295">
        <v>64712</v>
      </c>
      <c r="G25" s="198"/>
    </row>
    <row r="26" spans="1:7" s="192" customFormat="1" ht="15" customHeight="1" x14ac:dyDescent="0.45">
      <c r="A26" s="300" t="s">
        <v>637</v>
      </c>
      <c r="B26" s="293">
        <v>158459</v>
      </c>
      <c r="C26" s="294">
        <v>138752</v>
      </c>
      <c r="D26" s="294">
        <v>255965</v>
      </c>
      <c r="E26" s="294">
        <v>71141</v>
      </c>
      <c r="F26" s="295">
        <v>63496</v>
      </c>
      <c r="G26" s="198"/>
    </row>
    <row r="27" spans="1:7" s="192" customFormat="1" ht="15" customHeight="1" x14ac:dyDescent="0.45">
      <c r="A27" s="300" t="s">
        <v>638</v>
      </c>
      <c r="B27" s="293">
        <v>194534</v>
      </c>
      <c r="C27" s="294">
        <v>137295</v>
      </c>
      <c r="D27" s="294">
        <v>248405</v>
      </c>
      <c r="E27" s="294">
        <v>68680</v>
      </c>
      <c r="F27" s="295">
        <v>62900</v>
      </c>
      <c r="G27" s="198"/>
    </row>
    <row r="28" spans="1:7" s="192" customFormat="1" ht="15" customHeight="1" x14ac:dyDescent="0.45">
      <c r="A28" s="300" t="s">
        <v>639</v>
      </c>
      <c r="B28" s="293">
        <v>278404</v>
      </c>
      <c r="C28" s="294">
        <v>150005</v>
      </c>
      <c r="D28" s="294">
        <v>267170</v>
      </c>
      <c r="E28" s="294">
        <v>73929</v>
      </c>
      <c r="F28" s="295">
        <v>69472</v>
      </c>
      <c r="G28" s="198"/>
    </row>
    <row r="29" spans="1:7" s="192" customFormat="1" ht="15" customHeight="1" x14ac:dyDescent="0.45">
      <c r="A29" s="300" t="s">
        <v>640</v>
      </c>
      <c r="B29" s="293">
        <v>745363</v>
      </c>
      <c r="C29" s="294">
        <v>241952</v>
      </c>
      <c r="D29" s="294">
        <v>422700</v>
      </c>
      <c r="E29" s="294">
        <v>117587</v>
      </c>
      <c r="F29" s="295">
        <v>123296</v>
      </c>
      <c r="G29" s="198"/>
    </row>
    <row r="30" spans="1:7" s="192" customFormat="1" ht="15" customHeight="1" thickBot="1" x14ac:dyDescent="0.5">
      <c r="A30" s="301" t="s">
        <v>641</v>
      </c>
      <c r="B30" s="296">
        <v>1476256</v>
      </c>
      <c r="C30" s="297">
        <v>316278</v>
      </c>
      <c r="D30" s="297">
        <v>737986</v>
      </c>
      <c r="E30" s="297">
        <v>156056</v>
      </c>
      <c r="F30" s="298">
        <v>258227</v>
      </c>
      <c r="G30" s="198"/>
    </row>
    <row r="31" spans="1:7" s="192" customFormat="1" ht="4.5" customHeight="1" x14ac:dyDescent="0.45">
      <c r="A31" s="197"/>
      <c r="B31" s="198"/>
      <c r="C31" s="198"/>
      <c r="D31" s="198"/>
      <c r="E31" s="198"/>
      <c r="F31" s="198"/>
      <c r="G31" s="198"/>
    </row>
    <row r="32" spans="1:7" ht="15" customHeight="1" thickBot="1" x14ac:dyDescent="0.5">
      <c r="A32" s="599" t="s">
        <v>10</v>
      </c>
      <c r="B32" s="599"/>
      <c r="C32" s="599"/>
      <c r="D32" s="599"/>
      <c r="E32" s="599"/>
      <c r="F32" s="599"/>
      <c r="G32" s="599"/>
    </row>
    <row r="33" spans="1:18" ht="16.5" customHeight="1" x14ac:dyDescent="0.45">
      <c r="A33" s="559" t="s">
        <v>898</v>
      </c>
      <c r="B33" s="559"/>
      <c r="C33" s="559"/>
      <c r="D33" s="559"/>
      <c r="E33" s="559"/>
      <c r="F33" s="559"/>
      <c r="G33" s="559"/>
    </row>
    <row r="34" spans="1:18" ht="16.5" customHeight="1" x14ac:dyDescent="0.45">
      <c r="A34" s="505" t="s">
        <v>780</v>
      </c>
      <c r="B34" s="505"/>
      <c r="C34" s="505"/>
      <c r="D34" s="505"/>
      <c r="E34" s="505"/>
      <c r="F34" s="505"/>
      <c r="G34" s="505"/>
      <c r="H34" s="120"/>
      <c r="I34" s="120"/>
      <c r="J34" s="120"/>
      <c r="K34" s="120"/>
      <c r="L34" s="120"/>
      <c r="M34" s="120"/>
      <c r="N34" s="120"/>
      <c r="O34" s="120"/>
      <c r="P34" s="120"/>
      <c r="Q34" s="120"/>
      <c r="R34" s="120"/>
    </row>
    <row r="35" spans="1:18" ht="16.5" customHeight="1" x14ac:dyDescent="0.45">
      <c r="A35" s="555" t="s">
        <v>575</v>
      </c>
      <c r="B35" s="555"/>
      <c r="C35" s="555"/>
      <c r="D35" s="555"/>
      <c r="E35" s="555"/>
      <c r="F35" s="555"/>
      <c r="G35" s="555"/>
    </row>
    <row r="36" spans="1:18" ht="14.1" thickBot="1" x14ac:dyDescent="0.5">
      <c r="A36" s="556" t="s">
        <v>845</v>
      </c>
      <c r="B36" s="556"/>
      <c r="C36" s="556"/>
      <c r="D36" s="556"/>
      <c r="E36" s="556"/>
      <c r="F36" s="556"/>
      <c r="G36" s="556"/>
    </row>
    <row r="37" spans="1:18" x14ac:dyDescent="0.45">
      <c r="A37" s="192"/>
      <c r="B37" s="190"/>
      <c r="C37" s="190"/>
      <c r="D37" s="190"/>
      <c r="E37" s="190"/>
      <c r="F37" s="190"/>
      <c r="G37" s="190"/>
    </row>
    <row r="38" spans="1:18" x14ac:dyDescent="0.45">
      <c r="A38" s="597" t="s">
        <v>614</v>
      </c>
      <c r="B38" s="597"/>
      <c r="C38" s="190"/>
      <c r="D38" s="190"/>
      <c r="E38" s="190"/>
      <c r="F38" s="190"/>
      <c r="G38" s="191"/>
    </row>
    <row r="39" spans="1:18" x14ac:dyDescent="0.45">
      <c r="A39" s="197"/>
      <c r="B39" s="190"/>
      <c r="C39" s="190"/>
      <c r="D39" s="190"/>
      <c r="E39" s="190"/>
      <c r="F39" s="190"/>
    </row>
    <row r="40" spans="1:18" x14ac:dyDescent="0.45">
      <c r="A40" s="197"/>
      <c r="B40" s="191"/>
      <c r="C40" s="191"/>
      <c r="D40" s="191"/>
      <c r="E40" s="191"/>
      <c r="F40" s="191"/>
    </row>
    <row r="41" spans="1:18" x14ac:dyDescent="0.45">
      <c r="A41" s="197"/>
      <c r="B41" s="191"/>
      <c r="C41" s="191"/>
      <c r="D41" s="191"/>
      <c r="E41" s="191"/>
      <c r="F41" s="191"/>
    </row>
    <row r="42" spans="1:18" x14ac:dyDescent="0.45">
      <c r="A42" s="197"/>
      <c r="B42" s="191"/>
      <c r="C42" s="191"/>
      <c r="D42" s="191"/>
      <c r="E42" s="191"/>
      <c r="F42" s="191"/>
    </row>
    <row r="43" spans="1:18" x14ac:dyDescent="0.45">
      <c r="A43" s="197"/>
      <c r="B43" s="191"/>
      <c r="C43" s="191"/>
      <c r="D43" s="191"/>
      <c r="E43" s="191"/>
      <c r="F43" s="191"/>
    </row>
    <row r="44" spans="1:18" x14ac:dyDescent="0.45">
      <c r="A44" s="197"/>
      <c r="B44" s="191"/>
      <c r="C44" s="191"/>
      <c r="D44" s="191"/>
      <c r="E44" s="191"/>
      <c r="F44" s="191"/>
    </row>
    <row r="45" spans="1:18" x14ac:dyDescent="0.45">
      <c r="A45" s="197"/>
      <c r="B45" s="191"/>
      <c r="C45" s="191"/>
      <c r="D45" s="191"/>
      <c r="E45" s="191"/>
      <c r="F45" s="191"/>
    </row>
    <row r="46" spans="1:18" x14ac:dyDescent="0.45">
      <c r="A46" s="197"/>
    </row>
    <row r="47" spans="1:18" x14ac:dyDescent="0.45">
      <c r="A47" s="197"/>
    </row>
    <row r="48" spans="1:18" x14ac:dyDescent="0.45">
      <c r="A48" s="197"/>
    </row>
    <row r="49" spans="1:1" x14ac:dyDescent="0.45">
      <c r="A49" s="197"/>
    </row>
    <row r="50" spans="1:1" x14ac:dyDescent="0.45">
      <c r="A50" s="197"/>
    </row>
    <row r="51" spans="1:1" x14ac:dyDescent="0.45">
      <c r="A51" s="197"/>
    </row>
    <row r="52" spans="1:1" x14ac:dyDescent="0.45">
      <c r="A52" s="197"/>
    </row>
    <row r="53" spans="1:1" x14ac:dyDescent="0.45">
      <c r="A53" s="197"/>
    </row>
    <row r="54" spans="1:1" x14ac:dyDescent="0.45">
      <c r="A54" s="197"/>
    </row>
    <row r="55" spans="1:1" x14ac:dyDescent="0.45">
      <c r="A55" s="197"/>
    </row>
    <row r="56" spans="1:1" x14ac:dyDescent="0.45">
      <c r="A56" s="197"/>
    </row>
    <row r="57" spans="1:1" x14ac:dyDescent="0.45">
      <c r="A57" s="197"/>
    </row>
    <row r="58" spans="1:1" x14ac:dyDescent="0.45">
      <c r="A58" s="197"/>
    </row>
    <row r="59" spans="1:1" x14ac:dyDescent="0.45">
      <c r="A59" s="197"/>
    </row>
    <row r="60" spans="1:1" x14ac:dyDescent="0.45">
      <c r="A60" s="197"/>
    </row>
    <row r="61" spans="1:1" x14ac:dyDescent="0.45">
      <c r="A61" s="197"/>
    </row>
    <row r="62" spans="1:1" x14ac:dyDescent="0.45">
      <c r="A62" s="197"/>
    </row>
    <row r="63" spans="1:1" x14ac:dyDescent="0.45">
      <c r="A63" s="197"/>
    </row>
    <row r="66" spans="1:1" x14ac:dyDescent="0.45">
      <c r="A66" s="197"/>
    </row>
    <row r="67" spans="1:1" x14ac:dyDescent="0.45">
      <c r="A67" s="197"/>
    </row>
    <row r="68" spans="1:1" x14ac:dyDescent="0.45">
      <c r="A68" s="197"/>
    </row>
    <row r="69" spans="1:1" x14ac:dyDescent="0.45">
      <c r="A69" s="197"/>
    </row>
    <row r="70" spans="1:1" x14ac:dyDescent="0.45">
      <c r="A70" s="197"/>
    </row>
    <row r="71" spans="1:1" x14ac:dyDescent="0.45">
      <c r="A71" s="197"/>
    </row>
    <row r="72" spans="1:1" x14ac:dyDescent="0.45">
      <c r="A72" s="197"/>
    </row>
    <row r="76" spans="1:1" x14ac:dyDescent="0.45">
      <c r="A76" s="197"/>
    </row>
    <row r="77" spans="1:1" x14ac:dyDescent="0.45">
      <c r="A77" s="197"/>
    </row>
    <row r="78" spans="1:1" x14ac:dyDescent="0.45">
      <c r="A78" s="197"/>
    </row>
    <row r="79" spans="1:1" x14ac:dyDescent="0.45">
      <c r="A79" s="197"/>
    </row>
    <row r="80" spans="1:1" x14ac:dyDescent="0.45">
      <c r="A80" s="197"/>
    </row>
    <row r="81" spans="1:1" x14ac:dyDescent="0.45">
      <c r="A81" s="197"/>
    </row>
    <row r="82" spans="1:1" x14ac:dyDescent="0.45">
      <c r="A82" s="197"/>
    </row>
  </sheetData>
  <mergeCells count="8">
    <mergeCell ref="A38:B38"/>
    <mergeCell ref="A33:G33"/>
    <mergeCell ref="A35:G35"/>
    <mergeCell ref="A36:G36"/>
    <mergeCell ref="A2:G2"/>
    <mergeCell ref="A3:G3"/>
    <mergeCell ref="A32:G32"/>
    <mergeCell ref="A34:G34"/>
  </mergeCells>
  <hyperlinks>
    <hyperlink ref="A35:F35" r:id="rId1" display="Contact via enquiries@NHSDigital.nhs.uk or 0300 303 5678" xr:uid="{00000000-0004-0000-2700-000000000000}"/>
    <hyperlink ref="A38" location="Contents!A1" display="Return to Contents" xr:uid="{00000000-0004-0000-2700-000001000000}"/>
  </hyperlinks>
  <pageMargins left="0.7" right="0.7" top="0.75" bottom="0.75" header="0.3" footer="0.3"/>
  <pageSetup paperSize="9" orientation="landscape"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36">
    <pageSetUpPr fitToPage="1"/>
  </sheetPr>
  <dimension ref="A1:J291"/>
  <sheetViews>
    <sheetView showGridLines="0" zoomScaleNormal="100" workbookViewId="0"/>
  </sheetViews>
  <sheetFormatPr defaultColWidth="9.109375" defaultRowHeight="12.3" x14ac:dyDescent="0.4"/>
  <cols>
    <col min="1" max="1" width="64.6640625" style="113" bestFit="1" customWidth="1"/>
    <col min="2" max="2" width="13.44140625" style="113" customWidth="1"/>
    <col min="3" max="8" width="17.88671875" style="113" customWidth="1"/>
    <col min="9" max="9" width="9.109375" style="113" customWidth="1"/>
    <col min="10" max="10" width="9.109375" style="159"/>
    <col min="11" max="16384" width="9.109375" style="113"/>
  </cols>
  <sheetData>
    <row r="1" spans="1:10" s="351" customFormat="1" ht="15" customHeight="1" x14ac:dyDescent="0.4">
      <c r="J1" s="159"/>
    </row>
    <row r="2" spans="1:10" ht="56.25" customHeight="1" x14ac:dyDescent="0.4">
      <c r="A2" s="522" t="s">
        <v>869</v>
      </c>
      <c r="B2" s="522"/>
      <c r="C2" s="522"/>
      <c r="D2" s="522"/>
      <c r="E2" s="522"/>
      <c r="F2" s="522"/>
      <c r="G2" s="522"/>
      <c r="H2" s="522"/>
      <c r="J2" s="161"/>
    </row>
    <row r="3" spans="1:10" ht="30" customHeight="1" x14ac:dyDescent="0.4">
      <c r="A3" s="524" t="s">
        <v>783</v>
      </c>
      <c r="B3" s="524"/>
      <c r="C3" s="524"/>
      <c r="D3" s="524"/>
      <c r="E3" s="524"/>
      <c r="F3" s="524"/>
      <c r="G3" s="524"/>
      <c r="H3" s="524"/>
      <c r="J3" s="161"/>
    </row>
    <row r="4" spans="1:10" ht="11.25" customHeight="1" thickBot="1" x14ac:dyDescent="0.45">
      <c r="J4" s="161"/>
    </row>
    <row r="5" spans="1:10" ht="15" customHeight="1" thickBot="1" x14ac:dyDescent="0.45">
      <c r="A5" s="110"/>
      <c r="B5" s="110"/>
      <c r="C5" s="589" t="s">
        <v>4</v>
      </c>
      <c r="D5" s="592"/>
      <c r="E5" s="590"/>
      <c r="F5" s="589" t="s">
        <v>721</v>
      </c>
      <c r="G5" s="592"/>
      <c r="H5" s="590"/>
      <c r="J5" s="161"/>
    </row>
    <row r="6" spans="1:10" ht="60" customHeight="1" thickBot="1" x14ac:dyDescent="0.45">
      <c r="A6" s="11" t="s">
        <v>279</v>
      </c>
      <c r="B6" s="11" t="s">
        <v>280</v>
      </c>
      <c r="C6" s="3" t="s">
        <v>281</v>
      </c>
      <c r="D6" s="10" t="s">
        <v>282</v>
      </c>
      <c r="E6" s="4" t="s">
        <v>581</v>
      </c>
      <c r="F6" s="3" t="s">
        <v>281</v>
      </c>
      <c r="G6" s="10" t="s">
        <v>282</v>
      </c>
      <c r="H6" s="135" t="s">
        <v>581</v>
      </c>
    </row>
    <row r="7" spans="1:10" ht="15" customHeight="1" thickBot="1" x14ac:dyDescent="0.45">
      <c r="A7" s="57"/>
      <c r="B7" s="56" t="s">
        <v>283</v>
      </c>
      <c r="C7" s="277">
        <v>21011705</v>
      </c>
      <c r="D7" s="278">
        <v>17959517</v>
      </c>
      <c r="E7" s="478">
        <v>0.85</v>
      </c>
      <c r="F7" s="281">
        <v>23830120</v>
      </c>
      <c r="G7" s="282">
        <v>21051433</v>
      </c>
      <c r="H7" s="60">
        <v>0.8833960131128169</v>
      </c>
      <c r="I7" s="162"/>
    </row>
    <row r="8" spans="1:10" ht="15" customHeight="1" x14ac:dyDescent="0.4">
      <c r="A8" s="88" t="s">
        <v>285</v>
      </c>
      <c r="B8" s="96" t="s">
        <v>286</v>
      </c>
      <c r="C8" s="473">
        <v>167270</v>
      </c>
      <c r="D8" s="474">
        <v>138035</v>
      </c>
      <c r="E8" s="477">
        <v>0.83</v>
      </c>
      <c r="F8" s="283">
        <v>167939</v>
      </c>
      <c r="G8" s="284">
        <v>139591</v>
      </c>
      <c r="H8" s="59">
        <v>0.83120061450883953</v>
      </c>
      <c r="I8" s="162"/>
    </row>
    <row r="9" spans="1:10" ht="15" customHeight="1" x14ac:dyDescent="0.4">
      <c r="A9" s="88" t="s">
        <v>287</v>
      </c>
      <c r="B9" s="96" t="s">
        <v>288</v>
      </c>
      <c r="C9" s="279">
        <v>57485</v>
      </c>
      <c r="D9" s="270">
        <v>52820</v>
      </c>
      <c r="E9" s="477">
        <v>0.92</v>
      </c>
      <c r="F9" s="285">
        <v>65560</v>
      </c>
      <c r="G9" s="270">
        <v>61168</v>
      </c>
      <c r="H9" s="59">
        <v>0.93300793166564977</v>
      </c>
      <c r="I9" s="162"/>
    </row>
    <row r="10" spans="1:10" ht="15" customHeight="1" x14ac:dyDescent="0.4">
      <c r="A10" s="88" t="s">
        <v>289</v>
      </c>
      <c r="B10" s="96" t="s">
        <v>290</v>
      </c>
      <c r="C10" s="279">
        <v>59960</v>
      </c>
      <c r="D10" s="270">
        <v>56880</v>
      </c>
      <c r="E10" s="477">
        <v>0.95</v>
      </c>
      <c r="F10" s="285">
        <v>59956</v>
      </c>
      <c r="G10" s="270">
        <v>56877</v>
      </c>
      <c r="H10" s="59">
        <v>0.9486456734938955</v>
      </c>
      <c r="I10" s="162"/>
    </row>
    <row r="11" spans="1:10" ht="15" customHeight="1" x14ac:dyDescent="0.4">
      <c r="A11" s="88" t="s">
        <v>900</v>
      </c>
      <c r="B11" s="96" t="s">
        <v>883</v>
      </c>
      <c r="C11" s="279">
        <v>4595</v>
      </c>
      <c r="D11" s="270">
        <v>4595</v>
      </c>
      <c r="E11" s="477">
        <v>1</v>
      </c>
      <c r="F11" s="285">
        <v>4734</v>
      </c>
      <c r="G11" s="270">
        <v>4734</v>
      </c>
      <c r="H11" s="59">
        <v>1</v>
      </c>
      <c r="I11" s="162"/>
    </row>
    <row r="12" spans="1:10" ht="15" customHeight="1" x14ac:dyDescent="0.4">
      <c r="A12" s="88" t="s">
        <v>706</v>
      </c>
      <c r="B12" s="96" t="s">
        <v>291</v>
      </c>
      <c r="C12" s="279">
        <v>101150</v>
      </c>
      <c r="D12" s="270">
        <v>85975</v>
      </c>
      <c r="E12" s="477">
        <v>0.85</v>
      </c>
      <c r="F12" s="285">
        <v>109390</v>
      </c>
      <c r="G12" s="270">
        <v>94237</v>
      </c>
      <c r="H12" s="59">
        <v>0.86147728311545846</v>
      </c>
      <c r="I12" s="162"/>
    </row>
    <row r="13" spans="1:10" ht="15" customHeight="1" x14ac:dyDescent="0.4">
      <c r="A13" s="88" t="s">
        <v>1021</v>
      </c>
      <c r="B13" s="96" t="s">
        <v>894</v>
      </c>
      <c r="C13" s="279">
        <v>40315</v>
      </c>
      <c r="D13" s="270">
        <v>40255</v>
      </c>
      <c r="E13" s="477">
        <v>1</v>
      </c>
      <c r="F13" s="285">
        <v>41619</v>
      </c>
      <c r="G13" s="270">
        <v>41588</v>
      </c>
      <c r="H13" s="59">
        <v>0.99925514788918524</v>
      </c>
      <c r="I13" s="162"/>
    </row>
    <row r="14" spans="1:10" ht="15" customHeight="1" x14ac:dyDescent="0.4">
      <c r="A14" s="88" t="s">
        <v>674</v>
      </c>
      <c r="B14" s="96" t="s">
        <v>292</v>
      </c>
      <c r="C14" s="279">
        <v>43915</v>
      </c>
      <c r="D14" s="270">
        <v>43425</v>
      </c>
      <c r="E14" s="477">
        <v>0.99</v>
      </c>
      <c r="F14" s="286">
        <v>43502</v>
      </c>
      <c r="G14" s="280">
        <v>43197</v>
      </c>
      <c r="H14" s="59">
        <v>0.99298882809985745</v>
      </c>
      <c r="I14" s="162"/>
    </row>
    <row r="15" spans="1:10" ht="15" customHeight="1" x14ac:dyDescent="0.4">
      <c r="A15" s="88" t="s">
        <v>901</v>
      </c>
      <c r="B15" s="96" t="s">
        <v>902</v>
      </c>
      <c r="C15" s="279" t="s">
        <v>1316</v>
      </c>
      <c r="D15" s="270" t="s">
        <v>1316</v>
      </c>
      <c r="E15" s="477" t="s">
        <v>1316</v>
      </c>
      <c r="F15" s="286">
        <v>64651</v>
      </c>
      <c r="G15" s="280">
        <v>64651</v>
      </c>
      <c r="H15" s="59">
        <v>1</v>
      </c>
      <c r="I15" s="162"/>
    </row>
    <row r="16" spans="1:10" ht="15" customHeight="1" x14ac:dyDescent="0.4">
      <c r="A16" s="88" t="s">
        <v>903</v>
      </c>
      <c r="B16" s="96" t="s">
        <v>904</v>
      </c>
      <c r="C16" s="279" t="s">
        <v>1316</v>
      </c>
      <c r="D16" s="270" t="s">
        <v>1316</v>
      </c>
      <c r="E16" s="477" t="s">
        <v>1316</v>
      </c>
      <c r="F16" s="285">
        <v>33391</v>
      </c>
      <c r="G16" s="270">
        <v>33391</v>
      </c>
      <c r="H16" s="59">
        <v>1</v>
      </c>
      <c r="I16" s="162"/>
    </row>
    <row r="17" spans="1:9" ht="15" customHeight="1" x14ac:dyDescent="0.4">
      <c r="A17" s="88" t="s">
        <v>685</v>
      </c>
      <c r="B17" s="96" t="s">
        <v>293</v>
      </c>
      <c r="C17" s="279">
        <v>255250</v>
      </c>
      <c r="D17" s="270">
        <v>203315</v>
      </c>
      <c r="E17" s="477">
        <v>0.8</v>
      </c>
      <c r="F17" s="285">
        <v>289138</v>
      </c>
      <c r="G17" s="270">
        <v>236632</v>
      </c>
      <c r="H17" s="59">
        <v>0.81840505225878302</v>
      </c>
      <c r="I17" s="162"/>
    </row>
    <row r="18" spans="1:9" ht="15" customHeight="1" x14ac:dyDescent="0.4">
      <c r="A18" s="88" t="s">
        <v>294</v>
      </c>
      <c r="B18" s="96" t="s">
        <v>295</v>
      </c>
      <c r="C18" s="279">
        <v>85530</v>
      </c>
      <c r="D18" s="270">
        <v>77385</v>
      </c>
      <c r="E18" s="477">
        <v>0.9</v>
      </c>
      <c r="F18" s="285">
        <v>85578</v>
      </c>
      <c r="G18" s="270">
        <v>77449</v>
      </c>
      <c r="H18" s="59">
        <v>0.90501063357404943</v>
      </c>
      <c r="I18" s="162"/>
    </row>
    <row r="19" spans="1:9" ht="15" customHeight="1" x14ac:dyDescent="0.4">
      <c r="A19" s="88" t="s">
        <v>296</v>
      </c>
      <c r="B19" s="96" t="s">
        <v>297</v>
      </c>
      <c r="C19" s="279">
        <v>437280</v>
      </c>
      <c r="D19" s="270">
        <v>356330</v>
      </c>
      <c r="E19" s="477">
        <v>0.81</v>
      </c>
      <c r="F19" s="285">
        <v>492559</v>
      </c>
      <c r="G19" s="270">
        <v>426539</v>
      </c>
      <c r="H19" s="59">
        <v>0.86596529552804835</v>
      </c>
      <c r="I19" s="162"/>
    </row>
    <row r="20" spans="1:9" ht="15" customHeight="1" x14ac:dyDescent="0.4">
      <c r="A20" s="88" t="s">
        <v>691</v>
      </c>
      <c r="B20" s="96" t="s">
        <v>298</v>
      </c>
      <c r="C20" s="279">
        <v>123715</v>
      </c>
      <c r="D20" s="270">
        <v>106160</v>
      </c>
      <c r="E20" s="477">
        <v>0.86</v>
      </c>
      <c r="F20" s="285">
        <v>143193</v>
      </c>
      <c r="G20" s="270">
        <v>125555</v>
      </c>
      <c r="H20" s="59">
        <v>0.87682358774521096</v>
      </c>
      <c r="I20" s="162"/>
    </row>
    <row r="21" spans="1:9" ht="15" customHeight="1" x14ac:dyDescent="0.4">
      <c r="A21" s="88" t="s">
        <v>683</v>
      </c>
      <c r="B21" s="96" t="s">
        <v>299</v>
      </c>
      <c r="C21" s="279">
        <v>59345</v>
      </c>
      <c r="D21" s="270">
        <v>55360</v>
      </c>
      <c r="E21" s="477">
        <v>0.93</v>
      </c>
      <c r="F21" s="286"/>
      <c r="G21" s="280"/>
      <c r="H21" s="59"/>
      <c r="I21" s="162"/>
    </row>
    <row r="22" spans="1:9" ht="15" customHeight="1" x14ac:dyDescent="0.4">
      <c r="A22" s="88" t="s">
        <v>905</v>
      </c>
      <c r="B22" s="96" t="s">
        <v>906</v>
      </c>
      <c r="C22" s="279" t="s">
        <v>1316</v>
      </c>
      <c r="D22" s="270" t="s">
        <v>1316</v>
      </c>
      <c r="E22" s="477" t="s">
        <v>1316</v>
      </c>
      <c r="F22" s="285">
        <v>54090</v>
      </c>
      <c r="G22" s="270">
        <v>54069</v>
      </c>
      <c r="H22" s="59">
        <v>0.99961175818080972</v>
      </c>
      <c r="I22" s="162"/>
    </row>
    <row r="23" spans="1:9" ht="15" customHeight="1" x14ac:dyDescent="0.4">
      <c r="A23" s="88" t="s">
        <v>300</v>
      </c>
      <c r="B23" s="96" t="s">
        <v>301</v>
      </c>
      <c r="C23" s="279">
        <v>75935</v>
      </c>
      <c r="D23" s="270">
        <v>68630</v>
      </c>
      <c r="E23" s="477">
        <v>0.9</v>
      </c>
      <c r="F23" s="285">
        <v>75932</v>
      </c>
      <c r="G23" s="270">
        <v>68635</v>
      </c>
      <c r="H23" s="59">
        <v>0.90390085866301428</v>
      </c>
      <c r="I23" s="162"/>
    </row>
    <row r="24" spans="1:9" ht="15" customHeight="1" x14ac:dyDescent="0.4">
      <c r="A24" s="88" t="s">
        <v>907</v>
      </c>
      <c r="B24" s="96" t="s">
        <v>908</v>
      </c>
      <c r="C24" s="279" t="s">
        <v>1316</v>
      </c>
      <c r="D24" s="270" t="s">
        <v>1316</v>
      </c>
      <c r="E24" s="477" t="s">
        <v>1316</v>
      </c>
      <c r="F24" s="285">
        <v>5351</v>
      </c>
      <c r="G24" s="270">
        <v>5351</v>
      </c>
      <c r="H24" s="59">
        <v>1</v>
      </c>
      <c r="I24" s="162"/>
    </row>
    <row r="25" spans="1:9" ht="15" customHeight="1" x14ac:dyDescent="0.4">
      <c r="A25" s="88" t="s">
        <v>302</v>
      </c>
      <c r="B25" s="96" t="s">
        <v>303</v>
      </c>
      <c r="C25" s="279">
        <v>19020</v>
      </c>
      <c r="D25" s="270">
        <v>18755</v>
      </c>
      <c r="E25" s="477">
        <v>0.99</v>
      </c>
      <c r="F25" s="285">
        <v>40799</v>
      </c>
      <c r="G25" s="270">
        <v>40799</v>
      </c>
      <c r="H25" s="59">
        <v>1</v>
      </c>
      <c r="I25" s="162"/>
    </row>
    <row r="26" spans="1:9" ht="15" customHeight="1" x14ac:dyDescent="0.4">
      <c r="A26" s="88" t="s">
        <v>675</v>
      </c>
      <c r="B26" s="96" t="s">
        <v>676</v>
      </c>
      <c r="C26" s="279">
        <v>300</v>
      </c>
      <c r="D26" s="270">
        <v>295</v>
      </c>
      <c r="E26" s="477" t="s">
        <v>1316</v>
      </c>
      <c r="F26" s="286"/>
      <c r="G26" s="280"/>
      <c r="H26" s="59"/>
      <c r="I26" s="162"/>
    </row>
    <row r="27" spans="1:9" ht="15" customHeight="1" x14ac:dyDescent="0.4">
      <c r="A27" s="88" t="s">
        <v>909</v>
      </c>
      <c r="B27" s="96" t="s">
        <v>910</v>
      </c>
      <c r="C27" s="279" t="s">
        <v>1316</v>
      </c>
      <c r="D27" s="270" t="s">
        <v>1316</v>
      </c>
      <c r="E27" s="477" t="s">
        <v>1316</v>
      </c>
      <c r="F27" s="285">
        <v>38553</v>
      </c>
      <c r="G27" s="270">
        <v>38553</v>
      </c>
      <c r="H27" s="59">
        <v>1</v>
      </c>
      <c r="I27" s="162"/>
    </row>
    <row r="28" spans="1:9" ht="15" customHeight="1" x14ac:dyDescent="0.4">
      <c r="A28" s="88" t="s">
        <v>702</v>
      </c>
      <c r="B28" s="96" t="s">
        <v>304</v>
      </c>
      <c r="C28" s="279">
        <v>59560</v>
      </c>
      <c r="D28" s="270">
        <v>55295</v>
      </c>
      <c r="E28" s="477">
        <v>0.93</v>
      </c>
      <c r="F28" s="285">
        <v>59575</v>
      </c>
      <c r="G28" s="270">
        <v>55328</v>
      </c>
      <c r="H28" s="59">
        <v>0.92871170793117919</v>
      </c>
      <c r="I28" s="162"/>
    </row>
    <row r="29" spans="1:9" ht="15" customHeight="1" x14ac:dyDescent="0.4">
      <c r="A29" s="88" t="s">
        <v>305</v>
      </c>
      <c r="B29" s="96" t="s">
        <v>306</v>
      </c>
      <c r="C29" s="279">
        <v>79750</v>
      </c>
      <c r="D29" s="270">
        <v>47065</v>
      </c>
      <c r="E29" s="477">
        <v>0.59</v>
      </c>
      <c r="F29" s="285">
        <v>204052</v>
      </c>
      <c r="G29" s="270">
        <v>172288</v>
      </c>
      <c r="H29" s="59">
        <v>0.84433379726736324</v>
      </c>
      <c r="I29" s="162"/>
    </row>
    <row r="30" spans="1:9" ht="15" customHeight="1" x14ac:dyDescent="0.4">
      <c r="A30" s="88" t="s">
        <v>307</v>
      </c>
      <c r="B30" s="96" t="s">
        <v>308</v>
      </c>
      <c r="C30" s="279">
        <v>113160</v>
      </c>
      <c r="D30" s="270">
        <v>92235</v>
      </c>
      <c r="E30" s="477">
        <v>0.82</v>
      </c>
      <c r="F30" s="285">
        <v>116053</v>
      </c>
      <c r="G30" s="270">
        <v>95101</v>
      </c>
      <c r="H30" s="59">
        <v>0.81946179762694626</v>
      </c>
      <c r="I30" s="162"/>
    </row>
    <row r="31" spans="1:9" ht="15" customHeight="1" x14ac:dyDescent="0.4">
      <c r="A31" s="88" t="s">
        <v>911</v>
      </c>
      <c r="B31" s="96" t="s">
        <v>912</v>
      </c>
      <c r="C31" s="279" t="s">
        <v>1316</v>
      </c>
      <c r="D31" s="270" t="s">
        <v>1316</v>
      </c>
      <c r="E31" s="477" t="s">
        <v>1316</v>
      </c>
      <c r="F31" s="285">
        <v>3407</v>
      </c>
      <c r="G31" s="270">
        <v>3407</v>
      </c>
      <c r="H31" s="59">
        <v>1</v>
      </c>
      <c r="I31" s="162"/>
    </row>
    <row r="32" spans="1:9" ht="15" customHeight="1" x14ac:dyDescent="0.4">
      <c r="A32" s="88" t="s">
        <v>913</v>
      </c>
      <c r="B32" s="96" t="s">
        <v>914</v>
      </c>
      <c r="C32" s="279" t="s">
        <v>1316</v>
      </c>
      <c r="D32" s="270" t="s">
        <v>1316</v>
      </c>
      <c r="E32" s="477" t="s">
        <v>1316</v>
      </c>
      <c r="F32" s="285">
        <v>39528</v>
      </c>
      <c r="G32" s="270">
        <v>39525</v>
      </c>
      <c r="H32" s="59">
        <v>0.99992410443230118</v>
      </c>
      <c r="I32" s="162"/>
    </row>
    <row r="33" spans="1:9" ht="15" customHeight="1" x14ac:dyDescent="0.4">
      <c r="A33" s="88" t="s">
        <v>309</v>
      </c>
      <c r="B33" s="96" t="s">
        <v>310</v>
      </c>
      <c r="C33" s="279">
        <v>134270</v>
      </c>
      <c r="D33" s="270">
        <v>106695</v>
      </c>
      <c r="E33" s="477">
        <v>0.79</v>
      </c>
      <c r="F33" s="285">
        <v>134746</v>
      </c>
      <c r="G33" s="270">
        <v>112054</v>
      </c>
      <c r="H33" s="59">
        <v>0.83159425882772031</v>
      </c>
      <c r="I33" s="162"/>
    </row>
    <row r="34" spans="1:9" ht="15" customHeight="1" x14ac:dyDescent="0.4">
      <c r="A34" s="88" t="s">
        <v>311</v>
      </c>
      <c r="B34" s="96" t="s">
        <v>312</v>
      </c>
      <c r="C34" s="279">
        <v>24310</v>
      </c>
      <c r="D34" s="270">
        <v>24205</v>
      </c>
      <c r="E34" s="477">
        <v>1</v>
      </c>
      <c r="F34" s="285">
        <v>24481</v>
      </c>
      <c r="G34" s="270">
        <v>24383</v>
      </c>
      <c r="H34" s="59">
        <v>0.99599689555165227</v>
      </c>
      <c r="I34" s="162"/>
    </row>
    <row r="35" spans="1:9" ht="15" customHeight="1" x14ac:dyDescent="0.4">
      <c r="A35" s="88" t="s">
        <v>915</v>
      </c>
      <c r="B35" s="96" t="s">
        <v>916</v>
      </c>
      <c r="C35" s="279" t="s">
        <v>1316</v>
      </c>
      <c r="D35" s="270" t="s">
        <v>1316</v>
      </c>
      <c r="E35" s="477" t="s">
        <v>1316</v>
      </c>
      <c r="F35" s="285">
        <v>11566</v>
      </c>
      <c r="G35" s="270">
        <v>11566</v>
      </c>
      <c r="H35" s="59">
        <v>1</v>
      </c>
      <c r="I35" s="162"/>
    </row>
    <row r="36" spans="1:9" ht="15" customHeight="1" x14ac:dyDescent="0.4">
      <c r="A36" s="88" t="s">
        <v>1022</v>
      </c>
      <c r="B36" s="96" t="s">
        <v>892</v>
      </c>
      <c r="C36" s="279">
        <v>37665</v>
      </c>
      <c r="D36" s="270">
        <v>37005</v>
      </c>
      <c r="E36" s="477">
        <v>0.98</v>
      </c>
      <c r="F36" s="286"/>
      <c r="G36" s="280"/>
      <c r="H36" s="59"/>
      <c r="I36" s="162"/>
    </row>
    <row r="37" spans="1:9" ht="15" customHeight="1" x14ac:dyDescent="0.4">
      <c r="A37" s="88" t="s">
        <v>313</v>
      </c>
      <c r="B37" s="96" t="s">
        <v>314</v>
      </c>
      <c r="C37" s="279">
        <v>110170</v>
      </c>
      <c r="D37" s="270">
        <v>107980</v>
      </c>
      <c r="E37" s="477">
        <v>0.98</v>
      </c>
      <c r="F37" s="285">
        <v>110184</v>
      </c>
      <c r="G37" s="270">
        <v>107945</v>
      </c>
      <c r="H37" s="59">
        <v>0.97967944529151241</v>
      </c>
      <c r="I37" s="162"/>
    </row>
    <row r="38" spans="1:9" ht="15" customHeight="1" x14ac:dyDescent="0.4">
      <c r="A38" s="88" t="s">
        <v>315</v>
      </c>
      <c r="B38" s="96" t="s">
        <v>316</v>
      </c>
      <c r="C38" s="279">
        <v>19100</v>
      </c>
      <c r="D38" s="270">
        <v>19060</v>
      </c>
      <c r="E38" s="477">
        <v>1</v>
      </c>
      <c r="F38" s="285"/>
      <c r="G38" s="270"/>
      <c r="H38" s="59"/>
      <c r="I38" s="162"/>
    </row>
    <row r="39" spans="1:9" ht="15" customHeight="1" x14ac:dyDescent="0.4">
      <c r="A39" s="88" t="s">
        <v>716</v>
      </c>
      <c r="B39" s="96" t="s">
        <v>317</v>
      </c>
      <c r="C39" s="279">
        <v>158120</v>
      </c>
      <c r="D39" s="270">
        <v>131010</v>
      </c>
      <c r="E39" s="477">
        <v>0.83</v>
      </c>
      <c r="F39" s="285">
        <v>167401</v>
      </c>
      <c r="G39" s="270">
        <v>140465</v>
      </c>
      <c r="H39" s="59">
        <v>0.83909295643395199</v>
      </c>
      <c r="I39" s="162"/>
    </row>
    <row r="40" spans="1:9" ht="15" customHeight="1" x14ac:dyDescent="0.4">
      <c r="A40" s="88" t="s">
        <v>917</v>
      </c>
      <c r="B40" s="96" t="s">
        <v>918</v>
      </c>
      <c r="C40" s="279" t="s">
        <v>1316</v>
      </c>
      <c r="D40" s="270" t="s">
        <v>1316</v>
      </c>
      <c r="E40" s="477" t="s">
        <v>1316</v>
      </c>
      <c r="F40" s="285">
        <v>5302</v>
      </c>
      <c r="G40" s="270">
        <v>5284</v>
      </c>
      <c r="H40" s="59">
        <v>0.99660505469634098</v>
      </c>
      <c r="I40" s="162"/>
    </row>
    <row r="41" spans="1:9" ht="15" customHeight="1" x14ac:dyDescent="0.4">
      <c r="A41" s="88" t="s">
        <v>919</v>
      </c>
      <c r="B41" s="96" t="s">
        <v>920</v>
      </c>
      <c r="C41" s="279" t="s">
        <v>1316</v>
      </c>
      <c r="D41" s="270" t="s">
        <v>1316</v>
      </c>
      <c r="E41" s="477" t="s">
        <v>1316</v>
      </c>
      <c r="F41" s="285">
        <v>55410</v>
      </c>
      <c r="G41" s="270">
        <v>55277</v>
      </c>
      <c r="H41" s="59">
        <v>0.99759971124345781</v>
      </c>
      <c r="I41" s="162"/>
    </row>
    <row r="42" spans="1:9" ht="15" customHeight="1" x14ac:dyDescent="0.4">
      <c r="A42" s="88" t="s">
        <v>318</v>
      </c>
      <c r="B42" s="96" t="s">
        <v>319</v>
      </c>
      <c r="C42" s="279">
        <v>87385</v>
      </c>
      <c r="D42" s="270">
        <v>65610</v>
      </c>
      <c r="E42" s="477">
        <v>0.75</v>
      </c>
      <c r="F42" s="286">
        <v>146096</v>
      </c>
      <c r="G42" s="280">
        <v>127586</v>
      </c>
      <c r="H42" s="59">
        <v>0.87330248603657867</v>
      </c>
      <c r="I42" s="162"/>
    </row>
    <row r="43" spans="1:9" ht="15" customHeight="1" x14ac:dyDescent="0.4">
      <c r="A43" s="88" t="s">
        <v>1023</v>
      </c>
      <c r="B43" s="96" t="s">
        <v>875</v>
      </c>
      <c r="C43" s="279">
        <v>28310</v>
      </c>
      <c r="D43" s="270">
        <v>26940</v>
      </c>
      <c r="E43" s="477">
        <v>0.95</v>
      </c>
      <c r="F43" s="285"/>
      <c r="G43" s="270"/>
      <c r="H43" s="59"/>
      <c r="I43" s="162"/>
    </row>
    <row r="44" spans="1:9" ht="15" customHeight="1" x14ac:dyDescent="0.4">
      <c r="A44" s="88" t="s">
        <v>320</v>
      </c>
      <c r="B44" s="96" t="s">
        <v>321</v>
      </c>
      <c r="C44" s="279">
        <v>118040</v>
      </c>
      <c r="D44" s="270">
        <v>107395</v>
      </c>
      <c r="E44" s="477">
        <v>0.91</v>
      </c>
      <c r="F44" s="285">
        <v>118033</v>
      </c>
      <c r="G44" s="270">
        <v>107399</v>
      </c>
      <c r="H44" s="59">
        <v>0.90990655155761524</v>
      </c>
      <c r="I44" s="162"/>
    </row>
    <row r="45" spans="1:9" ht="15" customHeight="1" x14ac:dyDescent="0.4">
      <c r="A45" s="88" t="s">
        <v>715</v>
      </c>
      <c r="B45" s="96" t="s">
        <v>322</v>
      </c>
      <c r="C45" s="279">
        <v>147385</v>
      </c>
      <c r="D45" s="270">
        <v>133055</v>
      </c>
      <c r="E45" s="477">
        <v>0.9</v>
      </c>
      <c r="F45" s="285">
        <v>148929</v>
      </c>
      <c r="G45" s="270">
        <v>134962</v>
      </c>
      <c r="H45" s="59">
        <v>0.90621705644971762</v>
      </c>
      <c r="I45" s="162"/>
    </row>
    <row r="46" spans="1:9" ht="15" customHeight="1" x14ac:dyDescent="0.4">
      <c r="A46" s="88" t="s">
        <v>323</v>
      </c>
      <c r="B46" s="96" t="s">
        <v>324</v>
      </c>
      <c r="C46" s="279">
        <v>155925</v>
      </c>
      <c r="D46" s="270">
        <v>138960</v>
      </c>
      <c r="E46" s="477">
        <v>0.89</v>
      </c>
      <c r="F46" s="285">
        <v>157084</v>
      </c>
      <c r="G46" s="270">
        <v>140194</v>
      </c>
      <c r="H46" s="59">
        <v>0.89247790990807463</v>
      </c>
      <c r="I46" s="162"/>
    </row>
    <row r="47" spans="1:9" ht="15" customHeight="1" x14ac:dyDescent="0.4">
      <c r="A47" s="88" t="s">
        <v>921</v>
      </c>
      <c r="B47" s="96" t="s">
        <v>922</v>
      </c>
      <c r="C47" s="279" t="s">
        <v>1316</v>
      </c>
      <c r="D47" s="270" t="s">
        <v>1316</v>
      </c>
      <c r="E47" s="477" t="s">
        <v>1316</v>
      </c>
      <c r="F47" s="285">
        <v>9108</v>
      </c>
      <c r="G47" s="270">
        <v>8960</v>
      </c>
      <c r="H47" s="59">
        <v>0.98375054896794023</v>
      </c>
      <c r="I47" s="162"/>
    </row>
    <row r="48" spans="1:9" ht="15" customHeight="1" x14ac:dyDescent="0.4">
      <c r="A48" s="88" t="s">
        <v>325</v>
      </c>
      <c r="B48" s="96" t="s">
        <v>326</v>
      </c>
      <c r="C48" s="279">
        <v>222645</v>
      </c>
      <c r="D48" s="270">
        <v>220300</v>
      </c>
      <c r="E48" s="477">
        <v>0.99</v>
      </c>
      <c r="F48" s="285">
        <v>219963</v>
      </c>
      <c r="G48" s="270">
        <v>217759</v>
      </c>
      <c r="H48" s="59">
        <v>0.98998013302237198</v>
      </c>
      <c r="I48" s="162"/>
    </row>
    <row r="49" spans="1:9" ht="15" customHeight="1" x14ac:dyDescent="0.4">
      <c r="A49" s="88" t="s">
        <v>327</v>
      </c>
      <c r="B49" s="96" t="s">
        <v>722</v>
      </c>
      <c r="C49" s="279" t="s">
        <v>1316</v>
      </c>
      <c r="D49" s="270" t="s">
        <v>1316</v>
      </c>
      <c r="E49" s="477" t="s">
        <v>1316</v>
      </c>
      <c r="F49" s="285">
        <v>151986</v>
      </c>
      <c r="G49" s="270">
        <v>142012</v>
      </c>
      <c r="H49" s="59">
        <v>0.93437553458871214</v>
      </c>
      <c r="I49" s="162"/>
    </row>
    <row r="50" spans="1:9" ht="15" customHeight="1" x14ac:dyDescent="0.4">
      <c r="A50" s="88" t="s">
        <v>704</v>
      </c>
      <c r="B50" s="96" t="s">
        <v>328</v>
      </c>
      <c r="C50" s="279">
        <v>206310</v>
      </c>
      <c r="D50" s="270">
        <v>179605</v>
      </c>
      <c r="E50" s="477">
        <v>0.87</v>
      </c>
      <c r="F50" s="286">
        <v>305184</v>
      </c>
      <c r="G50" s="280">
        <v>288036</v>
      </c>
      <c r="H50" s="59">
        <v>0.94381094683862854</v>
      </c>
      <c r="I50" s="162"/>
    </row>
    <row r="51" spans="1:9" ht="15" customHeight="1" x14ac:dyDescent="0.4">
      <c r="A51" s="88" t="s">
        <v>329</v>
      </c>
      <c r="B51" s="96" t="s">
        <v>330</v>
      </c>
      <c r="C51" s="279">
        <v>81280</v>
      </c>
      <c r="D51" s="270">
        <v>74505</v>
      </c>
      <c r="E51" s="477">
        <v>0.92</v>
      </c>
      <c r="F51" s="285">
        <v>83806</v>
      </c>
      <c r="G51" s="270">
        <v>77089</v>
      </c>
      <c r="H51" s="59">
        <v>0.91985060735508195</v>
      </c>
      <c r="I51" s="162"/>
    </row>
    <row r="52" spans="1:9" ht="15" customHeight="1" x14ac:dyDescent="0.4">
      <c r="A52" s="88" t="s">
        <v>331</v>
      </c>
      <c r="B52" s="96" t="s">
        <v>332</v>
      </c>
      <c r="C52" s="279">
        <v>157560</v>
      </c>
      <c r="D52" s="270">
        <v>143715</v>
      </c>
      <c r="E52" s="477">
        <v>0.91</v>
      </c>
      <c r="F52" s="285">
        <v>156546</v>
      </c>
      <c r="G52" s="270">
        <v>142847</v>
      </c>
      <c r="H52" s="59">
        <v>0.91249217482401335</v>
      </c>
      <c r="I52" s="162"/>
    </row>
    <row r="53" spans="1:9" ht="15" customHeight="1" x14ac:dyDescent="0.4">
      <c r="A53" s="88" t="s">
        <v>333</v>
      </c>
      <c r="B53" s="96" t="s">
        <v>334</v>
      </c>
      <c r="C53" s="279">
        <v>26060</v>
      </c>
      <c r="D53" s="270">
        <v>26005</v>
      </c>
      <c r="E53" s="477">
        <v>1</v>
      </c>
      <c r="F53" s="285">
        <v>30724</v>
      </c>
      <c r="G53" s="270">
        <v>30668</v>
      </c>
      <c r="H53" s="59">
        <v>0.99817732066137221</v>
      </c>
      <c r="I53" s="162"/>
    </row>
    <row r="54" spans="1:9" ht="15" customHeight="1" x14ac:dyDescent="0.4">
      <c r="A54" s="88" t="s">
        <v>923</v>
      </c>
      <c r="B54" s="96" t="s">
        <v>924</v>
      </c>
      <c r="C54" s="279" t="s">
        <v>1316</v>
      </c>
      <c r="D54" s="270" t="s">
        <v>1316</v>
      </c>
      <c r="E54" s="477" t="s">
        <v>1316</v>
      </c>
      <c r="F54" s="285">
        <v>11814</v>
      </c>
      <c r="G54" s="270">
        <v>11814</v>
      </c>
      <c r="H54" s="59">
        <v>1</v>
      </c>
      <c r="I54" s="162"/>
    </row>
    <row r="55" spans="1:9" ht="15" customHeight="1" x14ac:dyDescent="0.4">
      <c r="A55" s="88" t="s">
        <v>335</v>
      </c>
      <c r="B55" s="96" t="s">
        <v>336</v>
      </c>
      <c r="C55" s="279">
        <v>91120</v>
      </c>
      <c r="D55" s="270">
        <v>75240</v>
      </c>
      <c r="E55" s="477">
        <v>0.83</v>
      </c>
      <c r="F55" s="285">
        <v>145294</v>
      </c>
      <c r="G55" s="270">
        <v>129278</v>
      </c>
      <c r="H55" s="59">
        <v>0.88976833179622006</v>
      </c>
      <c r="I55" s="162"/>
    </row>
    <row r="56" spans="1:9" ht="15" customHeight="1" x14ac:dyDescent="0.4">
      <c r="A56" s="88" t="s">
        <v>925</v>
      </c>
      <c r="B56" s="96" t="s">
        <v>926</v>
      </c>
      <c r="C56" s="279" t="s">
        <v>1316</v>
      </c>
      <c r="D56" s="270" t="s">
        <v>1316</v>
      </c>
      <c r="E56" s="477" t="s">
        <v>1316</v>
      </c>
      <c r="F56" s="285">
        <v>71187</v>
      </c>
      <c r="G56" s="270">
        <v>71037</v>
      </c>
      <c r="H56" s="59">
        <v>0.99789287369884949</v>
      </c>
      <c r="I56" s="162"/>
    </row>
    <row r="57" spans="1:9" ht="15" customHeight="1" x14ac:dyDescent="0.4">
      <c r="A57" s="88" t="s">
        <v>677</v>
      </c>
      <c r="B57" s="96" t="s">
        <v>678</v>
      </c>
      <c r="C57" s="279">
        <v>27405</v>
      </c>
      <c r="D57" s="270">
        <v>27315</v>
      </c>
      <c r="E57" s="477">
        <v>1</v>
      </c>
      <c r="F57" s="285">
        <v>29586</v>
      </c>
      <c r="G57" s="270">
        <v>29493</v>
      </c>
      <c r="H57" s="59">
        <v>0.99685662137497466</v>
      </c>
      <c r="I57" s="162"/>
    </row>
    <row r="58" spans="1:9" ht="15" customHeight="1" x14ac:dyDescent="0.4">
      <c r="A58" s="88" t="s">
        <v>337</v>
      </c>
      <c r="B58" s="96" t="s">
        <v>338</v>
      </c>
      <c r="C58" s="279">
        <v>82725</v>
      </c>
      <c r="D58" s="270">
        <v>69260</v>
      </c>
      <c r="E58" s="477">
        <v>0.84</v>
      </c>
      <c r="F58" s="285">
        <v>78853</v>
      </c>
      <c r="G58" s="270">
        <v>65375</v>
      </c>
      <c r="H58" s="59">
        <v>0.82907435354393622</v>
      </c>
      <c r="I58" s="162"/>
    </row>
    <row r="59" spans="1:9" ht="15" customHeight="1" x14ac:dyDescent="0.4">
      <c r="A59" s="88" t="s">
        <v>718</v>
      </c>
      <c r="B59" s="96" t="s">
        <v>339</v>
      </c>
      <c r="C59" s="279">
        <v>210355</v>
      </c>
      <c r="D59" s="270">
        <v>192285</v>
      </c>
      <c r="E59" s="477">
        <v>0.91</v>
      </c>
      <c r="F59" s="285">
        <v>212561</v>
      </c>
      <c r="G59" s="270">
        <v>194260</v>
      </c>
      <c r="H59" s="59">
        <v>0.91390236214545473</v>
      </c>
      <c r="I59" s="162"/>
    </row>
    <row r="60" spans="1:9" ht="15" customHeight="1" x14ac:dyDescent="0.4">
      <c r="A60" s="88" t="s">
        <v>1034</v>
      </c>
      <c r="B60" s="96" t="s">
        <v>891</v>
      </c>
      <c r="C60" s="279">
        <v>46210</v>
      </c>
      <c r="D60" s="270">
        <v>44455</v>
      </c>
      <c r="E60" s="477">
        <v>0.96</v>
      </c>
      <c r="F60" s="285"/>
      <c r="G60" s="270"/>
      <c r="H60" s="59"/>
      <c r="I60" s="162"/>
    </row>
    <row r="61" spans="1:9" ht="15" customHeight="1" x14ac:dyDescent="0.4">
      <c r="A61" s="88" t="s">
        <v>340</v>
      </c>
      <c r="B61" s="96" t="s">
        <v>341</v>
      </c>
      <c r="C61" s="279">
        <v>176005</v>
      </c>
      <c r="D61" s="270">
        <v>156965</v>
      </c>
      <c r="E61" s="477">
        <v>0.89</v>
      </c>
      <c r="F61" s="286">
        <v>187708</v>
      </c>
      <c r="G61" s="280">
        <v>168666</v>
      </c>
      <c r="H61" s="59">
        <v>0.89855520276173628</v>
      </c>
      <c r="I61" s="162"/>
    </row>
    <row r="62" spans="1:9" ht="15" customHeight="1" x14ac:dyDescent="0.4">
      <c r="A62" s="88" t="s">
        <v>342</v>
      </c>
      <c r="B62" s="96" t="s">
        <v>343</v>
      </c>
      <c r="C62" s="279">
        <v>16525</v>
      </c>
      <c r="D62" s="270">
        <v>16480</v>
      </c>
      <c r="E62" s="477">
        <v>1</v>
      </c>
      <c r="F62" s="285"/>
      <c r="G62" s="270"/>
      <c r="H62" s="59"/>
      <c r="I62" s="162"/>
    </row>
    <row r="63" spans="1:9" ht="15" customHeight="1" x14ac:dyDescent="0.4">
      <c r="A63" s="88" t="s">
        <v>344</v>
      </c>
      <c r="B63" s="96" t="s">
        <v>345</v>
      </c>
      <c r="C63" s="279">
        <v>45005</v>
      </c>
      <c r="D63" s="270">
        <v>42145</v>
      </c>
      <c r="E63" s="477">
        <v>0.94</v>
      </c>
      <c r="F63" s="285">
        <v>11304</v>
      </c>
      <c r="G63" s="270">
        <v>11086</v>
      </c>
      <c r="H63" s="59">
        <v>0.98071479122434535</v>
      </c>
      <c r="I63" s="162"/>
    </row>
    <row r="64" spans="1:9" ht="15" customHeight="1" x14ac:dyDescent="0.4">
      <c r="A64" s="88" t="s">
        <v>700</v>
      </c>
      <c r="B64" s="96" t="s">
        <v>582</v>
      </c>
      <c r="C64" s="279">
        <v>125700</v>
      </c>
      <c r="D64" s="270">
        <v>110455</v>
      </c>
      <c r="E64" s="477">
        <v>0.88</v>
      </c>
      <c r="F64" s="285">
        <v>125944</v>
      </c>
      <c r="G64" s="270">
        <v>110591</v>
      </c>
      <c r="H64" s="59">
        <v>0.87809661436829067</v>
      </c>
      <c r="I64" s="162"/>
    </row>
    <row r="65" spans="1:9" ht="15" customHeight="1" x14ac:dyDescent="0.4">
      <c r="A65" s="88" t="s">
        <v>583</v>
      </c>
      <c r="B65" s="96" t="s">
        <v>346</v>
      </c>
      <c r="C65" s="279">
        <v>133240</v>
      </c>
      <c r="D65" s="270">
        <v>107930</v>
      </c>
      <c r="E65" s="477">
        <v>0.81</v>
      </c>
      <c r="F65" s="285">
        <v>188143</v>
      </c>
      <c r="G65" s="270">
        <v>162839</v>
      </c>
      <c r="H65" s="59">
        <v>0.86550655618332861</v>
      </c>
      <c r="I65" s="162"/>
    </row>
    <row r="66" spans="1:9" ht="15" customHeight="1" x14ac:dyDescent="0.4">
      <c r="A66" s="88" t="s">
        <v>347</v>
      </c>
      <c r="B66" s="96" t="s">
        <v>348</v>
      </c>
      <c r="C66" s="279">
        <v>65415</v>
      </c>
      <c r="D66" s="270">
        <v>65400</v>
      </c>
      <c r="E66" s="477">
        <v>1</v>
      </c>
      <c r="F66" s="285">
        <v>65423</v>
      </c>
      <c r="G66" s="270">
        <v>65408</v>
      </c>
      <c r="H66" s="59">
        <v>0.99977072283447721</v>
      </c>
      <c r="I66" s="162"/>
    </row>
    <row r="67" spans="1:9" ht="15" customHeight="1" x14ac:dyDescent="0.4">
      <c r="A67" s="88" t="s">
        <v>927</v>
      </c>
      <c r="B67" s="96" t="s">
        <v>928</v>
      </c>
      <c r="C67" s="279" t="s">
        <v>1316</v>
      </c>
      <c r="D67" s="270" t="s">
        <v>1316</v>
      </c>
      <c r="E67" s="477" t="s">
        <v>1316</v>
      </c>
      <c r="F67" s="285">
        <v>22281</v>
      </c>
      <c r="G67" s="270">
        <v>22189</v>
      </c>
      <c r="H67" s="59">
        <v>0.99587092141286293</v>
      </c>
      <c r="I67" s="162"/>
    </row>
    <row r="68" spans="1:9" ht="15" customHeight="1" x14ac:dyDescent="0.4">
      <c r="A68" s="88" t="s">
        <v>701</v>
      </c>
      <c r="B68" s="96" t="s">
        <v>349</v>
      </c>
      <c r="C68" s="279">
        <v>159635</v>
      </c>
      <c r="D68" s="270">
        <v>145295</v>
      </c>
      <c r="E68" s="477">
        <v>0.91</v>
      </c>
      <c r="F68" s="285">
        <v>165380</v>
      </c>
      <c r="G68" s="270">
        <v>151249</v>
      </c>
      <c r="H68" s="59">
        <v>0.91455435965654852</v>
      </c>
      <c r="I68" s="162"/>
    </row>
    <row r="69" spans="1:9" ht="15" customHeight="1" x14ac:dyDescent="0.4">
      <c r="A69" s="88" t="s">
        <v>350</v>
      </c>
      <c r="B69" s="96" t="s">
        <v>351</v>
      </c>
      <c r="C69" s="279">
        <v>93875</v>
      </c>
      <c r="D69" s="270">
        <v>91685</v>
      </c>
      <c r="E69" s="477">
        <v>0.98</v>
      </c>
      <c r="F69" s="285">
        <v>94342</v>
      </c>
      <c r="G69" s="270">
        <v>92111</v>
      </c>
      <c r="H69" s="59">
        <v>0.97635199592970257</v>
      </c>
      <c r="I69" s="162"/>
    </row>
    <row r="70" spans="1:9" ht="15" customHeight="1" x14ac:dyDescent="0.4">
      <c r="A70" s="88" t="s">
        <v>682</v>
      </c>
      <c r="B70" s="96" t="s">
        <v>679</v>
      </c>
      <c r="C70" s="279">
        <v>64710</v>
      </c>
      <c r="D70" s="270">
        <v>64235</v>
      </c>
      <c r="E70" s="477">
        <v>0.99</v>
      </c>
      <c r="F70" s="286"/>
      <c r="G70" s="280"/>
      <c r="H70" s="59"/>
      <c r="I70" s="162"/>
    </row>
    <row r="71" spans="1:9" ht="15" customHeight="1" x14ac:dyDescent="0.4">
      <c r="A71" s="88" t="s">
        <v>713</v>
      </c>
      <c r="B71" s="96" t="s">
        <v>352</v>
      </c>
      <c r="C71" s="279">
        <v>140035</v>
      </c>
      <c r="D71" s="270">
        <v>112710</v>
      </c>
      <c r="E71" s="477">
        <v>0.8</v>
      </c>
      <c r="F71" s="285">
        <v>137881</v>
      </c>
      <c r="G71" s="270">
        <v>114708</v>
      </c>
      <c r="H71" s="59">
        <v>0.83193478434302048</v>
      </c>
      <c r="I71" s="162"/>
    </row>
    <row r="72" spans="1:9" ht="15" customHeight="1" x14ac:dyDescent="0.4">
      <c r="A72" s="88" t="s">
        <v>1041</v>
      </c>
      <c r="B72" s="96" t="s">
        <v>929</v>
      </c>
      <c r="C72" s="279" t="s">
        <v>1316</v>
      </c>
      <c r="D72" s="270" t="s">
        <v>1316</v>
      </c>
      <c r="E72" s="477" t="s">
        <v>1316</v>
      </c>
      <c r="F72" s="285">
        <v>28910</v>
      </c>
      <c r="G72" s="270">
        <v>28875</v>
      </c>
      <c r="H72" s="59">
        <v>0.99878934624697335</v>
      </c>
      <c r="I72" s="162"/>
    </row>
    <row r="73" spans="1:9" ht="15" customHeight="1" x14ac:dyDescent="0.4">
      <c r="A73" s="88" t="s">
        <v>353</v>
      </c>
      <c r="B73" s="96" t="s">
        <v>354</v>
      </c>
      <c r="C73" s="279">
        <v>50415</v>
      </c>
      <c r="D73" s="270">
        <v>40925</v>
      </c>
      <c r="E73" s="477">
        <v>0.81</v>
      </c>
      <c r="F73" s="285">
        <v>50444</v>
      </c>
      <c r="G73" s="270">
        <v>40909</v>
      </c>
      <c r="H73" s="59">
        <v>0.81097851082388395</v>
      </c>
      <c r="I73" s="162"/>
    </row>
    <row r="74" spans="1:9" ht="15" customHeight="1" x14ac:dyDescent="0.4">
      <c r="A74" s="88" t="s">
        <v>355</v>
      </c>
      <c r="B74" s="96" t="s">
        <v>356</v>
      </c>
      <c r="C74" s="279">
        <v>195585</v>
      </c>
      <c r="D74" s="270">
        <v>137535</v>
      </c>
      <c r="E74" s="477">
        <v>0.7</v>
      </c>
      <c r="F74" s="285">
        <v>216635</v>
      </c>
      <c r="G74" s="270">
        <v>161006</v>
      </c>
      <c r="H74" s="59">
        <v>0.74321323885798696</v>
      </c>
      <c r="I74" s="162"/>
    </row>
    <row r="75" spans="1:9" ht="15" customHeight="1" x14ac:dyDescent="0.4">
      <c r="A75" s="88" t="s">
        <v>357</v>
      </c>
      <c r="B75" s="96" t="s">
        <v>358</v>
      </c>
      <c r="C75" s="279">
        <v>171815</v>
      </c>
      <c r="D75" s="270">
        <v>136550</v>
      </c>
      <c r="E75" s="477">
        <v>0.79</v>
      </c>
      <c r="F75" s="286">
        <v>207380</v>
      </c>
      <c r="G75" s="280">
        <v>172262</v>
      </c>
      <c r="H75" s="59">
        <v>0.83065869418458871</v>
      </c>
      <c r="I75" s="162"/>
    </row>
    <row r="76" spans="1:9" ht="15" customHeight="1" x14ac:dyDescent="0.4">
      <c r="A76" s="88" t="s">
        <v>930</v>
      </c>
      <c r="B76" s="96" t="s">
        <v>885</v>
      </c>
      <c r="C76" s="279">
        <v>1720</v>
      </c>
      <c r="D76" s="270">
        <v>1720</v>
      </c>
      <c r="E76" s="477">
        <v>1</v>
      </c>
      <c r="F76" s="285">
        <v>1727</v>
      </c>
      <c r="G76" s="270">
        <v>1727</v>
      </c>
      <c r="H76" s="59">
        <v>1</v>
      </c>
      <c r="I76" s="162"/>
    </row>
    <row r="77" spans="1:9" ht="15" customHeight="1" x14ac:dyDescent="0.4">
      <c r="A77" s="88" t="s">
        <v>359</v>
      </c>
      <c r="B77" s="96" t="s">
        <v>360</v>
      </c>
      <c r="C77" s="279">
        <v>117785</v>
      </c>
      <c r="D77" s="270">
        <v>92555</v>
      </c>
      <c r="E77" s="477">
        <v>0.79</v>
      </c>
      <c r="F77" s="286">
        <v>118851</v>
      </c>
      <c r="G77" s="280">
        <v>103938</v>
      </c>
      <c r="H77" s="59">
        <v>0.87452356311684376</v>
      </c>
      <c r="I77" s="162"/>
    </row>
    <row r="78" spans="1:9" ht="15" customHeight="1" x14ac:dyDescent="0.4">
      <c r="A78" s="88" t="s">
        <v>931</v>
      </c>
      <c r="B78" s="96" t="s">
        <v>932</v>
      </c>
      <c r="C78" s="279" t="s">
        <v>1316</v>
      </c>
      <c r="D78" s="270" t="s">
        <v>1316</v>
      </c>
      <c r="E78" s="477" t="s">
        <v>1316</v>
      </c>
      <c r="F78" s="285">
        <v>4356</v>
      </c>
      <c r="G78" s="270">
        <v>4354</v>
      </c>
      <c r="H78" s="59">
        <v>0.99954086317722679</v>
      </c>
      <c r="I78" s="162"/>
    </row>
    <row r="79" spans="1:9" ht="15" customHeight="1" x14ac:dyDescent="0.4">
      <c r="A79" s="88" t="s">
        <v>1045</v>
      </c>
      <c r="B79" s="96" t="s">
        <v>933</v>
      </c>
      <c r="C79" s="279" t="s">
        <v>1316</v>
      </c>
      <c r="D79" s="270" t="s">
        <v>1316</v>
      </c>
      <c r="E79" s="477" t="s">
        <v>1316</v>
      </c>
      <c r="F79" s="285">
        <v>13676</v>
      </c>
      <c r="G79" s="270">
        <v>13676</v>
      </c>
      <c r="H79" s="59">
        <v>1</v>
      </c>
      <c r="I79" s="162"/>
    </row>
    <row r="80" spans="1:9" ht="15" customHeight="1" x14ac:dyDescent="0.4">
      <c r="A80" s="88" t="s">
        <v>708</v>
      </c>
      <c r="B80" s="96" t="s">
        <v>584</v>
      </c>
      <c r="C80" s="279">
        <v>154140</v>
      </c>
      <c r="D80" s="270">
        <v>142725</v>
      </c>
      <c r="E80" s="477">
        <v>0.93</v>
      </c>
      <c r="F80" s="285">
        <v>160548</v>
      </c>
      <c r="G80" s="270">
        <v>149082</v>
      </c>
      <c r="H80" s="59">
        <v>0.9285821062859706</v>
      </c>
      <c r="I80" s="162"/>
    </row>
    <row r="81" spans="1:9" ht="15" customHeight="1" x14ac:dyDescent="0.4">
      <c r="A81" s="88" t="s">
        <v>1046</v>
      </c>
      <c r="B81" s="96" t="s">
        <v>934</v>
      </c>
      <c r="C81" s="279" t="s">
        <v>1316</v>
      </c>
      <c r="D81" s="270" t="s">
        <v>1316</v>
      </c>
      <c r="E81" s="477" t="s">
        <v>1316</v>
      </c>
      <c r="F81" s="286">
        <v>30577</v>
      </c>
      <c r="G81" s="280">
        <v>30577</v>
      </c>
      <c r="H81" s="59">
        <v>1</v>
      </c>
      <c r="I81" s="162"/>
    </row>
    <row r="82" spans="1:9" ht="15" customHeight="1" x14ac:dyDescent="0.4">
      <c r="A82" s="88" t="s">
        <v>935</v>
      </c>
      <c r="B82" s="96" t="s">
        <v>936</v>
      </c>
      <c r="C82" s="279" t="s">
        <v>1316</v>
      </c>
      <c r="D82" s="270" t="s">
        <v>1316</v>
      </c>
      <c r="E82" s="477" t="s">
        <v>1316</v>
      </c>
      <c r="F82" s="285">
        <v>12461</v>
      </c>
      <c r="G82" s="270">
        <v>12457</v>
      </c>
      <c r="H82" s="59">
        <v>0.99967899847524277</v>
      </c>
      <c r="I82" s="162"/>
    </row>
    <row r="83" spans="1:9" ht="15" customHeight="1" x14ac:dyDescent="0.4">
      <c r="A83" s="88" t="s">
        <v>1042</v>
      </c>
      <c r="B83" s="96" t="s">
        <v>937</v>
      </c>
      <c r="C83" s="279" t="s">
        <v>1316</v>
      </c>
      <c r="D83" s="270" t="s">
        <v>1316</v>
      </c>
      <c r="E83" s="477" t="s">
        <v>1316</v>
      </c>
      <c r="F83" s="285">
        <v>1148</v>
      </c>
      <c r="G83" s="270">
        <v>1148</v>
      </c>
      <c r="H83" s="59">
        <v>1</v>
      </c>
      <c r="I83" s="162"/>
    </row>
    <row r="84" spans="1:9" ht="15" customHeight="1" x14ac:dyDescent="0.4">
      <c r="A84" s="88" t="s">
        <v>361</v>
      </c>
      <c r="B84" s="96" t="s">
        <v>362</v>
      </c>
      <c r="C84" s="279" t="e">
        <v>#VALUE!</v>
      </c>
      <c r="D84" s="270" t="e">
        <v>#VALUE!</v>
      </c>
      <c r="E84" s="477" t="e">
        <v>#VALUE!</v>
      </c>
      <c r="F84" s="285"/>
      <c r="G84" s="270"/>
      <c r="H84" s="59"/>
      <c r="I84" s="162"/>
    </row>
    <row r="85" spans="1:9" ht="15" customHeight="1" x14ac:dyDescent="0.4">
      <c r="A85" s="88" t="s">
        <v>363</v>
      </c>
      <c r="B85" s="96" t="s">
        <v>364</v>
      </c>
      <c r="C85" s="279">
        <v>238755</v>
      </c>
      <c r="D85" s="270">
        <v>212445</v>
      </c>
      <c r="E85" s="477">
        <v>0.89</v>
      </c>
      <c r="F85" s="285">
        <v>238437</v>
      </c>
      <c r="G85" s="270">
        <v>212241</v>
      </c>
      <c r="H85" s="59">
        <v>0.89013450093735447</v>
      </c>
      <c r="I85" s="162"/>
    </row>
    <row r="86" spans="1:9" ht="15" customHeight="1" x14ac:dyDescent="0.4">
      <c r="A86" s="88" t="s">
        <v>365</v>
      </c>
      <c r="B86" s="96" t="s">
        <v>366</v>
      </c>
      <c r="C86" s="279">
        <v>6290</v>
      </c>
      <c r="D86" s="270">
        <v>6265</v>
      </c>
      <c r="E86" s="477">
        <v>1</v>
      </c>
      <c r="F86" s="286">
        <v>7383</v>
      </c>
      <c r="G86" s="280">
        <v>7356</v>
      </c>
      <c r="H86" s="59">
        <v>0.99634295002031692</v>
      </c>
      <c r="I86" s="162"/>
    </row>
    <row r="87" spans="1:9" ht="15" customHeight="1" x14ac:dyDescent="0.4">
      <c r="A87" s="88" t="s">
        <v>367</v>
      </c>
      <c r="B87" s="96" t="s">
        <v>585</v>
      </c>
      <c r="C87" s="279">
        <v>115670</v>
      </c>
      <c r="D87" s="270">
        <v>109445</v>
      </c>
      <c r="E87" s="477">
        <v>0.95</v>
      </c>
      <c r="F87" s="286">
        <v>117633</v>
      </c>
      <c r="G87" s="280">
        <v>111322</v>
      </c>
      <c r="H87" s="59">
        <v>0.94635008883561589</v>
      </c>
      <c r="I87" s="162"/>
    </row>
    <row r="88" spans="1:9" ht="15" customHeight="1" x14ac:dyDescent="0.4">
      <c r="A88" s="88" t="s">
        <v>368</v>
      </c>
      <c r="B88" s="96" t="s">
        <v>369</v>
      </c>
      <c r="C88" s="279">
        <v>80585</v>
      </c>
      <c r="D88" s="270">
        <v>70735</v>
      </c>
      <c r="E88" s="477">
        <v>0.88</v>
      </c>
      <c r="F88" s="286">
        <v>80785</v>
      </c>
      <c r="G88" s="280">
        <v>70865</v>
      </c>
      <c r="H88" s="59">
        <v>0.87720492665717642</v>
      </c>
      <c r="I88" s="162"/>
    </row>
    <row r="89" spans="1:9" ht="15" customHeight="1" x14ac:dyDescent="0.4">
      <c r="A89" s="88" t="s">
        <v>370</v>
      </c>
      <c r="B89" s="96" t="s">
        <v>371</v>
      </c>
      <c r="C89" s="279">
        <v>70505</v>
      </c>
      <c r="D89" s="270">
        <v>69995</v>
      </c>
      <c r="E89" s="477">
        <v>0.99</v>
      </c>
      <c r="F89" s="285">
        <v>70503</v>
      </c>
      <c r="G89" s="270">
        <v>69999</v>
      </c>
      <c r="H89" s="59">
        <v>0.99285136802689244</v>
      </c>
      <c r="I89" s="162"/>
    </row>
    <row r="90" spans="1:9" ht="15" customHeight="1" x14ac:dyDescent="0.4">
      <c r="A90" s="88" t="s">
        <v>372</v>
      </c>
      <c r="B90" s="96" t="s">
        <v>373</v>
      </c>
      <c r="C90" s="279">
        <v>141250</v>
      </c>
      <c r="D90" s="270">
        <v>122465</v>
      </c>
      <c r="E90" s="477">
        <v>0.87</v>
      </c>
      <c r="F90" s="285">
        <v>141324</v>
      </c>
      <c r="G90" s="270">
        <v>122536</v>
      </c>
      <c r="H90" s="59">
        <v>0.8670572584982027</v>
      </c>
      <c r="I90" s="162"/>
    </row>
    <row r="91" spans="1:9" ht="15" customHeight="1" x14ac:dyDescent="0.4">
      <c r="A91" s="88" t="s">
        <v>374</v>
      </c>
      <c r="B91" s="96" t="s">
        <v>375</v>
      </c>
      <c r="C91" s="279">
        <v>115665</v>
      </c>
      <c r="D91" s="270">
        <v>97555</v>
      </c>
      <c r="E91" s="477">
        <v>0.84</v>
      </c>
      <c r="F91" s="285">
        <v>160120</v>
      </c>
      <c r="G91" s="270">
        <v>139637</v>
      </c>
      <c r="H91" s="59">
        <v>0.8720771921059205</v>
      </c>
      <c r="I91" s="162"/>
    </row>
    <row r="92" spans="1:9" ht="15" customHeight="1" x14ac:dyDescent="0.4">
      <c r="A92" s="88" t="s">
        <v>938</v>
      </c>
      <c r="B92" s="96" t="s">
        <v>939</v>
      </c>
      <c r="C92" s="279" t="s">
        <v>1316</v>
      </c>
      <c r="D92" s="270" t="s">
        <v>1316</v>
      </c>
      <c r="E92" s="477" t="s">
        <v>1316</v>
      </c>
      <c r="F92" s="285">
        <v>8574</v>
      </c>
      <c r="G92" s="270">
        <v>8574</v>
      </c>
      <c r="H92" s="59">
        <v>1</v>
      </c>
      <c r="I92" s="162"/>
    </row>
    <row r="93" spans="1:9" ht="15" customHeight="1" x14ac:dyDescent="0.4">
      <c r="A93" s="88" t="s">
        <v>694</v>
      </c>
      <c r="B93" s="96" t="s">
        <v>586</v>
      </c>
      <c r="C93" s="279">
        <v>180100</v>
      </c>
      <c r="D93" s="270">
        <v>155405</v>
      </c>
      <c r="E93" s="477">
        <v>0.86</v>
      </c>
      <c r="F93" s="285">
        <v>192753</v>
      </c>
      <c r="G93" s="270">
        <v>170705</v>
      </c>
      <c r="H93" s="59">
        <v>0.8856152692824496</v>
      </c>
      <c r="I93" s="162"/>
    </row>
    <row r="94" spans="1:9" ht="15" customHeight="1" x14ac:dyDescent="0.4">
      <c r="A94" s="88" t="s">
        <v>376</v>
      </c>
      <c r="B94" s="96" t="s">
        <v>587</v>
      </c>
      <c r="C94" s="279">
        <v>123820</v>
      </c>
      <c r="D94" s="270">
        <v>107490</v>
      </c>
      <c r="E94" s="477">
        <v>0.87</v>
      </c>
      <c r="F94" s="285">
        <v>123813</v>
      </c>
      <c r="G94" s="270">
        <v>107777</v>
      </c>
      <c r="H94" s="59">
        <v>0.87048209800263299</v>
      </c>
      <c r="I94" s="162"/>
    </row>
    <row r="95" spans="1:9" ht="15" customHeight="1" x14ac:dyDescent="0.4">
      <c r="A95" s="88" t="s">
        <v>940</v>
      </c>
      <c r="B95" s="96" t="s">
        <v>941</v>
      </c>
      <c r="C95" s="279" t="s">
        <v>1316</v>
      </c>
      <c r="D95" s="270" t="s">
        <v>1316</v>
      </c>
      <c r="E95" s="477" t="s">
        <v>1316</v>
      </c>
      <c r="F95" s="285">
        <v>45827</v>
      </c>
      <c r="G95" s="270">
        <v>45827</v>
      </c>
      <c r="H95" s="59">
        <v>1</v>
      </c>
      <c r="I95" s="162"/>
    </row>
    <row r="96" spans="1:9" ht="15" customHeight="1" x14ac:dyDescent="0.4">
      <c r="A96" s="88" t="s">
        <v>690</v>
      </c>
      <c r="B96" s="96" t="s">
        <v>377</v>
      </c>
      <c r="C96" s="279">
        <v>49485</v>
      </c>
      <c r="D96" s="270">
        <v>46605</v>
      </c>
      <c r="E96" s="477">
        <v>0.94</v>
      </c>
      <c r="F96" s="285">
        <v>59647</v>
      </c>
      <c r="G96" s="270">
        <v>56759</v>
      </c>
      <c r="H96" s="59">
        <v>0.9515818062936946</v>
      </c>
      <c r="I96" s="162"/>
    </row>
    <row r="97" spans="1:9" ht="15" customHeight="1" x14ac:dyDescent="0.4">
      <c r="A97" s="88" t="s">
        <v>378</v>
      </c>
      <c r="B97" s="96" t="s">
        <v>379</v>
      </c>
      <c r="C97" s="279">
        <v>7440</v>
      </c>
      <c r="D97" s="270">
        <v>7355</v>
      </c>
      <c r="E97" s="477">
        <v>0.99</v>
      </c>
      <c r="F97" s="285">
        <v>7959</v>
      </c>
      <c r="G97" s="270">
        <v>7904</v>
      </c>
      <c r="H97" s="59">
        <v>0.99308958411860782</v>
      </c>
      <c r="I97" s="162"/>
    </row>
    <row r="98" spans="1:9" ht="15" customHeight="1" x14ac:dyDescent="0.4">
      <c r="A98" s="88" t="s">
        <v>942</v>
      </c>
      <c r="B98" s="96" t="s">
        <v>943</v>
      </c>
      <c r="C98" s="279" t="s">
        <v>1316</v>
      </c>
      <c r="D98" s="270" t="s">
        <v>1316</v>
      </c>
      <c r="E98" s="477" t="s">
        <v>1316</v>
      </c>
      <c r="F98" s="285">
        <v>5728</v>
      </c>
      <c r="G98" s="270">
        <v>5728</v>
      </c>
      <c r="H98" s="59">
        <v>1</v>
      </c>
      <c r="I98" s="162"/>
    </row>
    <row r="99" spans="1:9" ht="15" customHeight="1" x14ac:dyDescent="0.4">
      <c r="A99" s="88" t="s">
        <v>588</v>
      </c>
      <c r="B99" s="96" t="s">
        <v>589</v>
      </c>
      <c r="C99" s="279">
        <v>19780</v>
      </c>
      <c r="D99" s="270">
        <v>19775</v>
      </c>
      <c r="E99" s="477">
        <v>1</v>
      </c>
      <c r="F99" s="285">
        <v>21972</v>
      </c>
      <c r="G99" s="270">
        <v>21966</v>
      </c>
      <c r="H99" s="59">
        <v>0.99972692517749862</v>
      </c>
      <c r="I99" s="162"/>
    </row>
    <row r="100" spans="1:9" ht="15" customHeight="1" x14ac:dyDescent="0.4">
      <c r="A100" s="88" t="s">
        <v>380</v>
      </c>
      <c r="B100" s="96" t="s">
        <v>590</v>
      </c>
      <c r="C100" s="279">
        <v>272360</v>
      </c>
      <c r="D100" s="270">
        <v>217430</v>
      </c>
      <c r="E100" s="477">
        <v>0.8</v>
      </c>
      <c r="F100" s="285">
        <v>272213</v>
      </c>
      <c r="G100" s="270">
        <v>217259</v>
      </c>
      <c r="H100" s="59">
        <v>0.79812132411016368</v>
      </c>
      <c r="I100" s="162"/>
    </row>
    <row r="101" spans="1:9" ht="15" customHeight="1" x14ac:dyDescent="0.4">
      <c r="A101" s="88" t="s">
        <v>381</v>
      </c>
      <c r="B101" s="96" t="s">
        <v>382</v>
      </c>
      <c r="C101" s="279">
        <v>10810</v>
      </c>
      <c r="D101" s="270">
        <v>10795</v>
      </c>
      <c r="E101" s="477">
        <v>1</v>
      </c>
      <c r="F101" s="285">
        <v>10572</v>
      </c>
      <c r="G101" s="270">
        <v>10554</v>
      </c>
      <c r="H101" s="59">
        <v>0.99829738933030643</v>
      </c>
      <c r="I101" s="162"/>
    </row>
    <row r="102" spans="1:9" ht="15" customHeight="1" x14ac:dyDescent="0.4">
      <c r="A102" s="88" t="s">
        <v>383</v>
      </c>
      <c r="B102" s="96" t="s">
        <v>384</v>
      </c>
      <c r="C102" s="279">
        <v>121950</v>
      </c>
      <c r="D102" s="270">
        <v>89300</v>
      </c>
      <c r="E102" s="477">
        <v>0.73</v>
      </c>
      <c r="F102" s="285">
        <v>123611</v>
      </c>
      <c r="G102" s="270">
        <v>117102</v>
      </c>
      <c r="H102" s="59">
        <v>0.94734287401606654</v>
      </c>
      <c r="I102" s="162"/>
    </row>
    <row r="103" spans="1:9" ht="15" customHeight="1" x14ac:dyDescent="0.4">
      <c r="A103" s="88" t="s">
        <v>944</v>
      </c>
      <c r="B103" s="96" t="s">
        <v>886</v>
      </c>
      <c r="C103" s="279">
        <v>2510</v>
      </c>
      <c r="D103" s="270">
        <v>2510</v>
      </c>
      <c r="E103" s="477">
        <v>1</v>
      </c>
      <c r="F103" s="285">
        <v>2676</v>
      </c>
      <c r="G103" s="270">
        <v>2675</v>
      </c>
      <c r="H103" s="59">
        <v>0.99962630792227203</v>
      </c>
      <c r="I103" s="162"/>
    </row>
    <row r="104" spans="1:9" ht="15" customHeight="1" x14ac:dyDescent="0.4">
      <c r="A104" s="88" t="s">
        <v>1024</v>
      </c>
      <c r="B104" s="96" t="s">
        <v>874</v>
      </c>
      <c r="C104" s="279">
        <v>22135</v>
      </c>
      <c r="D104" s="270">
        <v>21030</v>
      </c>
      <c r="E104" s="477">
        <v>0.95</v>
      </c>
      <c r="F104" s="285"/>
      <c r="G104" s="270"/>
      <c r="H104" s="59"/>
      <c r="I104" s="162"/>
    </row>
    <row r="105" spans="1:9" ht="15" customHeight="1" x14ac:dyDescent="0.4">
      <c r="A105" s="88" t="s">
        <v>720</v>
      </c>
      <c r="B105" s="96" t="s">
        <v>385</v>
      </c>
      <c r="C105" s="279">
        <v>153140</v>
      </c>
      <c r="D105" s="270">
        <v>152030</v>
      </c>
      <c r="E105" s="477">
        <v>0.99</v>
      </c>
      <c r="F105" s="285">
        <v>56871</v>
      </c>
      <c r="G105" s="270">
        <v>56844</v>
      </c>
      <c r="H105" s="59">
        <v>0.99952524133565435</v>
      </c>
      <c r="I105" s="162"/>
    </row>
    <row r="106" spans="1:9" ht="15" customHeight="1" x14ac:dyDescent="0.4">
      <c r="A106" s="88" t="s">
        <v>711</v>
      </c>
      <c r="B106" s="96" t="s">
        <v>386</v>
      </c>
      <c r="C106" s="279">
        <v>146780</v>
      </c>
      <c r="D106" s="270">
        <v>127940</v>
      </c>
      <c r="E106" s="477">
        <v>0.87</v>
      </c>
      <c r="F106" s="286">
        <v>147175</v>
      </c>
      <c r="G106" s="280">
        <v>128370</v>
      </c>
      <c r="H106" s="59">
        <v>0.87222694071683371</v>
      </c>
      <c r="I106" s="162"/>
    </row>
    <row r="107" spans="1:9" ht="15" customHeight="1" x14ac:dyDescent="0.4">
      <c r="A107" s="88" t="s">
        <v>387</v>
      </c>
      <c r="B107" s="96" t="s">
        <v>591</v>
      </c>
      <c r="C107" s="279">
        <v>7695</v>
      </c>
      <c r="D107" s="270">
        <v>7670</v>
      </c>
      <c r="E107" s="477">
        <v>1</v>
      </c>
      <c r="F107" s="285">
        <v>7623</v>
      </c>
      <c r="G107" s="270">
        <v>7608</v>
      </c>
      <c r="H107" s="59">
        <v>0.99803227075954348</v>
      </c>
      <c r="I107" s="162"/>
    </row>
    <row r="108" spans="1:9" ht="15" customHeight="1" x14ac:dyDescent="0.4">
      <c r="A108" s="88" t="s">
        <v>388</v>
      </c>
      <c r="B108" s="96" t="s">
        <v>389</v>
      </c>
      <c r="C108" s="279">
        <v>240015</v>
      </c>
      <c r="D108" s="270">
        <v>199535</v>
      </c>
      <c r="E108" s="477">
        <v>0.83</v>
      </c>
      <c r="F108" s="285">
        <v>288962</v>
      </c>
      <c r="G108" s="270">
        <v>251963</v>
      </c>
      <c r="H108" s="59">
        <v>0.87195894269834784</v>
      </c>
      <c r="I108" s="162"/>
    </row>
    <row r="109" spans="1:9" ht="15" customHeight="1" x14ac:dyDescent="0.4">
      <c r="A109" s="88" t="s">
        <v>390</v>
      </c>
      <c r="B109" s="96" t="s">
        <v>391</v>
      </c>
      <c r="C109" s="279">
        <v>92060</v>
      </c>
      <c r="D109" s="270">
        <v>83515</v>
      </c>
      <c r="E109" s="477">
        <v>0.91</v>
      </c>
      <c r="F109" s="285">
        <v>94866</v>
      </c>
      <c r="G109" s="270">
        <v>86325</v>
      </c>
      <c r="H109" s="59">
        <v>0.90996774397571312</v>
      </c>
      <c r="I109" s="162"/>
    </row>
    <row r="110" spans="1:9" ht="15" customHeight="1" x14ac:dyDescent="0.4">
      <c r="A110" s="88" t="s">
        <v>392</v>
      </c>
      <c r="B110" s="96" t="s">
        <v>592</v>
      </c>
      <c r="C110" s="279">
        <v>49695</v>
      </c>
      <c r="D110" s="270">
        <v>41075</v>
      </c>
      <c r="E110" s="477">
        <v>0.83</v>
      </c>
      <c r="F110" s="285">
        <v>56013</v>
      </c>
      <c r="G110" s="270">
        <v>47707</v>
      </c>
      <c r="H110" s="59">
        <v>0.8517129951975434</v>
      </c>
      <c r="I110" s="162"/>
    </row>
    <row r="111" spans="1:9" ht="15" customHeight="1" x14ac:dyDescent="0.4">
      <c r="A111" s="88" t="s">
        <v>393</v>
      </c>
      <c r="B111" s="96" t="s">
        <v>394</v>
      </c>
      <c r="C111" s="279">
        <v>77395</v>
      </c>
      <c r="D111" s="270">
        <v>70035</v>
      </c>
      <c r="E111" s="477">
        <v>0.9</v>
      </c>
      <c r="F111" s="285">
        <v>77881</v>
      </c>
      <c r="G111" s="270">
        <v>70476</v>
      </c>
      <c r="H111" s="59">
        <v>0.90491904315558358</v>
      </c>
      <c r="I111" s="162"/>
    </row>
    <row r="112" spans="1:9" ht="15" customHeight="1" x14ac:dyDescent="0.4">
      <c r="A112" s="88" t="s">
        <v>593</v>
      </c>
      <c r="B112" s="96" t="s">
        <v>395</v>
      </c>
      <c r="C112" s="279">
        <v>76245</v>
      </c>
      <c r="D112" s="270">
        <v>76120</v>
      </c>
      <c r="E112" s="477">
        <v>1</v>
      </c>
      <c r="F112" s="285">
        <v>60985</v>
      </c>
      <c r="G112" s="270">
        <v>60861</v>
      </c>
      <c r="H112" s="59">
        <v>0.99796671312617857</v>
      </c>
      <c r="I112" s="162"/>
    </row>
    <row r="113" spans="1:9" ht="15" customHeight="1" x14ac:dyDescent="0.4">
      <c r="A113" s="88" t="s">
        <v>396</v>
      </c>
      <c r="B113" s="96" t="s">
        <v>397</v>
      </c>
      <c r="C113" s="279">
        <v>86890</v>
      </c>
      <c r="D113" s="270">
        <v>66755</v>
      </c>
      <c r="E113" s="477">
        <v>0.77</v>
      </c>
      <c r="F113" s="285">
        <v>87497</v>
      </c>
      <c r="G113" s="270">
        <v>69510</v>
      </c>
      <c r="H113" s="59">
        <v>0.79442723750528588</v>
      </c>
      <c r="I113" s="162"/>
    </row>
    <row r="114" spans="1:9" ht="15" customHeight="1" x14ac:dyDescent="0.4">
      <c r="A114" s="88" t="s">
        <v>398</v>
      </c>
      <c r="B114" s="96" t="s">
        <v>399</v>
      </c>
      <c r="C114" s="279">
        <v>228395</v>
      </c>
      <c r="D114" s="270">
        <v>177265</v>
      </c>
      <c r="E114" s="477">
        <v>0.78</v>
      </c>
      <c r="F114" s="285">
        <v>286318</v>
      </c>
      <c r="G114" s="270">
        <v>234183</v>
      </c>
      <c r="H114" s="59">
        <v>0.8179122514127648</v>
      </c>
      <c r="I114" s="162"/>
    </row>
    <row r="115" spans="1:9" ht="15" customHeight="1" x14ac:dyDescent="0.4">
      <c r="A115" s="88" t="s">
        <v>400</v>
      </c>
      <c r="B115" s="96" t="s">
        <v>401</v>
      </c>
      <c r="C115" s="279">
        <v>116985</v>
      </c>
      <c r="D115" s="270">
        <v>93270</v>
      </c>
      <c r="E115" s="477">
        <v>0.8</v>
      </c>
      <c r="F115" s="286">
        <v>118397</v>
      </c>
      <c r="G115" s="280">
        <v>105567</v>
      </c>
      <c r="H115" s="59">
        <v>0.89163576779817055</v>
      </c>
      <c r="I115" s="162"/>
    </row>
    <row r="116" spans="1:9" ht="15" customHeight="1" x14ac:dyDescent="0.4">
      <c r="A116" s="88" t="s">
        <v>402</v>
      </c>
      <c r="B116" s="96" t="s">
        <v>403</v>
      </c>
      <c r="C116" s="279">
        <v>93240</v>
      </c>
      <c r="D116" s="270">
        <v>70260</v>
      </c>
      <c r="E116" s="477">
        <v>0.75</v>
      </c>
      <c r="F116" s="285">
        <v>147090</v>
      </c>
      <c r="G116" s="270">
        <v>123560</v>
      </c>
      <c r="H116" s="59">
        <v>0.84002991365830448</v>
      </c>
      <c r="I116" s="162"/>
    </row>
    <row r="117" spans="1:9" ht="15" customHeight="1" x14ac:dyDescent="0.4">
      <c r="A117" s="88" t="s">
        <v>945</v>
      </c>
      <c r="B117" s="96" t="s">
        <v>946</v>
      </c>
      <c r="C117" s="279" t="s">
        <v>1316</v>
      </c>
      <c r="D117" s="270" t="s">
        <v>1316</v>
      </c>
      <c r="E117" s="477" t="s">
        <v>1316</v>
      </c>
      <c r="F117" s="285">
        <v>3928</v>
      </c>
      <c r="G117" s="270">
        <v>3928</v>
      </c>
      <c r="H117" s="59">
        <v>1</v>
      </c>
      <c r="I117" s="162"/>
    </row>
    <row r="118" spans="1:9" ht="15" customHeight="1" x14ac:dyDescent="0.4">
      <c r="A118" s="88" t="s">
        <v>947</v>
      </c>
      <c r="B118" s="96" t="s">
        <v>948</v>
      </c>
      <c r="C118" s="279" t="s">
        <v>1316</v>
      </c>
      <c r="D118" s="270" t="s">
        <v>1316</v>
      </c>
      <c r="E118" s="477" t="s">
        <v>1316</v>
      </c>
      <c r="F118" s="286">
        <v>29426</v>
      </c>
      <c r="G118" s="280">
        <v>29426</v>
      </c>
      <c r="H118" s="59">
        <v>1</v>
      </c>
      <c r="I118" s="162"/>
    </row>
    <row r="119" spans="1:9" ht="15" customHeight="1" x14ac:dyDescent="0.4">
      <c r="A119" s="88" t="s">
        <v>404</v>
      </c>
      <c r="B119" s="96" t="s">
        <v>405</v>
      </c>
      <c r="C119" s="279">
        <v>212855</v>
      </c>
      <c r="D119" s="270">
        <v>171565</v>
      </c>
      <c r="E119" s="477">
        <v>0.81</v>
      </c>
      <c r="F119" s="286">
        <v>238850</v>
      </c>
      <c r="G119" s="280">
        <v>197477</v>
      </c>
      <c r="H119" s="59">
        <v>0.82678249947665905</v>
      </c>
      <c r="I119" s="162"/>
    </row>
    <row r="120" spans="1:9" ht="15" customHeight="1" x14ac:dyDescent="0.4">
      <c r="A120" s="88" t="s">
        <v>695</v>
      </c>
      <c r="B120" s="96" t="s">
        <v>406</v>
      </c>
      <c r="C120" s="279">
        <v>215120</v>
      </c>
      <c r="D120" s="270">
        <v>172390</v>
      </c>
      <c r="E120" s="477">
        <v>0.8</v>
      </c>
      <c r="F120" s="285">
        <v>294452</v>
      </c>
      <c r="G120" s="270">
        <v>261926</v>
      </c>
      <c r="H120" s="59">
        <v>0.8895371741404372</v>
      </c>
      <c r="I120" s="162"/>
    </row>
    <row r="121" spans="1:9" ht="15" customHeight="1" x14ac:dyDescent="0.4">
      <c r="A121" s="88" t="s">
        <v>407</v>
      </c>
      <c r="B121" s="96" t="s">
        <v>408</v>
      </c>
      <c r="C121" s="279">
        <v>146815</v>
      </c>
      <c r="D121" s="270">
        <v>145425</v>
      </c>
      <c r="E121" s="477">
        <v>0.99</v>
      </c>
      <c r="F121" s="286">
        <v>152689</v>
      </c>
      <c r="G121" s="280">
        <v>151286</v>
      </c>
      <c r="H121" s="59">
        <v>0.9908113878537419</v>
      </c>
      <c r="I121" s="162"/>
    </row>
    <row r="122" spans="1:9" ht="15" customHeight="1" x14ac:dyDescent="0.4">
      <c r="A122" s="88" t="s">
        <v>949</v>
      </c>
      <c r="B122" s="96" t="s">
        <v>950</v>
      </c>
      <c r="C122" s="279" t="s">
        <v>1316</v>
      </c>
      <c r="D122" s="270" t="s">
        <v>1316</v>
      </c>
      <c r="E122" s="477" t="s">
        <v>1316</v>
      </c>
      <c r="F122" s="285">
        <v>23949</v>
      </c>
      <c r="G122" s="270">
        <v>23949</v>
      </c>
      <c r="H122" s="59">
        <v>1</v>
      </c>
      <c r="I122" s="162"/>
    </row>
    <row r="123" spans="1:9" ht="15" customHeight="1" x14ac:dyDescent="0.4">
      <c r="A123" s="88" t="s">
        <v>409</v>
      </c>
      <c r="B123" s="96" t="s">
        <v>410</v>
      </c>
      <c r="C123" s="279">
        <v>147820</v>
      </c>
      <c r="D123" s="270">
        <v>146755</v>
      </c>
      <c r="E123" s="477">
        <v>0.99</v>
      </c>
      <c r="F123" s="285">
        <v>27486</v>
      </c>
      <c r="G123" s="270">
        <v>27486</v>
      </c>
      <c r="H123" s="59">
        <v>1</v>
      </c>
      <c r="I123" s="162"/>
    </row>
    <row r="124" spans="1:9" ht="15" customHeight="1" x14ac:dyDescent="0.4">
      <c r="A124" s="88" t="s">
        <v>411</v>
      </c>
      <c r="B124" s="96" t="s">
        <v>412</v>
      </c>
      <c r="C124" s="279">
        <v>12555</v>
      </c>
      <c r="D124" s="270">
        <v>12345</v>
      </c>
      <c r="E124" s="477">
        <v>0.98</v>
      </c>
      <c r="F124" s="285">
        <v>12555</v>
      </c>
      <c r="G124" s="270">
        <v>12343</v>
      </c>
      <c r="H124" s="59">
        <v>0.98311429709279174</v>
      </c>
      <c r="I124" s="162"/>
    </row>
    <row r="125" spans="1:9" ht="15" customHeight="1" x14ac:dyDescent="0.4">
      <c r="A125" s="88" t="s">
        <v>951</v>
      </c>
      <c r="B125" s="96" t="s">
        <v>952</v>
      </c>
      <c r="C125" s="279" t="s">
        <v>1316</v>
      </c>
      <c r="D125" s="270" t="s">
        <v>1316</v>
      </c>
      <c r="E125" s="477" t="s">
        <v>1316</v>
      </c>
      <c r="F125" s="285">
        <v>17026</v>
      </c>
      <c r="G125" s="270">
        <v>16993</v>
      </c>
      <c r="H125" s="59">
        <v>0.99806178785387056</v>
      </c>
      <c r="I125" s="162"/>
    </row>
    <row r="126" spans="1:9" ht="15" customHeight="1" x14ac:dyDescent="0.4">
      <c r="A126" s="88" t="s">
        <v>953</v>
      </c>
      <c r="B126" s="96" t="s">
        <v>954</v>
      </c>
      <c r="C126" s="279" t="s">
        <v>1316</v>
      </c>
      <c r="D126" s="270" t="s">
        <v>1316</v>
      </c>
      <c r="E126" s="477" t="s">
        <v>1316</v>
      </c>
      <c r="F126" s="285">
        <v>40257</v>
      </c>
      <c r="G126" s="270">
        <v>40257</v>
      </c>
      <c r="H126" s="59">
        <v>1</v>
      </c>
      <c r="I126" s="162"/>
    </row>
    <row r="127" spans="1:9" ht="15" customHeight="1" x14ac:dyDescent="0.4">
      <c r="A127" s="88" t="s">
        <v>1035</v>
      </c>
      <c r="B127" s="96" t="s">
        <v>413</v>
      </c>
      <c r="C127" s="279">
        <v>140810</v>
      </c>
      <c r="D127" s="270">
        <v>82445</v>
      </c>
      <c r="E127" s="477">
        <v>0.59</v>
      </c>
      <c r="F127" s="285">
        <v>339535</v>
      </c>
      <c r="G127" s="270">
        <v>287802</v>
      </c>
      <c r="H127" s="59">
        <v>0.847635737111049</v>
      </c>
      <c r="I127" s="162"/>
    </row>
    <row r="128" spans="1:9" ht="15" customHeight="1" x14ac:dyDescent="0.4">
      <c r="A128" s="88" t="s">
        <v>955</v>
      </c>
      <c r="B128" s="96" t="s">
        <v>572</v>
      </c>
      <c r="C128" s="279">
        <v>48115</v>
      </c>
      <c r="D128" s="270">
        <v>46640</v>
      </c>
      <c r="E128" s="477">
        <v>0.97</v>
      </c>
      <c r="F128" s="285">
        <v>44260</v>
      </c>
      <c r="G128" s="270">
        <v>42847</v>
      </c>
      <c r="H128" s="59">
        <v>0.96807501129688212</v>
      </c>
      <c r="I128" s="162"/>
    </row>
    <row r="129" spans="1:9" ht="15" customHeight="1" x14ac:dyDescent="0.4">
      <c r="A129" s="88" t="s">
        <v>689</v>
      </c>
      <c r="B129" s="96" t="s">
        <v>414</v>
      </c>
      <c r="C129" s="279">
        <v>105220</v>
      </c>
      <c r="D129" s="270">
        <v>102845</v>
      </c>
      <c r="E129" s="477">
        <v>0.98</v>
      </c>
      <c r="F129" s="285">
        <v>150111</v>
      </c>
      <c r="G129" s="270">
        <v>147775</v>
      </c>
      <c r="H129" s="59">
        <v>0.98443818241168202</v>
      </c>
      <c r="I129" s="162"/>
    </row>
    <row r="130" spans="1:9" ht="15" customHeight="1" x14ac:dyDescent="0.4">
      <c r="A130" s="88" t="s">
        <v>1025</v>
      </c>
      <c r="B130" s="96" t="s">
        <v>887</v>
      </c>
      <c r="C130" s="279">
        <v>235</v>
      </c>
      <c r="D130" s="270">
        <v>215</v>
      </c>
      <c r="E130" s="477" t="s">
        <v>1316</v>
      </c>
      <c r="F130" s="285"/>
      <c r="G130" s="270"/>
      <c r="H130" s="59"/>
      <c r="I130" s="162"/>
    </row>
    <row r="131" spans="1:9" ht="15" customHeight="1" x14ac:dyDescent="0.4">
      <c r="A131" s="88" t="s">
        <v>712</v>
      </c>
      <c r="B131" s="96" t="s">
        <v>415</v>
      </c>
      <c r="C131" s="279">
        <v>170205</v>
      </c>
      <c r="D131" s="270">
        <v>151865</v>
      </c>
      <c r="E131" s="477">
        <v>0.89</v>
      </c>
      <c r="F131" s="285">
        <v>170155</v>
      </c>
      <c r="G131" s="270">
        <v>151838</v>
      </c>
      <c r="H131" s="59">
        <v>0.89235109165172932</v>
      </c>
      <c r="I131" s="162"/>
    </row>
    <row r="132" spans="1:9" ht="15" customHeight="1" x14ac:dyDescent="0.4">
      <c r="A132" s="88" t="s">
        <v>1026</v>
      </c>
      <c r="B132" s="96" t="s">
        <v>878</v>
      </c>
      <c r="C132" s="279">
        <v>12405</v>
      </c>
      <c r="D132" s="270">
        <v>11900</v>
      </c>
      <c r="E132" s="477">
        <v>0.96</v>
      </c>
      <c r="F132" s="285"/>
      <c r="G132" s="270"/>
      <c r="H132" s="59"/>
      <c r="I132" s="162"/>
    </row>
    <row r="133" spans="1:9" ht="15" customHeight="1" x14ac:dyDescent="0.4">
      <c r="A133" s="88" t="s">
        <v>1020</v>
      </c>
      <c r="B133" s="96" t="s">
        <v>897</v>
      </c>
      <c r="C133" s="279">
        <v>364670</v>
      </c>
      <c r="D133" s="270">
        <v>322730</v>
      </c>
      <c r="E133" s="477">
        <v>0.88</v>
      </c>
      <c r="F133" s="285">
        <v>203651</v>
      </c>
      <c r="G133" s="270">
        <v>176063</v>
      </c>
      <c r="H133" s="59">
        <v>0.8645329509798626</v>
      </c>
      <c r="I133" s="162"/>
    </row>
    <row r="134" spans="1:9" ht="15" customHeight="1" x14ac:dyDescent="0.4">
      <c r="A134" s="88" t="s">
        <v>1027</v>
      </c>
      <c r="B134" s="96" t="s">
        <v>956</v>
      </c>
      <c r="C134" s="279" t="s">
        <v>1316</v>
      </c>
      <c r="D134" s="270" t="s">
        <v>1316</v>
      </c>
      <c r="E134" s="477" t="s">
        <v>1316</v>
      </c>
      <c r="F134" s="285">
        <v>3855</v>
      </c>
      <c r="G134" s="270">
        <v>3855</v>
      </c>
      <c r="H134" s="59">
        <v>1</v>
      </c>
      <c r="I134" s="162"/>
    </row>
    <row r="135" spans="1:9" ht="15" customHeight="1" x14ac:dyDescent="0.4">
      <c r="A135" s="88" t="s">
        <v>957</v>
      </c>
      <c r="B135" s="96" t="s">
        <v>594</v>
      </c>
      <c r="C135" s="279">
        <v>8570</v>
      </c>
      <c r="D135" s="270">
        <v>8110</v>
      </c>
      <c r="E135" s="477">
        <v>0.95</v>
      </c>
      <c r="F135" s="285">
        <v>7655</v>
      </c>
      <c r="G135" s="270">
        <v>7550</v>
      </c>
      <c r="H135" s="59">
        <v>0.98628347485303725</v>
      </c>
      <c r="I135" s="162"/>
    </row>
    <row r="136" spans="1:9" ht="15" customHeight="1" x14ac:dyDescent="0.4">
      <c r="A136" s="88" t="s">
        <v>416</v>
      </c>
      <c r="B136" s="96" t="s">
        <v>417</v>
      </c>
      <c r="C136" s="279">
        <v>121535</v>
      </c>
      <c r="D136" s="270">
        <v>101375</v>
      </c>
      <c r="E136" s="477">
        <v>0.83</v>
      </c>
      <c r="F136" s="285">
        <v>130680</v>
      </c>
      <c r="G136" s="270">
        <v>110367</v>
      </c>
      <c r="H136" s="59">
        <v>0.84455922865013777</v>
      </c>
      <c r="I136" s="162"/>
    </row>
    <row r="137" spans="1:9" ht="15" customHeight="1" x14ac:dyDescent="0.4">
      <c r="A137" s="88" t="s">
        <v>958</v>
      </c>
      <c r="B137" s="96" t="s">
        <v>595</v>
      </c>
      <c r="C137" s="279">
        <v>7815</v>
      </c>
      <c r="D137" s="270">
        <v>7585</v>
      </c>
      <c r="E137" s="477">
        <v>0.97</v>
      </c>
      <c r="F137" s="285">
        <v>7180</v>
      </c>
      <c r="G137" s="270">
        <v>7111</v>
      </c>
      <c r="H137" s="59">
        <v>0.99038997214484681</v>
      </c>
      <c r="I137" s="162"/>
    </row>
    <row r="138" spans="1:9" ht="15" customHeight="1" x14ac:dyDescent="0.4">
      <c r="A138" s="88" t="s">
        <v>418</v>
      </c>
      <c r="B138" s="96" t="s">
        <v>419</v>
      </c>
      <c r="C138" s="279">
        <v>88190</v>
      </c>
      <c r="D138" s="270">
        <v>76925</v>
      </c>
      <c r="E138" s="477">
        <v>0.87</v>
      </c>
      <c r="F138" s="285">
        <v>87780</v>
      </c>
      <c r="G138" s="270">
        <v>76471</v>
      </c>
      <c r="H138" s="59">
        <v>0.87116655274550014</v>
      </c>
      <c r="I138" s="162"/>
    </row>
    <row r="139" spans="1:9" ht="15" customHeight="1" x14ac:dyDescent="0.4">
      <c r="A139" s="88" t="s">
        <v>420</v>
      </c>
      <c r="B139" s="96" t="s">
        <v>421</v>
      </c>
      <c r="C139" s="279">
        <v>100750</v>
      </c>
      <c r="D139" s="270">
        <v>82165</v>
      </c>
      <c r="E139" s="477">
        <v>0.82</v>
      </c>
      <c r="F139" s="285">
        <v>100342</v>
      </c>
      <c r="G139" s="270">
        <v>83785</v>
      </c>
      <c r="H139" s="59">
        <v>0.83499431942755775</v>
      </c>
      <c r="I139" s="162"/>
    </row>
    <row r="140" spans="1:9" ht="15" customHeight="1" x14ac:dyDescent="0.4">
      <c r="A140" s="88" t="s">
        <v>422</v>
      </c>
      <c r="B140" s="96" t="s">
        <v>596</v>
      </c>
      <c r="C140" s="279">
        <v>239790</v>
      </c>
      <c r="D140" s="270">
        <v>204200</v>
      </c>
      <c r="E140" s="477">
        <v>0.85</v>
      </c>
      <c r="F140" s="286">
        <v>239784</v>
      </c>
      <c r="G140" s="280">
        <v>204360</v>
      </c>
      <c r="H140" s="59">
        <v>0.85226704033630263</v>
      </c>
      <c r="I140" s="162"/>
    </row>
    <row r="141" spans="1:9" ht="15" customHeight="1" x14ac:dyDescent="0.4">
      <c r="A141" s="88" t="s">
        <v>597</v>
      </c>
      <c r="B141" s="96" t="s">
        <v>423</v>
      </c>
      <c r="C141" s="279">
        <v>87095</v>
      </c>
      <c r="D141" s="270">
        <v>74295</v>
      </c>
      <c r="E141" s="477">
        <v>0.85</v>
      </c>
      <c r="F141" s="285">
        <v>144630</v>
      </c>
      <c r="G141" s="270">
        <v>131597</v>
      </c>
      <c r="H141" s="59">
        <v>0.90988729862407525</v>
      </c>
      <c r="I141" s="162"/>
    </row>
    <row r="142" spans="1:9" ht="15" customHeight="1" x14ac:dyDescent="0.4">
      <c r="A142" s="88" t="s">
        <v>959</v>
      </c>
      <c r="B142" s="96" t="s">
        <v>960</v>
      </c>
      <c r="C142" s="279" t="s">
        <v>1316</v>
      </c>
      <c r="D142" s="270" t="s">
        <v>1316</v>
      </c>
      <c r="E142" s="477" t="s">
        <v>1316</v>
      </c>
      <c r="F142" s="286">
        <v>3344</v>
      </c>
      <c r="G142" s="280">
        <v>3344</v>
      </c>
      <c r="H142" s="59">
        <v>1</v>
      </c>
      <c r="I142" s="162"/>
    </row>
    <row r="143" spans="1:9" ht="15" customHeight="1" x14ac:dyDescent="0.4">
      <c r="A143" s="88" t="s">
        <v>424</v>
      </c>
      <c r="B143" s="96" t="s">
        <v>425</v>
      </c>
      <c r="C143" s="279">
        <v>95015</v>
      </c>
      <c r="D143" s="270">
        <v>93605</v>
      </c>
      <c r="E143" s="477">
        <v>0.99</v>
      </c>
      <c r="F143" s="285">
        <v>95029</v>
      </c>
      <c r="G143" s="270">
        <v>93597</v>
      </c>
      <c r="H143" s="59">
        <v>0.98493091582569536</v>
      </c>
      <c r="I143" s="162"/>
    </row>
    <row r="144" spans="1:9" ht="15" customHeight="1" x14ac:dyDescent="0.4">
      <c r="A144" s="88" t="s">
        <v>961</v>
      </c>
      <c r="B144" s="96" t="s">
        <v>962</v>
      </c>
      <c r="C144" s="279" t="s">
        <v>1316</v>
      </c>
      <c r="D144" s="270" t="s">
        <v>1316</v>
      </c>
      <c r="E144" s="477" t="s">
        <v>1316</v>
      </c>
      <c r="F144" s="285">
        <v>755</v>
      </c>
      <c r="G144" s="270">
        <v>755</v>
      </c>
      <c r="H144" s="59">
        <v>1</v>
      </c>
      <c r="I144" s="162"/>
    </row>
    <row r="145" spans="1:9" ht="15" customHeight="1" x14ac:dyDescent="0.4">
      <c r="A145" s="88" t="s">
        <v>963</v>
      </c>
      <c r="B145" s="96" t="s">
        <v>964</v>
      </c>
      <c r="C145" s="279" t="s">
        <v>1316</v>
      </c>
      <c r="D145" s="270" t="s">
        <v>1316</v>
      </c>
      <c r="E145" s="477" t="s">
        <v>1316</v>
      </c>
      <c r="F145" s="286">
        <v>22513</v>
      </c>
      <c r="G145" s="280">
        <v>22513</v>
      </c>
      <c r="H145" s="59">
        <v>1</v>
      </c>
      <c r="I145" s="162"/>
    </row>
    <row r="146" spans="1:9" ht="15" customHeight="1" x14ac:dyDescent="0.4">
      <c r="A146" s="88" t="s">
        <v>698</v>
      </c>
      <c r="B146" s="96" t="s">
        <v>426</v>
      </c>
      <c r="C146" s="279">
        <v>131225</v>
      </c>
      <c r="D146" s="270">
        <v>105925</v>
      </c>
      <c r="E146" s="477">
        <v>0.81</v>
      </c>
      <c r="F146" s="286">
        <v>131243</v>
      </c>
      <c r="G146" s="280">
        <v>106335</v>
      </c>
      <c r="H146" s="59">
        <v>0.81021464001889631</v>
      </c>
      <c r="I146" s="162"/>
    </row>
    <row r="147" spans="1:9" ht="15" customHeight="1" x14ac:dyDescent="0.4">
      <c r="A147" s="88" t="s">
        <v>427</v>
      </c>
      <c r="B147" s="96" t="s">
        <v>598</v>
      </c>
      <c r="C147" s="279">
        <v>87365</v>
      </c>
      <c r="D147" s="270">
        <v>66185</v>
      </c>
      <c r="E147" s="477">
        <v>0.76</v>
      </c>
      <c r="F147" s="286">
        <v>87636</v>
      </c>
      <c r="G147" s="280">
        <v>67529</v>
      </c>
      <c r="H147" s="59">
        <v>0.77056232598475516</v>
      </c>
      <c r="I147" s="162"/>
    </row>
    <row r="148" spans="1:9" ht="15" customHeight="1" x14ac:dyDescent="0.4">
      <c r="A148" s="88" t="s">
        <v>428</v>
      </c>
      <c r="B148" s="96" t="s">
        <v>429</v>
      </c>
      <c r="C148" s="279">
        <v>92500</v>
      </c>
      <c r="D148" s="270">
        <v>81465</v>
      </c>
      <c r="E148" s="477">
        <v>0.88</v>
      </c>
      <c r="F148" s="285">
        <v>102774</v>
      </c>
      <c r="G148" s="270">
        <v>91899</v>
      </c>
      <c r="H148" s="59">
        <v>0.89418529978399208</v>
      </c>
      <c r="I148" s="162"/>
    </row>
    <row r="149" spans="1:9" ht="15" customHeight="1" x14ac:dyDescent="0.4">
      <c r="A149" s="88" t="s">
        <v>430</v>
      </c>
      <c r="B149" s="96" t="s">
        <v>431</v>
      </c>
      <c r="C149" s="279">
        <v>56580</v>
      </c>
      <c r="D149" s="270">
        <v>56185</v>
      </c>
      <c r="E149" s="477">
        <v>0.99</v>
      </c>
      <c r="F149" s="285">
        <v>63231</v>
      </c>
      <c r="G149" s="270">
        <v>62952</v>
      </c>
      <c r="H149" s="59">
        <v>0.99558760734449869</v>
      </c>
      <c r="I149" s="162"/>
    </row>
    <row r="150" spans="1:9" ht="15" customHeight="1" x14ac:dyDescent="0.4">
      <c r="A150" s="88" t="s">
        <v>432</v>
      </c>
      <c r="B150" s="96" t="s">
        <v>433</v>
      </c>
      <c r="C150" s="279">
        <v>175160</v>
      </c>
      <c r="D150" s="270">
        <v>141895</v>
      </c>
      <c r="E150" s="477">
        <v>0.81</v>
      </c>
      <c r="F150" s="285">
        <v>175167</v>
      </c>
      <c r="G150" s="270">
        <v>141781</v>
      </c>
      <c r="H150" s="59">
        <v>0.80940473947718461</v>
      </c>
      <c r="I150" s="162"/>
    </row>
    <row r="151" spans="1:9" ht="15" customHeight="1" x14ac:dyDescent="0.4">
      <c r="A151" s="88" t="s">
        <v>684</v>
      </c>
      <c r="B151" s="96" t="s">
        <v>434</v>
      </c>
      <c r="C151" s="279">
        <v>11765</v>
      </c>
      <c r="D151" s="270">
        <v>460</v>
      </c>
      <c r="E151" s="477">
        <v>0.04</v>
      </c>
      <c r="F151" s="285"/>
      <c r="G151" s="270"/>
      <c r="H151" s="59"/>
      <c r="I151" s="162"/>
    </row>
    <row r="152" spans="1:9" ht="15" customHeight="1" x14ac:dyDescent="0.4">
      <c r="A152" s="88" t="s">
        <v>709</v>
      </c>
      <c r="B152" s="96" t="s">
        <v>435</v>
      </c>
      <c r="C152" s="279">
        <v>164515</v>
      </c>
      <c r="D152" s="270">
        <v>156980</v>
      </c>
      <c r="E152" s="477">
        <v>0.95</v>
      </c>
      <c r="F152" s="285">
        <v>161123</v>
      </c>
      <c r="G152" s="270">
        <v>156676</v>
      </c>
      <c r="H152" s="59">
        <v>0.97239996772651949</v>
      </c>
      <c r="I152" s="162"/>
    </row>
    <row r="153" spans="1:9" ht="15" customHeight="1" x14ac:dyDescent="0.4">
      <c r="A153" s="88" t="s">
        <v>680</v>
      </c>
      <c r="B153" s="96" t="s">
        <v>450</v>
      </c>
      <c r="C153" s="279">
        <v>149985</v>
      </c>
      <c r="D153" s="270">
        <v>121150</v>
      </c>
      <c r="E153" s="477">
        <v>0.81</v>
      </c>
      <c r="F153" s="286">
        <v>149040</v>
      </c>
      <c r="G153" s="280">
        <v>120291</v>
      </c>
      <c r="H153" s="59">
        <v>0.80710547504025765</v>
      </c>
      <c r="I153" s="162"/>
    </row>
    <row r="154" spans="1:9" ht="15" customHeight="1" x14ac:dyDescent="0.4">
      <c r="A154" s="88" t="s">
        <v>681</v>
      </c>
      <c r="B154" s="96" t="s">
        <v>284</v>
      </c>
      <c r="C154" s="279">
        <v>22170</v>
      </c>
      <c r="D154" s="270">
        <v>22115</v>
      </c>
      <c r="E154" s="477">
        <v>1</v>
      </c>
      <c r="F154" s="285">
        <v>22597</v>
      </c>
      <c r="G154" s="270">
        <v>22551</v>
      </c>
      <c r="H154" s="59">
        <v>0.99796433154843567</v>
      </c>
      <c r="I154" s="162"/>
    </row>
    <row r="155" spans="1:9" ht="15" customHeight="1" x14ac:dyDescent="0.4">
      <c r="A155" s="88" t="s">
        <v>436</v>
      </c>
      <c r="B155" s="96" t="s">
        <v>437</v>
      </c>
      <c r="C155" s="279">
        <v>122575</v>
      </c>
      <c r="D155" s="270">
        <v>104325</v>
      </c>
      <c r="E155" s="477">
        <v>0.85</v>
      </c>
      <c r="F155" s="285">
        <v>122390</v>
      </c>
      <c r="G155" s="270">
        <v>104314</v>
      </c>
      <c r="H155" s="59">
        <v>0.85230819511397993</v>
      </c>
      <c r="I155" s="162"/>
    </row>
    <row r="156" spans="1:9" ht="15" customHeight="1" x14ac:dyDescent="0.4">
      <c r="A156" s="88" t="s">
        <v>438</v>
      </c>
      <c r="B156" s="96" t="s">
        <v>439</v>
      </c>
      <c r="C156" s="279">
        <v>55305</v>
      </c>
      <c r="D156" s="270">
        <v>48070</v>
      </c>
      <c r="E156" s="477">
        <v>0.87</v>
      </c>
      <c r="F156" s="285">
        <v>94295</v>
      </c>
      <c r="G156" s="270">
        <v>85065</v>
      </c>
      <c r="H156" s="59">
        <v>0.90211570072644365</v>
      </c>
      <c r="I156" s="162"/>
    </row>
    <row r="157" spans="1:9" ht="15" customHeight="1" x14ac:dyDescent="0.4">
      <c r="A157" s="88" t="s">
        <v>965</v>
      </c>
      <c r="B157" s="96" t="s">
        <v>966</v>
      </c>
      <c r="C157" s="279" t="s">
        <v>1316</v>
      </c>
      <c r="D157" s="270" t="s">
        <v>1316</v>
      </c>
      <c r="E157" s="477" t="s">
        <v>1316</v>
      </c>
      <c r="F157" s="285">
        <v>68425</v>
      </c>
      <c r="G157" s="270">
        <v>66194</v>
      </c>
      <c r="H157" s="59">
        <v>0.9673949579831933</v>
      </c>
      <c r="I157" s="162"/>
    </row>
    <row r="158" spans="1:9" ht="15" customHeight="1" x14ac:dyDescent="0.4">
      <c r="A158" s="88" t="s">
        <v>696</v>
      </c>
      <c r="B158" s="96" t="s">
        <v>599</v>
      </c>
      <c r="C158" s="279">
        <v>150455</v>
      </c>
      <c r="D158" s="270">
        <v>128655</v>
      </c>
      <c r="E158" s="477">
        <v>0.86</v>
      </c>
      <c r="F158" s="285">
        <v>150383</v>
      </c>
      <c r="G158" s="270">
        <v>128770</v>
      </c>
      <c r="H158" s="59">
        <v>0.85628029764002578</v>
      </c>
      <c r="I158" s="162"/>
    </row>
    <row r="159" spans="1:9" ht="15" customHeight="1" x14ac:dyDescent="0.4">
      <c r="A159" s="88" t="s">
        <v>440</v>
      </c>
      <c r="B159" s="96" t="s">
        <v>441</v>
      </c>
      <c r="C159" s="279">
        <v>193175</v>
      </c>
      <c r="D159" s="270">
        <v>180105</v>
      </c>
      <c r="E159" s="477">
        <v>0.93</v>
      </c>
      <c r="F159" s="286">
        <v>197149</v>
      </c>
      <c r="G159" s="280">
        <v>183975</v>
      </c>
      <c r="H159" s="59">
        <v>0.93317744447093309</v>
      </c>
      <c r="I159" s="162"/>
    </row>
    <row r="160" spans="1:9" ht="15" customHeight="1" x14ac:dyDescent="0.4">
      <c r="A160" s="88" t="s">
        <v>967</v>
      </c>
      <c r="B160" s="96" t="s">
        <v>968</v>
      </c>
      <c r="C160" s="279" t="s">
        <v>1316</v>
      </c>
      <c r="D160" s="270" t="s">
        <v>1316</v>
      </c>
      <c r="E160" s="477" t="s">
        <v>1316</v>
      </c>
      <c r="F160" s="285">
        <v>69037</v>
      </c>
      <c r="G160" s="270">
        <v>69037</v>
      </c>
      <c r="H160" s="59">
        <v>1</v>
      </c>
      <c r="I160" s="162"/>
    </row>
    <row r="161" spans="1:9" ht="15" customHeight="1" x14ac:dyDescent="0.4">
      <c r="A161" s="88" t="s">
        <v>969</v>
      </c>
      <c r="B161" s="96" t="s">
        <v>970</v>
      </c>
      <c r="C161" s="279" t="s">
        <v>1316</v>
      </c>
      <c r="D161" s="270" t="s">
        <v>1316</v>
      </c>
      <c r="E161" s="477" t="s">
        <v>1316</v>
      </c>
      <c r="F161" s="285">
        <v>54681</v>
      </c>
      <c r="G161" s="270">
        <v>52622</v>
      </c>
      <c r="H161" s="59">
        <v>0.96234523874837696</v>
      </c>
      <c r="I161" s="162"/>
    </row>
    <row r="162" spans="1:9" ht="15" customHeight="1" x14ac:dyDescent="0.4">
      <c r="A162" s="88" t="s">
        <v>442</v>
      </c>
      <c r="B162" s="96" t="s">
        <v>443</v>
      </c>
      <c r="C162" s="279">
        <v>198160</v>
      </c>
      <c r="D162" s="270">
        <v>158265</v>
      </c>
      <c r="E162" s="477">
        <v>0.8</v>
      </c>
      <c r="F162" s="286">
        <v>198273</v>
      </c>
      <c r="G162" s="280">
        <v>157947</v>
      </c>
      <c r="H162" s="59">
        <v>0.79661375981601124</v>
      </c>
      <c r="I162" s="162"/>
    </row>
    <row r="163" spans="1:9" ht="15" customHeight="1" x14ac:dyDescent="0.4">
      <c r="A163" s="88" t="s">
        <v>971</v>
      </c>
      <c r="B163" s="96" t="s">
        <v>600</v>
      </c>
      <c r="C163" s="279">
        <v>36825</v>
      </c>
      <c r="D163" s="270">
        <v>35085</v>
      </c>
      <c r="E163" s="477">
        <v>0.95</v>
      </c>
      <c r="F163" s="285">
        <v>31572</v>
      </c>
      <c r="G163" s="270">
        <v>31087</v>
      </c>
      <c r="H163" s="59">
        <v>0.98463828708982648</v>
      </c>
      <c r="I163" s="162"/>
    </row>
    <row r="164" spans="1:9" ht="15" customHeight="1" x14ac:dyDescent="0.4">
      <c r="A164" s="88" t="s">
        <v>972</v>
      </c>
      <c r="B164" s="96" t="s">
        <v>973</v>
      </c>
      <c r="C164" s="279" t="s">
        <v>1316</v>
      </c>
      <c r="D164" s="270" t="s">
        <v>1316</v>
      </c>
      <c r="E164" s="477" t="s">
        <v>1316</v>
      </c>
      <c r="F164" s="286">
        <v>3408</v>
      </c>
      <c r="G164" s="280">
        <v>3408</v>
      </c>
      <c r="H164" s="59">
        <v>1</v>
      </c>
      <c r="I164" s="162"/>
    </row>
    <row r="165" spans="1:9" ht="15" customHeight="1" x14ac:dyDescent="0.4">
      <c r="A165" s="88" t="s">
        <v>974</v>
      </c>
      <c r="B165" s="96" t="s">
        <v>601</v>
      </c>
      <c r="C165" s="279">
        <v>4160</v>
      </c>
      <c r="D165" s="270">
        <v>3925</v>
      </c>
      <c r="E165" s="477">
        <v>0.94</v>
      </c>
      <c r="F165" s="285">
        <v>3521</v>
      </c>
      <c r="G165" s="270">
        <v>3500</v>
      </c>
      <c r="H165" s="59">
        <v>0.99403578528827041</v>
      </c>
      <c r="I165" s="162"/>
    </row>
    <row r="166" spans="1:9" ht="15" customHeight="1" x14ac:dyDescent="0.4">
      <c r="A166" s="88" t="s">
        <v>975</v>
      </c>
      <c r="B166" s="96" t="s">
        <v>976</v>
      </c>
      <c r="C166" s="279" t="s">
        <v>1316</v>
      </c>
      <c r="D166" s="270" t="s">
        <v>1316</v>
      </c>
      <c r="E166" s="477" t="s">
        <v>1316</v>
      </c>
      <c r="F166" s="285">
        <v>1835</v>
      </c>
      <c r="G166" s="270">
        <v>1835</v>
      </c>
      <c r="H166" s="59">
        <v>1</v>
      </c>
      <c r="I166" s="162"/>
    </row>
    <row r="167" spans="1:9" ht="15" customHeight="1" x14ac:dyDescent="0.4">
      <c r="A167" s="88" t="s">
        <v>602</v>
      </c>
      <c r="B167" s="96" t="s">
        <v>603</v>
      </c>
      <c r="C167" s="279">
        <v>65415</v>
      </c>
      <c r="D167" s="270">
        <v>63940</v>
      </c>
      <c r="E167" s="477">
        <v>0.98</v>
      </c>
      <c r="F167" s="285"/>
      <c r="G167" s="270"/>
      <c r="H167" s="59"/>
      <c r="I167" s="162"/>
    </row>
    <row r="168" spans="1:9" ht="15" customHeight="1" x14ac:dyDescent="0.4">
      <c r="A168" s="88" t="s">
        <v>977</v>
      </c>
      <c r="B168" s="96" t="s">
        <v>978</v>
      </c>
      <c r="C168" s="279" t="s">
        <v>1316</v>
      </c>
      <c r="D168" s="270" t="s">
        <v>1316</v>
      </c>
      <c r="E168" s="477" t="s">
        <v>1316</v>
      </c>
      <c r="F168" s="285">
        <v>9159</v>
      </c>
      <c r="G168" s="270">
        <v>9159</v>
      </c>
      <c r="H168" s="59">
        <v>1</v>
      </c>
      <c r="I168" s="162"/>
    </row>
    <row r="169" spans="1:9" ht="15" customHeight="1" x14ac:dyDescent="0.4">
      <c r="A169" s="88" t="s">
        <v>444</v>
      </c>
      <c r="B169" s="96" t="s">
        <v>445</v>
      </c>
      <c r="C169" s="279">
        <v>36340</v>
      </c>
      <c r="D169" s="270">
        <v>35285</v>
      </c>
      <c r="E169" s="477">
        <v>0.97</v>
      </c>
      <c r="F169" s="285">
        <v>32783</v>
      </c>
      <c r="G169" s="270">
        <v>31911</v>
      </c>
      <c r="H169" s="59">
        <v>0.97340084800048809</v>
      </c>
      <c r="I169" s="162"/>
    </row>
    <row r="170" spans="1:9" ht="15" customHeight="1" x14ac:dyDescent="0.4">
      <c r="A170" s="88" t="s">
        <v>604</v>
      </c>
      <c r="B170" s="96" t="s">
        <v>446</v>
      </c>
      <c r="C170" s="279">
        <v>136005</v>
      </c>
      <c r="D170" s="270">
        <v>109300</v>
      </c>
      <c r="E170" s="477">
        <v>0.8</v>
      </c>
      <c r="F170" s="285">
        <v>155352</v>
      </c>
      <c r="G170" s="270">
        <v>128679</v>
      </c>
      <c r="H170" s="59">
        <v>0.82830604047582268</v>
      </c>
      <c r="I170" s="162"/>
    </row>
    <row r="171" spans="1:9" ht="15" customHeight="1" x14ac:dyDescent="0.4">
      <c r="A171" s="88" t="s">
        <v>979</v>
      </c>
      <c r="B171" s="96" t="s">
        <v>980</v>
      </c>
      <c r="C171" s="279" t="s">
        <v>1316</v>
      </c>
      <c r="D171" s="270" t="s">
        <v>1316</v>
      </c>
      <c r="E171" s="477" t="s">
        <v>1316</v>
      </c>
      <c r="F171" s="285">
        <v>6366</v>
      </c>
      <c r="G171" s="270">
        <v>6366</v>
      </c>
      <c r="H171" s="59">
        <v>1</v>
      </c>
      <c r="I171" s="162"/>
    </row>
    <row r="172" spans="1:9" ht="15" customHeight="1" x14ac:dyDescent="0.4">
      <c r="A172" s="88" t="s">
        <v>981</v>
      </c>
      <c r="B172" s="96" t="s">
        <v>982</v>
      </c>
      <c r="C172" s="279" t="s">
        <v>1316</v>
      </c>
      <c r="D172" s="270" t="s">
        <v>1316</v>
      </c>
      <c r="E172" s="477" t="s">
        <v>1316</v>
      </c>
      <c r="F172" s="285">
        <v>603</v>
      </c>
      <c r="G172" s="270">
        <v>603</v>
      </c>
      <c r="H172" s="59">
        <v>1</v>
      </c>
      <c r="I172" s="162"/>
    </row>
    <row r="173" spans="1:9" ht="15" customHeight="1" x14ac:dyDescent="0.4">
      <c r="A173" s="88" t="s">
        <v>447</v>
      </c>
      <c r="B173" s="96" t="s">
        <v>890</v>
      </c>
      <c r="C173" s="279">
        <v>7730</v>
      </c>
      <c r="D173" s="270">
        <v>7710</v>
      </c>
      <c r="E173" s="477">
        <v>1</v>
      </c>
      <c r="F173" s="285">
        <v>8332</v>
      </c>
      <c r="G173" s="270">
        <v>8312</v>
      </c>
      <c r="H173" s="59">
        <v>0.99759961593855018</v>
      </c>
      <c r="I173" s="162"/>
    </row>
    <row r="174" spans="1:9" ht="15" customHeight="1" x14ac:dyDescent="0.4">
      <c r="A174" s="88" t="s">
        <v>448</v>
      </c>
      <c r="B174" s="96" t="s">
        <v>449</v>
      </c>
      <c r="C174" s="279">
        <v>328955</v>
      </c>
      <c r="D174" s="270">
        <v>270760</v>
      </c>
      <c r="E174" s="477">
        <v>0.82</v>
      </c>
      <c r="F174" s="285">
        <v>356787</v>
      </c>
      <c r="G174" s="270">
        <v>298248</v>
      </c>
      <c r="H174" s="59">
        <v>0.83592731797963493</v>
      </c>
      <c r="I174" s="162"/>
    </row>
    <row r="175" spans="1:9" ht="15" customHeight="1" x14ac:dyDescent="0.4">
      <c r="A175" s="88" t="s">
        <v>983</v>
      </c>
      <c r="B175" s="96" t="s">
        <v>984</v>
      </c>
      <c r="C175" s="279" t="s">
        <v>1316</v>
      </c>
      <c r="D175" s="270" t="s">
        <v>1316</v>
      </c>
      <c r="E175" s="477" t="s">
        <v>1316</v>
      </c>
      <c r="F175" s="286">
        <v>38812</v>
      </c>
      <c r="G175" s="280">
        <v>38809</v>
      </c>
      <c r="H175" s="59">
        <v>0.99992270431825214</v>
      </c>
      <c r="I175" s="162"/>
    </row>
    <row r="176" spans="1:9" ht="15" customHeight="1" x14ac:dyDescent="0.4">
      <c r="A176" s="88" t="s">
        <v>451</v>
      </c>
      <c r="B176" s="96" t="s">
        <v>452</v>
      </c>
      <c r="C176" s="279">
        <v>129015</v>
      </c>
      <c r="D176" s="270">
        <v>107615</v>
      </c>
      <c r="E176" s="477">
        <v>0.83</v>
      </c>
      <c r="F176" s="285">
        <v>133431</v>
      </c>
      <c r="G176" s="270">
        <v>111742</v>
      </c>
      <c r="H176" s="59">
        <v>0.8374515667273722</v>
      </c>
      <c r="I176" s="162"/>
    </row>
    <row r="177" spans="1:9" ht="15" customHeight="1" x14ac:dyDescent="0.4">
      <c r="A177" s="88" t="s">
        <v>453</v>
      </c>
      <c r="B177" s="96" t="s">
        <v>454</v>
      </c>
      <c r="C177" s="279">
        <v>84900</v>
      </c>
      <c r="D177" s="270">
        <v>77155</v>
      </c>
      <c r="E177" s="477">
        <v>0.91</v>
      </c>
      <c r="F177" s="285">
        <v>85229</v>
      </c>
      <c r="G177" s="270">
        <v>77544</v>
      </c>
      <c r="H177" s="59">
        <v>0.90983116075514203</v>
      </c>
      <c r="I177" s="162"/>
    </row>
    <row r="178" spans="1:9" ht="15" customHeight="1" x14ac:dyDescent="0.4">
      <c r="A178" s="88" t="s">
        <v>455</v>
      </c>
      <c r="B178" s="96" t="s">
        <v>456</v>
      </c>
      <c r="C178" s="279">
        <v>144675</v>
      </c>
      <c r="D178" s="270">
        <v>109010</v>
      </c>
      <c r="E178" s="477">
        <v>0.75</v>
      </c>
      <c r="F178" s="285">
        <v>144716</v>
      </c>
      <c r="G178" s="270">
        <v>108940</v>
      </c>
      <c r="H178" s="59">
        <v>0.75278476464247213</v>
      </c>
      <c r="I178" s="162"/>
    </row>
    <row r="179" spans="1:9" ht="15" customHeight="1" x14ac:dyDescent="0.4">
      <c r="A179" s="88" t="s">
        <v>985</v>
      </c>
      <c r="B179" s="96" t="s">
        <v>986</v>
      </c>
      <c r="C179" s="279" t="s">
        <v>1316</v>
      </c>
      <c r="D179" s="270" t="s">
        <v>1316</v>
      </c>
      <c r="E179" s="477" t="s">
        <v>1316</v>
      </c>
      <c r="F179" s="285">
        <v>29903</v>
      </c>
      <c r="G179" s="270">
        <v>29903</v>
      </c>
      <c r="H179" s="59">
        <v>1</v>
      </c>
      <c r="I179" s="162"/>
    </row>
    <row r="180" spans="1:9" ht="15" customHeight="1" x14ac:dyDescent="0.4">
      <c r="A180" s="88" t="s">
        <v>457</v>
      </c>
      <c r="B180" s="96" t="s">
        <v>458</v>
      </c>
      <c r="C180" s="279">
        <v>10950</v>
      </c>
      <c r="D180" s="270">
        <v>10915</v>
      </c>
      <c r="E180" s="477">
        <v>1</v>
      </c>
      <c r="F180" s="285">
        <v>10956</v>
      </c>
      <c r="G180" s="270">
        <v>10924</v>
      </c>
      <c r="H180" s="59">
        <v>0.99707922599488863</v>
      </c>
      <c r="I180" s="162"/>
    </row>
    <row r="181" spans="1:9" ht="15" customHeight="1" x14ac:dyDescent="0.4">
      <c r="A181" s="88" t="s">
        <v>987</v>
      </c>
      <c r="B181" s="96" t="s">
        <v>988</v>
      </c>
      <c r="C181" s="279" t="s">
        <v>1316</v>
      </c>
      <c r="D181" s="270" t="s">
        <v>1316</v>
      </c>
      <c r="E181" s="477" t="s">
        <v>1316</v>
      </c>
      <c r="F181" s="285">
        <v>11885</v>
      </c>
      <c r="G181" s="270">
        <v>11883</v>
      </c>
      <c r="H181" s="59">
        <v>0.99983172065628945</v>
      </c>
      <c r="I181" s="162"/>
    </row>
    <row r="182" spans="1:9" ht="15" customHeight="1" x14ac:dyDescent="0.4">
      <c r="A182" s="88" t="s">
        <v>459</v>
      </c>
      <c r="B182" s="96" t="s">
        <v>460</v>
      </c>
      <c r="C182" s="279">
        <v>129070</v>
      </c>
      <c r="D182" s="270">
        <v>114125</v>
      </c>
      <c r="E182" s="477">
        <v>0.88</v>
      </c>
      <c r="F182" s="285">
        <v>134540</v>
      </c>
      <c r="G182" s="270">
        <v>119964</v>
      </c>
      <c r="H182" s="59">
        <v>0.8916604727218671</v>
      </c>
      <c r="I182" s="162"/>
    </row>
    <row r="183" spans="1:9" ht="15" customHeight="1" x14ac:dyDescent="0.4">
      <c r="A183" s="88" t="s">
        <v>461</v>
      </c>
      <c r="B183" s="96" t="s">
        <v>605</v>
      </c>
      <c r="C183" s="279">
        <v>165205</v>
      </c>
      <c r="D183" s="270">
        <v>144350</v>
      </c>
      <c r="E183" s="477">
        <v>0.87</v>
      </c>
      <c r="F183" s="285">
        <v>175364</v>
      </c>
      <c r="G183" s="270">
        <v>153783</v>
      </c>
      <c r="H183" s="59">
        <v>0.8769359731757943</v>
      </c>
      <c r="I183" s="162"/>
    </row>
    <row r="184" spans="1:9" ht="15" customHeight="1" x14ac:dyDescent="0.4">
      <c r="A184" s="88" t="s">
        <v>693</v>
      </c>
      <c r="B184" s="96" t="s">
        <v>462</v>
      </c>
      <c r="C184" s="279">
        <v>110620</v>
      </c>
      <c r="D184" s="270">
        <v>99740</v>
      </c>
      <c r="E184" s="477">
        <v>0.9</v>
      </c>
      <c r="F184" s="285">
        <v>111306</v>
      </c>
      <c r="G184" s="270">
        <v>101325</v>
      </c>
      <c r="H184" s="59">
        <v>0.9103282841895316</v>
      </c>
      <c r="I184" s="162"/>
    </row>
    <row r="185" spans="1:9" ht="15" customHeight="1" x14ac:dyDescent="0.4">
      <c r="A185" s="88" t="s">
        <v>463</v>
      </c>
      <c r="B185" s="96" t="s">
        <v>464</v>
      </c>
      <c r="C185" s="279">
        <v>263870</v>
      </c>
      <c r="D185" s="270">
        <v>227155</v>
      </c>
      <c r="E185" s="477">
        <v>0.86</v>
      </c>
      <c r="F185" s="285">
        <v>264470</v>
      </c>
      <c r="G185" s="270">
        <v>229017</v>
      </c>
      <c r="H185" s="59">
        <v>0.86594698831625516</v>
      </c>
      <c r="I185" s="162"/>
    </row>
    <row r="186" spans="1:9" ht="15" customHeight="1" x14ac:dyDescent="0.4">
      <c r="A186" s="88" t="s">
        <v>703</v>
      </c>
      <c r="B186" s="96" t="s">
        <v>465</v>
      </c>
      <c r="C186" s="279">
        <v>109180</v>
      </c>
      <c r="D186" s="270">
        <v>82525</v>
      </c>
      <c r="E186" s="477">
        <v>0.76</v>
      </c>
      <c r="F186" s="285">
        <v>236675</v>
      </c>
      <c r="G186" s="270">
        <v>210091</v>
      </c>
      <c r="H186" s="59">
        <v>0.88767719446498361</v>
      </c>
      <c r="I186" s="162"/>
    </row>
    <row r="187" spans="1:9" ht="15" customHeight="1" x14ac:dyDescent="0.4">
      <c r="A187" s="88" t="s">
        <v>1028</v>
      </c>
      <c r="B187" s="96" t="s">
        <v>881</v>
      </c>
      <c r="C187" s="279">
        <v>24710</v>
      </c>
      <c r="D187" s="270">
        <v>19280</v>
      </c>
      <c r="E187" s="477">
        <v>0.78</v>
      </c>
      <c r="F187" s="285"/>
      <c r="G187" s="270"/>
      <c r="H187" s="59"/>
      <c r="I187" s="162"/>
    </row>
    <row r="188" spans="1:9" ht="15" customHeight="1" x14ac:dyDescent="0.4">
      <c r="A188" s="88" t="s">
        <v>466</v>
      </c>
      <c r="B188" s="96" t="s">
        <v>467</v>
      </c>
      <c r="C188" s="279">
        <v>70935</v>
      </c>
      <c r="D188" s="270">
        <v>67310</v>
      </c>
      <c r="E188" s="477">
        <v>0.95</v>
      </c>
      <c r="F188" s="285">
        <v>70722</v>
      </c>
      <c r="G188" s="270">
        <v>67178</v>
      </c>
      <c r="H188" s="59">
        <v>0.94988829501428129</v>
      </c>
      <c r="I188" s="162"/>
    </row>
    <row r="189" spans="1:9" ht="15" customHeight="1" x14ac:dyDescent="0.4">
      <c r="A189" s="88" t="s">
        <v>468</v>
      </c>
      <c r="B189" s="96" t="s">
        <v>469</v>
      </c>
      <c r="C189" s="279">
        <v>72320</v>
      </c>
      <c r="D189" s="270">
        <v>57570</v>
      </c>
      <c r="E189" s="477">
        <v>0.8</v>
      </c>
      <c r="F189" s="285">
        <v>83597</v>
      </c>
      <c r="G189" s="270">
        <v>69131</v>
      </c>
      <c r="H189" s="59">
        <v>0.8269555127576349</v>
      </c>
      <c r="I189" s="162"/>
    </row>
    <row r="190" spans="1:9" ht="15" customHeight="1" x14ac:dyDescent="0.4">
      <c r="A190" s="88" t="s">
        <v>470</v>
      </c>
      <c r="B190" s="96" t="s">
        <v>471</v>
      </c>
      <c r="C190" s="279">
        <v>100470</v>
      </c>
      <c r="D190" s="270">
        <v>85685</v>
      </c>
      <c r="E190" s="477">
        <v>0.85</v>
      </c>
      <c r="F190" s="285">
        <v>104212</v>
      </c>
      <c r="G190" s="270">
        <v>89355</v>
      </c>
      <c r="H190" s="59">
        <v>0.85743484435573636</v>
      </c>
      <c r="I190" s="162"/>
    </row>
    <row r="191" spans="1:9" ht="15" customHeight="1" x14ac:dyDescent="0.4">
      <c r="A191" s="88" t="s">
        <v>472</v>
      </c>
      <c r="B191" s="96" t="s">
        <v>473</v>
      </c>
      <c r="C191" s="279">
        <v>46235</v>
      </c>
      <c r="D191" s="270">
        <v>42400</v>
      </c>
      <c r="E191" s="477">
        <v>0.92</v>
      </c>
      <c r="F191" s="285">
        <v>49873</v>
      </c>
      <c r="G191" s="270">
        <v>46062</v>
      </c>
      <c r="H191" s="59">
        <v>0.92358590820684539</v>
      </c>
      <c r="I191" s="162"/>
    </row>
    <row r="192" spans="1:9" ht="15" customHeight="1" x14ac:dyDescent="0.4">
      <c r="A192" s="88" t="s">
        <v>989</v>
      </c>
      <c r="B192" s="96" t="s">
        <v>990</v>
      </c>
      <c r="C192" s="279" t="s">
        <v>1316</v>
      </c>
      <c r="D192" s="270" t="s">
        <v>1316</v>
      </c>
      <c r="E192" s="477" t="s">
        <v>1316</v>
      </c>
      <c r="F192" s="285">
        <v>17633</v>
      </c>
      <c r="G192" s="270">
        <v>17633</v>
      </c>
      <c r="H192" s="59">
        <v>1</v>
      </c>
      <c r="I192" s="162"/>
    </row>
    <row r="193" spans="1:10" ht="15" customHeight="1" x14ac:dyDescent="0.4">
      <c r="A193" s="88" t="s">
        <v>717</v>
      </c>
      <c r="B193" s="96" t="s">
        <v>606</v>
      </c>
      <c r="C193" s="279">
        <v>220175</v>
      </c>
      <c r="D193" s="270">
        <v>184225</v>
      </c>
      <c r="E193" s="477">
        <v>0.84</v>
      </c>
      <c r="F193" s="285">
        <v>218911</v>
      </c>
      <c r="G193" s="270">
        <v>182515</v>
      </c>
      <c r="H193" s="59">
        <v>0.83374065259397656</v>
      </c>
      <c r="I193" s="162"/>
    </row>
    <row r="194" spans="1:10" ht="15" customHeight="1" x14ac:dyDescent="0.4">
      <c r="A194" s="88" t="s">
        <v>1029</v>
      </c>
      <c r="B194" s="96" t="s">
        <v>877</v>
      </c>
      <c r="C194" s="279">
        <v>29900</v>
      </c>
      <c r="D194" s="270">
        <v>28140</v>
      </c>
      <c r="E194" s="477">
        <v>0.94</v>
      </c>
      <c r="F194" s="285"/>
      <c r="G194" s="270"/>
      <c r="H194" s="59"/>
      <c r="I194" s="162"/>
    </row>
    <row r="195" spans="1:10" ht="15" customHeight="1" x14ac:dyDescent="0.4">
      <c r="A195" s="88" t="s">
        <v>474</v>
      </c>
      <c r="B195" s="96" t="s">
        <v>475</v>
      </c>
      <c r="C195" s="279">
        <v>54090</v>
      </c>
      <c r="D195" s="270">
        <v>51895</v>
      </c>
      <c r="E195" s="477">
        <v>0.96</v>
      </c>
      <c r="F195" s="285"/>
      <c r="G195" s="270"/>
      <c r="H195" s="59"/>
      <c r="I195" s="162"/>
    </row>
    <row r="196" spans="1:10" ht="15" customHeight="1" x14ac:dyDescent="0.4">
      <c r="A196" s="88" t="s">
        <v>991</v>
      </c>
      <c r="B196" s="96" t="s">
        <v>992</v>
      </c>
      <c r="C196" s="279" t="s">
        <v>1316</v>
      </c>
      <c r="D196" s="270" t="s">
        <v>1316</v>
      </c>
      <c r="E196" s="477" t="s">
        <v>1316</v>
      </c>
      <c r="F196" s="285">
        <v>39969</v>
      </c>
      <c r="G196" s="270">
        <v>39969</v>
      </c>
      <c r="H196" s="59">
        <v>1</v>
      </c>
      <c r="I196" s="162"/>
    </row>
    <row r="197" spans="1:10" ht="15" customHeight="1" x14ac:dyDescent="0.4">
      <c r="A197" s="88" t="s">
        <v>476</v>
      </c>
      <c r="B197" s="96" t="s">
        <v>477</v>
      </c>
      <c r="C197" s="279">
        <v>36720</v>
      </c>
      <c r="D197" s="270">
        <v>35830</v>
      </c>
      <c r="E197" s="477">
        <v>0.98</v>
      </c>
      <c r="F197" s="285">
        <v>56959</v>
      </c>
      <c r="G197" s="270">
        <v>55384</v>
      </c>
      <c r="H197" s="59">
        <v>0.97234853139977884</v>
      </c>
      <c r="I197" s="162"/>
    </row>
    <row r="198" spans="1:10" ht="15" customHeight="1" x14ac:dyDescent="0.4">
      <c r="A198" s="88" t="s">
        <v>478</v>
      </c>
      <c r="B198" s="96" t="s">
        <v>479</v>
      </c>
      <c r="C198" s="279">
        <v>145445</v>
      </c>
      <c r="D198" s="270">
        <v>117935</v>
      </c>
      <c r="E198" s="477">
        <v>0.81</v>
      </c>
      <c r="F198" s="286">
        <v>210319</v>
      </c>
      <c r="G198" s="280">
        <v>185398</v>
      </c>
      <c r="H198" s="59">
        <v>0.88150856555993518</v>
      </c>
      <c r="I198" s="162"/>
    </row>
    <row r="199" spans="1:10" ht="15" customHeight="1" x14ac:dyDescent="0.4">
      <c r="A199" s="88" t="s">
        <v>1036</v>
      </c>
      <c r="B199" s="96" t="s">
        <v>893</v>
      </c>
      <c r="C199" s="279">
        <v>9265</v>
      </c>
      <c r="D199" s="270">
        <v>9260</v>
      </c>
      <c r="E199" s="477">
        <v>1</v>
      </c>
      <c r="F199" s="285"/>
      <c r="G199" s="270"/>
      <c r="H199" s="59"/>
      <c r="I199" s="162"/>
    </row>
    <row r="200" spans="1:10" ht="15" customHeight="1" x14ac:dyDescent="0.4">
      <c r="A200" s="88" t="s">
        <v>480</v>
      </c>
      <c r="B200" s="96" t="s">
        <v>481</v>
      </c>
      <c r="C200" s="279">
        <v>122370</v>
      </c>
      <c r="D200" s="270">
        <v>111240</v>
      </c>
      <c r="E200" s="477">
        <v>0.91</v>
      </c>
      <c r="F200" s="285">
        <v>150761</v>
      </c>
      <c r="G200" s="270">
        <v>139203</v>
      </c>
      <c r="H200" s="59">
        <v>0.92333561066854164</v>
      </c>
      <c r="I200" s="162"/>
    </row>
    <row r="201" spans="1:10" ht="15" customHeight="1" x14ac:dyDescent="0.4">
      <c r="A201" s="88" t="s">
        <v>719</v>
      </c>
      <c r="B201" s="96" t="s">
        <v>482</v>
      </c>
      <c r="C201" s="279">
        <v>110905</v>
      </c>
      <c r="D201" s="270">
        <v>78155</v>
      </c>
      <c r="E201" s="477">
        <v>0.7</v>
      </c>
      <c r="F201" s="285">
        <v>129851</v>
      </c>
      <c r="G201" s="270">
        <v>96882</v>
      </c>
      <c r="H201" s="59">
        <v>0.74610130072159631</v>
      </c>
      <c r="I201" s="162"/>
    </row>
    <row r="202" spans="1:10" ht="15" customHeight="1" x14ac:dyDescent="0.4">
      <c r="A202" s="88" t="s">
        <v>483</v>
      </c>
      <c r="B202" s="96" t="s">
        <v>484</v>
      </c>
      <c r="C202" s="279">
        <v>24685</v>
      </c>
      <c r="D202" s="270">
        <v>24500</v>
      </c>
      <c r="E202" s="477">
        <v>0.99</v>
      </c>
      <c r="F202" s="285">
        <v>24689</v>
      </c>
      <c r="G202" s="270">
        <v>24674</v>
      </c>
      <c r="H202" s="59">
        <v>0.99939244197820887</v>
      </c>
      <c r="I202" s="162"/>
    </row>
    <row r="203" spans="1:10" ht="15" customHeight="1" x14ac:dyDescent="0.4">
      <c r="A203" s="88" t="s">
        <v>1030</v>
      </c>
      <c r="B203" s="96" t="s">
        <v>888</v>
      </c>
      <c r="C203" s="279">
        <v>20325</v>
      </c>
      <c r="D203" s="270">
        <v>20140</v>
      </c>
      <c r="E203" s="477">
        <v>0.99</v>
      </c>
      <c r="F203" s="285">
        <v>13150</v>
      </c>
      <c r="G203" s="270">
        <v>13058</v>
      </c>
      <c r="H203" s="59">
        <v>0.99300380228136886</v>
      </c>
      <c r="I203" s="162"/>
    </row>
    <row r="204" spans="1:10" ht="15" customHeight="1" x14ac:dyDescent="0.4">
      <c r="A204" s="88" t="s">
        <v>993</v>
      </c>
      <c r="B204" s="96" t="s">
        <v>994</v>
      </c>
      <c r="C204" s="279" t="s">
        <v>1316</v>
      </c>
      <c r="D204" s="270" t="s">
        <v>1316</v>
      </c>
      <c r="E204" s="477" t="s">
        <v>1316</v>
      </c>
      <c r="F204" s="285">
        <v>4830</v>
      </c>
      <c r="G204" s="270">
        <v>4830</v>
      </c>
      <c r="H204" s="59">
        <v>1</v>
      </c>
      <c r="I204" s="162"/>
    </row>
    <row r="205" spans="1:10" ht="15" customHeight="1" x14ac:dyDescent="0.4">
      <c r="A205" s="88" t="s">
        <v>485</v>
      </c>
      <c r="B205" s="96" t="s">
        <v>486</v>
      </c>
      <c r="C205" s="279">
        <v>76920</v>
      </c>
      <c r="D205" s="270">
        <v>76715</v>
      </c>
      <c r="E205" s="477">
        <v>1</v>
      </c>
      <c r="F205" s="285">
        <v>85799</v>
      </c>
      <c r="G205" s="270">
        <v>85455</v>
      </c>
      <c r="H205" s="59">
        <v>0.99599062926141335</v>
      </c>
      <c r="I205" s="162"/>
    </row>
    <row r="206" spans="1:10" ht="15" customHeight="1" x14ac:dyDescent="0.4">
      <c r="A206" s="88" t="s">
        <v>1047</v>
      </c>
      <c r="B206" s="96" t="s">
        <v>995</v>
      </c>
      <c r="C206" s="279" t="s">
        <v>1316</v>
      </c>
      <c r="D206" s="270" t="s">
        <v>1316</v>
      </c>
      <c r="E206" s="477" t="s">
        <v>1316</v>
      </c>
      <c r="F206" s="285">
        <v>68575</v>
      </c>
      <c r="G206" s="270">
        <v>68575</v>
      </c>
      <c r="H206" s="59">
        <v>1</v>
      </c>
      <c r="I206" s="162"/>
      <c r="J206" s="163"/>
    </row>
    <row r="207" spans="1:10" ht="15" customHeight="1" x14ac:dyDescent="0.4">
      <c r="A207" s="88" t="s">
        <v>488</v>
      </c>
      <c r="B207" s="96" t="s">
        <v>489</v>
      </c>
      <c r="C207" s="279">
        <v>128830</v>
      </c>
      <c r="D207" s="270">
        <v>122385</v>
      </c>
      <c r="E207" s="477">
        <v>0.95</v>
      </c>
      <c r="F207" s="286">
        <v>149226</v>
      </c>
      <c r="G207" s="280">
        <v>142777</v>
      </c>
      <c r="H207" s="59">
        <v>0.95678367040596146</v>
      </c>
      <c r="I207" s="162"/>
      <c r="J207" s="163"/>
    </row>
    <row r="208" spans="1:10" ht="15" customHeight="1" x14ac:dyDescent="0.4">
      <c r="A208" s="88" t="s">
        <v>490</v>
      </c>
      <c r="B208" s="96" t="s">
        <v>491</v>
      </c>
      <c r="C208" s="279">
        <v>68145</v>
      </c>
      <c r="D208" s="270">
        <v>64210</v>
      </c>
      <c r="E208" s="477">
        <v>0.94</v>
      </c>
      <c r="F208" s="285">
        <v>69626</v>
      </c>
      <c r="G208" s="270">
        <v>65695</v>
      </c>
      <c r="H208" s="59">
        <v>0.94354120587136991</v>
      </c>
      <c r="I208" s="162"/>
      <c r="J208" s="163"/>
    </row>
    <row r="209" spans="1:10" ht="15" customHeight="1" x14ac:dyDescent="0.4">
      <c r="A209" s="88" t="s">
        <v>492</v>
      </c>
      <c r="B209" s="96" t="s">
        <v>493</v>
      </c>
      <c r="C209" s="279">
        <v>74250</v>
      </c>
      <c r="D209" s="270">
        <v>67870</v>
      </c>
      <c r="E209" s="477">
        <v>0.91</v>
      </c>
      <c r="F209" s="285">
        <v>75039</v>
      </c>
      <c r="G209" s="270">
        <v>68655</v>
      </c>
      <c r="H209" s="59">
        <v>0.91492423939551437</v>
      </c>
      <c r="I209" s="162"/>
      <c r="J209" s="163"/>
    </row>
    <row r="210" spans="1:10" ht="15" customHeight="1" x14ac:dyDescent="0.4">
      <c r="A210" s="88" t="s">
        <v>1037</v>
      </c>
      <c r="B210" s="96" t="s">
        <v>607</v>
      </c>
      <c r="C210" s="279">
        <v>16705</v>
      </c>
      <c r="D210" s="270">
        <v>16595</v>
      </c>
      <c r="E210" s="477">
        <v>0.99</v>
      </c>
      <c r="F210" s="285">
        <v>15355</v>
      </c>
      <c r="G210" s="270">
        <v>15288</v>
      </c>
      <c r="H210" s="59">
        <v>0.99563660045587754</v>
      </c>
      <c r="I210" s="162"/>
      <c r="J210" s="163"/>
    </row>
    <row r="211" spans="1:10" ht="15" customHeight="1" x14ac:dyDescent="0.4">
      <c r="A211" s="88" t="s">
        <v>494</v>
      </c>
      <c r="B211" s="96" t="s">
        <v>495</v>
      </c>
      <c r="C211" s="279">
        <v>51865</v>
      </c>
      <c r="D211" s="270">
        <v>50740</v>
      </c>
      <c r="E211" s="477">
        <v>0.98</v>
      </c>
      <c r="F211" s="285">
        <v>52693</v>
      </c>
      <c r="G211" s="270">
        <v>52629</v>
      </c>
      <c r="H211" s="59">
        <v>0.9987854174178733</v>
      </c>
      <c r="I211" s="162"/>
      <c r="J211" s="163"/>
    </row>
    <row r="212" spans="1:10" ht="15" customHeight="1" x14ac:dyDescent="0.4">
      <c r="A212" s="88" t="s">
        <v>496</v>
      </c>
      <c r="B212" s="96" t="s">
        <v>497</v>
      </c>
      <c r="C212" s="279">
        <v>101025</v>
      </c>
      <c r="D212" s="270">
        <v>87740</v>
      </c>
      <c r="E212" s="477">
        <v>0.87</v>
      </c>
      <c r="F212" s="285">
        <v>101044</v>
      </c>
      <c r="G212" s="270">
        <v>87751</v>
      </c>
      <c r="H212" s="59">
        <v>0.86844345037805315</v>
      </c>
      <c r="I212" s="162"/>
      <c r="J212" s="163"/>
    </row>
    <row r="213" spans="1:10" ht="15" customHeight="1" x14ac:dyDescent="0.4">
      <c r="A213" s="88" t="s">
        <v>498</v>
      </c>
      <c r="B213" s="96" t="s">
        <v>499</v>
      </c>
      <c r="C213" s="279">
        <v>15280</v>
      </c>
      <c r="D213" s="270">
        <v>15235</v>
      </c>
      <c r="E213" s="477">
        <v>1</v>
      </c>
      <c r="F213" s="285">
        <v>14496</v>
      </c>
      <c r="G213" s="270">
        <v>14454</v>
      </c>
      <c r="H213" s="59">
        <v>0.99710264900662249</v>
      </c>
      <c r="I213" s="162"/>
      <c r="J213" s="163"/>
    </row>
    <row r="214" spans="1:10" ht="15" customHeight="1" x14ac:dyDescent="0.4">
      <c r="A214" s="88" t="s">
        <v>710</v>
      </c>
      <c r="B214" s="96" t="s">
        <v>500</v>
      </c>
      <c r="C214" s="279">
        <v>81530</v>
      </c>
      <c r="D214" s="270">
        <v>64210</v>
      </c>
      <c r="E214" s="477">
        <v>0.79</v>
      </c>
      <c r="F214" s="285">
        <v>118810</v>
      </c>
      <c r="G214" s="270">
        <v>101085</v>
      </c>
      <c r="H214" s="59">
        <v>0.85081222119350219</v>
      </c>
      <c r="I214" s="162"/>
      <c r="J214" s="163"/>
    </row>
    <row r="215" spans="1:10" ht="15" customHeight="1" x14ac:dyDescent="0.4">
      <c r="A215" s="88" t="s">
        <v>1050</v>
      </c>
      <c r="B215" s="96" t="s">
        <v>996</v>
      </c>
      <c r="C215" s="279" t="s">
        <v>1316</v>
      </c>
      <c r="D215" s="270" t="s">
        <v>1316</v>
      </c>
      <c r="E215" s="477" t="s">
        <v>1316</v>
      </c>
      <c r="F215" s="286">
        <v>12296</v>
      </c>
      <c r="G215" s="280">
        <v>12296</v>
      </c>
      <c r="H215" s="59">
        <v>1</v>
      </c>
      <c r="I215" s="162"/>
      <c r="J215" s="163"/>
    </row>
    <row r="216" spans="1:10" ht="15" customHeight="1" x14ac:dyDescent="0.4">
      <c r="A216" s="88" t="s">
        <v>1039</v>
      </c>
      <c r="B216" s="96" t="s">
        <v>997</v>
      </c>
      <c r="C216" s="279" t="s">
        <v>1316</v>
      </c>
      <c r="D216" s="270" t="s">
        <v>1316</v>
      </c>
      <c r="E216" s="477" t="s">
        <v>1316</v>
      </c>
      <c r="F216" s="285">
        <v>21942</v>
      </c>
      <c r="G216" s="270">
        <v>21942</v>
      </c>
      <c r="H216" s="59">
        <v>1</v>
      </c>
      <c r="I216" s="162"/>
      <c r="J216" s="163"/>
    </row>
    <row r="217" spans="1:10" ht="15" customHeight="1" x14ac:dyDescent="0.4">
      <c r="A217" s="88" t="s">
        <v>608</v>
      </c>
      <c r="B217" s="96" t="s">
        <v>501</v>
      </c>
      <c r="C217" s="279">
        <v>162760</v>
      </c>
      <c r="D217" s="270">
        <v>134055</v>
      </c>
      <c r="E217" s="477">
        <v>0.82</v>
      </c>
      <c r="F217" s="285">
        <v>171781</v>
      </c>
      <c r="G217" s="270">
        <v>150408</v>
      </c>
      <c r="H217" s="59">
        <v>0.87557995354550266</v>
      </c>
      <c r="I217" s="162"/>
      <c r="J217" s="163"/>
    </row>
    <row r="218" spans="1:10" ht="15" customHeight="1" x14ac:dyDescent="0.4">
      <c r="A218" s="88" t="s">
        <v>688</v>
      </c>
      <c r="B218" s="96" t="s">
        <v>502</v>
      </c>
      <c r="C218" s="279">
        <v>164715</v>
      </c>
      <c r="D218" s="270">
        <v>140260</v>
      </c>
      <c r="E218" s="477">
        <v>0.85</v>
      </c>
      <c r="F218" s="285">
        <v>164721</v>
      </c>
      <c r="G218" s="270">
        <v>140164</v>
      </c>
      <c r="H218" s="59">
        <v>0.85091761220487983</v>
      </c>
      <c r="I218" s="162"/>
      <c r="J218" s="163"/>
    </row>
    <row r="219" spans="1:10" ht="15" customHeight="1" x14ac:dyDescent="0.4">
      <c r="A219" s="88" t="s">
        <v>503</v>
      </c>
      <c r="B219" s="96" t="s">
        <v>504</v>
      </c>
      <c r="C219" s="279">
        <v>56905</v>
      </c>
      <c r="D219" s="270">
        <v>54185</v>
      </c>
      <c r="E219" s="477">
        <v>0.95</v>
      </c>
      <c r="F219" s="285">
        <v>57341</v>
      </c>
      <c r="G219" s="270">
        <v>57064</v>
      </c>
      <c r="H219" s="59">
        <v>0.99516925062346318</v>
      </c>
      <c r="I219" s="162"/>
      <c r="J219" s="163"/>
    </row>
    <row r="220" spans="1:10" ht="15" customHeight="1" x14ac:dyDescent="0.4">
      <c r="A220" s="88" t="s">
        <v>1040</v>
      </c>
      <c r="B220" s="96" t="s">
        <v>879</v>
      </c>
      <c r="C220" s="279">
        <v>53730</v>
      </c>
      <c r="D220" s="270">
        <v>43745</v>
      </c>
      <c r="E220" s="477">
        <v>0.81</v>
      </c>
      <c r="F220" s="285"/>
      <c r="G220" s="270"/>
      <c r="H220" s="59"/>
      <c r="I220" s="162"/>
      <c r="J220" s="163"/>
    </row>
    <row r="221" spans="1:10" ht="15" customHeight="1" x14ac:dyDescent="0.4">
      <c r="A221" s="88" t="s">
        <v>505</v>
      </c>
      <c r="B221" s="96" t="s">
        <v>506</v>
      </c>
      <c r="C221" s="279">
        <v>96975</v>
      </c>
      <c r="D221" s="270">
        <v>76645</v>
      </c>
      <c r="E221" s="477">
        <v>0.79</v>
      </c>
      <c r="F221" s="285">
        <v>96823</v>
      </c>
      <c r="G221" s="270">
        <v>76225</v>
      </c>
      <c r="H221" s="59">
        <v>0.78726129122212696</v>
      </c>
      <c r="I221" s="162"/>
      <c r="J221" s="163"/>
    </row>
    <row r="222" spans="1:10" ht="15" customHeight="1" x14ac:dyDescent="0.4">
      <c r="A222" s="88" t="s">
        <v>1043</v>
      </c>
      <c r="B222" s="96" t="s">
        <v>998</v>
      </c>
      <c r="C222" s="279" t="s">
        <v>1316</v>
      </c>
      <c r="D222" s="270" t="s">
        <v>1316</v>
      </c>
      <c r="E222" s="477" t="s">
        <v>1316</v>
      </c>
      <c r="F222" s="285">
        <v>36784</v>
      </c>
      <c r="G222" s="270">
        <v>36784</v>
      </c>
      <c r="H222" s="59">
        <v>1</v>
      </c>
      <c r="I222" s="162"/>
      <c r="J222" s="163"/>
    </row>
    <row r="223" spans="1:10" ht="15" customHeight="1" x14ac:dyDescent="0.4">
      <c r="A223" s="88" t="s">
        <v>707</v>
      </c>
      <c r="B223" s="96" t="s">
        <v>507</v>
      </c>
      <c r="C223" s="279">
        <v>98770</v>
      </c>
      <c r="D223" s="270">
        <v>90205</v>
      </c>
      <c r="E223" s="477">
        <v>0.91</v>
      </c>
      <c r="F223" s="285">
        <v>101359</v>
      </c>
      <c r="G223" s="270">
        <v>93525</v>
      </c>
      <c r="H223" s="59">
        <v>0.92271036612436985</v>
      </c>
      <c r="I223" s="162"/>
      <c r="J223" s="163"/>
    </row>
    <row r="224" spans="1:10" ht="15" customHeight="1" x14ac:dyDescent="0.4">
      <c r="A224" s="88" t="s">
        <v>609</v>
      </c>
      <c r="B224" s="96" t="s">
        <v>508</v>
      </c>
      <c r="C224" s="279">
        <v>107405</v>
      </c>
      <c r="D224" s="270">
        <v>105430</v>
      </c>
      <c r="E224" s="477">
        <v>0.98</v>
      </c>
      <c r="F224" s="285">
        <v>107606</v>
      </c>
      <c r="G224" s="270">
        <v>105540</v>
      </c>
      <c r="H224" s="59">
        <v>0.98080032711930565</v>
      </c>
      <c r="I224" s="162"/>
      <c r="J224" s="163"/>
    </row>
    <row r="225" spans="1:10" ht="15" customHeight="1" x14ac:dyDescent="0.4">
      <c r="A225" s="88" t="s">
        <v>699</v>
      </c>
      <c r="B225" s="96" t="s">
        <v>509</v>
      </c>
      <c r="C225" s="279">
        <v>87680</v>
      </c>
      <c r="D225" s="270">
        <v>73150</v>
      </c>
      <c r="E225" s="477">
        <v>0.83</v>
      </c>
      <c r="F225" s="285">
        <v>131025</v>
      </c>
      <c r="G225" s="270">
        <v>116441</v>
      </c>
      <c r="H225" s="59">
        <v>0.88869299751955733</v>
      </c>
      <c r="I225" s="162"/>
      <c r="J225" s="163"/>
    </row>
    <row r="226" spans="1:10" ht="15" customHeight="1" x14ac:dyDescent="0.4">
      <c r="A226" s="88" t="s">
        <v>687</v>
      </c>
      <c r="B226" s="96" t="s">
        <v>510</v>
      </c>
      <c r="C226" s="279">
        <v>70940</v>
      </c>
      <c r="D226" s="270">
        <v>64050</v>
      </c>
      <c r="E226" s="477">
        <v>0.9</v>
      </c>
      <c r="F226" s="285">
        <v>70797</v>
      </c>
      <c r="G226" s="270">
        <v>64311</v>
      </c>
      <c r="H226" s="59">
        <v>0.90838594855714228</v>
      </c>
      <c r="I226" s="162"/>
      <c r="J226" s="163"/>
    </row>
    <row r="227" spans="1:10" ht="15" customHeight="1" x14ac:dyDescent="0.4">
      <c r="A227" s="88" t="s">
        <v>511</v>
      </c>
      <c r="B227" s="96" t="s">
        <v>512</v>
      </c>
      <c r="C227" s="279">
        <v>2060</v>
      </c>
      <c r="D227" s="270">
        <v>2060</v>
      </c>
      <c r="E227" s="477">
        <v>1</v>
      </c>
      <c r="F227" s="285"/>
      <c r="G227" s="270"/>
      <c r="H227" s="59"/>
      <c r="I227" s="162"/>
      <c r="J227" s="163"/>
    </row>
    <row r="228" spans="1:10" ht="15" customHeight="1" x14ac:dyDescent="0.4">
      <c r="A228" s="88" t="s">
        <v>999</v>
      </c>
      <c r="B228" s="96" t="s">
        <v>1000</v>
      </c>
      <c r="C228" s="279" t="s">
        <v>1316</v>
      </c>
      <c r="D228" s="270" t="s">
        <v>1316</v>
      </c>
      <c r="E228" s="477" t="s">
        <v>1316</v>
      </c>
      <c r="F228" s="285">
        <v>2114</v>
      </c>
      <c r="G228" s="270">
        <v>2113</v>
      </c>
      <c r="H228" s="59">
        <v>0.99952696310312206</v>
      </c>
      <c r="I228" s="162"/>
      <c r="J228" s="163"/>
    </row>
    <row r="229" spans="1:10" ht="15" customHeight="1" x14ac:dyDescent="0.4">
      <c r="A229" s="88" t="s">
        <v>1001</v>
      </c>
      <c r="B229" s="96" t="s">
        <v>1002</v>
      </c>
      <c r="C229" s="279" t="s">
        <v>1316</v>
      </c>
      <c r="D229" s="270" t="s">
        <v>1316</v>
      </c>
      <c r="E229" s="477" t="s">
        <v>1316</v>
      </c>
      <c r="F229" s="285">
        <v>29281</v>
      </c>
      <c r="G229" s="270">
        <v>29281</v>
      </c>
      <c r="H229" s="59">
        <v>1</v>
      </c>
      <c r="I229" s="162"/>
      <c r="J229" s="163"/>
    </row>
    <row r="230" spans="1:10" ht="15" customHeight="1" x14ac:dyDescent="0.4">
      <c r="A230" s="88" t="s">
        <v>513</v>
      </c>
      <c r="B230" s="96" t="s">
        <v>514</v>
      </c>
      <c r="C230" s="279">
        <v>103455</v>
      </c>
      <c r="D230" s="270">
        <v>81100</v>
      </c>
      <c r="E230" s="477">
        <v>0.78</v>
      </c>
      <c r="F230" s="285">
        <v>169423</v>
      </c>
      <c r="G230" s="270">
        <v>146671</v>
      </c>
      <c r="H230" s="59">
        <v>0.86570890611074058</v>
      </c>
      <c r="I230" s="162"/>
      <c r="J230" s="163"/>
    </row>
    <row r="231" spans="1:10" ht="15" customHeight="1" x14ac:dyDescent="0.4">
      <c r="A231" s="88" t="s">
        <v>515</v>
      </c>
      <c r="B231" s="96" t="s">
        <v>516</v>
      </c>
      <c r="C231" s="279">
        <v>94160</v>
      </c>
      <c r="D231" s="270">
        <v>69955</v>
      </c>
      <c r="E231" s="477">
        <v>0.74</v>
      </c>
      <c r="F231" s="285">
        <v>162553</v>
      </c>
      <c r="G231" s="270">
        <v>137451</v>
      </c>
      <c r="H231" s="59">
        <v>0.8455765196582038</v>
      </c>
      <c r="I231" s="162"/>
      <c r="J231" s="163"/>
    </row>
    <row r="232" spans="1:10" ht="15" customHeight="1" x14ac:dyDescent="0.4">
      <c r="A232" s="88" t="s">
        <v>1003</v>
      </c>
      <c r="B232" s="96" t="s">
        <v>1004</v>
      </c>
      <c r="C232" s="279" t="s">
        <v>1316</v>
      </c>
      <c r="D232" s="270" t="s">
        <v>1316</v>
      </c>
      <c r="E232" s="477" t="s">
        <v>1316</v>
      </c>
      <c r="F232" s="285">
        <v>38016</v>
      </c>
      <c r="G232" s="270">
        <v>38016</v>
      </c>
      <c r="H232" s="59">
        <v>1</v>
      </c>
      <c r="I232" s="162"/>
      <c r="J232" s="163"/>
    </row>
    <row r="233" spans="1:10" ht="15" customHeight="1" x14ac:dyDescent="0.4">
      <c r="A233" s="88" t="s">
        <v>517</v>
      </c>
      <c r="B233" s="96" t="s">
        <v>518</v>
      </c>
      <c r="C233" s="279">
        <v>196650</v>
      </c>
      <c r="D233" s="270">
        <v>184335</v>
      </c>
      <c r="E233" s="477">
        <v>0.94</v>
      </c>
      <c r="F233" s="285">
        <v>201107</v>
      </c>
      <c r="G233" s="270">
        <v>188926</v>
      </c>
      <c r="H233" s="59">
        <v>0.93943025354661946</v>
      </c>
      <c r="I233" s="162"/>
      <c r="J233" s="163"/>
    </row>
    <row r="234" spans="1:10" ht="15" customHeight="1" x14ac:dyDescent="0.4">
      <c r="A234" s="88" t="s">
        <v>1005</v>
      </c>
      <c r="B234" s="96" t="s">
        <v>1006</v>
      </c>
      <c r="C234" s="279" t="s">
        <v>1316</v>
      </c>
      <c r="D234" s="270" t="s">
        <v>1316</v>
      </c>
      <c r="E234" s="477" t="s">
        <v>1316</v>
      </c>
      <c r="F234" s="286">
        <v>10890</v>
      </c>
      <c r="G234" s="280">
        <v>10890</v>
      </c>
      <c r="H234" s="59">
        <v>1</v>
      </c>
      <c r="I234" s="162"/>
      <c r="J234" s="163"/>
    </row>
    <row r="235" spans="1:10" ht="15" customHeight="1" x14ac:dyDescent="0.4">
      <c r="A235" s="88" t="s">
        <v>519</v>
      </c>
      <c r="B235" s="96" t="s">
        <v>520</v>
      </c>
      <c r="C235" s="279">
        <v>100990</v>
      </c>
      <c r="D235" s="270">
        <v>71975</v>
      </c>
      <c r="E235" s="477">
        <v>0.71</v>
      </c>
      <c r="F235" s="285">
        <v>101288</v>
      </c>
      <c r="G235" s="270">
        <v>71862</v>
      </c>
      <c r="H235" s="59">
        <v>0.70948187346971014</v>
      </c>
      <c r="I235" s="162"/>
      <c r="J235" s="163"/>
    </row>
    <row r="236" spans="1:10" ht="15" customHeight="1" x14ac:dyDescent="0.4">
      <c r="A236" s="88" t="s">
        <v>521</v>
      </c>
      <c r="B236" s="96" t="s">
        <v>522</v>
      </c>
      <c r="C236" s="279">
        <v>62325</v>
      </c>
      <c r="D236" s="270">
        <v>53295</v>
      </c>
      <c r="E236" s="477">
        <v>0.86</v>
      </c>
      <c r="F236" s="285">
        <v>65003</v>
      </c>
      <c r="G236" s="270">
        <v>55593</v>
      </c>
      <c r="H236" s="59">
        <v>0.85523745057920397</v>
      </c>
      <c r="I236" s="162"/>
      <c r="J236" s="163"/>
    </row>
    <row r="237" spans="1:10" ht="15" customHeight="1" x14ac:dyDescent="0.4">
      <c r="A237" s="88" t="s">
        <v>1007</v>
      </c>
      <c r="B237" s="96" t="s">
        <v>1008</v>
      </c>
      <c r="C237" s="279" t="s">
        <v>1316</v>
      </c>
      <c r="D237" s="270" t="s">
        <v>1316</v>
      </c>
      <c r="E237" s="477" t="s">
        <v>1316</v>
      </c>
      <c r="F237" s="285">
        <v>38799</v>
      </c>
      <c r="G237" s="270">
        <v>38799</v>
      </c>
      <c r="H237" s="59">
        <v>1</v>
      </c>
      <c r="I237" s="162"/>
      <c r="J237" s="163"/>
    </row>
    <row r="238" spans="1:10" ht="15" customHeight="1" x14ac:dyDescent="0.4">
      <c r="A238" s="88" t="s">
        <v>523</v>
      </c>
      <c r="B238" s="96" t="s">
        <v>524</v>
      </c>
      <c r="C238" s="279">
        <v>89850</v>
      </c>
      <c r="D238" s="270">
        <v>73695</v>
      </c>
      <c r="E238" s="477">
        <v>0.82</v>
      </c>
      <c r="F238" s="285">
        <v>103327</v>
      </c>
      <c r="G238" s="270">
        <v>87816</v>
      </c>
      <c r="H238" s="59">
        <v>0.84988434775034594</v>
      </c>
      <c r="I238" s="162"/>
      <c r="J238" s="163"/>
    </row>
    <row r="239" spans="1:10" ht="15" customHeight="1" x14ac:dyDescent="0.4">
      <c r="A239" s="88" t="s">
        <v>692</v>
      </c>
      <c r="B239" s="96" t="s">
        <v>525</v>
      </c>
      <c r="C239" s="279">
        <v>91070</v>
      </c>
      <c r="D239" s="270">
        <v>73450</v>
      </c>
      <c r="E239" s="477">
        <v>0.81</v>
      </c>
      <c r="F239" s="285">
        <v>95147</v>
      </c>
      <c r="G239" s="270">
        <v>88220</v>
      </c>
      <c r="H239" s="59">
        <v>0.92719686380022492</v>
      </c>
      <c r="I239" s="162"/>
      <c r="J239" s="163"/>
    </row>
    <row r="240" spans="1:10" ht="15" customHeight="1" x14ac:dyDescent="0.4">
      <c r="A240" s="88" t="s">
        <v>526</v>
      </c>
      <c r="B240" s="96" t="s">
        <v>527</v>
      </c>
      <c r="C240" s="279">
        <v>181775</v>
      </c>
      <c r="D240" s="270">
        <v>158420</v>
      </c>
      <c r="E240" s="477">
        <v>0.87</v>
      </c>
      <c r="F240" s="285">
        <v>237549</v>
      </c>
      <c r="G240" s="270">
        <v>213740</v>
      </c>
      <c r="H240" s="59">
        <v>0.89977225751318679</v>
      </c>
      <c r="I240" s="162"/>
      <c r="J240" s="163"/>
    </row>
    <row r="241" spans="1:10" ht="15" customHeight="1" x14ac:dyDescent="0.4">
      <c r="A241" s="88" t="s">
        <v>1031</v>
      </c>
      <c r="B241" s="96" t="s">
        <v>884</v>
      </c>
      <c r="C241" s="279">
        <v>30095</v>
      </c>
      <c r="D241" s="270">
        <v>29970</v>
      </c>
      <c r="E241" s="477">
        <v>1</v>
      </c>
      <c r="F241" s="285">
        <v>24300</v>
      </c>
      <c r="G241" s="270">
        <v>24300</v>
      </c>
      <c r="H241" s="59">
        <v>1</v>
      </c>
      <c r="I241" s="162"/>
      <c r="J241" s="163"/>
    </row>
    <row r="242" spans="1:10" ht="15" customHeight="1" x14ac:dyDescent="0.4">
      <c r="A242" s="88" t="s">
        <v>686</v>
      </c>
      <c r="B242" s="96" t="s">
        <v>487</v>
      </c>
      <c r="C242" s="279">
        <v>109130</v>
      </c>
      <c r="D242" s="270">
        <v>96890</v>
      </c>
      <c r="E242" s="477">
        <v>0.89</v>
      </c>
      <c r="F242" s="286">
        <v>109133</v>
      </c>
      <c r="G242" s="280">
        <v>97918</v>
      </c>
      <c r="H242" s="59">
        <v>0.89723548330935643</v>
      </c>
      <c r="I242" s="162"/>
      <c r="J242" s="160"/>
    </row>
    <row r="243" spans="1:10" ht="15" customHeight="1" x14ac:dyDescent="0.4">
      <c r="A243" s="88" t="s">
        <v>1044</v>
      </c>
      <c r="B243" s="96" t="s">
        <v>873</v>
      </c>
      <c r="C243" s="279">
        <v>93200</v>
      </c>
      <c r="D243" s="270">
        <v>89905</v>
      </c>
      <c r="E243" s="477">
        <v>0.96</v>
      </c>
      <c r="F243" s="285"/>
      <c r="G243" s="270"/>
      <c r="H243" s="59"/>
      <c r="I243" s="162"/>
    </row>
    <row r="244" spans="1:10" ht="15" customHeight="1" x14ac:dyDescent="0.4">
      <c r="A244" s="88" t="s">
        <v>1049</v>
      </c>
      <c r="B244" s="96" t="s">
        <v>872</v>
      </c>
      <c r="C244" s="279">
        <v>73575</v>
      </c>
      <c r="D244" s="270">
        <v>71670</v>
      </c>
      <c r="E244" s="477">
        <v>0.97</v>
      </c>
      <c r="F244" s="285"/>
      <c r="G244" s="270"/>
      <c r="H244" s="59"/>
      <c r="I244" s="162"/>
    </row>
    <row r="245" spans="1:10" ht="15" customHeight="1" x14ac:dyDescent="0.4">
      <c r="A245" s="88" t="s">
        <v>529</v>
      </c>
      <c r="B245" s="96" t="s">
        <v>530</v>
      </c>
      <c r="C245" s="279">
        <v>147815</v>
      </c>
      <c r="D245" s="270">
        <v>109295</v>
      </c>
      <c r="E245" s="477">
        <v>0.74</v>
      </c>
      <c r="F245" s="285">
        <v>155099</v>
      </c>
      <c r="G245" s="270">
        <v>116453</v>
      </c>
      <c r="H245" s="59">
        <v>0.75083011495883278</v>
      </c>
      <c r="I245" s="162"/>
    </row>
    <row r="246" spans="1:10" ht="15" customHeight="1" x14ac:dyDescent="0.4">
      <c r="A246" s="88" t="s">
        <v>531</v>
      </c>
      <c r="B246" s="96" t="s">
        <v>532</v>
      </c>
      <c r="C246" s="279">
        <v>137595</v>
      </c>
      <c r="D246" s="270">
        <v>120490</v>
      </c>
      <c r="E246" s="477">
        <v>0.88</v>
      </c>
      <c r="F246" s="286">
        <v>137439</v>
      </c>
      <c r="G246" s="280">
        <v>120785</v>
      </c>
      <c r="H246" s="59">
        <v>0.87882624291503864</v>
      </c>
      <c r="I246" s="162"/>
    </row>
    <row r="247" spans="1:10" ht="15" customHeight="1" x14ac:dyDescent="0.4">
      <c r="A247" s="88" t="s">
        <v>533</v>
      </c>
      <c r="B247" s="96" t="s">
        <v>534</v>
      </c>
      <c r="C247" s="279" t="s">
        <v>1316</v>
      </c>
      <c r="D247" s="270" t="s">
        <v>1316</v>
      </c>
      <c r="E247" s="477" t="s">
        <v>1316</v>
      </c>
      <c r="F247" s="285">
        <v>50190</v>
      </c>
      <c r="G247" s="270">
        <v>45556</v>
      </c>
      <c r="H247" s="59">
        <v>0.90767085076708509</v>
      </c>
      <c r="I247" s="162"/>
    </row>
    <row r="248" spans="1:10" ht="15" customHeight="1" x14ac:dyDescent="0.4">
      <c r="A248" s="88" t="s">
        <v>535</v>
      </c>
      <c r="B248" s="96" t="s">
        <v>536</v>
      </c>
      <c r="C248" s="279">
        <v>134595</v>
      </c>
      <c r="D248" s="270">
        <v>118260</v>
      </c>
      <c r="E248" s="477">
        <v>0.88</v>
      </c>
      <c r="F248" s="286">
        <v>135032</v>
      </c>
      <c r="G248" s="280">
        <v>118744</v>
      </c>
      <c r="H248" s="59">
        <v>0.87937674032821844</v>
      </c>
      <c r="I248" s="162"/>
    </row>
    <row r="249" spans="1:10" ht="15" customHeight="1" x14ac:dyDescent="0.4">
      <c r="A249" s="88" t="s">
        <v>537</v>
      </c>
      <c r="B249" s="96" t="s">
        <v>610</v>
      </c>
      <c r="C249" s="279">
        <v>117460</v>
      </c>
      <c r="D249" s="270">
        <v>97370</v>
      </c>
      <c r="E249" s="477">
        <v>0.83</v>
      </c>
      <c r="F249" s="285">
        <v>117499</v>
      </c>
      <c r="G249" s="270">
        <v>97437</v>
      </c>
      <c r="H249" s="59">
        <v>0.82925812134571353</v>
      </c>
      <c r="I249" s="162"/>
    </row>
    <row r="250" spans="1:10" ht="15" customHeight="1" x14ac:dyDescent="0.4">
      <c r="A250" s="88" t="s">
        <v>538</v>
      </c>
      <c r="B250" s="96" t="s">
        <v>539</v>
      </c>
      <c r="C250" s="279">
        <v>134055</v>
      </c>
      <c r="D250" s="270">
        <v>116150</v>
      </c>
      <c r="E250" s="477">
        <v>0.87</v>
      </c>
      <c r="F250" s="285">
        <v>132709</v>
      </c>
      <c r="G250" s="270">
        <v>114767</v>
      </c>
      <c r="H250" s="59">
        <v>0.86480193506092273</v>
      </c>
      <c r="I250" s="162"/>
    </row>
    <row r="251" spans="1:10" ht="15" customHeight="1" x14ac:dyDescent="0.4">
      <c r="A251" s="88" t="s">
        <v>697</v>
      </c>
      <c r="B251" s="96" t="s">
        <v>540</v>
      </c>
      <c r="C251" s="279">
        <v>187760</v>
      </c>
      <c r="D251" s="270">
        <v>150300</v>
      </c>
      <c r="E251" s="477">
        <v>0.8</v>
      </c>
      <c r="F251" s="285">
        <v>212739</v>
      </c>
      <c r="G251" s="270">
        <v>174473</v>
      </c>
      <c r="H251" s="59">
        <v>0.8201270100921787</v>
      </c>
      <c r="I251" s="162"/>
    </row>
    <row r="252" spans="1:10" ht="15" customHeight="1" x14ac:dyDescent="0.4">
      <c r="A252" s="88" t="s">
        <v>541</v>
      </c>
      <c r="B252" s="96" t="s">
        <v>542</v>
      </c>
      <c r="C252" s="279">
        <v>231485</v>
      </c>
      <c r="D252" s="270">
        <v>179505</v>
      </c>
      <c r="E252" s="477">
        <v>0.78</v>
      </c>
      <c r="F252" s="285">
        <v>234856</v>
      </c>
      <c r="G252" s="270">
        <v>182361</v>
      </c>
      <c r="H252" s="59">
        <v>0.7764800558640188</v>
      </c>
      <c r="I252" s="162"/>
    </row>
    <row r="253" spans="1:10" ht="15" customHeight="1" x14ac:dyDescent="0.4">
      <c r="A253" s="88" t="s">
        <v>543</v>
      </c>
      <c r="B253" s="96" t="s">
        <v>544</v>
      </c>
      <c r="C253" s="279">
        <v>88235</v>
      </c>
      <c r="D253" s="270">
        <v>72575</v>
      </c>
      <c r="E253" s="477">
        <v>0.82</v>
      </c>
      <c r="F253" s="285">
        <v>112567</v>
      </c>
      <c r="G253" s="270">
        <v>96050</v>
      </c>
      <c r="H253" s="59">
        <v>0.85326960832215482</v>
      </c>
      <c r="I253" s="162"/>
    </row>
    <row r="254" spans="1:10" ht="15" customHeight="1" x14ac:dyDescent="0.4">
      <c r="A254" s="88" t="s">
        <v>545</v>
      </c>
      <c r="B254" s="96" t="s">
        <v>546</v>
      </c>
      <c r="C254" s="279">
        <v>169915</v>
      </c>
      <c r="D254" s="270">
        <v>113320</v>
      </c>
      <c r="E254" s="477">
        <v>0.67</v>
      </c>
      <c r="F254" s="285">
        <v>244782</v>
      </c>
      <c r="G254" s="270">
        <v>189733</v>
      </c>
      <c r="H254" s="59">
        <v>0.77511009796471964</v>
      </c>
      <c r="I254" s="162"/>
    </row>
    <row r="255" spans="1:10" ht="15" customHeight="1" x14ac:dyDescent="0.4">
      <c r="A255" s="88" t="s">
        <v>1009</v>
      </c>
      <c r="B255" s="96" t="s">
        <v>889</v>
      </c>
      <c r="C255" s="279">
        <v>37925</v>
      </c>
      <c r="D255" s="270">
        <v>37525</v>
      </c>
      <c r="E255" s="477">
        <v>0.99</v>
      </c>
      <c r="F255" s="285"/>
      <c r="G255" s="270"/>
      <c r="H255" s="59"/>
      <c r="I255" s="162"/>
    </row>
    <row r="256" spans="1:10" s="445" customFormat="1" ht="15" customHeight="1" x14ac:dyDescent="0.4">
      <c r="A256" s="88" t="s">
        <v>1048</v>
      </c>
      <c r="B256" s="96" t="s">
        <v>1010</v>
      </c>
      <c r="C256" s="279" t="s">
        <v>1316</v>
      </c>
      <c r="D256" s="270" t="s">
        <v>1316</v>
      </c>
      <c r="E256" s="477" t="s">
        <v>1316</v>
      </c>
      <c r="F256" s="285">
        <v>115426</v>
      </c>
      <c r="G256" s="270">
        <v>115426</v>
      </c>
      <c r="H256" s="59">
        <v>1</v>
      </c>
      <c r="I256" s="162"/>
      <c r="J256" s="159"/>
    </row>
    <row r="257" spans="1:9" ht="15" customHeight="1" x14ac:dyDescent="0.4">
      <c r="A257" s="88" t="s">
        <v>1011</v>
      </c>
      <c r="B257" s="96" t="s">
        <v>1012</v>
      </c>
      <c r="C257" s="279" t="s">
        <v>1316</v>
      </c>
      <c r="D257" s="270" t="s">
        <v>1316</v>
      </c>
      <c r="E257" s="477" t="s">
        <v>1316</v>
      </c>
      <c r="F257" s="285">
        <v>28279</v>
      </c>
      <c r="G257" s="270">
        <v>28279</v>
      </c>
      <c r="H257" s="59">
        <v>1</v>
      </c>
      <c r="I257" s="162"/>
    </row>
    <row r="258" spans="1:9" ht="15" customHeight="1" x14ac:dyDescent="0.4">
      <c r="A258" s="88" t="s">
        <v>547</v>
      </c>
      <c r="B258" s="96" t="s">
        <v>548</v>
      </c>
      <c r="C258" s="279">
        <v>76140</v>
      </c>
      <c r="D258" s="270">
        <v>52865</v>
      </c>
      <c r="E258" s="477">
        <v>0.69</v>
      </c>
      <c r="F258" s="285">
        <v>118323</v>
      </c>
      <c r="G258" s="270">
        <v>95412</v>
      </c>
      <c r="H258" s="59">
        <v>0.80636900687102253</v>
      </c>
      <c r="I258" s="162"/>
    </row>
    <row r="259" spans="1:9" ht="15" customHeight="1" x14ac:dyDescent="0.4">
      <c r="A259" s="88" t="s">
        <v>1013</v>
      </c>
      <c r="B259" s="96" t="s">
        <v>1014</v>
      </c>
      <c r="C259" s="279" t="s">
        <v>1316</v>
      </c>
      <c r="D259" s="270" t="s">
        <v>1316</v>
      </c>
      <c r="E259" s="477" t="s">
        <v>1316</v>
      </c>
      <c r="F259" s="285">
        <v>43426</v>
      </c>
      <c r="G259" s="270">
        <v>43426</v>
      </c>
      <c r="H259" s="59">
        <v>1</v>
      </c>
      <c r="I259" s="162"/>
    </row>
    <row r="260" spans="1:9" ht="15" customHeight="1" x14ac:dyDescent="0.4">
      <c r="A260" s="88" t="s">
        <v>714</v>
      </c>
      <c r="B260" s="96" t="s">
        <v>549</v>
      </c>
      <c r="C260" s="279">
        <v>113570</v>
      </c>
      <c r="D260" s="270">
        <v>100835</v>
      </c>
      <c r="E260" s="477">
        <v>0.89</v>
      </c>
      <c r="F260" s="285">
        <v>123925</v>
      </c>
      <c r="G260" s="270">
        <v>109165</v>
      </c>
      <c r="H260" s="59">
        <v>0.88089570304619724</v>
      </c>
      <c r="I260" s="162"/>
    </row>
    <row r="261" spans="1:9" ht="15" customHeight="1" x14ac:dyDescent="0.4">
      <c r="A261" s="88" t="s">
        <v>1032</v>
      </c>
      <c r="B261" s="96" t="s">
        <v>876</v>
      </c>
      <c r="C261" s="279">
        <v>31475</v>
      </c>
      <c r="D261" s="270">
        <v>30055</v>
      </c>
      <c r="E261" s="477">
        <v>0.95</v>
      </c>
      <c r="F261" s="285"/>
      <c r="G261" s="270"/>
      <c r="H261" s="59"/>
      <c r="I261" s="162"/>
    </row>
    <row r="262" spans="1:9" ht="12.6" x14ac:dyDescent="0.4">
      <c r="A262" s="88" t="s">
        <v>550</v>
      </c>
      <c r="B262" s="96" t="s">
        <v>551</v>
      </c>
      <c r="C262" s="279">
        <v>136055</v>
      </c>
      <c r="D262" s="270">
        <v>107080</v>
      </c>
      <c r="E262" s="477">
        <v>0.79</v>
      </c>
      <c r="F262" s="285">
        <v>138810</v>
      </c>
      <c r="G262" s="270">
        <v>111102</v>
      </c>
      <c r="H262" s="59">
        <v>0.80038902096390752</v>
      </c>
      <c r="I262" s="162"/>
    </row>
    <row r="263" spans="1:9" ht="12.6" x14ac:dyDescent="0.4">
      <c r="A263" s="88" t="s">
        <v>552</v>
      </c>
      <c r="B263" s="96" t="s">
        <v>553</v>
      </c>
      <c r="C263" s="279">
        <v>70110</v>
      </c>
      <c r="D263" s="270">
        <v>62490</v>
      </c>
      <c r="E263" s="477">
        <v>0.89</v>
      </c>
      <c r="F263" s="285">
        <v>71017</v>
      </c>
      <c r="G263" s="270">
        <v>63432</v>
      </c>
      <c r="H263" s="59">
        <v>0.89319458721151279</v>
      </c>
      <c r="I263" s="162"/>
    </row>
    <row r="264" spans="1:9" ht="12.6" x14ac:dyDescent="0.4">
      <c r="A264" s="88" t="s">
        <v>554</v>
      </c>
      <c r="B264" s="96" t="s">
        <v>611</v>
      </c>
      <c r="C264" s="279">
        <v>136465</v>
      </c>
      <c r="D264" s="270">
        <v>125030</v>
      </c>
      <c r="E264" s="477">
        <v>0.92</v>
      </c>
      <c r="F264" s="285">
        <v>151706</v>
      </c>
      <c r="G264" s="270">
        <v>140202</v>
      </c>
      <c r="H264" s="59">
        <v>0.92416911658075485</v>
      </c>
      <c r="I264" s="162"/>
    </row>
    <row r="265" spans="1:9" ht="12.6" x14ac:dyDescent="0.4">
      <c r="A265" s="88" t="s">
        <v>555</v>
      </c>
      <c r="B265" s="96" t="s">
        <v>556</v>
      </c>
      <c r="C265" s="279">
        <v>47045</v>
      </c>
      <c r="D265" s="270">
        <v>39630</v>
      </c>
      <c r="E265" s="477">
        <v>0.84</v>
      </c>
      <c r="F265" s="285">
        <v>47685</v>
      </c>
      <c r="G265" s="270">
        <v>40471</v>
      </c>
      <c r="H265" s="59">
        <v>0.84871552899234559</v>
      </c>
      <c r="I265" s="162"/>
    </row>
    <row r="266" spans="1:9" ht="12.6" x14ac:dyDescent="0.4">
      <c r="A266" s="88" t="s">
        <v>557</v>
      </c>
      <c r="B266" s="96" t="s">
        <v>896</v>
      </c>
      <c r="C266" s="279">
        <v>9020</v>
      </c>
      <c r="D266" s="270">
        <v>8960</v>
      </c>
      <c r="E266" s="477">
        <v>0.99</v>
      </c>
      <c r="F266" s="285"/>
      <c r="G266" s="270"/>
      <c r="H266" s="59"/>
      <c r="I266" s="162"/>
    </row>
    <row r="267" spans="1:9" ht="12.6" x14ac:dyDescent="0.4">
      <c r="A267" s="88" t="s">
        <v>1015</v>
      </c>
      <c r="B267" s="96" t="s">
        <v>1016</v>
      </c>
      <c r="C267" s="279" t="s">
        <v>1316</v>
      </c>
      <c r="D267" s="270" t="s">
        <v>1316</v>
      </c>
      <c r="E267" s="477" t="s">
        <v>1316</v>
      </c>
      <c r="F267" s="285">
        <v>27234</v>
      </c>
      <c r="G267" s="270">
        <v>27234</v>
      </c>
      <c r="H267" s="59">
        <v>1</v>
      </c>
      <c r="I267" s="162"/>
    </row>
    <row r="268" spans="1:9" ht="12.6" x14ac:dyDescent="0.4">
      <c r="A268" s="88" t="s">
        <v>1038</v>
      </c>
      <c r="B268" s="96" t="s">
        <v>528</v>
      </c>
      <c r="C268" s="279">
        <v>101805</v>
      </c>
      <c r="D268" s="270">
        <v>91090</v>
      </c>
      <c r="E268" s="477">
        <v>0.89</v>
      </c>
      <c r="F268" s="285">
        <v>101815</v>
      </c>
      <c r="G268" s="270">
        <v>91057</v>
      </c>
      <c r="H268" s="59">
        <v>0.89433776948386778</v>
      </c>
      <c r="I268" s="162"/>
    </row>
    <row r="269" spans="1:9" ht="12.6" x14ac:dyDescent="0.4">
      <c r="A269" s="88" t="s">
        <v>612</v>
      </c>
      <c r="B269" s="96" t="s">
        <v>573</v>
      </c>
      <c r="C269" s="279">
        <v>78205</v>
      </c>
      <c r="D269" s="270">
        <v>0</v>
      </c>
      <c r="E269" s="477">
        <v>0</v>
      </c>
      <c r="F269" s="285">
        <v>47972</v>
      </c>
      <c r="G269" s="270">
        <v>47632</v>
      </c>
      <c r="H269" s="59">
        <v>0.99291253231051446</v>
      </c>
      <c r="I269" s="162"/>
    </row>
    <row r="270" spans="1:9" ht="12.6" x14ac:dyDescent="0.4">
      <c r="A270" s="88" t="s">
        <v>558</v>
      </c>
      <c r="B270" s="96" t="s">
        <v>559</v>
      </c>
      <c r="C270" s="279">
        <v>94210</v>
      </c>
      <c r="D270" s="270">
        <v>70210</v>
      </c>
      <c r="E270" s="477">
        <v>0.75</v>
      </c>
      <c r="F270" s="285">
        <v>126111</v>
      </c>
      <c r="G270" s="270">
        <v>101887</v>
      </c>
      <c r="H270" s="59">
        <v>0.80791524926453673</v>
      </c>
      <c r="I270" s="162"/>
    </row>
    <row r="271" spans="1:9" ht="12.6" x14ac:dyDescent="0.4">
      <c r="A271" s="88" t="s">
        <v>1017</v>
      </c>
      <c r="B271" s="96" t="s">
        <v>882</v>
      </c>
      <c r="C271" s="279">
        <v>2425</v>
      </c>
      <c r="D271" s="270">
        <v>2420</v>
      </c>
      <c r="E271" s="477">
        <v>1</v>
      </c>
      <c r="F271" s="285">
        <v>2420</v>
      </c>
      <c r="G271" s="270">
        <v>2417</v>
      </c>
      <c r="H271" s="59">
        <v>0.99876033057851243</v>
      </c>
      <c r="I271" s="162"/>
    </row>
    <row r="272" spans="1:9" ht="12.6" x14ac:dyDescent="0.4">
      <c r="A272" s="88" t="s">
        <v>560</v>
      </c>
      <c r="B272" s="96" t="s">
        <v>895</v>
      </c>
      <c r="C272" s="279">
        <v>38590</v>
      </c>
      <c r="D272" s="270">
        <v>38525</v>
      </c>
      <c r="E272" s="477">
        <v>1</v>
      </c>
      <c r="F272" s="285">
        <v>41139</v>
      </c>
      <c r="G272" s="270">
        <v>41084</v>
      </c>
      <c r="H272" s="59">
        <v>0.99866306910717328</v>
      </c>
      <c r="I272" s="162"/>
    </row>
    <row r="273" spans="1:10" ht="12.6" x14ac:dyDescent="0.4">
      <c r="A273" s="88" t="s">
        <v>561</v>
      </c>
      <c r="B273" s="96" t="s">
        <v>613</v>
      </c>
      <c r="C273" s="279">
        <v>185985</v>
      </c>
      <c r="D273" s="270">
        <v>147080</v>
      </c>
      <c r="E273" s="477">
        <v>0.79</v>
      </c>
      <c r="F273" s="285">
        <v>185694</v>
      </c>
      <c r="G273" s="270">
        <v>146544</v>
      </c>
      <c r="H273" s="59">
        <v>0.78916927849041973</v>
      </c>
      <c r="I273" s="162"/>
    </row>
    <row r="274" spans="1:10" ht="12.6" x14ac:dyDescent="0.4">
      <c r="A274" s="88" t="s">
        <v>1018</v>
      </c>
      <c r="B274" s="96" t="s">
        <v>1019</v>
      </c>
      <c r="C274" s="279" t="s">
        <v>1316</v>
      </c>
      <c r="D274" s="270" t="s">
        <v>1316</v>
      </c>
      <c r="E274" s="477" t="s">
        <v>1316</v>
      </c>
      <c r="F274" s="285">
        <v>5268</v>
      </c>
      <c r="G274" s="270">
        <v>5268</v>
      </c>
      <c r="H274" s="59">
        <v>1</v>
      </c>
      <c r="I274" s="162"/>
    </row>
    <row r="275" spans="1:10" ht="12.6" x14ac:dyDescent="0.4">
      <c r="A275" s="88" t="s">
        <v>705</v>
      </c>
      <c r="B275" s="96" t="s">
        <v>562</v>
      </c>
      <c r="C275" s="279">
        <v>88720</v>
      </c>
      <c r="D275" s="270">
        <v>71490</v>
      </c>
      <c r="E275" s="477">
        <v>0.81</v>
      </c>
      <c r="F275" s="285">
        <v>88807</v>
      </c>
      <c r="G275" s="270">
        <v>71834</v>
      </c>
      <c r="H275" s="59">
        <v>0.80887767856137471</v>
      </c>
      <c r="I275" s="162"/>
    </row>
    <row r="276" spans="1:10" ht="12.6" x14ac:dyDescent="0.4">
      <c r="A276" s="88" t="s">
        <v>563</v>
      </c>
      <c r="B276" s="96" t="s">
        <v>564</v>
      </c>
      <c r="C276" s="279">
        <v>59395</v>
      </c>
      <c r="D276" s="270">
        <v>43610</v>
      </c>
      <c r="E276" s="477">
        <v>0.73</v>
      </c>
      <c r="F276" s="285">
        <v>69260</v>
      </c>
      <c r="G276" s="270">
        <v>56854</v>
      </c>
      <c r="H276" s="59">
        <v>0.82087785157378002</v>
      </c>
      <c r="I276" s="162"/>
    </row>
    <row r="277" spans="1:10" ht="12.6" x14ac:dyDescent="0.4">
      <c r="A277" s="88" t="s">
        <v>565</v>
      </c>
      <c r="B277" s="96" t="s">
        <v>566</v>
      </c>
      <c r="C277" s="279">
        <v>16820</v>
      </c>
      <c r="D277" s="270">
        <v>16735</v>
      </c>
      <c r="E277" s="477">
        <v>0.99</v>
      </c>
      <c r="F277" s="285">
        <v>16768</v>
      </c>
      <c r="G277" s="270">
        <v>16687</v>
      </c>
      <c r="H277" s="59">
        <v>0.99516937022900764</v>
      </c>
      <c r="I277" s="162"/>
    </row>
    <row r="278" spans="1:10" ht="12.6" x14ac:dyDescent="0.4">
      <c r="A278" s="88" t="s">
        <v>567</v>
      </c>
      <c r="B278" s="96" t="s">
        <v>568</v>
      </c>
      <c r="C278" s="279">
        <v>50410</v>
      </c>
      <c r="D278" s="270">
        <v>47340</v>
      </c>
      <c r="E278" s="477">
        <v>0.94</v>
      </c>
      <c r="F278" s="285">
        <v>50454</v>
      </c>
      <c r="G278" s="270">
        <v>48902</v>
      </c>
      <c r="H278" s="59">
        <v>0.96923930709160822</v>
      </c>
      <c r="I278" s="162"/>
    </row>
    <row r="279" spans="1:10" ht="12.6" x14ac:dyDescent="0.4">
      <c r="A279" s="88" t="s">
        <v>1033</v>
      </c>
      <c r="B279" s="96" t="s">
        <v>880</v>
      </c>
      <c r="C279" s="279">
        <v>9195</v>
      </c>
      <c r="D279" s="270">
        <v>8945</v>
      </c>
      <c r="E279" s="477">
        <v>0.97</v>
      </c>
      <c r="F279" s="285"/>
      <c r="G279" s="270"/>
      <c r="H279" s="59"/>
      <c r="I279" s="162"/>
    </row>
    <row r="280" spans="1:10" ht="12.9" thickBot="1" x14ac:dyDescent="0.45">
      <c r="A280" s="88" t="s">
        <v>569</v>
      </c>
      <c r="B280" s="164" t="s">
        <v>570</v>
      </c>
      <c r="C280" s="475">
        <v>133340</v>
      </c>
      <c r="D280" s="476">
        <v>106120</v>
      </c>
      <c r="E280" s="477">
        <v>0.8</v>
      </c>
      <c r="F280" s="287">
        <v>192078</v>
      </c>
      <c r="G280" s="288">
        <v>166129</v>
      </c>
      <c r="H280" s="61">
        <v>0.864903841147867</v>
      </c>
      <c r="I280" s="162"/>
    </row>
    <row r="281" spans="1:10" ht="4.5" customHeight="1" x14ac:dyDescent="0.4">
      <c r="A281" s="165"/>
      <c r="B281" s="165"/>
      <c r="C281" s="165"/>
      <c r="D281" s="165"/>
      <c r="E281" s="165"/>
      <c r="F281" s="166"/>
      <c r="G281" s="166"/>
      <c r="H281" s="167"/>
    </row>
    <row r="282" spans="1:10" ht="110.4" customHeight="1" x14ac:dyDescent="0.4">
      <c r="A282" s="600" t="s">
        <v>1317</v>
      </c>
      <c r="B282" s="600"/>
      <c r="C282" s="600"/>
      <c r="D282" s="600"/>
      <c r="E282" s="600"/>
      <c r="F282" s="600"/>
      <c r="G282" s="600"/>
      <c r="H282" s="600"/>
    </row>
    <row r="283" spans="1:10" ht="15" customHeight="1" x14ac:dyDescent="0.4">
      <c r="A283" s="114" t="s">
        <v>777</v>
      </c>
      <c r="B283" s="114"/>
      <c r="C283" s="114"/>
      <c r="D283" s="114"/>
      <c r="E283" s="114"/>
      <c r="F283" s="114"/>
      <c r="G283" s="114"/>
      <c r="H283" s="114"/>
    </row>
    <row r="284" spans="1:10" ht="26.25" customHeight="1" x14ac:dyDescent="0.4">
      <c r="A284" s="504" t="s">
        <v>1052</v>
      </c>
      <c r="B284" s="504"/>
      <c r="C284" s="504"/>
      <c r="D284" s="504"/>
      <c r="E284" s="504"/>
      <c r="F284" s="504"/>
      <c r="G284" s="504"/>
      <c r="H284" s="504"/>
    </row>
    <row r="285" spans="1:10" ht="12.6" thickBot="1" x14ac:dyDescent="0.45">
      <c r="A285" s="115" t="s">
        <v>10</v>
      </c>
      <c r="B285" s="115"/>
      <c r="C285" s="115"/>
      <c r="D285" s="115"/>
      <c r="E285" s="115"/>
      <c r="F285" s="115"/>
      <c r="G285" s="115"/>
      <c r="H285" s="115"/>
      <c r="I285" s="168"/>
    </row>
    <row r="286" spans="1:10" ht="15" customHeight="1" x14ac:dyDescent="0.4">
      <c r="A286" s="540" t="s">
        <v>898</v>
      </c>
      <c r="B286" s="540"/>
      <c r="C286" s="540"/>
      <c r="D286" s="540"/>
      <c r="E286" s="540"/>
      <c r="F286" s="540"/>
      <c r="G286" s="540"/>
      <c r="H286" s="540"/>
      <c r="I286" s="540"/>
    </row>
    <row r="287" spans="1:10" ht="15" customHeight="1" x14ac:dyDescent="0.45">
      <c r="A287" s="505" t="s">
        <v>780</v>
      </c>
      <c r="B287" s="505"/>
      <c r="C287" s="505"/>
      <c r="D287" s="505"/>
      <c r="E287" s="505"/>
      <c r="F287" s="505"/>
      <c r="G287" s="505"/>
      <c r="H287" s="120"/>
      <c r="I287" s="120"/>
      <c r="J287" s="120"/>
    </row>
    <row r="288" spans="1:10" ht="15" customHeight="1" x14ac:dyDescent="0.4">
      <c r="A288" s="508" t="s">
        <v>575</v>
      </c>
      <c r="B288" s="508"/>
      <c r="C288" s="508"/>
      <c r="D288" s="508"/>
      <c r="E288" s="508"/>
      <c r="F288" s="508"/>
      <c r="G288" s="508"/>
      <c r="H288" s="508"/>
      <c r="I288" s="508"/>
    </row>
    <row r="289" spans="1:9" ht="12.6" thickBot="1" x14ac:dyDescent="0.45">
      <c r="A289" s="537" t="s">
        <v>845</v>
      </c>
      <c r="B289" s="537"/>
      <c r="C289" s="537"/>
      <c r="D289" s="537"/>
      <c r="E289" s="537"/>
      <c r="F289" s="537"/>
      <c r="G289" s="537"/>
      <c r="H289" s="537"/>
      <c r="I289" s="537"/>
    </row>
    <row r="290" spans="1:9" x14ac:dyDescent="0.4">
      <c r="A290" s="169"/>
      <c r="B290" s="170"/>
      <c r="C290" s="170"/>
      <c r="D290" s="170"/>
      <c r="E290" s="170"/>
      <c r="F290" s="170"/>
      <c r="G290" s="170"/>
      <c r="H290" s="170"/>
    </row>
    <row r="291" spans="1:9" x14ac:dyDescent="0.4">
      <c r="A291" s="171" t="s">
        <v>614</v>
      </c>
    </row>
  </sheetData>
  <mergeCells count="10">
    <mergeCell ref="A286:I286"/>
    <mergeCell ref="A288:I288"/>
    <mergeCell ref="A289:I289"/>
    <mergeCell ref="A284:H284"/>
    <mergeCell ref="A287:G287"/>
    <mergeCell ref="A282:H282"/>
    <mergeCell ref="A2:H2"/>
    <mergeCell ref="A3:H3"/>
    <mergeCell ref="C5:E5"/>
    <mergeCell ref="F5:H5"/>
  </mergeCells>
  <hyperlinks>
    <hyperlink ref="A291" location="Contents!A1" display="Return to Contents" xr:uid="{00000000-0004-0000-2800-000001000000}"/>
    <hyperlink ref="A288:I288" r:id="rId1" display="Contact via enquiries@NHSDigital.nhs.uk or 0300 303 5678" xr:uid="{00000000-0004-0000-2800-000002000000}"/>
    <hyperlink ref="A284" r:id="rId2" xr:uid="{FA4EAE50-952B-49B1-B41F-5F8EDAF7DFF4}"/>
  </hyperlinks>
  <pageMargins left="0.78740157480314965" right="0.78740157480314965" top="0.78740157480314965" bottom="0.78740157480314965" header="0.78740157480314965" footer="0.78740157480314965"/>
  <pageSetup paperSize="9" scale="64" fitToHeight="0" orientation="landscape" r:id="rId3"/>
  <headerFooter alignWithMargins="0">
    <oddFooter>&amp;L&amp;C&amp;R</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0">
    <pageSetUpPr fitToPage="1"/>
  </sheetPr>
  <dimension ref="A1:Q42"/>
  <sheetViews>
    <sheetView workbookViewId="0"/>
  </sheetViews>
  <sheetFormatPr defaultColWidth="9.109375" defaultRowHeight="12.3" x14ac:dyDescent="0.4"/>
  <cols>
    <col min="1" max="1" width="27" style="51" customWidth="1"/>
    <col min="2" max="5" width="16.109375" style="51" customWidth="1"/>
    <col min="6" max="6" width="13.44140625" style="51" customWidth="1"/>
    <col min="7" max="9" width="17.6640625" style="51" customWidth="1"/>
    <col min="10" max="10" width="9.109375" style="51" customWidth="1"/>
    <col min="11" max="16384" width="9.109375" style="51"/>
  </cols>
  <sheetData>
    <row r="1" spans="1:12" ht="15" customHeight="1" x14ac:dyDescent="0.4"/>
    <row r="2" spans="1:12" ht="56.25" customHeight="1" x14ac:dyDescent="0.75">
      <c r="A2" s="573" t="s">
        <v>870</v>
      </c>
      <c r="B2" s="574"/>
      <c r="C2" s="574"/>
      <c r="D2" s="574"/>
      <c r="E2" s="574"/>
      <c r="F2" s="574"/>
      <c r="G2" s="50"/>
      <c r="H2" s="50"/>
      <c r="I2" s="50"/>
      <c r="J2" s="50"/>
    </row>
    <row r="3" spans="1:12" ht="30" customHeight="1" x14ac:dyDescent="0.4">
      <c r="A3" s="575" t="s">
        <v>783</v>
      </c>
      <c r="B3" s="576"/>
      <c r="C3" s="576"/>
      <c r="D3" s="576"/>
      <c r="E3" s="576"/>
      <c r="F3" s="576"/>
      <c r="G3" s="50"/>
      <c r="H3" s="50"/>
      <c r="I3" s="50"/>
      <c r="J3" s="50"/>
    </row>
    <row r="4" spans="1:12" ht="11.25" customHeight="1" thickBot="1" x14ac:dyDescent="0.45">
      <c r="A4" s="119"/>
      <c r="B4" s="50"/>
      <c r="C4" s="50"/>
      <c r="D4" s="50"/>
      <c r="E4" s="50"/>
      <c r="F4" s="50"/>
      <c r="G4" s="50"/>
      <c r="H4" s="50"/>
      <c r="I4" s="50"/>
      <c r="J4" s="50"/>
    </row>
    <row r="5" spans="1:12" ht="16.5" customHeight="1" thickBot="1" x14ac:dyDescent="0.45">
      <c r="A5" s="583" t="s">
        <v>616</v>
      </c>
      <c r="B5" s="602" t="s">
        <v>652</v>
      </c>
      <c r="C5" s="604" t="s">
        <v>653</v>
      </c>
      <c r="D5" s="606" t="s">
        <v>654</v>
      </c>
      <c r="E5" s="607"/>
      <c r="F5" s="607"/>
      <c r="G5" s="607"/>
      <c r="H5" s="607"/>
      <c r="I5" s="608"/>
      <c r="J5" s="50"/>
    </row>
    <row r="6" spans="1:12" ht="41.25" customHeight="1" thickBot="1" x14ac:dyDescent="0.45">
      <c r="A6" s="601"/>
      <c r="B6" s="603"/>
      <c r="C6" s="605"/>
      <c r="D6" s="206" t="s">
        <v>49</v>
      </c>
      <c r="E6" s="207" t="s">
        <v>642</v>
      </c>
      <c r="F6" s="208" t="s">
        <v>643</v>
      </c>
      <c r="G6" s="208" t="s">
        <v>644</v>
      </c>
      <c r="H6" s="208" t="s">
        <v>645</v>
      </c>
      <c r="I6" s="209" t="s">
        <v>646</v>
      </c>
      <c r="J6" s="50"/>
    </row>
    <row r="7" spans="1:12" ht="15" customHeight="1" x14ac:dyDescent="0.4">
      <c r="A7" s="41" t="s">
        <v>617</v>
      </c>
      <c r="B7" s="306">
        <v>9216894</v>
      </c>
      <c r="C7" s="307">
        <v>2412661</v>
      </c>
      <c r="D7" s="308">
        <v>239991</v>
      </c>
      <c r="E7" s="309">
        <v>23528</v>
      </c>
      <c r="F7" s="289">
        <v>24004</v>
      </c>
      <c r="G7" s="289">
        <v>76644</v>
      </c>
      <c r="H7" s="289">
        <v>23532</v>
      </c>
      <c r="I7" s="310">
        <v>92283</v>
      </c>
      <c r="J7" s="50"/>
    </row>
    <row r="8" spans="1:12" ht="15" customHeight="1" x14ac:dyDescent="0.4">
      <c r="A8" s="40" t="s">
        <v>618</v>
      </c>
      <c r="B8" s="311">
        <v>3608170</v>
      </c>
      <c r="C8" s="312">
        <v>1866440</v>
      </c>
      <c r="D8" s="308">
        <v>541935</v>
      </c>
      <c r="E8" s="309">
        <v>29552</v>
      </c>
      <c r="F8" s="289">
        <v>73690</v>
      </c>
      <c r="G8" s="289">
        <v>223127</v>
      </c>
      <c r="H8" s="289">
        <v>57689</v>
      </c>
      <c r="I8" s="310">
        <v>157877</v>
      </c>
      <c r="J8" s="50"/>
    </row>
    <row r="9" spans="1:12" ht="15" customHeight="1" x14ac:dyDescent="0.4">
      <c r="A9" s="40" t="s">
        <v>619</v>
      </c>
      <c r="B9" s="311">
        <v>1920413</v>
      </c>
      <c r="C9" s="312">
        <v>1664019</v>
      </c>
      <c r="D9" s="308">
        <v>726981</v>
      </c>
      <c r="E9" s="309">
        <v>35939</v>
      </c>
      <c r="F9" s="289">
        <v>106196</v>
      </c>
      <c r="G9" s="289">
        <v>328375</v>
      </c>
      <c r="H9" s="289">
        <v>78468</v>
      </c>
      <c r="I9" s="310">
        <v>178003</v>
      </c>
      <c r="J9" s="50"/>
      <c r="L9" s="55"/>
    </row>
    <row r="10" spans="1:12" ht="15" customHeight="1" x14ac:dyDescent="0.4">
      <c r="A10" s="40" t="s">
        <v>620</v>
      </c>
      <c r="B10" s="311">
        <v>1151238</v>
      </c>
      <c r="C10" s="312">
        <v>1474749</v>
      </c>
      <c r="D10" s="308">
        <v>781282</v>
      </c>
      <c r="E10" s="309">
        <v>37628</v>
      </c>
      <c r="F10" s="289">
        <v>120656</v>
      </c>
      <c r="G10" s="289">
        <v>366036</v>
      </c>
      <c r="H10" s="289">
        <v>87288</v>
      </c>
      <c r="I10" s="310">
        <v>169674</v>
      </c>
      <c r="J10" s="50"/>
      <c r="L10" s="55"/>
    </row>
    <row r="11" spans="1:12" ht="15" customHeight="1" x14ac:dyDescent="0.4">
      <c r="A11" s="40" t="s">
        <v>621</v>
      </c>
      <c r="B11" s="311">
        <v>728151</v>
      </c>
      <c r="C11" s="312">
        <v>1319048</v>
      </c>
      <c r="D11" s="308">
        <v>801126</v>
      </c>
      <c r="E11" s="309">
        <v>37489</v>
      </c>
      <c r="F11" s="289">
        <v>128245</v>
      </c>
      <c r="G11" s="289">
        <v>385471</v>
      </c>
      <c r="H11" s="289">
        <v>94519</v>
      </c>
      <c r="I11" s="310">
        <v>155402</v>
      </c>
      <c r="J11" s="50"/>
    </row>
    <row r="12" spans="1:12" ht="15" customHeight="1" x14ac:dyDescent="0.4">
      <c r="A12" s="40" t="s">
        <v>622</v>
      </c>
      <c r="B12" s="311">
        <v>498818</v>
      </c>
      <c r="C12" s="312">
        <v>1226542</v>
      </c>
      <c r="D12" s="308">
        <v>807093</v>
      </c>
      <c r="E12" s="309">
        <v>36922</v>
      </c>
      <c r="F12" s="289">
        <v>132842</v>
      </c>
      <c r="G12" s="289">
        <v>395052</v>
      </c>
      <c r="H12" s="289">
        <v>100570</v>
      </c>
      <c r="I12" s="310">
        <v>141707</v>
      </c>
      <c r="J12" s="50"/>
    </row>
    <row r="13" spans="1:12" ht="15" customHeight="1" x14ac:dyDescent="0.4">
      <c r="A13" s="40" t="s">
        <v>623</v>
      </c>
      <c r="B13" s="311">
        <v>326262</v>
      </c>
      <c r="C13" s="312">
        <v>1077545</v>
      </c>
      <c r="D13" s="308">
        <v>804763</v>
      </c>
      <c r="E13" s="309">
        <v>37772</v>
      </c>
      <c r="F13" s="289">
        <v>136296</v>
      </c>
      <c r="G13" s="289">
        <v>396900</v>
      </c>
      <c r="H13" s="289">
        <v>103781</v>
      </c>
      <c r="I13" s="310">
        <v>130014</v>
      </c>
      <c r="J13" s="50"/>
    </row>
    <row r="14" spans="1:12" ht="15" customHeight="1" x14ac:dyDescent="0.4">
      <c r="A14" s="40" t="s">
        <v>624</v>
      </c>
      <c r="B14" s="311">
        <v>227995</v>
      </c>
      <c r="C14" s="312">
        <v>973083</v>
      </c>
      <c r="D14" s="308">
        <v>794845</v>
      </c>
      <c r="E14" s="309">
        <v>38712</v>
      </c>
      <c r="F14" s="289">
        <v>137545</v>
      </c>
      <c r="G14" s="289">
        <v>393337</v>
      </c>
      <c r="H14" s="289">
        <v>106167</v>
      </c>
      <c r="I14" s="310">
        <v>119084</v>
      </c>
      <c r="J14" s="50"/>
    </row>
    <row r="15" spans="1:12" ht="15" customHeight="1" x14ac:dyDescent="0.4">
      <c r="A15" s="40" t="s">
        <v>625</v>
      </c>
      <c r="B15" s="311">
        <v>164374</v>
      </c>
      <c r="C15" s="312">
        <v>881172</v>
      </c>
      <c r="D15" s="308">
        <v>781872</v>
      </c>
      <c r="E15" s="309">
        <v>40628</v>
      </c>
      <c r="F15" s="289">
        <v>139007</v>
      </c>
      <c r="G15" s="289">
        <v>385474</v>
      </c>
      <c r="H15" s="289">
        <v>107419</v>
      </c>
      <c r="I15" s="310">
        <v>109344</v>
      </c>
      <c r="J15" s="50"/>
    </row>
    <row r="16" spans="1:12" ht="15" customHeight="1" x14ac:dyDescent="0.4">
      <c r="A16" s="40" t="s">
        <v>626</v>
      </c>
      <c r="B16" s="311">
        <v>122139</v>
      </c>
      <c r="C16" s="312">
        <v>798546</v>
      </c>
      <c r="D16" s="308">
        <v>768142</v>
      </c>
      <c r="E16" s="309">
        <v>44153</v>
      </c>
      <c r="F16" s="289">
        <v>140416</v>
      </c>
      <c r="G16" s="289">
        <v>375166</v>
      </c>
      <c r="H16" s="289">
        <v>106565</v>
      </c>
      <c r="I16" s="310">
        <v>101842</v>
      </c>
      <c r="J16" s="50"/>
    </row>
    <row r="17" spans="1:10" ht="15" customHeight="1" x14ac:dyDescent="0.4">
      <c r="A17" s="40" t="s">
        <v>627</v>
      </c>
      <c r="B17" s="311">
        <v>93960</v>
      </c>
      <c r="C17" s="312">
        <v>724318</v>
      </c>
      <c r="D17" s="308">
        <v>753695</v>
      </c>
      <c r="E17" s="309">
        <v>47997</v>
      </c>
      <c r="F17" s="289">
        <v>141514</v>
      </c>
      <c r="G17" s="289">
        <v>364442</v>
      </c>
      <c r="H17" s="289">
        <v>104492</v>
      </c>
      <c r="I17" s="310">
        <v>95250</v>
      </c>
      <c r="J17" s="50"/>
    </row>
    <row r="18" spans="1:10" ht="15" customHeight="1" x14ac:dyDescent="0.4">
      <c r="A18" s="40" t="s">
        <v>628</v>
      </c>
      <c r="B18" s="311">
        <v>74095</v>
      </c>
      <c r="C18" s="312">
        <v>674038</v>
      </c>
      <c r="D18" s="308">
        <v>740249</v>
      </c>
      <c r="E18" s="309">
        <v>53766</v>
      </c>
      <c r="F18" s="289">
        <v>142104</v>
      </c>
      <c r="G18" s="289">
        <v>352948</v>
      </c>
      <c r="H18" s="289">
        <v>102339</v>
      </c>
      <c r="I18" s="310">
        <v>89092</v>
      </c>
      <c r="J18" s="50"/>
    </row>
    <row r="19" spans="1:10" ht="15" customHeight="1" x14ac:dyDescent="0.4">
      <c r="A19" s="40" t="s">
        <v>629</v>
      </c>
      <c r="B19" s="311">
        <v>59204</v>
      </c>
      <c r="C19" s="312">
        <v>590410</v>
      </c>
      <c r="D19" s="308">
        <v>730477</v>
      </c>
      <c r="E19" s="309">
        <v>58972</v>
      </c>
      <c r="F19" s="289">
        <v>143673</v>
      </c>
      <c r="G19" s="289">
        <v>343511</v>
      </c>
      <c r="H19" s="289">
        <v>99847</v>
      </c>
      <c r="I19" s="310">
        <v>84474</v>
      </c>
      <c r="J19" s="50"/>
    </row>
    <row r="20" spans="1:10" ht="15" customHeight="1" x14ac:dyDescent="0.4">
      <c r="A20" s="40" t="s">
        <v>630</v>
      </c>
      <c r="B20" s="311">
        <v>48419</v>
      </c>
      <c r="C20" s="312">
        <v>521288</v>
      </c>
      <c r="D20" s="308">
        <v>713004</v>
      </c>
      <c r="E20" s="309">
        <v>65965</v>
      </c>
      <c r="F20" s="289">
        <v>142998</v>
      </c>
      <c r="G20" s="289">
        <v>329212</v>
      </c>
      <c r="H20" s="289">
        <v>95380</v>
      </c>
      <c r="I20" s="310">
        <v>79449</v>
      </c>
      <c r="J20" s="50"/>
    </row>
    <row r="21" spans="1:10" ht="15" customHeight="1" x14ac:dyDescent="0.4">
      <c r="A21" s="40" t="s">
        <v>631</v>
      </c>
      <c r="B21" s="311">
        <v>40373</v>
      </c>
      <c r="C21" s="312">
        <v>460429</v>
      </c>
      <c r="D21" s="308">
        <v>699683</v>
      </c>
      <c r="E21" s="309">
        <v>73190</v>
      </c>
      <c r="F21" s="289">
        <v>143827</v>
      </c>
      <c r="G21" s="289">
        <v>316634</v>
      </c>
      <c r="H21" s="289">
        <v>91092</v>
      </c>
      <c r="I21" s="310">
        <v>74940</v>
      </c>
      <c r="J21" s="50"/>
    </row>
    <row r="22" spans="1:10" ht="15" customHeight="1" x14ac:dyDescent="0.4">
      <c r="A22" s="40" t="s">
        <v>632</v>
      </c>
      <c r="B22" s="311">
        <v>33969</v>
      </c>
      <c r="C22" s="312">
        <v>400922</v>
      </c>
      <c r="D22" s="308">
        <v>685540</v>
      </c>
      <c r="E22" s="309">
        <v>81905</v>
      </c>
      <c r="F22" s="289">
        <v>141516</v>
      </c>
      <c r="G22" s="289">
        <v>303015</v>
      </c>
      <c r="H22" s="289">
        <v>87363</v>
      </c>
      <c r="I22" s="310">
        <v>71741</v>
      </c>
      <c r="J22" s="50"/>
    </row>
    <row r="23" spans="1:10" ht="15" customHeight="1" x14ac:dyDescent="0.4">
      <c r="A23" s="40" t="s">
        <v>633</v>
      </c>
      <c r="B23" s="311">
        <v>29139</v>
      </c>
      <c r="C23" s="312">
        <v>350051</v>
      </c>
      <c r="D23" s="308">
        <v>672276</v>
      </c>
      <c r="E23" s="309">
        <v>90533</v>
      </c>
      <c r="F23" s="289">
        <v>140296</v>
      </c>
      <c r="G23" s="289">
        <v>289467</v>
      </c>
      <c r="H23" s="289">
        <v>82926</v>
      </c>
      <c r="I23" s="310">
        <v>69054</v>
      </c>
      <c r="J23" s="50"/>
    </row>
    <row r="24" spans="1:10" ht="15" customHeight="1" x14ac:dyDescent="0.4">
      <c r="A24" s="40" t="s">
        <v>634</v>
      </c>
      <c r="B24" s="311">
        <v>25709</v>
      </c>
      <c r="C24" s="312">
        <v>305726</v>
      </c>
      <c r="D24" s="308">
        <v>665080</v>
      </c>
      <c r="E24" s="309">
        <v>100983</v>
      </c>
      <c r="F24" s="289">
        <v>139010</v>
      </c>
      <c r="G24" s="289">
        <v>278874</v>
      </c>
      <c r="H24" s="289">
        <v>79597</v>
      </c>
      <c r="I24" s="310">
        <v>66616</v>
      </c>
      <c r="J24" s="50"/>
    </row>
    <row r="25" spans="1:10" ht="15" customHeight="1" x14ac:dyDescent="0.4">
      <c r="A25" s="40" t="s">
        <v>635</v>
      </c>
      <c r="B25" s="311">
        <v>22710</v>
      </c>
      <c r="C25" s="312">
        <v>263520</v>
      </c>
      <c r="D25" s="308">
        <v>683294</v>
      </c>
      <c r="E25" s="309">
        <v>116218</v>
      </c>
      <c r="F25" s="289">
        <v>143208</v>
      </c>
      <c r="G25" s="289">
        <v>278579</v>
      </c>
      <c r="H25" s="289">
        <v>78646</v>
      </c>
      <c r="I25" s="310">
        <v>66643</v>
      </c>
      <c r="J25" s="50"/>
    </row>
    <row r="26" spans="1:10" ht="15" customHeight="1" x14ac:dyDescent="0.4">
      <c r="A26" s="40" t="s">
        <v>636</v>
      </c>
      <c r="B26" s="311">
        <v>20492</v>
      </c>
      <c r="C26" s="312">
        <v>222576</v>
      </c>
      <c r="D26" s="308">
        <v>678684</v>
      </c>
      <c r="E26" s="309">
        <v>133974</v>
      </c>
      <c r="F26" s="289">
        <v>139857</v>
      </c>
      <c r="G26" s="289">
        <v>265572</v>
      </c>
      <c r="H26" s="289">
        <v>74569</v>
      </c>
      <c r="I26" s="310">
        <v>64712</v>
      </c>
      <c r="J26" s="50"/>
    </row>
    <row r="27" spans="1:10" ht="15" customHeight="1" x14ac:dyDescent="0.4">
      <c r="A27" s="40" t="s">
        <v>637</v>
      </c>
      <c r="B27" s="311">
        <v>18557</v>
      </c>
      <c r="C27" s="312">
        <v>185763</v>
      </c>
      <c r="D27" s="308">
        <v>687813</v>
      </c>
      <c r="E27" s="309">
        <v>158459</v>
      </c>
      <c r="F27" s="289">
        <v>138752</v>
      </c>
      <c r="G27" s="289">
        <v>255965</v>
      </c>
      <c r="H27" s="289">
        <v>71141</v>
      </c>
      <c r="I27" s="310">
        <v>63496</v>
      </c>
      <c r="J27" s="50"/>
    </row>
    <row r="28" spans="1:10" ht="15" customHeight="1" x14ac:dyDescent="0.4">
      <c r="A28" s="40" t="s">
        <v>638</v>
      </c>
      <c r="B28" s="311">
        <v>17314</v>
      </c>
      <c r="C28" s="312">
        <v>153782</v>
      </c>
      <c r="D28" s="308">
        <v>711814</v>
      </c>
      <c r="E28" s="309">
        <v>194534</v>
      </c>
      <c r="F28" s="289">
        <v>137295</v>
      </c>
      <c r="G28" s="289">
        <v>248405</v>
      </c>
      <c r="H28" s="289">
        <v>68680</v>
      </c>
      <c r="I28" s="310">
        <v>62900</v>
      </c>
      <c r="J28" s="50"/>
    </row>
    <row r="29" spans="1:10" ht="15" customHeight="1" x14ac:dyDescent="0.4">
      <c r="A29" s="40" t="s">
        <v>639</v>
      </c>
      <c r="B29" s="311">
        <v>18037</v>
      </c>
      <c r="C29" s="312">
        <v>127901</v>
      </c>
      <c r="D29" s="308">
        <v>838980</v>
      </c>
      <c r="E29" s="309">
        <v>278404</v>
      </c>
      <c r="F29" s="289">
        <v>150005</v>
      </c>
      <c r="G29" s="289">
        <v>267170</v>
      </c>
      <c r="H29" s="289">
        <v>73929</v>
      </c>
      <c r="I29" s="310">
        <v>69472</v>
      </c>
      <c r="J29" s="50"/>
    </row>
    <row r="30" spans="1:10" ht="15" customHeight="1" x14ac:dyDescent="0.4">
      <c r="A30" s="40" t="s">
        <v>640</v>
      </c>
      <c r="B30" s="311">
        <v>26142</v>
      </c>
      <c r="C30" s="312">
        <v>106968</v>
      </c>
      <c r="D30" s="308">
        <v>1650898</v>
      </c>
      <c r="E30" s="309">
        <v>745363</v>
      </c>
      <c r="F30" s="289">
        <v>241952</v>
      </c>
      <c r="G30" s="289">
        <v>422700</v>
      </c>
      <c r="H30" s="289">
        <v>117587</v>
      </c>
      <c r="I30" s="310">
        <v>123296</v>
      </c>
      <c r="J30" s="50"/>
    </row>
    <row r="31" spans="1:10" ht="15" customHeight="1" x14ac:dyDescent="0.4">
      <c r="A31" s="40" t="s">
        <v>641</v>
      </c>
      <c r="B31" s="311">
        <v>334801</v>
      </c>
      <c r="C31" s="312">
        <v>648398</v>
      </c>
      <c r="D31" s="308">
        <v>2944803</v>
      </c>
      <c r="E31" s="309">
        <v>1476256</v>
      </c>
      <c r="F31" s="289">
        <v>316278</v>
      </c>
      <c r="G31" s="289">
        <v>737986</v>
      </c>
      <c r="H31" s="289">
        <v>156056</v>
      </c>
      <c r="I31" s="310">
        <v>258227</v>
      </c>
      <c r="J31" s="50"/>
    </row>
    <row r="32" spans="1:10" ht="15" customHeight="1" thickBot="1" x14ac:dyDescent="0.45">
      <c r="A32" s="376" t="s">
        <v>8</v>
      </c>
      <c r="B32" s="316">
        <v>2184330</v>
      </c>
      <c r="C32" s="317">
        <v>1581810</v>
      </c>
      <c r="D32" s="442">
        <v>107385</v>
      </c>
      <c r="E32" s="377">
        <v>391</v>
      </c>
      <c r="F32" s="378">
        <v>1267</v>
      </c>
      <c r="G32" s="378">
        <v>3946</v>
      </c>
      <c r="H32" s="378">
        <v>2858</v>
      </c>
      <c r="I32" s="379">
        <v>98923</v>
      </c>
      <c r="J32" s="50"/>
    </row>
    <row r="33" spans="1:17" ht="15" customHeight="1" x14ac:dyDescent="0.4">
      <c r="A33" s="41" t="s">
        <v>661</v>
      </c>
      <c r="B33" s="313">
        <v>34</v>
      </c>
      <c r="C33" s="314">
        <v>84</v>
      </c>
      <c r="D33" s="443">
        <v>173</v>
      </c>
      <c r="E33" s="315"/>
      <c r="F33" s="315"/>
      <c r="G33" s="315"/>
      <c r="H33" s="315"/>
      <c r="I33" s="315"/>
      <c r="J33" s="50"/>
    </row>
    <row r="34" spans="1:17" ht="15" customHeight="1" thickBot="1" x14ac:dyDescent="0.45">
      <c r="A34" s="40" t="s">
        <v>662</v>
      </c>
      <c r="B34" s="316">
        <v>11</v>
      </c>
      <c r="C34" s="317">
        <v>58</v>
      </c>
      <c r="D34" s="318">
        <v>146</v>
      </c>
      <c r="E34" s="315"/>
      <c r="F34" s="315"/>
      <c r="G34" s="315"/>
      <c r="H34" s="315"/>
      <c r="I34" s="315"/>
      <c r="J34" s="50"/>
    </row>
    <row r="35" spans="1:17" ht="4.5" customHeight="1" x14ac:dyDescent="0.4">
      <c r="A35" s="210"/>
      <c r="B35" s="210"/>
      <c r="C35" s="210"/>
      <c r="D35" s="210"/>
      <c r="E35" s="211"/>
      <c r="F35" s="119"/>
      <c r="G35" s="50"/>
      <c r="H35" s="50"/>
      <c r="I35" s="50"/>
      <c r="J35" s="50"/>
    </row>
    <row r="36" spans="1:17" ht="16.5" customHeight="1" thickBot="1" x14ac:dyDescent="0.45">
      <c r="A36" s="570" t="s">
        <v>10</v>
      </c>
      <c r="B36" s="570"/>
      <c r="C36" s="570"/>
      <c r="D36" s="570"/>
      <c r="E36" s="570"/>
      <c r="F36" s="570"/>
      <c r="G36" s="570"/>
      <c r="H36" s="570"/>
      <c r="I36" s="570"/>
      <c r="J36" s="570"/>
    </row>
    <row r="37" spans="1:17" ht="16.5" customHeight="1" x14ac:dyDescent="0.4">
      <c r="A37" s="571" t="s">
        <v>898</v>
      </c>
      <c r="B37" s="571"/>
      <c r="C37" s="571"/>
      <c r="D37" s="571"/>
      <c r="E37" s="571"/>
      <c r="F37" s="571"/>
      <c r="G37" s="571"/>
      <c r="H37" s="571"/>
      <c r="I37" s="571"/>
      <c r="J37" s="571"/>
    </row>
    <row r="38" spans="1:17" ht="16.5" customHeight="1" x14ac:dyDescent="0.45">
      <c r="A38" s="505" t="s">
        <v>780</v>
      </c>
      <c r="B38" s="505"/>
      <c r="C38" s="505"/>
      <c r="D38" s="505"/>
      <c r="E38" s="505"/>
      <c r="F38" s="505"/>
      <c r="G38" s="120"/>
      <c r="H38" s="120"/>
      <c r="I38" s="120"/>
      <c r="J38" s="120"/>
      <c r="K38" s="120"/>
      <c r="L38" s="120"/>
      <c r="M38" s="120"/>
      <c r="N38" s="120"/>
      <c r="O38" s="120"/>
      <c r="P38" s="120"/>
      <c r="Q38" s="120"/>
    </row>
    <row r="39" spans="1:17" ht="16.5" customHeight="1" x14ac:dyDescent="0.4">
      <c r="A39" s="555" t="s">
        <v>575</v>
      </c>
      <c r="B39" s="555"/>
      <c r="C39" s="555"/>
      <c r="D39" s="555"/>
      <c r="E39" s="555"/>
      <c r="F39" s="555"/>
      <c r="G39" s="555"/>
      <c r="H39" s="555"/>
      <c r="I39" s="555"/>
      <c r="J39" s="555"/>
    </row>
    <row r="40" spans="1:17" ht="12.6" thickBot="1" x14ac:dyDescent="0.45">
      <c r="A40" s="572" t="s">
        <v>845</v>
      </c>
      <c r="B40" s="572"/>
      <c r="C40" s="572"/>
      <c r="D40" s="572"/>
      <c r="E40" s="572"/>
      <c r="F40" s="572"/>
      <c r="G40" s="572"/>
      <c r="H40" s="572"/>
      <c r="I40" s="572"/>
      <c r="J40" s="572"/>
    </row>
    <row r="41" spans="1:17" x14ac:dyDescent="0.4">
      <c r="A41" s="50"/>
      <c r="B41" s="50"/>
      <c r="C41" s="50"/>
      <c r="D41" s="50"/>
      <c r="E41" s="50"/>
      <c r="F41" s="50"/>
      <c r="G41" s="50"/>
      <c r="H41" s="50"/>
      <c r="I41" s="50"/>
      <c r="J41" s="50"/>
    </row>
    <row r="42" spans="1:17" x14ac:dyDescent="0.4">
      <c r="A42" s="193" t="s">
        <v>614</v>
      </c>
      <c r="B42" s="50"/>
      <c r="C42" s="50"/>
      <c r="D42" s="50"/>
      <c r="E42" s="50"/>
      <c r="F42" s="50"/>
      <c r="G42" s="50"/>
      <c r="H42" s="50"/>
      <c r="I42" s="50"/>
      <c r="J42" s="50"/>
    </row>
  </sheetData>
  <mergeCells count="11">
    <mergeCell ref="A2:F2"/>
    <mergeCell ref="A3:F3"/>
    <mergeCell ref="A5:A6"/>
    <mergeCell ref="B5:B6"/>
    <mergeCell ref="C5:C6"/>
    <mergeCell ref="D5:I5"/>
    <mergeCell ref="A40:J40"/>
    <mergeCell ref="A39:J39"/>
    <mergeCell ref="A37:J37"/>
    <mergeCell ref="A36:J36"/>
    <mergeCell ref="A38:F38"/>
  </mergeCells>
  <hyperlinks>
    <hyperlink ref="A39:F39" r:id="rId1" display="Contact via enquiries@NHSDigital.nhs.uk or 0300 303 5678" xr:uid="{00000000-0004-0000-2900-000000000000}"/>
    <hyperlink ref="A42" location="Contents!A1" display="Return to Contents" xr:uid="{00000000-0004-0000-2900-000001000000}"/>
  </hyperlinks>
  <pageMargins left="0.7" right="0.7" top="0.75" bottom="0.75" header="0.3" footer="0.3"/>
  <pageSetup paperSize="9" scale="73" fitToHeight="0" orientation="landscape"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1">
    <pageSetUpPr fitToPage="1"/>
  </sheetPr>
  <dimension ref="A1:AB183"/>
  <sheetViews>
    <sheetView zoomScaleNormal="100" workbookViewId="0"/>
  </sheetViews>
  <sheetFormatPr defaultColWidth="9.109375" defaultRowHeight="12.3" x14ac:dyDescent="0.4"/>
  <cols>
    <col min="1" max="1" width="21.44140625" style="16" customWidth="1"/>
    <col min="2" max="2" width="17.109375" style="16" customWidth="1"/>
    <col min="3" max="18" width="10.6640625" style="16" customWidth="1"/>
    <col min="19" max="19" width="9.109375" style="16"/>
    <col min="20" max="28" width="9.109375" style="444"/>
    <col min="29" max="16384" width="9.109375" style="16"/>
  </cols>
  <sheetData>
    <row r="1" spans="1:18" ht="15" customHeight="1" x14ac:dyDescent="0.4"/>
    <row r="2" spans="1:18" ht="30" customHeight="1" x14ac:dyDescent="0.75">
      <c r="A2" s="573" t="s">
        <v>871</v>
      </c>
      <c r="B2" s="574"/>
      <c r="C2" s="574"/>
      <c r="D2" s="574"/>
      <c r="E2" s="574"/>
      <c r="F2" s="574"/>
      <c r="G2" s="574"/>
      <c r="H2" s="574"/>
      <c r="I2" s="574"/>
      <c r="J2" s="574"/>
      <c r="K2" s="574"/>
      <c r="L2" s="574"/>
      <c r="M2" s="574"/>
      <c r="N2" s="574"/>
      <c r="O2" s="574"/>
      <c r="P2" s="574"/>
      <c r="Q2" s="15"/>
      <c r="R2" s="15"/>
    </row>
    <row r="3" spans="1:18" ht="30" customHeight="1" x14ac:dyDescent="0.4">
      <c r="A3" s="575" t="s">
        <v>783</v>
      </c>
      <c r="B3" s="612"/>
      <c r="C3" s="612"/>
      <c r="D3" s="612"/>
      <c r="E3" s="612"/>
      <c r="F3" s="612"/>
      <c r="G3" s="612"/>
      <c r="H3" s="612"/>
      <c r="I3" s="612"/>
      <c r="J3" s="612"/>
      <c r="K3" s="612"/>
      <c r="L3" s="612"/>
      <c r="M3" s="612"/>
      <c r="N3" s="612"/>
      <c r="O3" s="612"/>
      <c r="P3" s="612"/>
      <c r="Q3" s="15"/>
      <c r="R3" s="15"/>
    </row>
    <row r="4" spans="1:18" ht="11.25" customHeight="1" thickBot="1" x14ac:dyDescent="0.45">
      <c r="A4" s="15"/>
      <c r="B4" s="15"/>
      <c r="C4" s="15"/>
      <c r="D4" s="15"/>
      <c r="E4" s="15"/>
      <c r="F4" s="15"/>
      <c r="G4" s="15"/>
      <c r="H4" s="15"/>
      <c r="I4" s="15"/>
      <c r="J4" s="15"/>
      <c r="K4" s="15"/>
      <c r="L4" s="15"/>
      <c r="M4" s="15"/>
      <c r="N4" s="15"/>
      <c r="O4" s="15"/>
      <c r="P4" s="15"/>
      <c r="Q4" s="15"/>
      <c r="R4" s="15"/>
    </row>
    <row r="5" spans="1:18" ht="12.6" thickBot="1" x14ac:dyDescent="0.45">
      <c r="A5" s="25"/>
      <c r="B5" s="26"/>
      <c r="C5" s="613" t="s">
        <v>673</v>
      </c>
      <c r="D5" s="614"/>
      <c r="E5" s="614"/>
      <c r="F5" s="615"/>
      <c r="G5" s="613" t="s">
        <v>844</v>
      </c>
      <c r="H5" s="614"/>
      <c r="I5" s="614"/>
      <c r="J5" s="615"/>
      <c r="K5" s="613" t="s">
        <v>673</v>
      </c>
      <c r="L5" s="614"/>
      <c r="M5" s="614"/>
      <c r="N5" s="615"/>
      <c r="O5" s="613" t="s">
        <v>844</v>
      </c>
      <c r="P5" s="614"/>
      <c r="Q5" s="614"/>
      <c r="R5" s="615"/>
    </row>
    <row r="6" spans="1:18" ht="30" customHeight="1" thickBot="1" x14ac:dyDescent="0.45">
      <c r="A6" s="27" t="s">
        <v>88</v>
      </c>
      <c r="B6" s="14" t="s">
        <v>615</v>
      </c>
      <c r="C6" s="29" t="s">
        <v>655</v>
      </c>
      <c r="D6" s="29" t="s">
        <v>140</v>
      </c>
      <c r="E6" s="29" t="s">
        <v>656</v>
      </c>
      <c r="F6" s="30" t="s">
        <v>138</v>
      </c>
      <c r="G6" s="29" t="s">
        <v>655</v>
      </c>
      <c r="H6" s="29" t="s">
        <v>140</v>
      </c>
      <c r="I6" s="29" t="s">
        <v>656</v>
      </c>
      <c r="J6" s="30" t="s">
        <v>138</v>
      </c>
      <c r="K6" s="52" t="s">
        <v>655</v>
      </c>
      <c r="L6" s="52" t="s">
        <v>140</v>
      </c>
      <c r="M6" s="52" t="s">
        <v>656</v>
      </c>
      <c r="N6" s="53" t="s">
        <v>138</v>
      </c>
      <c r="O6" s="52" t="s">
        <v>655</v>
      </c>
      <c r="P6" s="52" t="s">
        <v>140</v>
      </c>
      <c r="Q6" s="52" t="s">
        <v>656</v>
      </c>
      <c r="R6" s="53" t="s">
        <v>138</v>
      </c>
    </row>
    <row r="7" spans="1:18" ht="15" customHeight="1" x14ac:dyDescent="0.4">
      <c r="A7" s="616" t="s">
        <v>89</v>
      </c>
      <c r="B7" s="342" t="s">
        <v>112</v>
      </c>
      <c r="C7" s="319">
        <v>546</v>
      </c>
      <c r="D7" s="319">
        <v>703</v>
      </c>
      <c r="E7" s="319">
        <v>886</v>
      </c>
      <c r="F7" s="320">
        <v>216</v>
      </c>
      <c r="G7" s="319">
        <v>410</v>
      </c>
      <c r="H7" s="319">
        <v>692</v>
      </c>
      <c r="I7" s="319">
        <v>716</v>
      </c>
      <c r="J7" s="320">
        <v>148</v>
      </c>
      <c r="K7" s="76">
        <v>2.3262254223206866E-3</v>
      </c>
      <c r="L7" s="77">
        <v>5.7483952737233737E-3</v>
      </c>
      <c r="M7" s="77">
        <v>7.9528930219198244E-3</v>
      </c>
      <c r="N7" s="78">
        <v>6.5133810780248775E-4</v>
      </c>
      <c r="O7" s="76">
        <v>2.1288748117763122E-3</v>
      </c>
      <c r="P7" s="77">
        <v>6.1694274557352498E-3</v>
      </c>
      <c r="Q7" s="77">
        <v>6.9592263206492682E-3</v>
      </c>
      <c r="R7" s="78">
        <v>5.2144623818818571E-4</v>
      </c>
    </row>
    <row r="8" spans="1:18" ht="15" customHeight="1" x14ac:dyDescent="0.4">
      <c r="A8" s="610"/>
      <c r="B8" s="343" t="s">
        <v>113</v>
      </c>
      <c r="C8" s="321">
        <v>296</v>
      </c>
      <c r="D8" s="321">
        <v>644</v>
      </c>
      <c r="E8" s="321">
        <v>729</v>
      </c>
      <c r="F8" s="322">
        <v>118</v>
      </c>
      <c r="G8" s="321">
        <v>281</v>
      </c>
      <c r="H8" s="321">
        <v>625</v>
      </c>
      <c r="I8" s="321">
        <v>627</v>
      </c>
      <c r="J8" s="322">
        <v>100</v>
      </c>
      <c r="K8" s="79">
        <v>1.261103891954072E-3</v>
      </c>
      <c r="L8" s="80">
        <v>5.2659552720879842E-3</v>
      </c>
      <c r="M8" s="80">
        <v>6.5436331974938512E-3</v>
      </c>
      <c r="N8" s="58">
        <v>3.5582359592913683E-4</v>
      </c>
      <c r="O8" s="79">
        <v>1.4590581027052287E-3</v>
      </c>
      <c r="P8" s="80">
        <v>5.5720984968707097E-3</v>
      </c>
      <c r="Q8" s="80">
        <v>6.0941828254847648E-3</v>
      </c>
      <c r="R8" s="58">
        <v>3.523285393163417E-4</v>
      </c>
    </row>
    <row r="9" spans="1:18" ht="15" customHeight="1" x14ac:dyDescent="0.4">
      <c r="A9" s="610"/>
      <c r="B9" s="343" t="s">
        <v>114</v>
      </c>
      <c r="C9" s="321">
        <v>235</v>
      </c>
      <c r="D9" s="321">
        <v>564</v>
      </c>
      <c r="E9" s="321">
        <v>585</v>
      </c>
      <c r="F9" s="322">
        <v>55</v>
      </c>
      <c r="G9" s="321">
        <v>201</v>
      </c>
      <c r="H9" s="321">
        <v>545</v>
      </c>
      <c r="I9" s="321">
        <v>534</v>
      </c>
      <c r="J9" s="322">
        <v>55</v>
      </c>
      <c r="K9" s="79">
        <v>1.0012142385446179E-3</v>
      </c>
      <c r="L9" s="80">
        <v>4.6117993376671162E-3</v>
      </c>
      <c r="M9" s="80">
        <v>5.2510636770012383E-3</v>
      </c>
      <c r="N9" s="58">
        <v>1.6584998115341123E-4</v>
      </c>
      <c r="O9" s="79">
        <v>1.043667895529363E-3</v>
      </c>
      <c r="P9" s="80">
        <v>4.8588698892712591E-3</v>
      </c>
      <c r="Q9" s="80">
        <v>5.1902609709870247E-3</v>
      </c>
      <c r="R9" s="58">
        <v>1.9378069662398794E-4</v>
      </c>
    </row>
    <row r="10" spans="1:18" ht="15" customHeight="1" x14ac:dyDescent="0.4">
      <c r="A10" s="610"/>
      <c r="B10" s="343" t="s">
        <v>115</v>
      </c>
      <c r="C10" s="321">
        <v>156</v>
      </c>
      <c r="D10" s="321">
        <v>387</v>
      </c>
      <c r="E10" s="321">
        <v>480</v>
      </c>
      <c r="F10" s="322">
        <v>65</v>
      </c>
      <c r="G10" s="321">
        <v>134</v>
      </c>
      <c r="H10" s="321">
        <v>477</v>
      </c>
      <c r="I10" s="321">
        <v>464</v>
      </c>
      <c r="J10" s="322">
        <v>50</v>
      </c>
      <c r="K10" s="79">
        <v>6.6463583494876769E-4</v>
      </c>
      <c r="L10" s="80">
        <v>3.1644793327609468E-3</v>
      </c>
      <c r="M10" s="80">
        <v>4.3085650683087088E-3</v>
      </c>
      <c r="N10" s="58">
        <v>1.9600452318130419E-4</v>
      </c>
      <c r="O10" s="79">
        <v>6.9577859701957525E-4</v>
      </c>
      <c r="P10" s="80">
        <v>4.2526255728117255E-3</v>
      </c>
      <c r="Q10" s="80">
        <v>4.5098896826553918E-3</v>
      </c>
      <c r="R10" s="58">
        <v>1.7616426965817085E-4</v>
      </c>
    </row>
    <row r="11" spans="1:18" ht="15" customHeight="1" x14ac:dyDescent="0.4">
      <c r="A11" s="610"/>
      <c r="B11" s="343" t="s">
        <v>116</v>
      </c>
      <c r="C11" s="321">
        <v>136</v>
      </c>
      <c r="D11" s="321">
        <v>375</v>
      </c>
      <c r="E11" s="321">
        <v>354</v>
      </c>
      <c r="F11" s="322">
        <v>55</v>
      </c>
      <c r="G11" s="321">
        <v>102</v>
      </c>
      <c r="H11" s="321">
        <v>409</v>
      </c>
      <c r="I11" s="321">
        <v>394</v>
      </c>
      <c r="J11" s="322">
        <v>49</v>
      </c>
      <c r="K11" s="79">
        <v>5.794261125194385E-4</v>
      </c>
      <c r="L11" s="80">
        <v>3.0663559425978168E-3</v>
      </c>
      <c r="M11" s="80">
        <v>3.1775667378776727E-3</v>
      </c>
      <c r="N11" s="58">
        <v>1.6584998115341123E-4</v>
      </c>
      <c r="O11" s="79">
        <v>5.2962251414922893E-4</v>
      </c>
      <c r="P11" s="80">
        <v>3.6463812563521923E-3</v>
      </c>
      <c r="Q11" s="80">
        <v>3.8295183943237595E-3</v>
      </c>
      <c r="R11" s="58">
        <v>1.7264098426500744E-4</v>
      </c>
    </row>
    <row r="12" spans="1:18" ht="15" customHeight="1" x14ac:dyDescent="0.4">
      <c r="A12" s="610"/>
      <c r="B12" s="343" t="s">
        <v>117</v>
      </c>
      <c r="C12" s="321">
        <v>111</v>
      </c>
      <c r="D12" s="321">
        <v>244</v>
      </c>
      <c r="E12" s="321">
        <v>283</v>
      </c>
      <c r="F12" s="322">
        <v>85</v>
      </c>
      <c r="G12" s="321">
        <v>116</v>
      </c>
      <c r="H12" s="321">
        <v>304</v>
      </c>
      <c r="I12" s="321">
        <v>306</v>
      </c>
      <c r="J12" s="322">
        <v>63</v>
      </c>
      <c r="K12" s="79">
        <v>4.7291395948277697E-4</v>
      </c>
      <c r="L12" s="80">
        <v>1.9951755999836462E-3</v>
      </c>
      <c r="M12" s="80">
        <v>2.5402581548570097E-3</v>
      </c>
      <c r="N12" s="58">
        <v>2.5631360723709008E-4</v>
      </c>
      <c r="O12" s="79">
        <v>6.0231580040500548E-4</v>
      </c>
      <c r="P12" s="80">
        <v>2.710268708877913E-3</v>
      </c>
      <c r="Q12" s="80">
        <v>2.9741944889925646E-3</v>
      </c>
      <c r="R12" s="58">
        <v>2.2196697976929527E-4</v>
      </c>
    </row>
    <row r="13" spans="1:18" ht="15" customHeight="1" x14ac:dyDescent="0.4">
      <c r="A13" s="610"/>
      <c r="B13" s="343" t="s">
        <v>118</v>
      </c>
      <c r="C13" s="321">
        <v>181</v>
      </c>
      <c r="D13" s="321">
        <v>175</v>
      </c>
      <c r="E13" s="321">
        <v>208</v>
      </c>
      <c r="F13" s="322">
        <v>221</v>
      </c>
      <c r="G13" s="321">
        <v>145</v>
      </c>
      <c r="H13" s="321">
        <v>201</v>
      </c>
      <c r="I13" s="321">
        <v>193</v>
      </c>
      <c r="J13" s="322">
        <v>155</v>
      </c>
      <c r="K13" s="79">
        <v>7.7114798798542917E-4</v>
      </c>
      <c r="L13" s="80">
        <v>1.4309661065456478E-3</v>
      </c>
      <c r="M13" s="80">
        <v>1.8670448629337737E-3</v>
      </c>
      <c r="N13" s="58">
        <v>6.6641537881643423E-4</v>
      </c>
      <c r="O13" s="79">
        <v>7.528947505062568E-4</v>
      </c>
      <c r="P13" s="80">
        <v>1.7919868765936201E-3</v>
      </c>
      <c r="Q13" s="80">
        <v>1.8758808378286436E-3</v>
      </c>
      <c r="R13" s="58">
        <v>5.4610923594032969E-4</v>
      </c>
    </row>
    <row r="14" spans="1:18" ht="15" customHeight="1" x14ac:dyDescent="0.4">
      <c r="A14" s="610"/>
      <c r="B14" s="343" t="s">
        <v>119</v>
      </c>
      <c r="C14" s="321">
        <v>393</v>
      </c>
      <c r="D14" s="321">
        <v>181</v>
      </c>
      <c r="E14" s="321">
        <v>181</v>
      </c>
      <c r="F14" s="322">
        <v>784</v>
      </c>
      <c r="G14" s="321">
        <v>385</v>
      </c>
      <c r="H14" s="321">
        <v>202</v>
      </c>
      <c r="I14" s="321">
        <v>175</v>
      </c>
      <c r="J14" s="322">
        <v>670</v>
      </c>
      <c r="K14" s="79">
        <v>1.6743710457363186E-3</v>
      </c>
      <c r="L14" s="80">
        <v>1.4800278016272128E-3</v>
      </c>
      <c r="M14" s="80">
        <v>1.6246880778414089E-3</v>
      </c>
      <c r="N14" s="58">
        <v>2.3641160949868074E-3</v>
      </c>
      <c r="O14" s="79">
        <v>1.9990653720338542E-3</v>
      </c>
      <c r="P14" s="80">
        <v>1.8009022341886132E-3</v>
      </c>
      <c r="Q14" s="80">
        <v>1.7009282208290809E-3</v>
      </c>
      <c r="R14" s="58">
        <v>2.3606012134194895E-3</v>
      </c>
    </row>
    <row r="15" spans="1:18" ht="15" customHeight="1" x14ac:dyDescent="0.4">
      <c r="A15" s="610"/>
      <c r="B15" s="343" t="s">
        <v>120</v>
      </c>
      <c r="C15" s="321">
        <v>1180</v>
      </c>
      <c r="D15" s="321">
        <v>326</v>
      </c>
      <c r="E15" s="321">
        <v>289</v>
      </c>
      <c r="F15" s="322">
        <v>3419</v>
      </c>
      <c r="G15" s="321">
        <v>1039</v>
      </c>
      <c r="H15" s="321">
        <v>353</v>
      </c>
      <c r="I15" s="321">
        <v>304</v>
      </c>
      <c r="J15" s="322">
        <v>3026</v>
      </c>
      <c r="K15" s="79">
        <v>5.0273736233304219E-3</v>
      </c>
      <c r="L15" s="80">
        <v>2.6656854327650353E-3</v>
      </c>
      <c r="M15" s="80">
        <v>2.5941152182108683E-3</v>
      </c>
      <c r="N15" s="86">
        <v>1.03098379193366E-2</v>
      </c>
      <c r="O15" s="79">
        <v>5.3948803156965578E-3</v>
      </c>
      <c r="P15" s="80">
        <v>3.1471212310325769E-3</v>
      </c>
      <c r="Q15" s="80">
        <v>2.9547553093259462E-3</v>
      </c>
      <c r="R15" s="86">
        <v>1.0661461599712501E-2</v>
      </c>
    </row>
    <row r="16" spans="1:18" ht="15" customHeight="1" x14ac:dyDescent="0.4">
      <c r="A16" s="610"/>
      <c r="B16" s="343" t="s">
        <v>121</v>
      </c>
      <c r="C16" s="321">
        <v>2471</v>
      </c>
      <c r="D16" s="321">
        <v>628</v>
      </c>
      <c r="E16" s="321">
        <v>475</v>
      </c>
      <c r="F16" s="322">
        <v>5930</v>
      </c>
      <c r="G16" s="321">
        <v>2098</v>
      </c>
      <c r="H16" s="321">
        <v>635</v>
      </c>
      <c r="I16" s="321">
        <v>451</v>
      </c>
      <c r="J16" s="322">
        <v>5358</v>
      </c>
      <c r="K16" s="79">
        <v>1.052766120614362E-2</v>
      </c>
      <c r="L16" s="80">
        <v>5.1351240852038106E-3</v>
      </c>
      <c r="M16" s="80">
        <v>4.2636841821804931E-3</v>
      </c>
      <c r="N16" s="58">
        <v>1.7881643422540519E-2</v>
      </c>
      <c r="O16" s="79">
        <v>1.0893608183187081E-2</v>
      </c>
      <c r="P16" s="80">
        <v>5.6612520728206404E-3</v>
      </c>
      <c r="Q16" s="80">
        <v>4.3835350148223743E-3</v>
      </c>
      <c r="R16" s="58">
        <v>1.8877763136569588E-2</v>
      </c>
    </row>
    <row r="17" spans="1:18" ht="15" customHeight="1" x14ac:dyDescent="0.4">
      <c r="A17" s="610"/>
      <c r="B17" s="343" t="s">
        <v>122</v>
      </c>
      <c r="C17" s="321">
        <v>2567</v>
      </c>
      <c r="D17" s="321">
        <v>797</v>
      </c>
      <c r="E17" s="321">
        <v>620</v>
      </c>
      <c r="F17" s="322">
        <v>4392</v>
      </c>
      <c r="G17" s="321">
        <v>2126</v>
      </c>
      <c r="H17" s="321">
        <v>831</v>
      </c>
      <c r="I17" s="321">
        <v>596</v>
      </c>
      <c r="J17" s="322">
        <v>3948</v>
      </c>
      <c r="K17" s="79">
        <v>1.0936667873804401E-2</v>
      </c>
      <c r="L17" s="80">
        <v>6.5170284966678928E-3</v>
      </c>
      <c r="M17" s="80">
        <v>5.565229879898749E-3</v>
      </c>
      <c r="N17" s="58">
        <v>1.3243874858650584E-2</v>
      </c>
      <c r="O17" s="79">
        <v>1.1038994755698634E-2</v>
      </c>
      <c r="P17" s="80">
        <v>7.408662161439295E-3</v>
      </c>
      <c r="Q17" s="80">
        <v>5.7928755406521848E-3</v>
      </c>
      <c r="R17" s="58">
        <v>1.3909930732209171E-2</v>
      </c>
    </row>
    <row r="18" spans="1:18" ht="15" customHeight="1" x14ac:dyDescent="0.4">
      <c r="A18" s="610"/>
      <c r="B18" s="343" t="s">
        <v>123</v>
      </c>
      <c r="C18" s="321">
        <v>2346</v>
      </c>
      <c r="D18" s="321">
        <v>915</v>
      </c>
      <c r="E18" s="321">
        <v>614</v>
      </c>
      <c r="F18" s="322">
        <v>4027</v>
      </c>
      <c r="G18" s="321">
        <v>1964</v>
      </c>
      <c r="H18" s="321">
        <v>862</v>
      </c>
      <c r="I18" s="321">
        <v>658</v>
      </c>
      <c r="J18" s="322">
        <v>3496</v>
      </c>
      <c r="K18" s="79">
        <v>9.9951004409603132E-3</v>
      </c>
      <c r="L18" s="80">
        <v>7.4819084999386727E-3</v>
      </c>
      <c r="M18" s="80">
        <v>5.5113728165448895E-3</v>
      </c>
      <c r="N18" s="58">
        <v>1.2143234074632492E-2</v>
      </c>
      <c r="O18" s="79">
        <v>1.0197829586167505E-2</v>
      </c>
      <c r="P18" s="80">
        <v>7.6850382468840826E-3</v>
      </c>
      <c r="Q18" s="80">
        <v>6.3954901103173449E-3</v>
      </c>
      <c r="R18" s="58">
        <v>1.2317405734499305E-2</v>
      </c>
    </row>
    <row r="19" spans="1:18" ht="15" customHeight="1" x14ac:dyDescent="0.4">
      <c r="A19" s="610"/>
      <c r="B19" s="343" t="s">
        <v>124</v>
      </c>
      <c r="C19" s="321">
        <v>2365</v>
      </c>
      <c r="D19" s="321">
        <v>994</v>
      </c>
      <c r="E19" s="321">
        <v>738</v>
      </c>
      <c r="F19" s="322">
        <v>3560</v>
      </c>
      <c r="G19" s="321">
        <v>2051</v>
      </c>
      <c r="H19" s="321">
        <v>941</v>
      </c>
      <c r="I19" s="321">
        <v>703</v>
      </c>
      <c r="J19" s="322">
        <v>3132</v>
      </c>
      <c r="K19" s="79">
        <v>1.0076049677268176E-2</v>
      </c>
      <c r="L19" s="80">
        <v>8.127887485179279E-3</v>
      </c>
      <c r="M19" s="80">
        <v>6.6244187925246396E-3</v>
      </c>
      <c r="N19" s="58">
        <v>1.073501696192989E-2</v>
      </c>
      <c r="O19" s="79">
        <v>1.0649566436471259E-2</v>
      </c>
      <c r="P19" s="80">
        <v>8.3893514968885405E-3</v>
      </c>
      <c r="Q19" s="80">
        <v>6.8328716528162515E-3</v>
      </c>
      <c r="R19" s="58">
        <v>1.1034929851387822E-2</v>
      </c>
    </row>
    <row r="20" spans="1:18" ht="15" customHeight="1" x14ac:dyDescent="0.4">
      <c r="A20" s="610"/>
      <c r="B20" s="343" t="s">
        <v>125</v>
      </c>
      <c r="C20" s="321">
        <v>2264</v>
      </c>
      <c r="D20" s="321">
        <v>950</v>
      </c>
      <c r="E20" s="321">
        <v>759</v>
      </c>
      <c r="F20" s="322">
        <v>3306</v>
      </c>
      <c r="G20" s="321">
        <v>1871</v>
      </c>
      <c r="H20" s="321">
        <v>923</v>
      </c>
      <c r="I20" s="321">
        <v>686</v>
      </c>
      <c r="J20" s="322">
        <v>2928</v>
      </c>
      <c r="K20" s="79">
        <v>9.645740579000063E-3</v>
      </c>
      <c r="L20" s="80">
        <v>7.7681017212478023E-3</v>
      </c>
      <c r="M20" s="80">
        <v>6.8129185142631454E-3</v>
      </c>
      <c r="N20" s="58">
        <v>9.969091594421409E-3</v>
      </c>
      <c r="O20" s="79">
        <v>9.7149384703255626E-3</v>
      </c>
      <c r="P20" s="80">
        <v>8.2288750601786642E-3</v>
      </c>
      <c r="Q20" s="80">
        <v>6.667638625649998E-3</v>
      </c>
      <c r="R20" s="58">
        <v>1.0316179631182485E-2</v>
      </c>
    </row>
    <row r="21" spans="1:18" ht="15" customHeight="1" x14ac:dyDescent="0.4">
      <c r="A21" s="610"/>
      <c r="B21" s="343" t="s">
        <v>126</v>
      </c>
      <c r="C21" s="321">
        <v>2106</v>
      </c>
      <c r="D21" s="321">
        <v>923</v>
      </c>
      <c r="E21" s="321">
        <v>796</v>
      </c>
      <c r="F21" s="322">
        <v>3295</v>
      </c>
      <c r="G21" s="321">
        <v>1918</v>
      </c>
      <c r="H21" s="321">
        <v>895</v>
      </c>
      <c r="I21" s="321">
        <v>726</v>
      </c>
      <c r="J21" s="322">
        <v>2801</v>
      </c>
      <c r="K21" s="79">
        <v>8.972583771808363E-3</v>
      </c>
      <c r="L21" s="80">
        <v>7.5473240933807599E-3</v>
      </c>
      <c r="M21" s="80">
        <v>7.145037071611942E-3</v>
      </c>
      <c r="N21" s="58">
        <v>9.9359215981907282E-3</v>
      </c>
      <c r="O21" s="79">
        <v>9.9589802170413841E-3</v>
      </c>
      <c r="P21" s="80">
        <v>7.9792450475188563E-3</v>
      </c>
      <c r="Q21" s="80">
        <v>7.0564222189823589E-3</v>
      </c>
      <c r="R21" s="58">
        <v>9.868722386250731E-3</v>
      </c>
    </row>
    <row r="22" spans="1:18" ht="15" customHeight="1" x14ac:dyDescent="0.4">
      <c r="A22" s="610"/>
      <c r="B22" s="343" t="s">
        <v>127</v>
      </c>
      <c r="C22" s="321">
        <v>2255</v>
      </c>
      <c r="D22" s="321">
        <v>914</v>
      </c>
      <c r="E22" s="321">
        <v>846</v>
      </c>
      <c r="F22" s="322">
        <v>3468</v>
      </c>
      <c r="G22" s="321">
        <v>1840</v>
      </c>
      <c r="H22" s="321">
        <v>823</v>
      </c>
      <c r="I22" s="321">
        <v>771</v>
      </c>
      <c r="J22" s="322">
        <v>2852</v>
      </c>
      <c r="K22" s="79">
        <v>9.607396203906866E-3</v>
      </c>
      <c r="L22" s="80">
        <v>7.4737315507584119E-3</v>
      </c>
      <c r="M22" s="80">
        <v>7.5938459328940989E-3</v>
      </c>
      <c r="N22" s="58">
        <v>1.0457595175273275E-2</v>
      </c>
      <c r="O22" s="79">
        <v>9.5539747650449144E-3</v>
      </c>
      <c r="P22" s="80">
        <v>7.3373393006793504E-3</v>
      </c>
      <c r="Q22" s="80">
        <v>7.4938037614812655E-3</v>
      </c>
      <c r="R22" s="58">
        <v>1.0048409941302065E-2</v>
      </c>
    </row>
    <row r="23" spans="1:18" ht="15" customHeight="1" x14ac:dyDescent="0.4">
      <c r="A23" s="610"/>
      <c r="B23" s="343" t="s">
        <v>128</v>
      </c>
      <c r="C23" s="321">
        <v>2558</v>
      </c>
      <c r="D23" s="321">
        <v>936</v>
      </c>
      <c r="E23" s="321">
        <v>841</v>
      </c>
      <c r="F23" s="322">
        <v>3832</v>
      </c>
      <c r="G23" s="321">
        <v>2076</v>
      </c>
      <c r="H23" s="321">
        <v>948</v>
      </c>
      <c r="I23" s="321">
        <v>827</v>
      </c>
      <c r="J23" s="322">
        <v>3235</v>
      </c>
      <c r="K23" s="79">
        <v>1.0898323498711202E-2</v>
      </c>
      <c r="L23" s="80">
        <v>7.6536244327241503E-3</v>
      </c>
      <c r="M23" s="80">
        <v>7.5489650467658832E-3</v>
      </c>
      <c r="N23" s="58">
        <v>1.1555220505088578E-2</v>
      </c>
      <c r="O23" s="79">
        <v>1.0779375876213719E-2</v>
      </c>
      <c r="P23" s="80">
        <v>8.4517590000534916E-3</v>
      </c>
      <c r="Q23" s="80">
        <v>8.0381007921465717E-3</v>
      </c>
      <c r="R23" s="58">
        <v>1.1397828246883655E-2</v>
      </c>
    </row>
    <row r="24" spans="1:18" ht="15" customHeight="1" x14ac:dyDescent="0.4">
      <c r="A24" s="610"/>
      <c r="B24" s="343" t="s">
        <v>129</v>
      </c>
      <c r="C24" s="321">
        <v>2698</v>
      </c>
      <c r="D24" s="321">
        <v>913</v>
      </c>
      <c r="E24" s="321">
        <v>908</v>
      </c>
      <c r="F24" s="322">
        <v>3333</v>
      </c>
      <c r="G24" s="321">
        <v>2213</v>
      </c>
      <c r="H24" s="321">
        <v>918</v>
      </c>
      <c r="I24" s="321">
        <v>904</v>
      </c>
      <c r="J24" s="322">
        <v>2910</v>
      </c>
      <c r="K24" s="79">
        <v>1.1494791555716507E-2</v>
      </c>
      <c r="L24" s="80">
        <v>7.4655546015781511E-3</v>
      </c>
      <c r="M24" s="80">
        <v>8.1503689208839731E-3</v>
      </c>
      <c r="N24" s="58">
        <v>1.005050885789672E-2</v>
      </c>
      <c r="O24" s="79">
        <v>1.1490731606002388E-2</v>
      </c>
      <c r="P24" s="80">
        <v>8.1842982722036984E-3</v>
      </c>
      <c r="Q24" s="80">
        <v>8.7865092093113665E-3</v>
      </c>
      <c r="R24" s="58">
        <v>1.0252760494105544E-2</v>
      </c>
    </row>
    <row r="25" spans="1:18" ht="15" customHeight="1" x14ac:dyDescent="0.4">
      <c r="A25" s="610"/>
      <c r="B25" s="343" t="s">
        <v>130</v>
      </c>
      <c r="C25" s="321">
        <v>3088</v>
      </c>
      <c r="D25" s="321">
        <v>955</v>
      </c>
      <c r="E25" s="321">
        <v>954</v>
      </c>
      <c r="F25" s="322">
        <v>3383</v>
      </c>
      <c r="G25" s="321">
        <v>2291</v>
      </c>
      <c r="H25" s="321">
        <v>820</v>
      </c>
      <c r="I25" s="321">
        <v>928</v>
      </c>
      <c r="J25" s="322">
        <v>2954</v>
      </c>
      <c r="K25" s="79">
        <v>1.3156381143088427E-2</v>
      </c>
      <c r="L25" s="80">
        <v>7.8089864671491063E-3</v>
      </c>
      <c r="M25" s="80">
        <v>8.5632730732635581E-3</v>
      </c>
      <c r="N25" s="58">
        <v>1.0201281568036185E-2</v>
      </c>
      <c r="O25" s="79">
        <v>1.1895737057998857E-2</v>
      </c>
      <c r="P25" s="80">
        <v>7.3105932278943707E-3</v>
      </c>
      <c r="Q25" s="80">
        <v>9.0197793653107837E-3</v>
      </c>
      <c r="R25" s="58">
        <v>1.0407785051404734E-2</v>
      </c>
    </row>
    <row r="26" spans="1:18" ht="15" customHeight="1" x14ac:dyDescent="0.4">
      <c r="A26" s="610"/>
      <c r="B26" s="343" t="s">
        <v>131</v>
      </c>
      <c r="C26" s="321">
        <v>2734</v>
      </c>
      <c r="D26" s="321">
        <v>905</v>
      </c>
      <c r="E26" s="321">
        <v>977</v>
      </c>
      <c r="F26" s="322">
        <v>3297</v>
      </c>
      <c r="G26" s="321">
        <v>2113</v>
      </c>
      <c r="H26" s="321">
        <v>843</v>
      </c>
      <c r="I26" s="321">
        <v>866</v>
      </c>
      <c r="J26" s="322">
        <v>2673</v>
      </c>
      <c r="K26" s="79">
        <v>1.16481690560893E-2</v>
      </c>
      <c r="L26" s="80">
        <v>7.4001390081360648E-3</v>
      </c>
      <c r="M26" s="80">
        <v>8.7697251494533515E-3</v>
      </c>
      <c r="N26" s="58">
        <v>9.9419525065963053E-3</v>
      </c>
      <c r="O26" s="79">
        <v>1.0971493847032556E-2</v>
      </c>
      <c r="P26" s="80">
        <v>7.5156464525792128E-3</v>
      </c>
      <c r="Q26" s="80">
        <v>8.4171647956456236E-3</v>
      </c>
      <c r="R26" s="58">
        <v>9.4177418559258132E-3</v>
      </c>
    </row>
    <row r="27" spans="1:18" ht="15" customHeight="1" x14ac:dyDescent="0.4">
      <c r="A27" s="610"/>
      <c r="B27" s="343" t="s">
        <v>132</v>
      </c>
      <c r="C27" s="321">
        <v>2218</v>
      </c>
      <c r="D27" s="321">
        <v>902</v>
      </c>
      <c r="E27" s="321">
        <v>990</v>
      </c>
      <c r="F27" s="322">
        <v>2911</v>
      </c>
      <c r="G27" s="321">
        <v>1754</v>
      </c>
      <c r="H27" s="321">
        <v>838</v>
      </c>
      <c r="I27" s="321">
        <v>952</v>
      </c>
      <c r="J27" s="322">
        <v>2411</v>
      </c>
      <c r="K27" s="79">
        <v>9.4497582174126061E-3</v>
      </c>
      <c r="L27" s="80">
        <v>7.3756081605952815E-3</v>
      </c>
      <c r="M27" s="80">
        <v>8.8864154533867118E-3</v>
      </c>
      <c r="N27" s="58">
        <v>8.7779871843196387E-3</v>
      </c>
      <c r="O27" s="79">
        <v>9.1074302923308589E-3</v>
      </c>
      <c r="P27" s="80">
        <v>7.471069664604247E-3</v>
      </c>
      <c r="Q27" s="80">
        <v>9.2530495213102009E-3</v>
      </c>
      <c r="R27" s="58">
        <v>8.4946410829169986E-3</v>
      </c>
    </row>
    <row r="28" spans="1:18" ht="15" customHeight="1" x14ac:dyDescent="0.4">
      <c r="A28" s="610"/>
      <c r="B28" s="343" t="s">
        <v>133</v>
      </c>
      <c r="C28" s="321">
        <v>1385</v>
      </c>
      <c r="D28" s="321">
        <v>835</v>
      </c>
      <c r="E28" s="321">
        <v>1020</v>
      </c>
      <c r="F28" s="322">
        <v>2350</v>
      </c>
      <c r="G28" s="321">
        <v>1190</v>
      </c>
      <c r="H28" s="321">
        <v>764</v>
      </c>
      <c r="I28" s="321">
        <v>974</v>
      </c>
      <c r="J28" s="322">
        <v>2024</v>
      </c>
      <c r="K28" s="79">
        <v>5.9007732782310465E-3</v>
      </c>
      <c r="L28" s="80">
        <v>6.8277525655178056E-3</v>
      </c>
      <c r="M28" s="80">
        <v>9.1557007701560059E-3</v>
      </c>
      <c r="N28" s="58">
        <v>7.0863173765548437E-3</v>
      </c>
      <c r="O28" s="79">
        <v>6.1789293317410041E-3</v>
      </c>
      <c r="P28" s="80">
        <v>6.8113332025747549E-3</v>
      </c>
      <c r="Q28" s="80">
        <v>9.4668804976430002E-3</v>
      </c>
      <c r="R28" s="58">
        <v>7.1311296357627557E-3</v>
      </c>
    </row>
    <row r="29" spans="1:18" ht="15" customHeight="1" x14ac:dyDescent="0.4">
      <c r="A29" s="610"/>
      <c r="B29" s="343" t="s">
        <v>134</v>
      </c>
      <c r="C29" s="321">
        <v>1104</v>
      </c>
      <c r="D29" s="321">
        <v>812</v>
      </c>
      <c r="E29" s="321">
        <v>1025</v>
      </c>
      <c r="F29" s="322">
        <v>1404</v>
      </c>
      <c r="G29" s="321">
        <v>765</v>
      </c>
      <c r="H29" s="321">
        <v>680</v>
      </c>
      <c r="I29" s="321">
        <v>946</v>
      </c>
      <c r="J29" s="322">
        <v>1241</v>
      </c>
      <c r="K29" s="79">
        <v>4.7035766780989712E-3</v>
      </c>
      <c r="L29" s="80">
        <v>6.6396827343718056E-3</v>
      </c>
      <c r="M29" s="80">
        <v>9.2005816562842225E-3</v>
      </c>
      <c r="N29" s="58">
        <v>4.2336977007161707E-3</v>
      </c>
      <c r="O29" s="79">
        <v>3.9721688561192171E-3</v>
      </c>
      <c r="P29" s="80">
        <v>6.062443164595332E-3</v>
      </c>
      <c r="Q29" s="80">
        <v>9.194731982310347E-3</v>
      </c>
      <c r="R29" s="58">
        <v>4.3723971729158007E-3</v>
      </c>
    </row>
    <row r="30" spans="1:18" ht="15" customHeight="1" thickBot="1" x14ac:dyDescent="0.45">
      <c r="A30" s="611"/>
      <c r="B30" s="343" t="s">
        <v>135</v>
      </c>
      <c r="C30" s="321">
        <v>770</v>
      </c>
      <c r="D30" s="321">
        <v>672</v>
      </c>
      <c r="E30" s="321">
        <v>981</v>
      </c>
      <c r="F30" s="322">
        <v>566</v>
      </c>
      <c r="G30" s="321">
        <v>555</v>
      </c>
      <c r="H30" s="321">
        <v>606</v>
      </c>
      <c r="I30" s="321">
        <v>854</v>
      </c>
      <c r="J30" s="322">
        <v>457</v>
      </c>
      <c r="K30" s="81">
        <v>3.2805743135291736E-3</v>
      </c>
      <c r="L30" s="82">
        <v>5.4949098491352873E-3</v>
      </c>
      <c r="M30" s="82">
        <v>8.8056298583559234E-3</v>
      </c>
      <c r="N30" s="83">
        <v>1.7067470787787411E-3</v>
      </c>
      <c r="O30" s="81">
        <v>2.8817695622825692E-3</v>
      </c>
      <c r="P30" s="82">
        <v>5.4027067025658399E-3</v>
      </c>
      <c r="Q30" s="82">
        <v>8.3005297176459159E-3</v>
      </c>
      <c r="R30" s="83">
        <v>1.6101414246756816E-3</v>
      </c>
    </row>
    <row r="31" spans="1:18" ht="15" customHeight="1" x14ac:dyDescent="0.4">
      <c r="A31" s="609" t="s">
        <v>90</v>
      </c>
      <c r="B31" s="344" t="s">
        <v>112</v>
      </c>
      <c r="C31" s="319">
        <v>502</v>
      </c>
      <c r="D31" s="319">
        <v>579</v>
      </c>
      <c r="E31" s="319">
        <v>865</v>
      </c>
      <c r="F31" s="320">
        <v>200</v>
      </c>
      <c r="G31" s="319">
        <v>372</v>
      </c>
      <c r="H31" s="319">
        <v>492</v>
      </c>
      <c r="I31" s="319">
        <v>759</v>
      </c>
      <c r="J31" s="320">
        <v>161</v>
      </c>
      <c r="K31" s="76">
        <v>2.1387640329761626E-3</v>
      </c>
      <c r="L31" s="77">
        <v>4.734453575371029E-3</v>
      </c>
      <c r="M31" s="77">
        <v>7.7643933001813187E-3</v>
      </c>
      <c r="N31" s="78">
        <v>6.0309084055785902E-4</v>
      </c>
      <c r="O31" s="76">
        <v>1.9315644633677762E-3</v>
      </c>
      <c r="P31" s="77">
        <v>4.3863559367366229E-3</v>
      </c>
      <c r="Q31" s="77">
        <v>7.3771686834815569E-3</v>
      </c>
      <c r="R31" s="78">
        <v>5.6724894829931019E-4</v>
      </c>
    </row>
    <row r="32" spans="1:18" ht="15" customHeight="1" x14ac:dyDescent="0.4">
      <c r="A32" s="610"/>
      <c r="B32" s="343" t="s">
        <v>113</v>
      </c>
      <c r="C32" s="321">
        <v>360</v>
      </c>
      <c r="D32" s="321">
        <v>568</v>
      </c>
      <c r="E32" s="321">
        <v>767</v>
      </c>
      <c r="F32" s="322">
        <v>97</v>
      </c>
      <c r="G32" s="321">
        <v>270</v>
      </c>
      <c r="H32" s="321">
        <v>431</v>
      </c>
      <c r="I32" s="321">
        <v>678</v>
      </c>
      <c r="J32" s="322">
        <v>98</v>
      </c>
      <c r="K32" s="79">
        <v>1.5337750037279253E-3</v>
      </c>
      <c r="L32" s="80">
        <v>4.6445071343881594E-3</v>
      </c>
      <c r="M32" s="80">
        <v>6.8847279320682908E-3</v>
      </c>
      <c r="N32" s="58">
        <v>2.9249905767056162E-4</v>
      </c>
      <c r="O32" s="79">
        <v>1.4019419492185472E-3</v>
      </c>
      <c r="P32" s="80">
        <v>3.8425191234420413E-3</v>
      </c>
      <c r="Q32" s="80">
        <v>6.5898819069835253E-3</v>
      </c>
      <c r="R32" s="58">
        <v>3.4528196853001489E-4</v>
      </c>
    </row>
    <row r="33" spans="1:18" ht="15" customHeight="1" x14ac:dyDescent="0.4">
      <c r="A33" s="610"/>
      <c r="B33" s="343" t="s">
        <v>114</v>
      </c>
      <c r="C33" s="321">
        <v>188</v>
      </c>
      <c r="D33" s="321">
        <v>486</v>
      </c>
      <c r="E33" s="321">
        <v>582</v>
      </c>
      <c r="F33" s="322">
        <v>85</v>
      </c>
      <c r="G33" s="321">
        <v>173</v>
      </c>
      <c r="H33" s="321">
        <v>368</v>
      </c>
      <c r="I33" s="321">
        <v>537</v>
      </c>
      <c r="J33" s="322">
        <v>61</v>
      </c>
      <c r="K33" s="79">
        <v>8.0097139083569436E-4</v>
      </c>
      <c r="L33" s="80">
        <v>3.9739973016067708E-3</v>
      </c>
      <c r="M33" s="80">
        <v>5.2241351453243094E-3</v>
      </c>
      <c r="N33" s="58">
        <v>2.5631360723709008E-4</v>
      </c>
      <c r="O33" s="79">
        <v>8.9828132301780989E-4</v>
      </c>
      <c r="P33" s="80">
        <v>3.2808515949574739E-3</v>
      </c>
      <c r="Q33" s="80">
        <v>5.2194197404869516E-3</v>
      </c>
      <c r="R33" s="58">
        <v>2.1492040898296843E-4</v>
      </c>
    </row>
    <row r="34" spans="1:18" ht="15" customHeight="1" x14ac:dyDescent="0.4">
      <c r="A34" s="610"/>
      <c r="B34" s="343" t="s">
        <v>115</v>
      </c>
      <c r="C34" s="321">
        <v>170</v>
      </c>
      <c r="D34" s="321">
        <v>368</v>
      </c>
      <c r="E34" s="321">
        <v>506</v>
      </c>
      <c r="F34" s="322">
        <v>62</v>
      </c>
      <c r="G34" s="321">
        <v>105</v>
      </c>
      <c r="H34" s="321">
        <v>320</v>
      </c>
      <c r="I34" s="321">
        <v>428</v>
      </c>
      <c r="J34" s="322">
        <v>45</v>
      </c>
      <c r="K34" s="79">
        <v>7.2428264064929807E-4</v>
      </c>
      <c r="L34" s="80">
        <v>3.0091172983359908E-3</v>
      </c>
      <c r="M34" s="80">
        <v>4.5419456761754302E-3</v>
      </c>
      <c r="N34" s="58">
        <v>1.869581605729363E-4</v>
      </c>
      <c r="O34" s="79">
        <v>5.4519964691832393E-4</v>
      </c>
      <c r="P34" s="80">
        <v>2.8529144303978031E-3</v>
      </c>
      <c r="Q34" s="80">
        <v>4.1599844486562669E-3</v>
      </c>
      <c r="R34" s="58">
        <v>1.5854784269235376E-4</v>
      </c>
    </row>
    <row r="35" spans="1:18" ht="15" customHeight="1" x14ac:dyDescent="0.4">
      <c r="A35" s="610"/>
      <c r="B35" s="343" t="s">
        <v>116</v>
      </c>
      <c r="C35" s="321">
        <v>84</v>
      </c>
      <c r="D35" s="321">
        <v>303</v>
      </c>
      <c r="E35" s="321">
        <v>374</v>
      </c>
      <c r="F35" s="322">
        <v>54</v>
      </c>
      <c r="G35" s="321">
        <v>86</v>
      </c>
      <c r="H35" s="321">
        <v>277</v>
      </c>
      <c r="I35" s="321">
        <v>383</v>
      </c>
      <c r="J35" s="322">
        <v>47</v>
      </c>
      <c r="K35" s="79">
        <v>3.5788083420318259E-4</v>
      </c>
      <c r="L35" s="80">
        <v>2.4776156016190361E-3</v>
      </c>
      <c r="M35" s="80">
        <v>3.3570902823905355E-3</v>
      </c>
      <c r="N35" s="58">
        <v>1.6283452695062194E-4</v>
      </c>
      <c r="O35" s="79">
        <v>4.4654447271405578E-4</v>
      </c>
      <c r="P35" s="80">
        <v>2.4695540538130986E-3</v>
      </c>
      <c r="Q35" s="80">
        <v>3.7226029061573603E-3</v>
      </c>
      <c r="R35" s="58">
        <v>1.655944134786806E-4</v>
      </c>
    </row>
    <row r="36" spans="1:18" ht="15" customHeight="1" x14ac:dyDescent="0.4">
      <c r="A36" s="610"/>
      <c r="B36" s="343" t="s">
        <v>117</v>
      </c>
      <c r="C36" s="321">
        <v>110</v>
      </c>
      <c r="D36" s="321">
        <v>229</v>
      </c>
      <c r="E36" s="321">
        <v>299</v>
      </c>
      <c r="F36" s="322">
        <v>71</v>
      </c>
      <c r="G36" s="321">
        <v>84</v>
      </c>
      <c r="H36" s="321">
        <v>208</v>
      </c>
      <c r="I36" s="321">
        <v>287</v>
      </c>
      <c r="J36" s="322">
        <v>65</v>
      </c>
      <c r="K36" s="79">
        <v>4.6865347336131052E-4</v>
      </c>
      <c r="L36" s="80">
        <v>1.8725213622797334E-3</v>
      </c>
      <c r="M36" s="80">
        <v>2.6838769904672997E-3</v>
      </c>
      <c r="N36" s="58">
        <v>2.1409724839803996E-4</v>
      </c>
      <c r="O36" s="79">
        <v>4.3615971753465911E-4</v>
      </c>
      <c r="P36" s="80">
        <v>1.8543943797585721E-3</v>
      </c>
      <c r="Q36" s="80">
        <v>2.7895222821596928E-3</v>
      </c>
      <c r="R36" s="58">
        <v>2.2901355055562211E-4</v>
      </c>
    </row>
    <row r="37" spans="1:18" ht="15" customHeight="1" x14ac:dyDescent="0.4">
      <c r="A37" s="610"/>
      <c r="B37" s="343" t="s">
        <v>118</v>
      </c>
      <c r="C37" s="321">
        <v>204</v>
      </c>
      <c r="D37" s="321">
        <v>140</v>
      </c>
      <c r="E37" s="321">
        <v>196</v>
      </c>
      <c r="F37" s="322">
        <v>208</v>
      </c>
      <c r="G37" s="321">
        <v>154</v>
      </c>
      <c r="H37" s="321">
        <v>133</v>
      </c>
      <c r="I37" s="321">
        <v>179</v>
      </c>
      <c r="J37" s="322">
        <v>120</v>
      </c>
      <c r="K37" s="79">
        <v>8.6913916877915775E-4</v>
      </c>
      <c r="L37" s="80">
        <v>1.1447728852365183E-3</v>
      </c>
      <c r="M37" s="80">
        <v>1.759330736226056E-3</v>
      </c>
      <c r="N37" s="58">
        <v>6.2721447418017339E-4</v>
      </c>
      <c r="O37" s="79">
        <v>7.9962614881354168E-4</v>
      </c>
      <c r="P37" s="80">
        <v>1.1857425601340869E-3</v>
      </c>
      <c r="Q37" s="80">
        <v>1.7398065801623171E-3</v>
      </c>
      <c r="R37" s="58">
        <v>4.2279424717961005E-4</v>
      </c>
    </row>
    <row r="38" spans="1:18" ht="15" customHeight="1" x14ac:dyDescent="0.4">
      <c r="A38" s="610"/>
      <c r="B38" s="343" t="s">
        <v>119</v>
      </c>
      <c r="C38" s="321">
        <v>461</v>
      </c>
      <c r="D38" s="321">
        <v>173</v>
      </c>
      <c r="E38" s="321">
        <v>163</v>
      </c>
      <c r="F38" s="322">
        <v>663</v>
      </c>
      <c r="G38" s="321">
        <v>353</v>
      </c>
      <c r="H38" s="321">
        <v>148</v>
      </c>
      <c r="I38" s="321">
        <v>156</v>
      </c>
      <c r="J38" s="322">
        <v>575</v>
      </c>
      <c r="K38" s="79">
        <v>1.9640841019960375E-3</v>
      </c>
      <c r="L38" s="80">
        <v>1.414612208185126E-3</v>
      </c>
      <c r="M38" s="80">
        <v>1.4631168877798323E-3</v>
      </c>
      <c r="N38" s="58">
        <v>1.9992461364493025E-3</v>
      </c>
      <c r="O38" s="79">
        <v>1.832909289163508E-3</v>
      </c>
      <c r="P38" s="80">
        <v>1.319472924058984E-3</v>
      </c>
      <c r="Q38" s="80">
        <v>1.5162560139962093E-3</v>
      </c>
      <c r="R38" s="58">
        <v>2.0258891010689647E-3</v>
      </c>
    </row>
    <row r="39" spans="1:18" ht="15" customHeight="1" x14ac:dyDescent="0.4">
      <c r="A39" s="610"/>
      <c r="B39" s="343" t="s">
        <v>120</v>
      </c>
      <c r="C39" s="321">
        <v>1179</v>
      </c>
      <c r="D39" s="321">
        <v>271</v>
      </c>
      <c r="E39" s="321">
        <v>281</v>
      </c>
      <c r="F39" s="322">
        <v>2681</v>
      </c>
      <c r="G39" s="321">
        <v>1081</v>
      </c>
      <c r="H39" s="321">
        <v>290</v>
      </c>
      <c r="I39" s="321">
        <v>294</v>
      </c>
      <c r="J39" s="322">
        <v>2425</v>
      </c>
      <c r="K39" s="79">
        <v>5.0231131372089552E-3</v>
      </c>
      <c r="L39" s="80">
        <v>2.2159532278506889E-3</v>
      </c>
      <c r="M39" s="80">
        <v>2.5223058004057233E-3</v>
      </c>
      <c r="N39" s="58">
        <v>8.0844327176781E-3</v>
      </c>
      <c r="O39" s="79">
        <v>5.6129601744638871E-3</v>
      </c>
      <c r="P39" s="80">
        <v>2.5854537025480091E-3</v>
      </c>
      <c r="Q39" s="80">
        <v>2.857559410992856E-3</v>
      </c>
      <c r="R39" s="58">
        <v>8.5439670784212864E-3</v>
      </c>
    </row>
    <row r="40" spans="1:18" ht="15" customHeight="1" x14ac:dyDescent="0.4">
      <c r="A40" s="610"/>
      <c r="B40" s="343" t="s">
        <v>121</v>
      </c>
      <c r="C40" s="321">
        <v>2495</v>
      </c>
      <c r="D40" s="321">
        <v>528</v>
      </c>
      <c r="E40" s="321">
        <v>418</v>
      </c>
      <c r="F40" s="322">
        <v>4183</v>
      </c>
      <c r="G40" s="321">
        <v>2014</v>
      </c>
      <c r="H40" s="321">
        <v>447</v>
      </c>
      <c r="I40" s="321">
        <v>453</v>
      </c>
      <c r="J40" s="322">
        <v>3869</v>
      </c>
      <c r="K40" s="79">
        <v>1.0629912873058816E-2</v>
      </c>
      <c r="L40" s="80">
        <v>4.3174291671777259E-3</v>
      </c>
      <c r="M40" s="80">
        <v>3.7520420803188338E-3</v>
      </c>
      <c r="N40" s="58">
        <v>1.2613644930267622E-2</v>
      </c>
      <c r="O40" s="79">
        <v>1.0457448465652422E-2</v>
      </c>
      <c r="P40" s="80">
        <v>3.9851648449619314E-3</v>
      </c>
      <c r="Q40" s="80">
        <v>4.4029741944889922E-3</v>
      </c>
      <c r="R40" s="58">
        <v>1.3631591186149261E-2</v>
      </c>
    </row>
    <row r="41" spans="1:18" ht="15" customHeight="1" x14ac:dyDescent="0.4">
      <c r="A41" s="610"/>
      <c r="B41" s="343" t="s">
        <v>122</v>
      </c>
      <c r="C41" s="321">
        <v>2419</v>
      </c>
      <c r="D41" s="321">
        <v>656</v>
      </c>
      <c r="E41" s="321">
        <v>552</v>
      </c>
      <c r="F41" s="322">
        <v>3050</v>
      </c>
      <c r="G41" s="321">
        <v>2073</v>
      </c>
      <c r="H41" s="321">
        <v>636</v>
      </c>
      <c r="I41" s="321">
        <v>549</v>
      </c>
      <c r="J41" s="322">
        <v>2962</v>
      </c>
      <c r="K41" s="79">
        <v>1.0306115927827365E-2</v>
      </c>
      <c r="L41" s="80">
        <v>5.3640786622511137E-3</v>
      </c>
      <c r="M41" s="80">
        <v>4.9548498285550153E-3</v>
      </c>
      <c r="N41" s="58">
        <v>9.1971353185073493E-3</v>
      </c>
      <c r="O41" s="79">
        <v>1.0763798743444623E-2</v>
      </c>
      <c r="P41" s="80">
        <v>5.670167430415634E-3</v>
      </c>
      <c r="Q41" s="80">
        <v>5.3360548184866602E-3</v>
      </c>
      <c r="R41" s="58">
        <v>1.0435971334550041E-2</v>
      </c>
    </row>
    <row r="42" spans="1:18" ht="15" customHeight="1" x14ac:dyDescent="0.4">
      <c r="A42" s="610"/>
      <c r="B42" s="343" t="s">
        <v>123</v>
      </c>
      <c r="C42" s="321">
        <v>2276</v>
      </c>
      <c r="D42" s="321">
        <v>694</v>
      </c>
      <c r="E42" s="321">
        <v>641</v>
      </c>
      <c r="F42" s="322">
        <v>2961</v>
      </c>
      <c r="G42" s="321">
        <v>1942</v>
      </c>
      <c r="H42" s="321">
        <v>687</v>
      </c>
      <c r="I42" s="321">
        <v>600</v>
      </c>
      <c r="J42" s="322">
        <v>2581</v>
      </c>
      <c r="K42" s="79">
        <v>9.6968664124576619E-3</v>
      </c>
      <c r="L42" s="80">
        <v>5.6748027311010266E-3</v>
      </c>
      <c r="M42" s="80">
        <v>5.7537296016372547E-3</v>
      </c>
      <c r="N42" s="58">
        <v>8.9287598944591037E-3</v>
      </c>
      <c r="O42" s="79">
        <v>1.0083597279194143E-2</v>
      </c>
      <c r="P42" s="80">
        <v>6.124850667760284E-3</v>
      </c>
      <c r="Q42" s="80">
        <v>5.8317538999854207E-3</v>
      </c>
      <c r="R42" s="58">
        <v>9.0935995997547796E-3</v>
      </c>
    </row>
    <row r="43" spans="1:18" ht="15" customHeight="1" x14ac:dyDescent="0.4">
      <c r="A43" s="610"/>
      <c r="B43" s="343" t="s">
        <v>124</v>
      </c>
      <c r="C43" s="321">
        <v>2125</v>
      </c>
      <c r="D43" s="321">
        <v>753</v>
      </c>
      <c r="E43" s="321">
        <v>642</v>
      </c>
      <c r="F43" s="322">
        <v>2570</v>
      </c>
      <c r="G43" s="321">
        <v>1759</v>
      </c>
      <c r="H43" s="321">
        <v>712</v>
      </c>
      <c r="I43" s="321">
        <v>651</v>
      </c>
      <c r="J43" s="322">
        <v>2405</v>
      </c>
      <c r="K43" s="79">
        <v>9.0535330081162255E-3</v>
      </c>
      <c r="L43" s="80">
        <v>6.1572427327364161E-3</v>
      </c>
      <c r="M43" s="80">
        <v>5.7627057788628977E-3</v>
      </c>
      <c r="N43" s="58">
        <v>7.7497173011684883E-3</v>
      </c>
      <c r="O43" s="79">
        <v>9.1333921802793493E-3</v>
      </c>
      <c r="P43" s="80">
        <v>6.3477346076351122E-3</v>
      </c>
      <c r="Q43" s="80">
        <v>6.3274529814841812E-3</v>
      </c>
      <c r="R43" s="58">
        <v>8.4735013705580179E-3</v>
      </c>
    </row>
    <row r="44" spans="1:18" ht="15" customHeight="1" x14ac:dyDescent="0.4">
      <c r="A44" s="610"/>
      <c r="B44" s="343" t="s">
        <v>125</v>
      </c>
      <c r="C44" s="321">
        <v>2027</v>
      </c>
      <c r="D44" s="321">
        <v>691</v>
      </c>
      <c r="E44" s="321">
        <v>693</v>
      </c>
      <c r="F44" s="322">
        <v>2558</v>
      </c>
      <c r="G44" s="321">
        <v>1656</v>
      </c>
      <c r="H44" s="321">
        <v>734</v>
      </c>
      <c r="I44" s="321">
        <v>695</v>
      </c>
      <c r="J44" s="322">
        <v>2401</v>
      </c>
      <c r="K44" s="79">
        <v>8.636005368212513E-3</v>
      </c>
      <c r="L44" s="80">
        <v>5.6502718835602433E-3</v>
      </c>
      <c r="M44" s="80">
        <v>6.2204908173706984E-3</v>
      </c>
      <c r="N44" s="58">
        <v>7.7135318507350172E-3</v>
      </c>
      <c r="O44" s="79">
        <v>8.5985772885404221E-3</v>
      </c>
      <c r="P44" s="80">
        <v>6.5438724747249608E-3</v>
      </c>
      <c r="Q44" s="80">
        <v>6.7551149341497788E-3</v>
      </c>
      <c r="R44" s="58">
        <v>8.4594082289853635E-3</v>
      </c>
    </row>
    <row r="45" spans="1:18" ht="15" customHeight="1" x14ac:dyDescent="0.4">
      <c r="A45" s="610"/>
      <c r="B45" s="343" t="s">
        <v>126</v>
      </c>
      <c r="C45" s="321">
        <v>2035</v>
      </c>
      <c r="D45" s="321">
        <v>720</v>
      </c>
      <c r="E45" s="321">
        <v>752</v>
      </c>
      <c r="F45" s="322">
        <v>2642</v>
      </c>
      <c r="G45" s="321">
        <v>1626</v>
      </c>
      <c r="H45" s="321">
        <v>749</v>
      </c>
      <c r="I45" s="321">
        <v>722</v>
      </c>
      <c r="J45" s="322">
        <v>2373</v>
      </c>
      <c r="K45" s="79">
        <v>8.670089257184245E-3</v>
      </c>
      <c r="L45" s="80">
        <v>5.8874034097878081E-3</v>
      </c>
      <c r="M45" s="80">
        <v>6.7500852736836437E-3</v>
      </c>
      <c r="N45" s="58">
        <v>7.9668300037693176E-3</v>
      </c>
      <c r="O45" s="79">
        <v>8.4428059608494723E-3</v>
      </c>
      <c r="P45" s="80">
        <v>6.6776028386498583E-3</v>
      </c>
      <c r="Q45" s="80">
        <v>7.0175438596491229E-3</v>
      </c>
      <c r="R45" s="58">
        <v>8.360756237976788E-3</v>
      </c>
    </row>
    <row r="46" spans="1:18" ht="15" customHeight="1" x14ac:dyDescent="0.4">
      <c r="A46" s="610"/>
      <c r="B46" s="343" t="s">
        <v>127</v>
      </c>
      <c r="C46" s="321">
        <v>2038</v>
      </c>
      <c r="D46" s="321">
        <v>735</v>
      </c>
      <c r="E46" s="321">
        <v>771</v>
      </c>
      <c r="F46" s="322">
        <v>2783</v>
      </c>
      <c r="G46" s="321">
        <v>1741</v>
      </c>
      <c r="H46" s="321">
        <v>708</v>
      </c>
      <c r="I46" s="321">
        <v>748</v>
      </c>
      <c r="J46" s="322">
        <v>2596</v>
      </c>
      <c r="K46" s="79">
        <v>8.6828707155486434E-3</v>
      </c>
      <c r="L46" s="80">
        <v>6.0100576474917209E-3</v>
      </c>
      <c r="M46" s="80">
        <v>6.9206326409708635E-3</v>
      </c>
      <c r="N46" s="58">
        <v>8.3920090463626088E-3</v>
      </c>
      <c r="O46" s="79">
        <v>9.0399293836647809E-3</v>
      </c>
      <c r="P46" s="80">
        <v>6.3120731772551399E-3</v>
      </c>
      <c r="Q46" s="80">
        <v>7.2702531953151581E-3</v>
      </c>
      <c r="R46" s="58">
        <v>9.1464488806522314E-3</v>
      </c>
    </row>
    <row r="47" spans="1:18" ht="15" customHeight="1" x14ac:dyDescent="0.4">
      <c r="A47" s="610"/>
      <c r="B47" s="343" t="s">
        <v>128</v>
      </c>
      <c r="C47" s="321">
        <v>2346</v>
      </c>
      <c r="D47" s="321">
        <v>761</v>
      </c>
      <c r="E47" s="321">
        <v>815</v>
      </c>
      <c r="F47" s="322">
        <v>3151</v>
      </c>
      <c r="G47" s="321">
        <v>1969</v>
      </c>
      <c r="H47" s="321">
        <v>724</v>
      </c>
      <c r="I47" s="321">
        <v>831</v>
      </c>
      <c r="J47" s="322">
        <v>2795</v>
      </c>
      <c r="K47" s="79">
        <v>9.9951004409603132E-3</v>
      </c>
      <c r="L47" s="80">
        <v>6.2226583261785024E-3</v>
      </c>
      <c r="M47" s="80">
        <v>7.3155844388991618E-3</v>
      </c>
      <c r="N47" s="58">
        <v>9.5016961929890696E-3</v>
      </c>
      <c r="O47" s="79">
        <v>1.0223791474115998E-2</v>
      </c>
      <c r="P47" s="80">
        <v>6.45471889877503E-3</v>
      </c>
      <c r="Q47" s="80">
        <v>8.0769791514798076E-3</v>
      </c>
      <c r="R47" s="58">
        <v>9.8475826738917503E-3</v>
      </c>
    </row>
    <row r="48" spans="1:18" ht="15" customHeight="1" x14ac:dyDescent="0.4">
      <c r="A48" s="610"/>
      <c r="B48" s="343" t="s">
        <v>129</v>
      </c>
      <c r="C48" s="321">
        <v>2585</v>
      </c>
      <c r="D48" s="321">
        <v>795</v>
      </c>
      <c r="E48" s="321">
        <v>818</v>
      </c>
      <c r="F48" s="322">
        <v>2803</v>
      </c>
      <c r="G48" s="321">
        <v>2109</v>
      </c>
      <c r="H48" s="321">
        <v>746</v>
      </c>
      <c r="I48" s="321">
        <v>837</v>
      </c>
      <c r="J48" s="322">
        <v>2492</v>
      </c>
      <c r="K48" s="79">
        <v>1.1013356623990797E-2</v>
      </c>
      <c r="L48" s="80">
        <v>6.5006745983073712E-3</v>
      </c>
      <c r="M48" s="80">
        <v>7.3425129705760907E-3</v>
      </c>
      <c r="N48" s="58">
        <v>8.4523181304183934E-3</v>
      </c>
      <c r="O48" s="79">
        <v>1.0950724336673764E-2</v>
      </c>
      <c r="P48" s="80">
        <v>6.6508567658648786E-3</v>
      </c>
      <c r="Q48" s="80">
        <v>8.1352966904796615E-3</v>
      </c>
      <c r="R48" s="58">
        <v>8.7800271997632347E-3</v>
      </c>
    </row>
    <row r="49" spans="1:18" ht="15" customHeight="1" x14ac:dyDescent="0.4">
      <c r="A49" s="610"/>
      <c r="B49" s="343" t="s">
        <v>130</v>
      </c>
      <c r="C49" s="321">
        <v>2925</v>
      </c>
      <c r="D49" s="321">
        <v>844</v>
      </c>
      <c r="E49" s="321">
        <v>956</v>
      </c>
      <c r="F49" s="322">
        <v>2992</v>
      </c>
      <c r="G49" s="321">
        <v>2459</v>
      </c>
      <c r="H49" s="321">
        <v>813</v>
      </c>
      <c r="I49" s="321">
        <v>876</v>
      </c>
      <c r="J49" s="322">
        <v>2698</v>
      </c>
      <c r="K49" s="79">
        <v>1.2461921905289393E-2</v>
      </c>
      <c r="L49" s="80">
        <v>6.9013451081401528E-3</v>
      </c>
      <c r="M49" s="80">
        <v>8.5812254277148441E-3</v>
      </c>
      <c r="N49" s="58">
        <v>9.0222389747455708E-3</v>
      </c>
      <c r="O49" s="79">
        <v>1.2768056493068176E-2</v>
      </c>
      <c r="P49" s="80">
        <v>7.2481857247294187E-3</v>
      </c>
      <c r="Q49" s="80">
        <v>8.5143606939787134E-3</v>
      </c>
      <c r="R49" s="58">
        <v>9.5058239907548983E-3</v>
      </c>
    </row>
    <row r="50" spans="1:18" ht="15" customHeight="1" x14ac:dyDescent="0.4">
      <c r="A50" s="610"/>
      <c r="B50" s="343" t="s">
        <v>131</v>
      </c>
      <c r="C50" s="321">
        <v>2856</v>
      </c>
      <c r="D50" s="321">
        <v>791</v>
      </c>
      <c r="E50" s="321">
        <v>894</v>
      </c>
      <c r="F50" s="322">
        <v>3179</v>
      </c>
      <c r="G50" s="321">
        <v>2253</v>
      </c>
      <c r="H50" s="321">
        <v>833</v>
      </c>
      <c r="I50" s="321">
        <v>815</v>
      </c>
      <c r="J50" s="322">
        <v>2688</v>
      </c>
      <c r="K50" s="79">
        <v>1.2167948362908208E-2</v>
      </c>
      <c r="L50" s="80">
        <v>6.467966801586328E-3</v>
      </c>
      <c r="M50" s="80">
        <v>8.0247024397249699E-3</v>
      </c>
      <c r="N50" s="58">
        <v>9.5861289106671695E-3</v>
      </c>
      <c r="O50" s="79">
        <v>1.1698426709590322E-2</v>
      </c>
      <c r="P50" s="80">
        <v>7.426492876629282E-3</v>
      </c>
      <c r="Q50" s="80">
        <v>7.9214657141468622E-3</v>
      </c>
      <c r="R50" s="58">
        <v>9.4705911368232649E-3</v>
      </c>
    </row>
    <row r="51" spans="1:18" ht="15" customHeight="1" x14ac:dyDescent="0.4">
      <c r="A51" s="610"/>
      <c r="B51" s="343" t="s">
        <v>132</v>
      </c>
      <c r="C51" s="321">
        <v>2321</v>
      </c>
      <c r="D51" s="321">
        <v>798</v>
      </c>
      <c r="E51" s="321">
        <v>958</v>
      </c>
      <c r="F51" s="322">
        <v>3213</v>
      </c>
      <c r="G51" s="321">
        <v>1716</v>
      </c>
      <c r="H51" s="321">
        <v>831</v>
      </c>
      <c r="I51" s="321">
        <v>895</v>
      </c>
      <c r="J51" s="322">
        <v>2608</v>
      </c>
      <c r="K51" s="79">
        <v>9.8885882879236522E-3</v>
      </c>
      <c r="L51" s="80">
        <v>6.5252054458481545E-3</v>
      </c>
      <c r="M51" s="80">
        <v>8.5991777821661317E-3</v>
      </c>
      <c r="N51" s="58">
        <v>9.6886543535620057E-3</v>
      </c>
      <c r="O51" s="79">
        <v>8.9101199439223216E-3</v>
      </c>
      <c r="P51" s="80">
        <v>7.408662161439295E-3</v>
      </c>
      <c r="Q51" s="80">
        <v>8.6990329008115857E-3</v>
      </c>
      <c r="R51" s="58">
        <v>9.1887283053701911E-3</v>
      </c>
    </row>
    <row r="52" spans="1:18" ht="15" customHeight="1" x14ac:dyDescent="0.4">
      <c r="A52" s="610"/>
      <c r="B52" s="343" t="s">
        <v>133</v>
      </c>
      <c r="C52" s="321">
        <v>1528</v>
      </c>
      <c r="D52" s="321">
        <v>728</v>
      </c>
      <c r="E52" s="321">
        <v>948</v>
      </c>
      <c r="F52" s="322">
        <v>2814</v>
      </c>
      <c r="G52" s="321">
        <v>1293</v>
      </c>
      <c r="H52" s="321">
        <v>696</v>
      </c>
      <c r="I52" s="321">
        <v>912</v>
      </c>
      <c r="J52" s="322">
        <v>2258</v>
      </c>
      <c r="K52" s="79">
        <v>6.5100227936007501E-3</v>
      </c>
      <c r="L52" s="80">
        <v>5.9528190032298953E-3</v>
      </c>
      <c r="M52" s="80">
        <v>8.5094160099097003E-3</v>
      </c>
      <c r="N52" s="58">
        <v>8.485488126649076E-3</v>
      </c>
      <c r="O52" s="79">
        <v>6.7137442234799314E-3</v>
      </c>
      <c r="P52" s="80">
        <v>6.2050888861152221E-3</v>
      </c>
      <c r="Q52" s="80">
        <v>8.86426592797784E-3</v>
      </c>
      <c r="R52" s="58">
        <v>7.9555784177629957E-3</v>
      </c>
    </row>
    <row r="53" spans="1:18" ht="15" customHeight="1" x14ac:dyDescent="0.4">
      <c r="A53" s="610"/>
      <c r="B53" s="343" t="s">
        <v>134</v>
      </c>
      <c r="C53" s="321">
        <v>1115</v>
      </c>
      <c r="D53" s="321">
        <v>738</v>
      </c>
      <c r="E53" s="321">
        <v>1026</v>
      </c>
      <c r="F53" s="322">
        <v>1600</v>
      </c>
      <c r="G53" s="321">
        <v>891</v>
      </c>
      <c r="H53" s="321">
        <v>613</v>
      </c>
      <c r="I53" s="321">
        <v>845</v>
      </c>
      <c r="J53" s="322">
        <v>1175</v>
      </c>
      <c r="K53" s="79">
        <v>4.7504420254351025E-3</v>
      </c>
      <c r="L53" s="80">
        <v>6.0345884950325033E-3</v>
      </c>
      <c r="M53" s="80">
        <v>9.2095578335098655E-3</v>
      </c>
      <c r="N53" s="58">
        <v>4.8247267244628722E-3</v>
      </c>
      <c r="O53" s="79">
        <v>4.6264084324212059E-3</v>
      </c>
      <c r="P53" s="80">
        <v>5.4651142057307919E-3</v>
      </c>
      <c r="Q53" s="80">
        <v>8.2130534091461333E-3</v>
      </c>
      <c r="R53" s="58">
        <v>4.1398603369670146E-3</v>
      </c>
    </row>
    <row r="54" spans="1:18" ht="15" customHeight="1" thickBot="1" x14ac:dyDescent="0.45">
      <c r="A54" s="611"/>
      <c r="B54" s="343" t="s">
        <v>135</v>
      </c>
      <c r="C54" s="321">
        <v>803</v>
      </c>
      <c r="D54" s="321">
        <v>606</v>
      </c>
      <c r="E54" s="321">
        <v>977</v>
      </c>
      <c r="F54" s="322">
        <v>639</v>
      </c>
      <c r="G54" s="321">
        <v>657</v>
      </c>
      <c r="H54" s="321">
        <v>560</v>
      </c>
      <c r="I54" s="321">
        <v>813</v>
      </c>
      <c r="J54" s="322">
        <v>463</v>
      </c>
      <c r="K54" s="81">
        <v>3.4211703555375667E-3</v>
      </c>
      <c r="L54" s="82">
        <v>4.9552312032380723E-3</v>
      </c>
      <c r="M54" s="82">
        <v>8.7697251494533515E-3</v>
      </c>
      <c r="N54" s="83">
        <v>1.9268752355823596E-3</v>
      </c>
      <c r="O54" s="81">
        <v>3.411392076431798E-3</v>
      </c>
      <c r="P54" s="82">
        <v>4.9926002531961557E-3</v>
      </c>
      <c r="Q54" s="82">
        <v>7.9020265344802443E-3</v>
      </c>
      <c r="R54" s="83">
        <v>1.6312811370346621E-3</v>
      </c>
    </row>
    <row r="55" spans="1:18" ht="15" customHeight="1" x14ac:dyDescent="0.4">
      <c r="A55" s="609" t="s">
        <v>91</v>
      </c>
      <c r="B55" s="344" t="s">
        <v>112</v>
      </c>
      <c r="C55" s="319">
        <v>498</v>
      </c>
      <c r="D55" s="319">
        <v>549</v>
      </c>
      <c r="E55" s="319">
        <v>860</v>
      </c>
      <c r="F55" s="320">
        <v>220</v>
      </c>
      <c r="G55" s="319">
        <v>430</v>
      </c>
      <c r="H55" s="319">
        <v>522</v>
      </c>
      <c r="I55" s="319">
        <v>729</v>
      </c>
      <c r="J55" s="320">
        <v>189</v>
      </c>
      <c r="K55" s="76">
        <v>2.1217220884902966E-3</v>
      </c>
      <c r="L55" s="77">
        <v>4.4891450999632035E-3</v>
      </c>
      <c r="M55" s="77">
        <v>7.719512414053103E-3</v>
      </c>
      <c r="N55" s="78">
        <v>6.6339992461364493E-4</v>
      </c>
      <c r="O55" s="76">
        <v>2.2327223635702788E-3</v>
      </c>
      <c r="P55" s="77">
        <v>4.6538166645864161E-3</v>
      </c>
      <c r="Q55" s="77">
        <v>7.0855809884822858E-3</v>
      </c>
      <c r="R55" s="78">
        <v>6.6590093930788579E-4</v>
      </c>
    </row>
    <row r="56" spans="1:18" ht="15" customHeight="1" x14ac:dyDescent="0.4">
      <c r="A56" s="610"/>
      <c r="B56" s="343" t="s">
        <v>113</v>
      </c>
      <c r="C56" s="321">
        <v>315</v>
      </c>
      <c r="D56" s="321">
        <v>483</v>
      </c>
      <c r="E56" s="321">
        <v>702</v>
      </c>
      <c r="F56" s="322">
        <v>112</v>
      </c>
      <c r="G56" s="321">
        <v>284</v>
      </c>
      <c r="H56" s="321">
        <v>442</v>
      </c>
      <c r="I56" s="321">
        <v>621</v>
      </c>
      <c r="J56" s="322">
        <v>93</v>
      </c>
      <c r="K56" s="79">
        <v>1.3420531282619347E-3</v>
      </c>
      <c r="L56" s="80">
        <v>3.9494664540659884E-3</v>
      </c>
      <c r="M56" s="80">
        <v>6.3012764124014868E-3</v>
      </c>
      <c r="N56" s="58">
        <v>3.3773087071240106E-4</v>
      </c>
      <c r="O56" s="79">
        <v>1.4746352354743236E-3</v>
      </c>
      <c r="P56" s="80">
        <v>3.9405880569869656E-3</v>
      </c>
      <c r="Q56" s="80">
        <v>6.0358652864849101E-3</v>
      </c>
      <c r="R56" s="58">
        <v>3.2766554156419777E-4</v>
      </c>
    </row>
    <row r="57" spans="1:18" ht="15" customHeight="1" x14ac:dyDescent="0.4">
      <c r="A57" s="610"/>
      <c r="B57" s="343" t="s">
        <v>114</v>
      </c>
      <c r="C57" s="321">
        <v>174</v>
      </c>
      <c r="D57" s="321">
        <v>418</v>
      </c>
      <c r="E57" s="321">
        <v>621</v>
      </c>
      <c r="F57" s="322">
        <v>56</v>
      </c>
      <c r="G57" s="321">
        <v>161</v>
      </c>
      <c r="H57" s="321">
        <v>354</v>
      </c>
      <c r="I57" s="321">
        <v>531</v>
      </c>
      <c r="J57" s="322">
        <v>70</v>
      </c>
      <c r="K57" s="79">
        <v>7.4132458513516397E-4</v>
      </c>
      <c r="L57" s="80">
        <v>3.4179647573490332E-3</v>
      </c>
      <c r="M57" s="80">
        <v>5.574206057124392E-3</v>
      </c>
      <c r="N57" s="58">
        <v>1.6886543535620053E-4</v>
      </c>
      <c r="O57" s="79">
        <v>8.3597279194143001E-4</v>
      </c>
      <c r="P57" s="80">
        <v>3.1560365886275699E-3</v>
      </c>
      <c r="Q57" s="80">
        <v>5.1611022014870968E-3</v>
      </c>
      <c r="R57" s="58">
        <v>2.4662997752143917E-4</v>
      </c>
    </row>
    <row r="58" spans="1:18" ht="15" customHeight="1" x14ac:dyDescent="0.4">
      <c r="A58" s="610"/>
      <c r="B58" s="343" t="s">
        <v>115</v>
      </c>
      <c r="C58" s="321">
        <v>134</v>
      </c>
      <c r="D58" s="321">
        <v>309</v>
      </c>
      <c r="E58" s="321">
        <v>510</v>
      </c>
      <c r="F58" s="322">
        <v>62</v>
      </c>
      <c r="G58" s="321">
        <v>124</v>
      </c>
      <c r="H58" s="321">
        <v>302</v>
      </c>
      <c r="I58" s="321">
        <v>410</v>
      </c>
      <c r="J58" s="322">
        <v>53</v>
      </c>
      <c r="K58" s="79">
        <v>5.709051402765055E-4</v>
      </c>
      <c r="L58" s="80">
        <v>2.5266772967006009E-3</v>
      </c>
      <c r="M58" s="80">
        <v>4.577850385078003E-3</v>
      </c>
      <c r="N58" s="58">
        <v>1.869581605729363E-4</v>
      </c>
      <c r="O58" s="79">
        <v>6.4385482112259203E-4</v>
      </c>
      <c r="P58" s="80">
        <v>2.6924379936879269E-3</v>
      </c>
      <c r="Q58" s="80">
        <v>3.9850318316567044E-3</v>
      </c>
      <c r="R58" s="58">
        <v>1.867341258376611E-4</v>
      </c>
    </row>
    <row r="59" spans="1:18" ht="15" customHeight="1" x14ac:dyDescent="0.4">
      <c r="A59" s="610"/>
      <c r="B59" s="343" t="s">
        <v>116</v>
      </c>
      <c r="C59" s="321">
        <v>100</v>
      </c>
      <c r="D59" s="321">
        <v>289</v>
      </c>
      <c r="E59" s="321">
        <v>400</v>
      </c>
      <c r="F59" s="322">
        <v>62</v>
      </c>
      <c r="G59" s="321">
        <v>104</v>
      </c>
      <c r="H59" s="321">
        <v>277</v>
      </c>
      <c r="I59" s="321">
        <v>376</v>
      </c>
      <c r="J59" s="322">
        <v>50</v>
      </c>
      <c r="K59" s="79">
        <v>4.2604861214664592E-4</v>
      </c>
      <c r="L59" s="80">
        <v>2.3631383130953841E-3</v>
      </c>
      <c r="M59" s="80">
        <v>3.5904708902572574E-3</v>
      </c>
      <c r="N59" s="58">
        <v>1.869581605729363E-4</v>
      </c>
      <c r="O59" s="79">
        <v>5.400072693286256E-4</v>
      </c>
      <c r="P59" s="80">
        <v>2.4695540538130986E-3</v>
      </c>
      <c r="Q59" s="80">
        <v>3.654565777324197E-3</v>
      </c>
      <c r="R59" s="58">
        <v>1.7616426965817085E-4</v>
      </c>
    </row>
    <row r="60" spans="1:18" ht="15" customHeight="1" x14ac:dyDescent="0.4">
      <c r="A60" s="610"/>
      <c r="B60" s="343" t="s">
        <v>117</v>
      </c>
      <c r="C60" s="321">
        <v>101</v>
      </c>
      <c r="D60" s="321">
        <v>192</v>
      </c>
      <c r="E60" s="321">
        <v>289</v>
      </c>
      <c r="F60" s="322">
        <v>66</v>
      </c>
      <c r="G60" s="321">
        <v>102</v>
      </c>
      <c r="H60" s="321">
        <v>201</v>
      </c>
      <c r="I60" s="321">
        <v>257</v>
      </c>
      <c r="J60" s="322">
        <v>60</v>
      </c>
      <c r="K60" s="79">
        <v>4.3030909826811237E-4</v>
      </c>
      <c r="L60" s="80">
        <v>1.5699742426100822E-3</v>
      </c>
      <c r="M60" s="80">
        <v>2.5941152182108683E-3</v>
      </c>
      <c r="N60" s="58">
        <v>1.9901997738409349E-4</v>
      </c>
      <c r="O60" s="79">
        <v>5.2962251414922893E-4</v>
      </c>
      <c r="P60" s="80">
        <v>1.7919868765936201E-3</v>
      </c>
      <c r="Q60" s="80">
        <v>2.4979345871604217E-3</v>
      </c>
      <c r="R60" s="58">
        <v>2.1139712358980503E-4</v>
      </c>
    </row>
    <row r="61" spans="1:18" ht="15" customHeight="1" x14ac:dyDescent="0.4">
      <c r="A61" s="610"/>
      <c r="B61" s="343" t="s">
        <v>118</v>
      </c>
      <c r="C61" s="321">
        <v>176</v>
      </c>
      <c r="D61" s="321">
        <v>136</v>
      </c>
      <c r="E61" s="321">
        <v>209</v>
      </c>
      <c r="F61" s="322">
        <v>189</v>
      </c>
      <c r="G61" s="321">
        <v>145</v>
      </c>
      <c r="H61" s="321">
        <v>115</v>
      </c>
      <c r="I61" s="321">
        <v>193</v>
      </c>
      <c r="J61" s="322">
        <v>124</v>
      </c>
      <c r="K61" s="79">
        <v>7.4984555737809687E-4</v>
      </c>
      <c r="L61" s="80">
        <v>1.1120650885154749E-3</v>
      </c>
      <c r="M61" s="80">
        <v>1.8760210401594169E-3</v>
      </c>
      <c r="N61" s="58">
        <v>5.6992084432717677E-4</v>
      </c>
      <c r="O61" s="79">
        <v>7.528947505062568E-4</v>
      </c>
      <c r="P61" s="80">
        <v>1.0252661234242105E-3</v>
      </c>
      <c r="Q61" s="80">
        <v>1.8758808378286436E-3</v>
      </c>
      <c r="R61" s="58">
        <v>4.3688738875226373E-4</v>
      </c>
    </row>
    <row r="62" spans="1:18" ht="15" customHeight="1" x14ac:dyDescent="0.4">
      <c r="A62" s="610"/>
      <c r="B62" s="343" t="s">
        <v>119</v>
      </c>
      <c r="C62" s="321">
        <v>458</v>
      </c>
      <c r="D62" s="321">
        <v>144</v>
      </c>
      <c r="E62" s="321">
        <v>190</v>
      </c>
      <c r="F62" s="322">
        <v>650</v>
      </c>
      <c r="G62" s="321">
        <v>360</v>
      </c>
      <c r="H62" s="321">
        <v>131</v>
      </c>
      <c r="I62" s="321">
        <v>164</v>
      </c>
      <c r="J62" s="322">
        <v>532</v>
      </c>
      <c r="K62" s="79">
        <v>1.9513026436316385E-3</v>
      </c>
      <c r="L62" s="80">
        <v>1.1774806819575617E-3</v>
      </c>
      <c r="M62" s="80">
        <v>1.7054736728721971E-3</v>
      </c>
      <c r="N62" s="58">
        <v>1.960045231813042E-3</v>
      </c>
      <c r="O62" s="79">
        <v>1.8692559322913962E-3</v>
      </c>
      <c r="P62" s="80">
        <v>1.1679118449441008E-3</v>
      </c>
      <c r="Q62" s="80">
        <v>1.5940127326626817E-3</v>
      </c>
      <c r="R62" s="58">
        <v>1.8743878291629379E-3</v>
      </c>
    </row>
    <row r="63" spans="1:18" ht="15" customHeight="1" x14ac:dyDescent="0.4">
      <c r="A63" s="610"/>
      <c r="B63" s="343" t="s">
        <v>120</v>
      </c>
      <c r="C63" s="321">
        <v>1225</v>
      </c>
      <c r="D63" s="321">
        <v>284</v>
      </c>
      <c r="E63" s="321">
        <v>262</v>
      </c>
      <c r="F63" s="322">
        <v>2531</v>
      </c>
      <c r="G63" s="321">
        <v>1038</v>
      </c>
      <c r="H63" s="321">
        <v>245</v>
      </c>
      <c r="I63" s="321">
        <v>245</v>
      </c>
      <c r="J63" s="322">
        <v>2286</v>
      </c>
      <c r="K63" s="79">
        <v>5.219095498796413E-3</v>
      </c>
      <c r="L63" s="80">
        <v>2.3222535671940797E-3</v>
      </c>
      <c r="M63" s="80">
        <v>2.3517584331185035E-3</v>
      </c>
      <c r="N63" s="58">
        <v>7.6321145872597059E-3</v>
      </c>
      <c r="O63" s="79">
        <v>5.3896879381068593E-3</v>
      </c>
      <c r="P63" s="80">
        <v>2.184262610773318E-3</v>
      </c>
      <c r="Q63" s="80">
        <v>2.3812995091607135E-3</v>
      </c>
      <c r="R63" s="58">
        <v>8.0542304087715712E-3</v>
      </c>
    </row>
    <row r="64" spans="1:18" ht="15" customHeight="1" x14ac:dyDescent="0.4">
      <c r="A64" s="610"/>
      <c r="B64" s="343" t="s">
        <v>121</v>
      </c>
      <c r="C64" s="321">
        <v>2372</v>
      </c>
      <c r="D64" s="321">
        <v>452</v>
      </c>
      <c r="E64" s="321">
        <v>439</v>
      </c>
      <c r="F64" s="322">
        <v>3931</v>
      </c>
      <c r="G64" s="321">
        <v>2000</v>
      </c>
      <c r="H64" s="321">
        <v>424</v>
      </c>
      <c r="I64" s="321">
        <v>418</v>
      </c>
      <c r="J64" s="322">
        <v>3656</v>
      </c>
      <c r="K64" s="79">
        <v>1.0105873080118441E-2</v>
      </c>
      <c r="L64" s="80">
        <v>3.695981029477902E-3</v>
      </c>
      <c r="M64" s="80">
        <v>3.9405418020573395E-3</v>
      </c>
      <c r="N64" s="58">
        <v>1.185375047116472E-2</v>
      </c>
      <c r="O64" s="79">
        <v>1.0384755179396646E-2</v>
      </c>
      <c r="P64" s="80">
        <v>3.7801116202770893E-3</v>
      </c>
      <c r="Q64" s="80">
        <v>4.0627885503231763E-3</v>
      </c>
      <c r="R64" s="58">
        <v>1.2881131397405453E-2</v>
      </c>
    </row>
    <row r="65" spans="1:18" ht="15" customHeight="1" x14ac:dyDescent="0.4">
      <c r="A65" s="610"/>
      <c r="B65" s="343" t="s">
        <v>122</v>
      </c>
      <c r="C65" s="321">
        <v>2376</v>
      </c>
      <c r="D65" s="321">
        <v>583</v>
      </c>
      <c r="E65" s="321">
        <v>522</v>
      </c>
      <c r="F65" s="322">
        <v>2849</v>
      </c>
      <c r="G65" s="321">
        <v>2007</v>
      </c>
      <c r="H65" s="321">
        <v>561</v>
      </c>
      <c r="I65" s="321">
        <v>548</v>
      </c>
      <c r="J65" s="322">
        <v>2651</v>
      </c>
      <c r="K65" s="79">
        <v>1.0122915024604308E-2</v>
      </c>
      <c r="L65" s="80">
        <v>4.7671613720920722E-3</v>
      </c>
      <c r="M65" s="80">
        <v>4.6855645117857203E-3</v>
      </c>
      <c r="N65" s="58">
        <v>8.5910290237467025E-3</v>
      </c>
      <c r="O65" s="79">
        <v>1.0421101822524533E-2</v>
      </c>
      <c r="P65" s="80">
        <v>5.0015156107911492E-3</v>
      </c>
      <c r="Q65" s="80">
        <v>5.3263352286533512E-3</v>
      </c>
      <c r="R65" s="58">
        <v>9.3402295772762184E-3</v>
      </c>
    </row>
    <row r="66" spans="1:18" ht="15" customHeight="1" x14ac:dyDescent="0.4">
      <c r="A66" s="610"/>
      <c r="B66" s="343" t="s">
        <v>123</v>
      </c>
      <c r="C66" s="321">
        <v>2153</v>
      </c>
      <c r="D66" s="321">
        <v>641</v>
      </c>
      <c r="E66" s="321">
        <v>598</v>
      </c>
      <c r="F66" s="322">
        <v>2616</v>
      </c>
      <c r="G66" s="321">
        <v>1826</v>
      </c>
      <c r="H66" s="321">
        <v>646</v>
      </c>
      <c r="I66" s="321">
        <v>607</v>
      </c>
      <c r="J66" s="322">
        <v>2480</v>
      </c>
      <c r="K66" s="79">
        <v>9.1728266195172867E-3</v>
      </c>
      <c r="L66" s="80">
        <v>5.2414244245472018E-3</v>
      </c>
      <c r="M66" s="80">
        <v>5.3677539809345995E-3</v>
      </c>
      <c r="N66" s="58">
        <v>7.8884281944967966E-3</v>
      </c>
      <c r="O66" s="79">
        <v>9.4812814787891379E-3</v>
      </c>
      <c r="P66" s="80">
        <v>5.7593210063655656E-3</v>
      </c>
      <c r="Q66" s="80">
        <v>5.8997910288185835E-3</v>
      </c>
      <c r="R66" s="58">
        <v>8.7377477750452751E-3</v>
      </c>
    </row>
    <row r="67" spans="1:18" ht="15" customHeight="1" x14ac:dyDescent="0.4">
      <c r="A67" s="610"/>
      <c r="B67" s="343" t="s">
        <v>124</v>
      </c>
      <c r="C67" s="321">
        <v>2026</v>
      </c>
      <c r="D67" s="321">
        <v>626</v>
      </c>
      <c r="E67" s="321">
        <v>678</v>
      </c>
      <c r="F67" s="322">
        <v>2551</v>
      </c>
      <c r="G67" s="321">
        <v>1794</v>
      </c>
      <c r="H67" s="321">
        <v>673</v>
      </c>
      <c r="I67" s="321">
        <v>650</v>
      </c>
      <c r="J67" s="322">
        <v>2317</v>
      </c>
      <c r="K67" s="79">
        <v>8.6317448820910463E-3</v>
      </c>
      <c r="L67" s="80">
        <v>5.118770186843289E-3</v>
      </c>
      <c r="M67" s="80">
        <v>6.0858481589860514E-3</v>
      </c>
      <c r="N67" s="58">
        <v>7.6924236713154922E-3</v>
      </c>
      <c r="O67" s="79">
        <v>9.3151253959187913E-3</v>
      </c>
      <c r="P67" s="80">
        <v>6.00003566143038E-3</v>
      </c>
      <c r="Q67" s="80">
        <v>6.3177333916508722E-3</v>
      </c>
      <c r="R67" s="58">
        <v>8.163452255959637E-3</v>
      </c>
    </row>
    <row r="68" spans="1:18" ht="15" customHeight="1" x14ac:dyDescent="0.4">
      <c r="A68" s="610"/>
      <c r="B68" s="343" t="s">
        <v>125</v>
      </c>
      <c r="C68" s="321">
        <v>2034</v>
      </c>
      <c r="D68" s="321">
        <v>721</v>
      </c>
      <c r="E68" s="321">
        <v>669</v>
      </c>
      <c r="F68" s="322">
        <v>2593</v>
      </c>
      <c r="G68" s="321">
        <v>1762</v>
      </c>
      <c r="H68" s="321">
        <v>641</v>
      </c>
      <c r="I68" s="321">
        <v>678</v>
      </c>
      <c r="J68" s="322">
        <v>2246</v>
      </c>
      <c r="K68" s="79">
        <v>8.6658287710627783E-3</v>
      </c>
      <c r="L68" s="80">
        <v>5.8955803589680689E-3</v>
      </c>
      <c r="M68" s="80">
        <v>6.0050625639552629E-3</v>
      </c>
      <c r="N68" s="58">
        <v>7.8190727478326429E-3</v>
      </c>
      <c r="O68" s="79">
        <v>9.1489693130484447E-3</v>
      </c>
      <c r="P68" s="80">
        <v>5.7147442183905998E-3</v>
      </c>
      <c r="Q68" s="80">
        <v>6.5898819069835253E-3</v>
      </c>
      <c r="R68" s="58">
        <v>7.9132989930450343E-3</v>
      </c>
    </row>
    <row r="69" spans="1:18" ht="15" customHeight="1" x14ac:dyDescent="0.4">
      <c r="A69" s="610"/>
      <c r="B69" s="343" t="s">
        <v>126</v>
      </c>
      <c r="C69" s="321">
        <v>1954</v>
      </c>
      <c r="D69" s="321">
        <v>737</v>
      </c>
      <c r="E69" s="321">
        <v>719</v>
      </c>
      <c r="F69" s="322">
        <v>2606</v>
      </c>
      <c r="G69" s="321">
        <v>1638</v>
      </c>
      <c r="H69" s="321">
        <v>665</v>
      </c>
      <c r="I69" s="321">
        <v>736</v>
      </c>
      <c r="J69" s="322">
        <v>2427</v>
      </c>
      <c r="K69" s="79">
        <v>8.3249898813454615E-3</v>
      </c>
      <c r="L69" s="80">
        <v>6.0264115458522425E-3</v>
      </c>
      <c r="M69" s="80">
        <v>6.4538714252374198E-3</v>
      </c>
      <c r="N69" s="58">
        <v>7.8582736524689025E-3</v>
      </c>
      <c r="O69" s="79">
        <v>8.5051144919258536E-3</v>
      </c>
      <c r="P69" s="80">
        <v>5.9287128006704345E-3</v>
      </c>
      <c r="Q69" s="80">
        <v>7.1536181173154495E-3</v>
      </c>
      <c r="R69" s="58">
        <v>8.5510136492076127E-3</v>
      </c>
    </row>
    <row r="70" spans="1:18" ht="15" customHeight="1" x14ac:dyDescent="0.4">
      <c r="A70" s="610"/>
      <c r="B70" s="343" t="s">
        <v>127</v>
      </c>
      <c r="C70" s="321">
        <v>2014</v>
      </c>
      <c r="D70" s="321">
        <v>696</v>
      </c>
      <c r="E70" s="321">
        <v>795</v>
      </c>
      <c r="F70" s="322">
        <v>3109</v>
      </c>
      <c r="G70" s="321">
        <v>1600</v>
      </c>
      <c r="H70" s="321">
        <v>682</v>
      </c>
      <c r="I70" s="321">
        <v>777</v>
      </c>
      <c r="J70" s="322">
        <v>2688</v>
      </c>
      <c r="K70" s="79">
        <v>8.5806190486334491E-3</v>
      </c>
      <c r="L70" s="80">
        <v>5.6911566294615482E-3</v>
      </c>
      <c r="M70" s="80">
        <v>7.136060894386299E-3</v>
      </c>
      <c r="N70" s="58">
        <v>9.3750471164719181E-3</v>
      </c>
      <c r="O70" s="79">
        <v>8.3078041435173163E-3</v>
      </c>
      <c r="P70" s="80">
        <v>6.0802738797853181E-3</v>
      </c>
      <c r="Q70" s="80">
        <v>7.5521213004811193E-3</v>
      </c>
      <c r="R70" s="58">
        <v>9.4705911368232649E-3</v>
      </c>
    </row>
    <row r="71" spans="1:18" ht="15" customHeight="1" x14ac:dyDescent="0.4">
      <c r="A71" s="610"/>
      <c r="B71" s="343" t="s">
        <v>128</v>
      </c>
      <c r="C71" s="321">
        <v>2339</v>
      </c>
      <c r="D71" s="321">
        <v>797</v>
      </c>
      <c r="E71" s="321">
        <v>802</v>
      </c>
      <c r="F71" s="322">
        <v>3802</v>
      </c>
      <c r="G71" s="321">
        <v>1976</v>
      </c>
      <c r="H71" s="321">
        <v>728</v>
      </c>
      <c r="I71" s="321">
        <v>781</v>
      </c>
      <c r="J71" s="322">
        <v>3242</v>
      </c>
      <c r="K71" s="79">
        <v>9.9652770381100479E-3</v>
      </c>
      <c r="L71" s="80">
        <v>6.5170284966678928E-3</v>
      </c>
      <c r="M71" s="80">
        <v>7.1988941349658006E-3</v>
      </c>
      <c r="N71" s="58">
        <v>1.14647568790049E-2</v>
      </c>
      <c r="O71" s="79">
        <v>1.0260138117243887E-2</v>
      </c>
      <c r="P71" s="80">
        <v>6.4903803291550023E-3</v>
      </c>
      <c r="Q71" s="80">
        <v>7.5909996598143561E-3</v>
      </c>
      <c r="R71" s="58">
        <v>1.1422491244635798E-2</v>
      </c>
    </row>
    <row r="72" spans="1:18" ht="15" customHeight="1" x14ac:dyDescent="0.4">
      <c r="A72" s="610"/>
      <c r="B72" s="343" t="s">
        <v>129</v>
      </c>
      <c r="C72" s="321">
        <v>2661</v>
      </c>
      <c r="D72" s="321">
        <v>702</v>
      </c>
      <c r="E72" s="321">
        <v>910</v>
      </c>
      <c r="F72" s="322">
        <v>3404</v>
      </c>
      <c r="G72" s="321">
        <v>2112</v>
      </c>
      <c r="H72" s="321">
        <v>775</v>
      </c>
      <c r="I72" s="321">
        <v>839</v>
      </c>
      <c r="J72" s="322">
        <v>2790</v>
      </c>
      <c r="K72" s="79">
        <v>1.1337153569222248E-2</v>
      </c>
      <c r="L72" s="80">
        <v>5.7402183245431129E-3</v>
      </c>
      <c r="M72" s="80">
        <v>8.1683212753352608E-3</v>
      </c>
      <c r="N72" s="58">
        <v>1.026460610629476E-2</v>
      </c>
      <c r="O72" s="79">
        <v>1.0966301469442857E-2</v>
      </c>
      <c r="P72" s="80">
        <v>6.90940213611968E-3</v>
      </c>
      <c r="Q72" s="80">
        <v>8.1547358701462794E-3</v>
      </c>
      <c r="R72" s="58">
        <v>9.8299662469259336E-3</v>
      </c>
    </row>
    <row r="73" spans="1:18" ht="15" customHeight="1" x14ac:dyDescent="0.4">
      <c r="A73" s="610"/>
      <c r="B73" s="343" t="s">
        <v>130</v>
      </c>
      <c r="C73" s="321">
        <v>2874</v>
      </c>
      <c r="D73" s="321">
        <v>751</v>
      </c>
      <c r="E73" s="321">
        <v>850</v>
      </c>
      <c r="F73" s="322">
        <v>3335</v>
      </c>
      <c r="G73" s="321">
        <v>2289</v>
      </c>
      <c r="H73" s="321">
        <v>661</v>
      </c>
      <c r="I73" s="321">
        <v>798</v>
      </c>
      <c r="J73" s="322">
        <v>2740</v>
      </c>
      <c r="K73" s="79">
        <v>1.2244637113094604E-2</v>
      </c>
      <c r="L73" s="80">
        <v>6.1408888343758945E-3</v>
      </c>
      <c r="M73" s="80">
        <v>7.6297506417966716E-3</v>
      </c>
      <c r="N73" s="58">
        <v>1.0056539766302299E-2</v>
      </c>
      <c r="O73" s="79">
        <v>1.1885352302819461E-2</v>
      </c>
      <c r="P73" s="80">
        <v>5.8930513702904622E-3</v>
      </c>
      <c r="Q73" s="80">
        <v>7.7562326869806096E-3</v>
      </c>
      <c r="R73" s="58">
        <v>9.6538019772677633E-3</v>
      </c>
    </row>
    <row r="74" spans="1:18" ht="15" customHeight="1" x14ac:dyDescent="0.4">
      <c r="A74" s="610"/>
      <c r="B74" s="343" t="s">
        <v>131</v>
      </c>
      <c r="C74" s="321">
        <v>2745</v>
      </c>
      <c r="D74" s="321">
        <v>784</v>
      </c>
      <c r="E74" s="321">
        <v>937</v>
      </c>
      <c r="F74" s="322">
        <v>3447</v>
      </c>
      <c r="G74" s="321">
        <v>2163</v>
      </c>
      <c r="H74" s="321">
        <v>664</v>
      </c>
      <c r="I74" s="321">
        <v>842</v>
      </c>
      <c r="J74" s="322">
        <v>2977</v>
      </c>
      <c r="K74" s="79">
        <v>1.169503440342543E-2</v>
      </c>
      <c r="L74" s="80">
        <v>6.4107281573245025E-3</v>
      </c>
      <c r="M74" s="80">
        <v>8.4106780604276243E-3</v>
      </c>
      <c r="N74" s="58">
        <v>1.03942706370147E-2</v>
      </c>
      <c r="O74" s="79">
        <v>1.1231112726517473E-2</v>
      </c>
      <c r="P74" s="80">
        <v>5.9197974430754419E-3</v>
      </c>
      <c r="Q74" s="80">
        <v>8.1838946396462064E-3</v>
      </c>
      <c r="R74" s="58">
        <v>1.0488820615447493E-2</v>
      </c>
    </row>
    <row r="75" spans="1:18" ht="15" customHeight="1" x14ac:dyDescent="0.4">
      <c r="A75" s="610"/>
      <c r="B75" s="343" t="s">
        <v>132</v>
      </c>
      <c r="C75" s="321">
        <v>2223</v>
      </c>
      <c r="D75" s="321">
        <v>801</v>
      </c>
      <c r="E75" s="321">
        <v>925</v>
      </c>
      <c r="F75" s="322">
        <v>3504</v>
      </c>
      <c r="G75" s="321">
        <v>1826</v>
      </c>
      <c r="H75" s="321">
        <v>696</v>
      </c>
      <c r="I75" s="321">
        <v>871</v>
      </c>
      <c r="J75" s="322">
        <v>2856</v>
      </c>
      <c r="K75" s="79">
        <v>9.4710606480199397E-3</v>
      </c>
      <c r="L75" s="80">
        <v>6.5497362933889369E-3</v>
      </c>
      <c r="M75" s="80">
        <v>8.302963933719907E-3</v>
      </c>
      <c r="N75" s="58">
        <v>1.056615152657369E-2</v>
      </c>
      <c r="O75" s="79">
        <v>9.4812814787891379E-3</v>
      </c>
      <c r="P75" s="80">
        <v>6.2050888861152221E-3</v>
      </c>
      <c r="Q75" s="80">
        <v>8.4657627448121685E-3</v>
      </c>
      <c r="R75" s="58">
        <v>1.006250308287472E-2</v>
      </c>
    </row>
    <row r="76" spans="1:18" ht="15" customHeight="1" x14ac:dyDescent="0.4">
      <c r="A76" s="610"/>
      <c r="B76" s="343" t="s">
        <v>133</v>
      </c>
      <c r="C76" s="321">
        <v>1535</v>
      </c>
      <c r="D76" s="321">
        <v>750</v>
      </c>
      <c r="E76" s="321">
        <v>960</v>
      </c>
      <c r="F76" s="322">
        <v>2780</v>
      </c>
      <c r="G76" s="321">
        <v>1177</v>
      </c>
      <c r="H76" s="321">
        <v>678</v>
      </c>
      <c r="I76" s="321">
        <v>932</v>
      </c>
      <c r="J76" s="322">
        <v>2214</v>
      </c>
      <c r="K76" s="79">
        <v>6.5398461964510154E-3</v>
      </c>
      <c r="L76" s="80">
        <v>6.1327118851956337E-3</v>
      </c>
      <c r="M76" s="80">
        <v>8.6171301366174177E-3</v>
      </c>
      <c r="N76" s="58">
        <v>8.3829626837542397E-3</v>
      </c>
      <c r="O76" s="79">
        <v>6.1114284230749261E-3</v>
      </c>
      <c r="P76" s="80">
        <v>6.0446124494053458E-3</v>
      </c>
      <c r="Q76" s="80">
        <v>9.0586577246440196E-3</v>
      </c>
      <c r="R76" s="58">
        <v>7.8005538604638052E-3</v>
      </c>
    </row>
    <row r="77" spans="1:18" ht="15" customHeight="1" x14ac:dyDescent="0.4">
      <c r="A77" s="610"/>
      <c r="B77" s="343" t="s">
        <v>134</v>
      </c>
      <c r="C77" s="321">
        <v>1113</v>
      </c>
      <c r="D77" s="321">
        <v>698</v>
      </c>
      <c r="E77" s="321">
        <v>929</v>
      </c>
      <c r="F77" s="322">
        <v>1670</v>
      </c>
      <c r="G77" s="321">
        <v>898</v>
      </c>
      <c r="H77" s="321">
        <v>613</v>
      </c>
      <c r="I77" s="321">
        <v>812</v>
      </c>
      <c r="J77" s="322">
        <v>1300</v>
      </c>
      <c r="K77" s="79">
        <v>4.7419210531921691E-3</v>
      </c>
      <c r="L77" s="80">
        <v>5.7075105278220697E-3</v>
      </c>
      <c r="M77" s="80">
        <v>8.3388686426224806E-3</v>
      </c>
      <c r="N77" s="58">
        <v>5.0358085186581227E-3</v>
      </c>
      <c r="O77" s="79">
        <v>4.6627550755490941E-3</v>
      </c>
      <c r="P77" s="80">
        <v>5.4651142057307919E-3</v>
      </c>
      <c r="Q77" s="80">
        <v>7.8923069446469353E-3</v>
      </c>
      <c r="R77" s="58">
        <v>4.580271011112442E-3</v>
      </c>
    </row>
    <row r="78" spans="1:18" ht="15" customHeight="1" thickBot="1" x14ac:dyDescent="0.45">
      <c r="A78" s="611"/>
      <c r="B78" s="343" t="s">
        <v>135</v>
      </c>
      <c r="C78" s="321">
        <v>807</v>
      </c>
      <c r="D78" s="321">
        <v>652</v>
      </c>
      <c r="E78" s="321">
        <v>989</v>
      </c>
      <c r="F78" s="322">
        <v>658</v>
      </c>
      <c r="G78" s="321">
        <v>643</v>
      </c>
      <c r="H78" s="321">
        <v>569</v>
      </c>
      <c r="I78" s="321">
        <v>839</v>
      </c>
      <c r="J78" s="322">
        <v>536</v>
      </c>
      <c r="K78" s="81">
        <v>3.4382123000234327E-3</v>
      </c>
      <c r="L78" s="82">
        <v>5.3313708655300706E-3</v>
      </c>
      <c r="M78" s="82">
        <v>8.8774392761610688E-3</v>
      </c>
      <c r="N78" s="83">
        <v>1.9841688654353563E-3</v>
      </c>
      <c r="O78" s="81">
        <v>3.3386987901760216E-3</v>
      </c>
      <c r="P78" s="82">
        <v>5.0728384715510938E-3</v>
      </c>
      <c r="Q78" s="82">
        <v>8.1547358701462794E-3</v>
      </c>
      <c r="R78" s="83">
        <v>1.8884809707355916E-3</v>
      </c>
    </row>
    <row r="79" spans="1:18" ht="15" customHeight="1" x14ac:dyDescent="0.4">
      <c r="A79" s="609" t="s">
        <v>92</v>
      </c>
      <c r="B79" s="344" t="s">
        <v>112</v>
      </c>
      <c r="C79" s="319">
        <v>534</v>
      </c>
      <c r="D79" s="319">
        <v>605</v>
      </c>
      <c r="E79" s="319">
        <v>822</v>
      </c>
      <c r="F79" s="320">
        <v>235</v>
      </c>
      <c r="G79" s="319">
        <v>436</v>
      </c>
      <c r="H79" s="319">
        <v>484</v>
      </c>
      <c r="I79" s="319">
        <v>697</v>
      </c>
      <c r="J79" s="320">
        <v>209</v>
      </c>
      <c r="K79" s="76">
        <v>2.2750995888630894E-3</v>
      </c>
      <c r="L79" s="77">
        <v>4.9470542540578115E-3</v>
      </c>
      <c r="M79" s="77">
        <v>7.3784176794786634E-3</v>
      </c>
      <c r="N79" s="78">
        <v>7.0863173765548437E-4</v>
      </c>
      <c r="O79" s="76">
        <v>2.2638766291084686E-3</v>
      </c>
      <c r="P79" s="77">
        <v>4.3150330759766774E-3</v>
      </c>
      <c r="Q79" s="77">
        <v>6.7745541138163968E-3</v>
      </c>
      <c r="R79" s="78">
        <v>7.3636664717115414E-4</v>
      </c>
    </row>
    <row r="80" spans="1:18" ht="15" customHeight="1" x14ac:dyDescent="0.4">
      <c r="A80" s="610"/>
      <c r="B80" s="343" t="s">
        <v>113</v>
      </c>
      <c r="C80" s="321">
        <v>375</v>
      </c>
      <c r="D80" s="321">
        <v>573</v>
      </c>
      <c r="E80" s="321">
        <v>754</v>
      </c>
      <c r="F80" s="322">
        <v>117</v>
      </c>
      <c r="G80" s="321">
        <v>286</v>
      </c>
      <c r="H80" s="321">
        <v>501</v>
      </c>
      <c r="I80" s="321">
        <v>704</v>
      </c>
      <c r="J80" s="322">
        <v>106</v>
      </c>
      <c r="K80" s="79">
        <v>1.5976822955499222E-3</v>
      </c>
      <c r="L80" s="80">
        <v>4.6853918802894643E-3</v>
      </c>
      <c r="M80" s="80">
        <v>6.7680376281349297E-3</v>
      </c>
      <c r="N80" s="58">
        <v>3.5280814172634754E-4</v>
      </c>
      <c r="O80" s="79">
        <v>1.4850199906537203E-3</v>
      </c>
      <c r="P80" s="80">
        <v>4.4665941550915611E-3</v>
      </c>
      <c r="Q80" s="80">
        <v>6.8425912426495605E-3</v>
      </c>
      <c r="R80" s="58">
        <v>3.7346825167532219E-4</v>
      </c>
    </row>
    <row r="81" spans="1:18" ht="15" customHeight="1" x14ac:dyDescent="0.4">
      <c r="A81" s="610"/>
      <c r="B81" s="343" t="s">
        <v>114</v>
      </c>
      <c r="C81" s="321">
        <v>216</v>
      </c>
      <c r="D81" s="321">
        <v>520</v>
      </c>
      <c r="E81" s="321">
        <v>579</v>
      </c>
      <c r="F81" s="322">
        <v>91</v>
      </c>
      <c r="G81" s="321">
        <v>198</v>
      </c>
      <c r="H81" s="321">
        <v>378</v>
      </c>
      <c r="I81" s="321">
        <v>511</v>
      </c>
      <c r="J81" s="322">
        <v>65</v>
      </c>
      <c r="K81" s="79">
        <v>9.2026500223675524E-4</v>
      </c>
      <c r="L81" s="80">
        <v>4.2520135737356395E-3</v>
      </c>
      <c r="M81" s="80">
        <v>5.1972066136473797E-3</v>
      </c>
      <c r="N81" s="58">
        <v>2.7440633245382585E-4</v>
      </c>
      <c r="O81" s="79">
        <v>1.0280907627602679E-3</v>
      </c>
      <c r="P81" s="80">
        <v>3.3700051709074051E-3</v>
      </c>
      <c r="Q81" s="80">
        <v>4.9667104048209164E-3</v>
      </c>
      <c r="R81" s="58">
        <v>2.2901355055562211E-4</v>
      </c>
    </row>
    <row r="82" spans="1:18" ht="15" customHeight="1" x14ac:dyDescent="0.4">
      <c r="A82" s="610"/>
      <c r="B82" s="343" t="s">
        <v>115</v>
      </c>
      <c r="C82" s="321">
        <v>140</v>
      </c>
      <c r="D82" s="321">
        <v>423</v>
      </c>
      <c r="E82" s="321">
        <v>490</v>
      </c>
      <c r="F82" s="322">
        <v>53</v>
      </c>
      <c r="G82" s="321">
        <v>114</v>
      </c>
      <c r="H82" s="321">
        <v>316</v>
      </c>
      <c r="I82" s="321">
        <v>431</v>
      </c>
      <c r="J82" s="322">
        <v>55</v>
      </c>
      <c r="K82" s="79">
        <v>5.9646805700530429E-4</v>
      </c>
      <c r="L82" s="80">
        <v>3.4588495032503372E-3</v>
      </c>
      <c r="M82" s="80">
        <v>4.3983268405651402E-3</v>
      </c>
      <c r="N82" s="58">
        <v>1.5981907274783264E-4</v>
      </c>
      <c r="O82" s="79">
        <v>5.9193104522560882E-4</v>
      </c>
      <c r="P82" s="80">
        <v>2.8172530000178308E-3</v>
      </c>
      <c r="Q82" s="80">
        <v>4.1891432181561938E-3</v>
      </c>
      <c r="R82" s="58">
        <v>1.9378069662398794E-4</v>
      </c>
    </row>
    <row r="83" spans="1:18" ht="15" customHeight="1" x14ac:dyDescent="0.4">
      <c r="A83" s="610"/>
      <c r="B83" s="343" t="s">
        <v>116</v>
      </c>
      <c r="C83" s="321">
        <v>113</v>
      </c>
      <c r="D83" s="321">
        <v>348</v>
      </c>
      <c r="E83" s="321">
        <v>420</v>
      </c>
      <c r="F83" s="322">
        <v>54</v>
      </c>
      <c r="G83" s="321">
        <v>97</v>
      </c>
      <c r="H83" s="321">
        <v>333</v>
      </c>
      <c r="I83" s="321">
        <v>378</v>
      </c>
      <c r="J83" s="322">
        <v>54</v>
      </c>
      <c r="K83" s="79">
        <v>4.8143493172570992E-4</v>
      </c>
      <c r="L83" s="80">
        <v>2.8455783147307741E-3</v>
      </c>
      <c r="M83" s="80">
        <v>3.7699944347701201E-3</v>
      </c>
      <c r="N83" s="58">
        <v>1.6283452695062194E-4</v>
      </c>
      <c r="O83" s="79">
        <v>5.0366062620073727E-4</v>
      </c>
      <c r="P83" s="80">
        <v>2.968814079132714E-3</v>
      </c>
      <c r="Q83" s="80">
        <v>3.674004956990815E-3</v>
      </c>
      <c r="R83" s="58">
        <v>1.9025741123082453E-4</v>
      </c>
    </row>
    <row r="84" spans="1:18" ht="15" customHeight="1" x14ac:dyDescent="0.4">
      <c r="A84" s="610"/>
      <c r="B84" s="343" t="s">
        <v>117</v>
      </c>
      <c r="C84" s="321">
        <v>115</v>
      </c>
      <c r="D84" s="321">
        <v>236</v>
      </c>
      <c r="E84" s="321">
        <v>331</v>
      </c>
      <c r="F84" s="322">
        <v>79</v>
      </c>
      <c r="G84" s="321">
        <v>85</v>
      </c>
      <c r="H84" s="321">
        <v>209</v>
      </c>
      <c r="I84" s="321">
        <v>274</v>
      </c>
      <c r="J84" s="322">
        <v>45</v>
      </c>
      <c r="K84" s="79">
        <v>4.8995590396864281E-4</v>
      </c>
      <c r="L84" s="80">
        <v>1.9297600065415594E-3</v>
      </c>
      <c r="M84" s="80">
        <v>2.9711146616878802E-3</v>
      </c>
      <c r="N84" s="58">
        <v>2.3822088202035433E-4</v>
      </c>
      <c r="O84" s="79">
        <v>4.4135209512435745E-4</v>
      </c>
      <c r="P84" s="80">
        <v>1.8633097373535652E-3</v>
      </c>
      <c r="Q84" s="80">
        <v>2.6631676143266756E-3</v>
      </c>
      <c r="R84" s="58">
        <v>1.5854784269235376E-4</v>
      </c>
    </row>
    <row r="85" spans="1:18" ht="15" customHeight="1" x14ac:dyDescent="0.4">
      <c r="A85" s="610"/>
      <c r="B85" s="343" t="s">
        <v>118</v>
      </c>
      <c r="C85" s="321">
        <v>217</v>
      </c>
      <c r="D85" s="321">
        <v>156</v>
      </c>
      <c r="E85" s="321">
        <v>185</v>
      </c>
      <c r="F85" s="322">
        <v>177</v>
      </c>
      <c r="G85" s="321">
        <v>163</v>
      </c>
      <c r="H85" s="321">
        <v>117</v>
      </c>
      <c r="I85" s="321">
        <v>178</v>
      </c>
      <c r="J85" s="322">
        <v>140</v>
      </c>
      <c r="K85" s="79">
        <v>9.2452548835822163E-4</v>
      </c>
      <c r="L85" s="80">
        <v>1.2756040721206919E-3</v>
      </c>
      <c r="M85" s="80">
        <v>1.6605927867439814E-3</v>
      </c>
      <c r="N85" s="58">
        <v>5.3373539389370522E-4</v>
      </c>
      <c r="O85" s="79">
        <v>8.4635754712082667E-4</v>
      </c>
      <c r="P85" s="80">
        <v>1.0430968386141968E-3</v>
      </c>
      <c r="Q85" s="80">
        <v>1.7300869903290081E-3</v>
      </c>
      <c r="R85" s="58">
        <v>4.9325995504287835E-4</v>
      </c>
    </row>
    <row r="86" spans="1:18" ht="15" customHeight="1" x14ac:dyDescent="0.4">
      <c r="A86" s="610"/>
      <c r="B86" s="343" t="s">
        <v>119</v>
      </c>
      <c r="C86" s="321">
        <v>430</v>
      </c>
      <c r="D86" s="321">
        <v>140</v>
      </c>
      <c r="E86" s="321">
        <v>166</v>
      </c>
      <c r="F86" s="322">
        <v>674</v>
      </c>
      <c r="G86" s="321">
        <v>365</v>
      </c>
      <c r="H86" s="321">
        <v>131</v>
      </c>
      <c r="I86" s="321">
        <v>152</v>
      </c>
      <c r="J86" s="322">
        <v>530</v>
      </c>
      <c r="K86" s="79">
        <v>1.8320090322305775E-3</v>
      </c>
      <c r="L86" s="80">
        <v>1.1447728852365183E-3</v>
      </c>
      <c r="M86" s="80">
        <v>1.4900454194567618E-3</v>
      </c>
      <c r="N86" s="58">
        <v>2.0324161326799851E-3</v>
      </c>
      <c r="O86" s="79">
        <v>1.8952178202398878E-3</v>
      </c>
      <c r="P86" s="80">
        <v>1.1679118449441008E-3</v>
      </c>
      <c r="Q86" s="80">
        <v>1.4773776546629731E-3</v>
      </c>
      <c r="R86" s="58">
        <v>1.8673412583766109E-3</v>
      </c>
    </row>
    <row r="87" spans="1:18" ht="15" customHeight="1" x14ac:dyDescent="0.4">
      <c r="A87" s="610"/>
      <c r="B87" s="343" t="s">
        <v>120</v>
      </c>
      <c r="C87" s="321">
        <v>1156</v>
      </c>
      <c r="D87" s="321">
        <v>240</v>
      </c>
      <c r="E87" s="321">
        <v>287</v>
      </c>
      <c r="F87" s="322">
        <v>2709</v>
      </c>
      <c r="G87" s="321">
        <v>984</v>
      </c>
      <c r="H87" s="321">
        <v>227</v>
      </c>
      <c r="I87" s="321">
        <v>264</v>
      </c>
      <c r="J87" s="322">
        <v>2437</v>
      </c>
      <c r="K87" s="79">
        <v>4.9251219564152267E-3</v>
      </c>
      <c r="L87" s="80">
        <v>1.9624678032626026E-3</v>
      </c>
      <c r="M87" s="80">
        <v>2.576162863759582E-3</v>
      </c>
      <c r="N87" s="58">
        <v>8.1688654353561999E-3</v>
      </c>
      <c r="O87" s="79">
        <v>5.1092995482631496E-3</v>
      </c>
      <c r="P87" s="80">
        <v>2.0237861740634417E-3</v>
      </c>
      <c r="Q87" s="80">
        <v>2.565971715993585E-3</v>
      </c>
      <c r="R87" s="58">
        <v>8.5862465031392478E-3</v>
      </c>
    </row>
    <row r="88" spans="1:18" ht="15" customHeight="1" x14ac:dyDescent="0.4">
      <c r="A88" s="610"/>
      <c r="B88" s="343" t="s">
        <v>121</v>
      </c>
      <c r="C88" s="321">
        <v>2346</v>
      </c>
      <c r="D88" s="321">
        <v>444</v>
      </c>
      <c r="E88" s="321">
        <v>463</v>
      </c>
      <c r="F88" s="322">
        <v>4430</v>
      </c>
      <c r="G88" s="321">
        <v>2056</v>
      </c>
      <c r="H88" s="321">
        <v>453</v>
      </c>
      <c r="I88" s="321">
        <v>431</v>
      </c>
      <c r="J88" s="322">
        <v>3816</v>
      </c>
      <c r="K88" s="79">
        <v>9.9951004409603132E-3</v>
      </c>
      <c r="L88" s="80">
        <v>3.6305654360358152E-3</v>
      </c>
      <c r="M88" s="80">
        <v>4.155970055472775E-3</v>
      </c>
      <c r="N88" s="58">
        <v>1.3358462118356578E-2</v>
      </c>
      <c r="O88" s="79">
        <v>1.0675528324419752E-2</v>
      </c>
      <c r="P88" s="80">
        <v>4.0386569905318899E-3</v>
      </c>
      <c r="Q88" s="80">
        <v>4.1891432181561938E-3</v>
      </c>
      <c r="R88" s="58">
        <v>1.3444857060311599E-2</v>
      </c>
    </row>
    <row r="89" spans="1:18" ht="15" customHeight="1" x14ac:dyDescent="0.4">
      <c r="A89" s="610"/>
      <c r="B89" s="343" t="s">
        <v>122</v>
      </c>
      <c r="C89" s="321">
        <v>2333</v>
      </c>
      <c r="D89" s="321">
        <v>601</v>
      </c>
      <c r="E89" s="321">
        <v>541</v>
      </c>
      <c r="F89" s="322">
        <v>3178</v>
      </c>
      <c r="G89" s="321">
        <v>2082</v>
      </c>
      <c r="H89" s="321">
        <v>552</v>
      </c>
      <c r="I89" s="321">
        <v>480</v>
      </c>
      <c r="J89" s="322">
        <v>2758</v>
      </c>
      <c r="K89" s="79">
        <v>9.9397141213812493E-3</v>
      </c>
      <c r="L89" s="80">
        <v>4.9143464573367674E-3</v>
      </c>
      <c r="M89" s="80">
        <v>4.8561118790729401E-3</v>
      </c>
      <c r="N89" s="58">
        <v>9.5831134564643792E-3</v>
      </c>
      <c r="O89" s="79">
        <v>1.0810530141751908E-2</v>
      </c>
      <c r="P89" s="80">
        <v>4.9212773924362102E-3</v>
      </c>
      <c r="Q89" s="80">
        <v>4.6654031199883364E-3</v>
      </c>
      <c r="R89" s="58">
        <v>9.7172211143447037E-3</v>
      </c>
    </row>
    <row r="90" spans="1:18" ht="15" customHeight="1" x14ac:dyDescent="0.4">
      <c r="A90" s="610"/>
      <c r="B90" s="343" t="s">
        <v>123</v>
      </c>
      <c r="C90" s="321">
        <v>2206</v>
      </c>
      <c r="D90" s="321">
        <v>605</v>
      </c>
      <c r="E90" s="321">
        <v>607</v>
      </c>
      <c r="F90" s="322">
        <v>2950</v>
      </c>
      <c r="G90" s="321">
        <v>1846</v>
      </c>
      <c r="H90" s="321">
        <v>634</v>
      </c>
      <c r="I90" s="321">
        <v>553</v>
      </c>
      <c r="J90" s="322">
        <v>2527</v>
      </c>
      <c r="K90" s="79">
        <v>9.3986323839550089E-3</v>
      </c>
      <c r="L90" s="80">
        <v>4.9470542540578115E-3</v>
      </c>
      <c r="M90" s="80">
        <v>5.4485395759653879E-3</v>
      </c>
      <c r="N90" s="58">
        <v>8.8955898982284211E-3</v>
      </c>
      <c r="O90" s="79">
        <v>9.5851290305831033E-3</v>
      </c>
      <c r="P90" s="80">
        <v>5.6523367152256478E-3</v>
      </c>
      <c r="Q90" s="80">
        <v>5.3749331778198961E-3</v>
      </c>
      <c r="R90" s="58">
        <v>8.903342188523955E-3</v>
      </c>
    </row>
    <row r="91" spans="1:18" ht="15" customHeight="1" x14ac:dyDescent="0.4">
      <c r="A91" s="610"/>
      <c r="B91" s="343" t="s">
        <v>124</v>
      </c>
      <c r="C91" s="321">
        <v>2043</v>
      </c>
      <c r="D91" s="321">
        <v>651</v>
      </c>
      <c r="E91" s="321">
        <v>675</v>
      </c>
      <c r="F91" s="322">
        <v>2719</v>
      </c>
      <c r="G91" s="321">
        <v>1684</v>
      </c>
      <c r="H91" s="321">
        <v>650</v>
      </c>
      <c r="I91" s="321">
        <v>602</v>
      </c>
      <c r="J91" s="322">
        <v>2326</v>
      </c>
      <c r="K91" s="79">
        <v>8.704173146155977E-3</v>
      </c>
      <c r="L91" s="80">
        <v>5.3231939163498098E-3</v>
      </c>
      <c r="M91" s="80">
        <v>6.0589196273091216E-3</v>
      </c>
      <c r="N91" s="58">
        <v>8.1990199773840939E-3</v>
      </c>
      <c r="O91" s="79">
        <v>8.7439638610519749E-3</v>
      </c>
      <c r="P91" s="80">
        <v>5.7949824367455379E-3</v>
      </c>
      <c r="Q91" s="80">
        <v>5.8511930796520386E-3</v>
      </c>
      <c r="R91" s="58">
        <v>8.1951618244981081E-3</v>
      </c>
    </row>
    <row r="92" spans="1:18" ht="15" customHeight="1" x14ac:dyDescent="0.4">
      <c r="A92" s="610"/>
      <c r="B92" s="343" t="s">
        <v>125</v>
      </c>
      <c r="C92" s="321">
        <v>2073</v>
      </c>
      <c r="D92" s="321">
        <v>697</v>
      </c>
      <c r="E92" s="321">
        <v>734</v>
      </c>
      <c r="F92" s="322">
        <v>2697</v>
      </c>
      <c r="G92" s="321">
        <v>1726</v>
      </c>
      <c r="H92" s="321">
        <v>595</v>
      </c>
      <c r="I92" s="321">
        <v>650</v>
      </c>
      <c r="J92" s="322">
        <v>2364</v>
      </c>
      <c r="K92" s="79">
        <v>8.8319877297999699E-3</v>
      </c>
      <c r="L92" s="80">
        <v>5.699333578641809E-3</v>
      </c>
      <c r="M92" s="80">
        <v>6.5885140836220669E-3</v>
      </c>
      <c r="N92" s="58">
        <v>8.1326799849227287E-3</v>
      </c>
      <c r="O92" s="79">
        <v>8.962043719819306E-3</v>
      </c>
      <c r="P92" s="80">
        <v>5.3046377690209156E-3</v>
      </c>
      <c r="Q92" s="80">
        <v>6.3177333916508722E-3</v>
      </c>
      <c r="R92" s="58">
        <v>8.3290466694383187E-3</v>
      </c>
    </row>
    <row r="93" spans="1:18" ht="15" customHeight="1" x14ac:dyDescent="0.4">
      <c r="A93" s="610"/>
      <c r="B93" s="343" t="s">
        <v>126</v>
      </c>
      <c r="C93" s="321">
        <v>1958</v>
      </c>
      <c r="D93" s="321">
        <v>704</v>
      </c>
      <c r="E93" s="321">
        <v>756</v>
      </c>
      <c r="F93" s="322">
        <v>2803</v>
      </c>
      <c r="G93" s="321">
        <v>1690</v>
      </c>
      <c r="H93" s="321">
        <v>642</v>
      </c>
      <c r="I93" s="321">
        <v>658</v>
      </c>
      <c r="J93" s="322">
        <v>2413</v>
      </c>
      <c r="K93" s="79">
        <v>8.3420318258313267E-3</v>
      </c>
      <c r="L93" s="80">
        <v>5.7565722229036345E-3</v>
      </c>
      <c r="M93" s="80">
        <v>6.7859899825862165E-3</v>
      </c>
      <c r="N93" s="58">
        <v>8.4523181304183934E-3</v>
      </c>
      <c r="O93" s="79">
        <v>8.7751181265901656E-3</v>
      </c>
      <c r="P93" s="80">
        <v>5.7236595759855924E-3</v>
      </c>
      <c r="Q93" s="80">
        <v>6.3954901103173449E-3</v>
      </c>
      <c r="R93" s="58">
        <v>8.5016876537033249E-3</v>
      </c>
    </row>
    <row r="94" spans="1:18" ht="15" customHeight="1" x14ac:dyDescent="0.4">
      <c r="A94" s="610"/>
      <c r="B94" s="343" t="s">
        <v>127</v>
      </c>
      <c r="C94" s="321">
        <v>1976</v>
      </c>
      <c r="D94" s="321">
        <v>689</v>
      </c>
      <c r="E94" s="321">
        <v>763</v>
      </c>
      <c r="F94" s="322">
        <v>2911</v>
      </c>
      <c r="G94" s="321">
        <v>1694</v>
      </c>
      <c r="H94" s="321">
        <v>681</v>
      </c>
      <c r="I94" s="321">
        <v>693</v>
      </c>
      <c r="J94" s="322">
        <v>2562</v>
      </c>
      <c r="K94" s="79">
        <v>8.4187205760177242E-3</v>
      </c>
      <c r="L94" s="80">
        <v>5.6339179851997217E-3</v>
      </c>
      <c r="M94" s="80">
        <v>6.8488232231657181E-3</v>
      </c>
      <c r="N94" s="58">
        <v>8.7779871843196387E-3</v>
      </c>
      <c r="O94" s="79">
        <v>8.7958876369489594E-3</v>
      </c>
      <c r="P94" s="80">
        <v>6.0713585221903246E-3</v>
      </c>
      <c r="Q94" s="80">
        <v>6.7356757544831608E-3</v>
      </c>
      <c r="R94" s="58">
        <v>9.0266571772846752E-3</v>
      </c>
    </row>
    <row r="95" spans="1:18" ht="15" customHeight="1" x14ac:dyDescent="0.4">
      <c r="A95" s="610"/>
      <c r="B95" s="343" t="s">
        <v>128</v>
      </c>
      <c r="C95" s="321">
        <v>2250</v>
      </c>
      <c r="D95" s="321">
        <v>719</v>
      </c>
      <c r="E95" s="321">
        <v>855</v>
      </c>
      <c r="F95" s="322">
        <v>3241</v>
      </c>
      <c r="G95" s="321">
        <v>1884</v>
      </c>
      <c r="H95" s="321">
        <v>703</v>
      </c>
      <c r="I95" s="321">
        <v>745</v>
      </c>
      <c r="J95" s="322">
        <v>2936</v>
      </c>
      <c r="K95" s="79">
        <v>9.5860937732995342E-3</v>
      </c>
      <c r="L95" s="80">
        <v>5.8792264606075473E-3</v>
      </c>
      <c r="M95" s="80">
        <v>7.6746315279248873E-3</v>
      </c>
      <c r="N95" s="58">
        <v>9.7730870712401056E-3</v>
      </c>
      <c r="O95" s="79">
        <v>9.7824393789916406E-3</v>
      </c>
      <c r="P95" s="80">
        <v>6.2674963892801741E-3</v>
      </c>
      <c r="Q95" s="80">
        <v>7.2410944258152303E-3</v>
      </c>
      <c r="R95" s="58">
        <v>1.0344365914327792E-2</v>
      </c>
    </row>
    <row r="96" spans="1:18" ht="15" customHeight="1" x14ac:dyDescent="0.4">
      <c r="A96" s="610"/>
      <c r="B96" s="343" t="s">
        <v>129</v>
      </c>
      <c r="C96" s="321">
        <v>2457</v>
      </c>
      <c r="D96" s="321">
        <v>672</v>
      </c>
      <c r="E96" s="321">
        <v>863</v>
      </c>
      <c r="F96" s="322">
        <v>2965</v>
      </c>
      <c r="G96" s="321">
        <v>2008</v>
      </c>
      <c r="H96" s="321">
        <v>662</v>
      </c>
      <c r="I96" s="321">
        <v>775</v>
      </c>
      <c r="J96" s="322">
        <v>2595</v>
      </c>
      <c r="K96" s="79">
        <v>1.0468014400443091E-2</v>
      </c>
      <c r="L96" s="80">
        <v>5.4949098491352873E-3</v>
      </c>
      <c r="M96" s="80">
        <v>7.7464409457300328E-3</v>
      </c>
      <c r="N96" s="58">
        <v>8.9408217112702595E-3</v>
      </c>
      <c r="O96" s="79">
        <v>1.0426294200114232E-2</v>
      </c>
      <c r="P96" s="80">
        <v>5.9019667278854557E-3</v>
      </c>
      <c r="Q96" s="80">
        <v>7.5326821208145014E-3</v>
      </c>
      <c r="R96" s="58">
        <v>9.1429255952590674E-3</v>
      </c>
    </row>
    <row r="97" spans="1:18" ht="15" customHeight="1" x14ac:dyDescent="0.4">
      <c r="A97" s="610"/>
      <c r="B97" s="343" t="s">
        <v>130</v>
      </c>
      <c r="C97" s="321">
        <v>3002</v>
      </c>
      <c r="D97" s="321">
        <v>692</v>
      </c>
      <c r="E97" s="321">
        <v>848</v>
      </c>
      <c r="F97" s="322">
        <v>3014</v>
      </c>
      <c r="G97" s="321">
        <v>2402</v>
      </c>
      <c r="H97" s="321">
        <v>742</v>
      </c>
      <c r="I97" s="321">
        <v>810</v>
      </c>
      <c r="J97" s="322">
        <v>2696</v>
      </c>
      <c r="K97" s="79">
        <v>1.2789979336642311E-2</v>
      </c>
      <c r="L97" s="80">
        <v>5.6584488327405041E-3</v>
      </c>
      <c r="M97" s="80">
        <v>7.6117982873453857E-3</v>
      </c>
      <c r="N97" s="58">
        <v>9.088578967206936E-3</v>
      </c>
      <c r="O97" s="79">
        <v>1.2472090970455372E-2</v>
      </c>
      <c r="P97" s="80">
        <v>6.6151953354849063E-3</v>
      </c>
      <c r="Q97" s="80">
        <v>7.8728677649803173E-3</v>
      </c>
      <c r="R97" s="58">
        <v>9.498777419968572E-3</v>
      </c>
    </row>
    <row r="98" spans="1:18" ht="15" customHeight="1" x14ac:dyDescent="0.4">
      <c r="A98" s="610"/>
      <c r="B98" s="343" t="s">
        <v>131</v>
      </c>
      <c r="C98" s="321">
        <v>2786</v>
      </c>
      <c r="D98" s="321">
        <v>737</v>
      </c>
      <c r="E98" s="321">
        <v>856</v>
      </c>
      <c r="F98" s="322">
        <v>3147</v>
      </c>
      <c r="G98" s="321">
        <v>2154</v>
      </c>
      <c r="H98" s="321">
        <v>724</v>
      </c>
      <c r="I98" s="321">
        <v>814</v>
      </c>
      <c r="J98" s="322">
        <v>2716</v>
      </c>
      <c r="K98" s="79">
        <v>1.1869714334405555E-2</v>
      </c>
      <c r="L98" s="80">
        <v>6.0264115458522425E-3</v>
      </c>
      <c r="M98" s="80">
        <v>7.6836077051505303E-3</v>
      </c>
      <c r="N98" s="58">
        <v>9.489634376177912E-3</v>
      </c>
      <c r="O98" s="79">
        <v>1.1184381328210187E-2</v>
      </c>
      <c r="P98" s="80">
        <v>6.45471889877503E-3</v>
      </c>
      <c r="Q98" s="80">
        <v>7.9117461243135533E-3</v>
      </c>
      <c r="R98" s="58">
        <v>9.5692431278318404E-3</v>
      </c>
    </row>
    <row r="99" spans="1:18" ht="15" customHeight="1" x14ac:dyDescent="0.4">
      <c r="A99" s="610"/>
      <c r="B99" s="343" t="s">
        <v>132</v>
      </c>
      <c r="C99" s="321">
        <v>2190</v>
      </c>
      <c r="D99" s="321">
        <v>800</v>
      </c>
      <c r="E99" s="321">
        <v>920</v>
      </c>
      <c r="F99" s="322">
        <v>3388</v>
      </c>
      <c r="G99" s="321">
        <v>1654</v>
      </c>
      <c r="H99" s="321">
        <v>709</v>
      </c>
      <c r="I99" s="321">
        <v>837</v>
      </c>
      <c r="J99" s="322">
        <v>2705</v>
      </c>
      <c r="K99" s="79">
        <v>9.3304646060115466E-3</v>
      </c>
      <c r="L99" s="80">
        <v>6.5415593442086761E-3</v>
      </c>
      <c r="M99" s="80">
        <v>8.2580830475916921E-3</v>
      </c>
      <c r="N99" s="58">
        <v>1.0216358839050131E-2</v>
      </c>
      <c r="O99" s="79">
        <v>8.5881925333610252E-3</v>
      </c>
      <c r="P99" s="80">
        <v>6.3209885348501325E-3</v>
      </c>
      <c r="Q99" s="80">
        <v>8.1352966904796615E-3</v>
      </c>
      <c r="R99" s="58">
        <v>9.5304869885070431E-3</v>
      </c>
    </row>
    <row r="100" spans="1:18" ht="15" customHeight="1" x14ac:dyDescent="0.4">
      <c r="A100" s="610"/>
      <c r="B100" s="343" t="s">
        <v>133</v>
      </c>
      <c r="C100" s="321">
        <v>1501</v>
      </c>
      <c r="D100" s="321">
        <v>776</v>
      </c>
      <c r="E100" s="321">
        <v>935</v>
      </c>
      <c r="F100" s="322">
        <v>2762</v>
      </c>
      <c r="G100" s="321">
        <v>1257</v>
      </c>
      <c r="H100" s="321">
        <v>681</v>
      </c>
      <c r="I100" s="321">
        <v>865</v>
      </c>
      <c r="J100" s="322">
        <v>2174</v>
      </c>
      <c r="K100" s="79">
        <v>6.3949896683211556E-3</v>
      </c>
      <c r="L100" s="80">
        <v>6.3453125638824152E-3</v>
      </c>
      <c r="M100" s="80">
        <v>8.3927257059763383E-3</v>
      </c>
      <c r="N100" s="58">
        <v>8.3286845081040339E-3</v>
      </c>
      <c r="O100" s="79">
        <v>6.5268186302507919E-3</v>
      </c>
      <c r="P100" s="80">
        <v>6.0713585221903246E-3</v>
      </c>
      <c r="Q100" s="80">
        <v>8.4074452058123146E-3</v>
      </c>
      <c r="R100" s="58">
        <v>7.6596224447372683E-3</v>
      </c>
    </row>
    <row r="101" spans="1:18" ht="15" customHeight="1" x14ac:dyDescent="0.4">
      <c r="A101" s="610"/>
      <c r="B101" s="343" t="s">
        <v>134</v>
      </c>
      <c r="C101" s="321">
        <v>1087</v>
      </c>
      <c r="D101" s="321">
        <v>721</v>
      </c>
      <c r="E101" s="321">
        <v>945</v>
      </c>
      <c r="F101" s="322">
        <v>1684</v>
      </c>
      <c r="G101" s="321">
        <v>879</v>
      </c>
      <c r="H101" s="321">
        <v>671</v>
      </c>
      <c r="I101" s="321">
        <v>794</v>
      </c>
      <c r="J101" s="322">
        <v>1248</v>
      </c>
      <c r="K101" s="79">
        <v>4.6311484140340413E-3</v>
      </c>
      <c r="L101" s="80">
        <v>5.8955803589680689E-3</v>
      </c>
      <c r="M101" s="80">
        <v>8.4824874782327697E-3</v>
      </c>
      <c r="N101" s="58">
        <v>5.0780248774971734E-3</v>
      </c>
      <c r="O101" s="79">
        <v>4.5640999013448254E-3</v>
      </c>
      <c r="P101" s="80">
        <v>5.9822049462403938E-3</v>
      </c>
      <c r="Q101" s="80">
        <v>7.7173543276473737E-3</v>
      </c>
      <c r="R101" s="58">
        <v>4.3970601706679446E-3</v>
      </c>
    </row>
    <row r="102" spans="1:18" ht="15" customHeight="1" thickBot="1" x14ac:dyDescent="0.45">
      <c r="A102" s="611"/>
      <c r="B102" s="343" t="s">
        <v>135</v>
      </c>
      <c r="C102" s="321">
        <v>830</v>
      </c>
      <c r="D102" s="321">
        <v>682</v>
      </c>
      <c r="E102" s="321">
        <v>856</v>
      </c>
      <c r="F102" s="322">
        <v>617</v>
      </c>
      <c r="G102" s="321">
        <v>675</v>
      </c>
      <c r="H102" s="321">
        <v>592</v>
      </c>
      <c r="I102" s="321">
        <v>791</v>
      </c>
      <c r="J102" s="322">
        <v>504</v>
      </c>
      <c r="K102" s="81">
        <v>3.5362034808171612E-3</v>
      </c>
      <c r="L102" s="82">
        <v>5.5766793409378962E-3</v>
      </c>
      <c r="M102" s="82">
        <v>7.6836077051505303E-3</v>
      </c>
      <c r="N102" s="83">
        <v>1.8605352431209951E-3</v>
      </c>
      <c r="O102" s="81">
        <v>3.5048548730463678E-3</v>
      </c>
      <c r="P102" s="82">
        <v>5.2778916962359359E-3</v>
      </c>
      <c r="Q102" s="82">
        <v>7.6881955581474459E-3</v>
      </c>
      <c r="R102" s="83">
        <v>1.7757358381543622E-3</v>
      </c>
    </row>
    <row r="103" spans="1:18" ht="15" customHeight="1" x14ac:dyDescent="0.4">
      <c r="A103" s="609" t="s">
        <v>93</v>
      </c>
      <c r="B103" s="344" t="s">
        <v>112</v>
      </c>
      <c r="C103" s="319">
        <v>580</v>
      </c>
      <c r="D103" s="319">
        <v>660</v>
      </c>
      <c r="E103" s="319">
        <v>871</v>
      </c>
      <c r="F103" s="320">
        <v>221</v>
      </c>
      <c r="G103" s="319">
        <v>474</v>
      </c>
      <c r="H103" s="319">
        <v>581</v>
      </c>
      <c r="I103" s="319">
        <v>736</v>
      </c>
      <c r="J103" s="320">
        <v>172</v>
      </c>
      <c r="K103" s="76">
        <v>2.4710819504505464E-3</v>
      </c>
      <c r="L103" s="77">
        <v>5.3967864589721578E-3</v>
      </c>
      <c r="M103" s="77">
        <v>7.8182503635351782E-3</v>
      </c>
      <c r="N103" s="78">
        <v>6.6641537881643423E-4</v>
      </c>
      <c r="O103" s="76">
        <v>2.461186977517005E-3</v>
      </c>
      <c r="P103" s="77">
        <v>5.1798227626910116E-3</v>
      </c>
      <c r="Q103" s="77">
        <v>7.1536181173154495E-3</v>
      </c>
      <c r="R103" s="78">
        <v>6.0600508762410769E-4</v>
      </c>
    </row>
    <row r="104" spans="1:18" ht="15" customHeight="1" x14ac:dyDescent="0.4">
      <c r="A104" s="610"/>
      <c r="B104" s="343" t="s">
        <v>113</v>
      </c>
      <c r="C104" s="321">
        <v>380</v>
      </c>
      <c r="D104" s="321">
        <v>592</v>
      </c>
      <c r="E104" s="321">
        <v>764</v>
      </c>
      <c r="F104" s="322">
        <v>136</v>
      </c>
      <c r="G104" s="321">
        <v>331</v>
      </c>
      <c r="H104" s="321">
        <v>526</v>
      </c>
      <c r="I104" s="321">
        <v>648</v>
      </c>
      <c r="J104" s="322">
        <v>99</v>
      </c>
      <c r="K104" s="79">
        <v>1.6189847261572545E-3</v>
      </c>
      <c r="L104" s="80">
        <v>4.8407539147144203E-3</v>
      </c>
      <c r="M104" s="80">
        <v>6.8577994003913611E-3</v>
      </c>
      <c r="N104" s="58">
        <v>4.1010177157934415E-4</v>
      </c>
      <c r="O104" s="79">
        <v>1.7186769821901449E-3</v>
      </c>
      <c r="P104" s="80">
        <v>4.6894780949663893E-3</v>
      </c>
      <c r="Q104" s="80">
        <v>6.2982942119842542E-3</v>
      </c>
      <c r="R104" s="58">
        <v>3.4880525392317827E-4</v>
      </c>
    </row>
    <row r="105" spans="1:18" ht="15" customHeight="1" x14ac:dyDescent="0.4">
      <c r="A105" s="610"/>
      <c r="B105" s="343" t="s">
        <v>114</v>
      </c>
      <c r="C105" s="321">
        <v>253</v>
      </c>
      <c r="D105" s="321">
        <v>535</v>
      </c>
      <c r="E105" s="321">
        <v>650</v>
      </c>
      <c r="F105" s="322">
        <v>85</v>
      </c>
      <c r="G105" s="321">
        <v>218</v>
      </c>
      <c r="H105" s="321">
        <v>503</v>
      </c>
      <c r="I105" s="321">
        <v>513</v>
      </c>
      <c r="J105" s="322">
        <v>49</v>
      </c>
      <c r="K105" s="79">
        <v>1.0779029887310141E-3</v>
      </c>
      <c r="L105" s="80">
        <v>4.3746678114395523E-3</v>
      </c>
      <c r="M105" s="80">
        <v>5.8345151966680431E-3</v>
      </c>
      <c r="N105" s="58">
        <v>2.5631360723709008E-4</v>
      </c>
      <c r="O105" s="79">
        <v>1.1319383145542343E-3</v>
      </c>
      <c r="P105" s="80">
        <v>4.4844248702815472E-3</v>
      </c>
      <c r="Q105" s="80">
        <v>4.9861495844875344E-3</v>
      </c>
      <c r="R105" s="58">
        <v>1.7264098426500744E-4</v>
      </c>
    </row>
    <row r="106" spans="1:18" ht="15" customHeight="1" x14ac:dyDescent="0.4">
      <c r="A106" s="610"/>
      <c r="B106" s="343" t="s">
        <v>115</v>
      </c>
      <c r="C106" s="321">
        <v>178</v>
      </c>
      <c r="D106" s="321">
        <v>571</v>
      </c>
      <c r="E106" s="321">
        <v>510</v>
      </c>
      <c r="F106" s="322">
        <v>52</v>
      </c>
      <c r="G106" s="321">
        <v>145</v>
      </c>
      <c r="H106" s="321">
        <v>466</v>
      </c>
      <c r="I106" s="321">
        <v>441</v>
      </c>
      <c r="J106" s="322">
        <v>59</v>
      </c>
      <c r="K106" s="79">
        <v>7.5836652962102977E-4</v>
      </c>
      <c r="L106" s="80">
        <v>4.6690379819289427E-3</v>
      </c>
      <c r="M106" s="80">
        <v>4.577850385078003E-3</v>
      </c>
      <c r="N106" s="58">
        <v>1.5680361854504335E-4</v>
      </c>
      <c r="O106" s="79">
        <v>7.528947505062568E-4</v>
      </c>
      <c r="P106" s="80">
        <v>4.1545566392668012E-3</v>
      </c>
      <c r="Q106" s="80">
        <v>4.2863391164892845E-3</v>
      </c>
      <c r="R106" s="58">
        <v>2.0787383819664159E-4</v>
      </c>
    </row>
    <row r="107" spans="1:18" ht="15" customHeight="1" x14ac:dyDescent="0.4">
      <c r="A107" s="610"/>
      <c r="B107" s="343" t="s">
        <v>116</v>
      </c>
      <c r="C107" s="321">
        <v>148</v>
      </c>
      <c r="D107" s="321">
        <v>498</v>
      </c>
      <c r="E107" s="321">
        <v>448</v>
      </c>
      <c r="F107" s="322">
        <v>55</v>
      </c>
      <c r="G107" s="321">
        <v>103</v>
      </c>
      <c r="H107" s="321">
        <v>399</v>
      </c>
      <c r="I107" s="321">
        <v>384</v>
      </c>
      <c r="J107" s="322">
        <v>52</v>
      </c>
      <c r="K107" s="79">
        <v>6.3055194597703599E-4</v>
      </c>
      <c r="L107" s="80">
        <v>4.0721206917699003E-3</v>
      </c>
      <c r="M107" s="80">
        <v>4.0213273970881279E-3</v>
      </c>
      <c r="N107" s="58">
        <v>1.6584998115341123E-4</v>
      </c>
      <c r="O107" s="79">
        <v>5.3481489173892727E-4</v>
      </c>
      <c r="P107" s="80">
        <v>3.5572276804022611E-3</v>
      </c>
      <c r="Q107" s="80">
        <v>3.7323224959906693E-3</v>
      </c>
      <c r="R107" s="58">
        <v>1.8321084044449769E-4</v>
      </c>
    </row>
    <row r="108" spans="1:18" ht="15" customHeight="1" x14ac:dyDescent="0.4">
      <c r="A108" s="610"/>
      <c r="B108" s="343" t="s">
        <v>117</v>
      </c>
      <c r="C108" s="321">
        <v>181</v>
      </c>
      <c r="D108" s="321">
        <v>329</v>
      </c>
      <c r="E108" s="321">
        <v>294</v>
      </c>
      <c r="F108" s="322">
        <v>76</v>
      </c>
      <c r="G108" s="321">
        <v>84</v>
      </c>
      <c r="H108" s="321">
        <v>299</v>
      </c>
      <c r="I108" s="321">
        <v>287</v>
      </c>
      <c r="J108" s="322">
        <v>60</v>
      </c>
      <c r="K108" s="79">
        <v>7.7114798798542917E-4</v>
      </c>
      <c r="L108" s="80">
        <v>2.6902162803058181E-3</v>
      </c>
      <c r="M108" s="80">
        <v>2.638996104339084E-3</v>
      </c>
      <c r="N108" s="58">
        <v>2.2917451941198644E-4</v>
      </c>
      <c r="O108" s="79">
        <v>4.3615971753465911E-4</v>
      </c>
      <c r="P108" s="80">
        <v>2.6656919209029476E-3</v>
      </c>
      <c r="Q108" s="80">
        <v>2.7895222821596928E-3</v>
      </c>
      <c r="R108" s="58">
        <v>2.1139712358980503E-4</v>
      </c>
    </row>
    <row r="109" spans="1:18" ht="15" customHeight="1" x14ac:dyDescent="0.4">
      <c r="A109" s="610"/>
      <c r="B109" s="343" t="s">
        <v>118</v>
      </c>
      <c r="C109" s="321">
        <v>202</v>
      </c>
      <c r="D109" s="321">
        <v>192</v>
      </c>
      <c r="E109" s="321">
        <v>214</v>
      </c>
      <c r="F109" s="322">
        <v>217</v>
      </c>
      <c r="G109" s="321">
        <v>159</v>
      </c>
      <c r="H109" s="321">
        <v>144</v>
      </c>
      <c r="I109" s="321">
        <v>197</v>
      </c>
      <c r="J109" s="322">
        <v>159</v>
      </c>
      <c r="K109" s="79">
        <v>8.6061819653622475E-4</v>
      </c>
      <c r="L109" s="80">
        <v>1.5699742426100822E-3</v>
      </c>
      <c r="M109" s="80">
        <v>1.9209019262876326E-3</v>
      </c>
      <c r="N109" s="58">
        <v>6.5435356200527705E-4</v>
      </c>
      <c r="O109" s="79">
        <v>8.2558803676203334E-4</v>
      </c>
      <c r="P109" s="80">
        <v>1.2838114936790115E-3</v>
      </c>
      <c r="Q109" s="80">
        <v>1.9147591971618797E-3</v>
      </c>
      <c r="R109" s="58">
        <v>5.6020237751298332E-4</v>
      </c>
    </row>
    <row r="110" spans="1:18" ht="15" customHeight="1" x14ac:dyDescent="0.4">
      <c r="A110" s="610"/>
      <c r="B110" s="343" t="s">
        <v>119</v>
      </c>
      <c r="C110" s="321">
        <v>408</v>
      </c>
      <c r="D110" s="321">
        <v>190</v>
      </c>
      <c r="E110" s="321">
        <v>192</v>
      </c>
      <c r="F110" s="322">
        <v>657</v>
      </c>
      <c r="G110" s="321">
        <v>381</v>
      </c>
      <c r="H110" s="321">
        <v>129</v>
      </c>
      <c r="I110" s="321">
        <v>160</v>
      </c>
      <c r="J110" s="322">
        <v>537</v>
      </c>
      <c r="K110" s="79">
        <v>1.7382783375583155E-3</v>
      </c>
      <c r="L110" s="80">
        <v>1.5536203442495604E-3</v>
      </c>
      <c r="M110" s="80">
        <v>1.7234260273234834E-3</v>
      </c>
      <c r="N110" s="58">
        <v>1.9811534112325669E-3</v>
      </c>
      <c r="O110" s="79">
        <v>1.9782958616750609E-3</v>
      </c>
      <c r="P110" s="80">
        <v>1.1500811297541144E-3</v>
      </c>
      <c r="Q110" s="80">
        <v>1.5551343733294456E-3</v>
      </c>
      <c r="R110" s="58">
        <v>1.892004256128755E-3</v>
      </c>
    </row>
    <row r="111" spans="1:18" ht="15" customHeight="1" x14ac:dyDescent="0.4">
      <c r="A111" s="610"/>
      <c r="B111" s="343" t="s">
        <v>120</v>
      </c>
      <c r="C111" s="321">
        <v>1080</v>
      </c>
      <c r="D111" s="321">
        <v>284</v>
      </c>
      <c r="E111" s="321">
        <v>258</v>
      </c>
      <c r="F111" s="322">
        <v>2640</v>
      </c>
      <c r="G111" s="321">
        <v>1020</v>
      </c>
      <c r="H111" s="321">
        <v>263</v>
      </c>
      <c r="I111" s="321">
        <v>290</v>
      </c>
      <c r="J111" s="322">
        <v>2280</v>
      </c>
      <c r="K111" s="79">
        <v>4.601325011183776E-3</v>
      </c>
      <c r="L111" s="80">
        <v>2.3222535671940797E-3</v>
      </c>
      <c r="M111" s="80">
        <v>2.3158537242159308E-3</v>
      </c>
      <c r="N111" s="58">
        <v>7.9607990953637388E-3</v>
      </c>
      <c r="O111" s="79">
        <v>5.2962251414922891E-3</v>
      </c>
      <c r="P111" s="80">
        <v>2.3447390474831947E-3</v>
      </c>
      <c r="Q111" s="80">
        <v>2.8186810516596201E-3</v>
      </c>
      <c r="R111" s="58">
        <v>8.0330906964125905E-3</v>
      </c>
    </row>
    <row r="112" spans="1:18" ht="15" customHeight="1" x14ac:dyDescent="0.4">
      <c r="A112" s="610"/>
      <c r="B112" s="343" t="s">
        <v>121</v>
      </c>
      <c r="C112" s="321">
        <v>2127</v>
      </c>
      <c r="D112" s="321">
        <v>478</v>
      </c>
      <c r="E112" s="321">
        <v>406</v>
      </c>
      <c r="F112" s="322">
        <v>3957</v>
      </c>
      <c r="G112" s="321">
        <v>1816</v>
      </c>
      <c r="H112" s="321">
        <v>443</v>
      </c>
      <c r="I112" s="321">
        <v>422</v>
      </c>
      <c r="J112" s="322">
        <v>3456</v>
      </c>
      <c r="K112" s="79">
        <v>9.0620539803591589E-3</v>
      </c>
      <c r="L112" s="80">
        <v>3.9085817081646835E-3</v>
      </c>
      <c r="M112" s="80">
        <v>3.644327953611116E-3</v>
      </c>
      <c r="N112" s="58">
        <v>1.1932152280437241E-2</v>
      </c>
      <c r="O112" s="79">
        <v>9.4293577028921535E-3</v>
      </c>
      <c r="P112" s="80">
        <v>3.9495034145819591E-3</v>
      </c>
      <c r="Q112" s="80">
        <v>4.1016669096564122E-3</v>
      </c>
      <c r="R112" s="58">
        <v>1.217647431877277E-2</v>
      </c>
    </row>
    <row r="113" spans="1:18" ht="15" customHeight="1" x14ac:dyDescent="0.4">
      <c r="A113" s="610"/>
      <c r="B113" s="343" t="s">
        <v>122</v>
      </c>
      <c r="C113" s="321">
        <v>2226</v>
      </c>
      <c r="D113" s="321">
        <v>575</v>
      </c>
      <c r="E113" s="321">
        <v>475</v>
      </c>
      <c r="F113" s="322">
        <v>2921</v>
      </c>
      <c r="G113" s="321">
        <v>1892</v>
      </c>
      <c r="H113" s="321">
        <v>509</v>
      </c>
      <c r="I113" s="321">
        <v>514</v>
      </c>
      <c r="J113" s="322">
        <v>2610</v>
      </c>
      <c r="K113" s="79">
        <v>9.4838421063843381E-3</v>
      </c>
      <c r="L113" s="80">
        <v>4.7017457786499859E-3</v>
      </c>
      <c r="M113" s="80">
        <v>4.2636841821804931E-3</v>
      </c>
      <c r="N113" s="58">
        <v>8.808141726347531E-3</v>
      </c>
      <c r="O113" s="79">
        <v>9.8239783997092264E-3</v>
      </c>
      <c r="P113" s="80">
        <v>4.5379170158515057E-3</v>
      </c>
      <c r="Q113" s="80">
        <v>4.9958691743208434E-3</v>
      </c>
      <c r="R113" s="58">
        <v>9.1957748761565192E-3</v>
      </c>
    </row>
    <row r="114" spans="1:18" ht="15" customHeight="1" x14ac:dyDescent="0.4">
      <c r="A114" s="610"/>
      <c r="B114" s="343" t="s">
        <v>123</v>
      </c>
      <c r="C114" s="321">
        <v>2059</v>
      </c>
      <c r="D114" s="321">
        <v>660</v>
      </c>
      <c r="E114" s="321">
        <v>578</v>
      </c>
      <c r="F114" s="322">
        <v>2740</v>
      </c>
      <c r="G114" s="321">
        <v>1807</v>
      </c>
      <c r="H114" s="321">
        <v>616</v>
      </c>
      <c r="I114" s="321">
        <v>579</v>
      </c>
      <c r="J114" s="322">
        <v>2346</v>
      </c>
      <c r="K114" s="79">
        <v>8.7723409240994393E-3</v>
      </c>
      <c r="L114" s="80">
        <v>5.3967864589721578E-3</v>
      </c>
      <c r="M114" s="80">
        <v>5.1882304364217367E-3</v>
      </c>
      <c r="N114" s="58">
        <v>8.2623445156426688E-3</v>
      </c>
      <c r="O114" s="79">
        <v>9.3826263045848693E-3</v>
      </c>
      <c r="P114" s="80">
        <v>5.4918602785157715E-3</v>
      </c>
      <c r="Q114" s="80">
        <v>5.6276425134859313E-3</v>
      </c>
      <c r="R114" s="58">
        <v>8.2656275323613766E-3</v>
      </c>
    </row>
    <row r="115" spans="1:18" ht="15" customHeight="1" x14ac:dyDescent="0.4">
      <c r="A115" s="610"/>
      <c r="B115" s="343" t="s">
        <v>124</v>
      </c>
      <c r="C115" s="321">
        <v>2133</v>
      </c>
      <c r="D115" s="321">
        <v>637</v>
      </c>
      <c r="E115" s="321">
        <v>610</v>
      </c>
      <c r="F115" s="322">
        <v>2573</v>
      </c>
      <c r="G115" s="321">
        <v>1706</v>
      </c>
      <c r="H115" s="321">
        <v>612</v>
      </c>
      <c r="I115" s="321">
        <v>610</v>
      </c>
      <c r="J115" s="322">
        <v>2147</v>
      </c>
      <c r="K115" s="79">
        <v>9.0876168970879575E-3</v>
      </c>
      <c r="L115" s="80">
        <v>5.2087166278261578E-3</v>
      </c>
      <c r="M115" s="80">
        <v>5.4754681076423176E-3</v>
      </c>
      <c r="N115" s="58">
        <v>7.7587636637768565E-3</v>
      </c>
      <c r="O115" s="79">
        <v>8.8581961680253389E-3</v>
      </c>
      <c r="P115" s="80">
        <v>5.4561988481357983E-3</v>
      </c>
      <c r="Q115" s="80">
        <v>5.9289497983185113E-3</v>
      </c>
      <c r="R115" s="58">
        <v>7.564493739121856E-3</v>
      </c>
    </row>
    <row r="116" spans="1:18" ht="15" customHeight="1" x14ac:dyDescent="0.4">
      <c r="A116" s="610"/>
      <c r="B116" s="343" t="s">
        <v>125</v>
      </c>
      <c r="C116" s="321">
        <v>2135</v>
      </c>
      <c r="D116" s="321">
        <v>639</v>
      </c>
      <c r="E116" s="321">
        <v>679</v>
      </c>
      <c r="F116" s="322">
        <v>2527</v>
      </c>
      <c r="G116" s="321">
        <v>1702</v>
      </c>
      <c r="H116" s="321">
        <v>646</v>
      </c>
      <c r="I116" s="321">
        <v>625</v>
      </c>
      <c r="J116" s="322">
        <v>2257</v>
      </c>
      <c r="K116" s="79">
        <v>9.0961378693308909E-3</v>
      </c>
      <c r="L116" s="80">
        <v>5.2250705261866794E-3</v>
      </c>
      <c r="M116" s="80">
        <v>6.0948243362116943E-3</v>
      </c>
      <c r="N116" s="58">
        <v>7.6200527704485491E-3</v>
      </c>
      <c r="O116" s="79">
        <v>8.8374266576665451E-3</v>
      </c>
      <c r="P116" s="80">
        <v>5.7593210063655656E-3</v>
      </c>
      <c r="Q116" s="80">
        <v>6.0747436458181469E-3</v>
      </c>
      <c r="R116" s="58">
        <v>7.9520551323698316E-3</v>
      </c>
    </row>
    <row r="117" spans="1:18" ht="15" customHeight="1" x14ac:dyDescent="0.4">
      <c r="A117" s="610"/>
      <c r="B117" s="343" t="s">
        <v>126</v>
      </c>
      <c r="C117" s="321">
        <v>2206</v>
      </c>
      <c r="D117" s="321">
        <v>696</v>
      </c>
      <c r="E117" s="321">
        <v>684</v>
      </c>
      <c r="F117" s="322">
        <v>2674</v>
      </c>
      <c r="G117" s="321">
        <v>1751</v>
      </c>
      <c r="H117" s="321">
        <v>660</v>
      </c>
      <c r="I117" s="321">
        <v>683</v>
      </c>
      <c r="J117" s="322">
        <v>2133</v>
      </c>
      <c r="K117" s="79">
        <v>9.3986323839550089E-3</v>
      </c>
      <c r="L117" s="80">
        <v>5.6911566294615482E-3</v>
      </c>
      <c r="M117" s="80">
        <v>6.13970522233991E-3</v>
      </c>
      <c r="N117" s="58">
        <v>8.063324538258575E-3</v>
      </c>
      <c r="O117" s="79">
        <v>9.0918531595617635E-3</v>
      </c>
      <c r="P117" s="80">
        <v>5.8841360126954696E-3</v>
      </c>
      <c r="Q117" s="80">
        <v>6.6384798561500702E-3</v>
      </c>
      <c r="R117" s="58">
        <v>7.5151677436175682E-3</v>
      </c>
    </row>
    <row r="118" spans="1:18" ht="15" customHeight="1" x14ac:dyDescent="0.4">
      <c r="A118" s="610"/>
      <c r="B118" s="343" t="s">
        <v>127</v>
      </c>
      <c r="C118" s="321">
        <v>2239</v>
      </c>
      <c r="D118" s="321">
        <v>637</v>
      </c>
      <c r="E118" s="321">
        <v>731</v>
      </c>
      <c r="F118" s="322">
        <v>2671</v>
      </c>
      <c r="G118" s="321">
        <v>1763</v>
      </c>
      <c r="H118" s="321">
        <v>628</v>
      </c>
      <c r="I118" s="321">
        <v>719</v>
      </c>
      <c r="J118" s="322">
        <v>2324</v>
      </c>
      <c r="K118" s="79">
        <v>9.539228425963402E-3</v>
      </c>
      <c r="L118" s="80">
        <v>5.2087166278261578E-3</v>
      </c>
      <c r="M118" s="80">
        <v>6.561585551945138E-3</v>
      </c>
      <c r="N118" s="58">
        <v>8.0542781756502077E-3</v>
      </c>
      <c r="O118" s="79">
        <v>9.1541616906381431E-3</v>
      </c>
      <c r="P118" s="80">
        <v>5.5988445696556885E-3</v>
      </c>
      <c r="Q118" s="80">
        <v>6.988385090149196E-3</v>
      </c>
      <c r="R118" s="58">
        <v>8.1881152537117818E-3</v>
      </c>
    </row>
    <row r="119" spans="1:18" ht="15" customHeight="1" x14ac:dyDescent="0.4">
      <c r="A119" s="610"/>
      <c r="B119" s="343" t="s">
        <v>128</v>
      </c>
      <c r="C119" s="321">
        <v>2635</v>
      </c>
      <c r="D119" s="321">
        <v>744</v>
      </c>
      <c r="E119" s="321">
        <v>772</v>
      </c>
      <c r="F119" s="322">
        <v>2944</v>
      </c>
      <c r="G119" s="321">
        <v>2144</v>
      </c>
      <c r="H119" s="321">
        <v>691</v>
      </c>
      <c r="I119" s="321">
        <v>736</v>
      </c>
      <c r="J119" s="322">
        <v>2518</v>
      </c>
      <c r="K119" s="79">
        <v>1.1226380930064121E-2</v>
      </c>
      <c r="L119" s="80">
        <v>6.0836501901140681E-3</v>
      </c>
      <c r="M119" s="80">
        <v>6.9296088181965065E-3</v>
      </c>
      <c r="N119" s="58">
        <v>8.8774971730116847E-3</v>
      </c>
      <c r="O119" s="79">
        <v>1.1132457552313204E-2</v>
      </c>
      <c r="P119" s="80">
        <v>6.1605120981402563E-3</v>
      </c>
      <c r="Q119" s="80">
        <v>7.1536181173154495E-3</v>
      </c>
      <c r="R119" s="58">
        <v>8.8716326199854839E-3</v>
      </c>
    </row>
    <row r="120" spans="1:18" ht="15" customHeight="1" x14ac:dyDescent="0.4">
      <c r="A120" s="610"/>
      <c r="B120" s="343" t="s">
        <v>129</v>
      </c>
      <c r="C120" s="321">
        <v>2812</v>
      </c>
      <c r="D120" s="321">
        <v>750</v>
      </c>
      <c r="E120" s="321">
        <v>843</v>
      </c>
      <c r="F120" s="322">
        <v>2414</v>
      </c>
      <c r="G120" s="321">
        <v>2231</v>
      </c>
      <c r="H120" s="321">
        <v>652</v>
      </c>
      <c r="I120" s="321">
        <v>730</v>
      </c>
      <c r="J120" s="322">
        <v>1986</v>
      </c>
      <c r="K120" s="79">
        <v>1.1980486973563683E-2</v>
      </c>
      <c r="L120" s="80">
        <v>6.1327118851956337E-3</v>
      </c>
      <c r="M120" s="80">
        <v>7.56691740121717E-3</v>
      </c>
      <c r="N120" s="58">
        <v>7.2793064455333586E-3</v>
      </c>
      <c r="O120" s="79">
        <v>1.1584194402616958E-2</v>
      </c>
      <c r="P120" s="80">
        <v>5.8128131519355241E-3</v>
      </c>
      <c r="Q120" s="80">
        <v>7.0953005783155948E-3</v>
      </c>
      <c r="R120" s="58">
        <v>6.997244790822546E-3</v>
      </c>
    </row>
    <row r="121" spans="1:18" ht="15" customHeight="1" x14ac:dyDescent="0.4">
      <c r="A121" s="610"/>
      <c r="B121" s="343" t="s">
        <v>130</v>
      </c>
      <c r="C121" s="321">
        <v>3067</v>
      </c>
      <c r="D121" s="321">
        <v>745</v>
      </c>
      <c r="E121" s="321">
        <v>835</v>
      </c>
      <c r="F121" s="322">
        <v>2203</v>
      </c>
      <c r="G121" s="321">
        <v>2194</v>
      </c>
      <c r="H121" s="321">
        <v>746</v>
      </c>
      <c r="I121" s="321">
        <v>782</v>
      </c>
      <c r="J121" s="322">
        <v>1825</v>
      </c>
      <c r="K121" s="79">
        <v>1.3066910934537631E-2</v>
      </c>
      <c r="L121" s="80">
        <v>6.0918271392943289E-3</v>
      </c>
      <c r="M121" s="80">
        <v>7.4951079834120245E-3</v>
      </c>
      <c r="N121" s="58">
        <v>6.6430456087448169E-3</v>
      </c>
      <c r="O121" s="79">
        <v>1.1392076431798121E-2</v>
      </c>
      <c r="P121" s="80">
        <v>6.6508567658648786E-3</v>
      </c>
      <c r="Q121" s="80">
        <v>7.6007192496476651E-3</v>
      </c>
      <c r="R121" s="58">
        <v>6.4299958425232361E-3</v>
      </c>
    </row>
    <row r="122" spans="1:18" ht="15" customHeight="1" x14ac:dyDescent="0.4">
      <c r="A122" s="610"/>
      <c r="B122" s="343" t="s">
        <v>131</v>
      </c>
      <c r="C122" s="321">
        <v>2733</v>
      </c>
      <c r="D122" s="321">
        <v>781</v>
      </c>
      <c r="E122" s="321">
        <v>823</v>
      </c>
      <c r="F122" s="322">
        <v>2144</v>
      </c>
      <c r="G122" s="321">
        <v>2026</v>
      </c>
      <c r="H122" s="321">
        <v>711</v>
      </c>
      <c r="I122" s="321">
        <v>713</v>
      </c>
      <c r="J122" s="322">
        <v>1726</v>
      </c>
      <c r="K122" s="79">
        <v>1.1643908569967833E-2</v>
      </c>
      <c r="L122" s="80">
        <v>6.3861973097837201E-3</v>
      </c>
      <c r="M122" s="80">
        <v>7.3873938567043064E-3</v>
      </c>
      <c r="N122" s="58">
        <v>6.465133810780249E-3</v>
      </c>
      <c r="O122" s="79">
        <v>1.0519756996728802E-2</v>
      </c>
      <c r="P122" s="80">
        <v>6.3388192500401187E-3</v>
      </c>
      <c r="Q122" s="80">
        <v>6.9300675511493413E-3</v>
      </c>
      <c r="R122" s="58">
        <v>6.0811905886000578E-3</v>
      </c>
    </row>
    <row r="123" spans="1:18" ht="15" customHeight="1" x14ac:dyDescent="0.4">
      <c r="A123" s="610"/>
      <c r="B123" s="343" t="s">
        <v>132</v>
      </c>
      <c r="C123" s="321">
        <v>2223</v>
      </c>
      <c r="D123" s="321">
        <v>864</v>
      </c>
      <c r="E123" s="321">
        <v>888</v>
      </c>
      <c r="F123" s="322">
        <v>1883</v>
      </c>
      <c r="G123" s="321">
        <v>1753</v>
      </c>
      <c r="H123" s="321">
        <v>733</v>
      </c>
      <c r="I123" s="321">
        <v>764</v>
      </c>
      <c r="J123" s="322">
        <v>1579</v>
      </c>
      <c r="K123" s="79">
        <v>9.4710606480199397E-3</v>
      </c>
      <c r="L123" s="80">
        <v>7.0648840917453696E-3</v>
      </c>
      <c r="M123" s="80">
        <v>7.9708453763711103E-3</v>
      </c>
      <c r="N123" s="58">
        <v>5.6781002638522432E-3</v>
      </c>
      <c r="O123" s="79">
        <v>9.1022379147411604E-3</v>
      </c>
      <c r="P123" s="80">
        <v>6.5349571171299681E-3</v>
      </c>
      <c r="Q123" s="80">
        <v>7.4257666326481026E-3</v>
      </c>
      <c r="R123" s="58">
        <v>5.5632676358050356E-3</v>
      </c>
    </row>
    <row r="124" spans="1:18" ht="15" customHeight="1" x14ac:dyDescent="0.4">
      <c r="A124" s="610"/>
      <c r="B124" s="343" t="s">
        <v>133</v>
      </c>
      <c r="C124" s="321">
        <v>1789</v>
      </c>
      <c r="D124" s="321">
        <v>841</v>
      </c>
      <c r="E124" s="321">
        <v>902</v>
      </c>
      <c r="F124" s="322">
        <v>1473</v>
      </c>
      <c r="G124" s="321">
        <v>1306</v>
      </c>
      <c r="H124" s="321">
        <v>773</v>
      </c>
      <c r="I124" s="321">
        <v>794</v>
      </c>
      <c r="J124" s="322">
        <v>1158</v>
      </c>
      <c r="K124" s="79">
        <v>7.6220096713034953E-3</v>
      </c>
      <c r="L124" s="80">
        <v>6.8768142605993704E-3</v>
      </c>
      <c r="M124" s="80">
        <v>8.0965118575301153E-3</v>
      </c>
      <c r="N124" s="58">
        <v>4.4417640407086317E-3</v>
      </c>
      <c r="O124" s="79">
        <v>6.7812451321460094E-3</v>
      </c>
      <c r="P124" s="80">
        <v>6.8915714209296939E-3</v>
      </c>
      <c r="Q124" s="80">
        <v>7.7173543276473737E-3</v>
      </c>
      <c r="R124" s="58">
        <v>4.0799644852832365E-3</v>
      </c>
    </row>
    <row r="125" spans="1:18" ht="15" customHeight="1" x14ac:dyDescent="0.4">
      <c r="A125" s="610"/>
      <c r="B125" s="343" t="s">
        <v>134</v>
      </c>
      <c r="C125" s="321">
        <v>1199</v>
      </c>
      <c r="D125" s="321">
        <v>849</v>
      </c>
      <c r="E125" s="321">
        <v>931</v>
      </c>
      <c r="F125" s="322">
        <v>864</v>
      </c>
      <c r="G125" s="321">
        <v>947</v>
      </c>
      <c r="H125" s="321">
        <v>833</v>
      </c>
      <c r="I125" s="321">
        <v>838</v>
      </c>
      <c r="J125" s="322">
        <v>710</v>
      </c>
      <c r="K125" s="79">
        <v>5.1083228596382844E-3</v>
      </c>
      <c r="L125" s="80">
        <v>6.9422298540414568E-3</v>
      </c>
      <c r="M125" s="80">
        <v>8.3568209970737665E-3</v>
      </c>
      <c r="N125" s="58">
        <v>2.605352431209951E-3</v>
      </c>
      <c r="O125" s="79">
        <v>4.9171815774443116E-3</v>
      </c>
      <c r="P125" s="80">
        <v>7.426492876629282E-3</v>
      </c>
      <c r="Q125" s="80">
        <v>8.1450162803129705E-3</v>
      </c>
      <c r="R125" s="58">
        <v>2.501532629146026E-3</v>
      </c>
    </row>
    <row r="126" spans="1:18" ht="15" customHeight="1" thickBot="1" x14ac:dyDescent="0.45">
      <c r="A126" s="611"/>
      <c r="B126" s="343" t="s">
        <v>135</v>
      </c>
      <c r="C126" s="321">
        <v>985</v>
      </c>
      <c r="D126" s="321">
        <v>1054</v>
      </c>
      <c r="E126" s="321">
        <v>974</v>
      </c>
      <c r="F126" s="322">
        <v>381</v>
      </c>
      <c r="G126" s="321">
        <v>710</v>
      </c>
      <c r="H126" s="321">
        <v>904</v>
      </c>
      <c r="I126" s="321">
        <v>825</v>
      </c>
      <c r="J126" s="322">
        <v>319</v>
      </c>
      <c r="K126" s="81">
        <v>4.1965788296444628E-3</v>
      </c>
      <c r="L126" s="82">
        <v>8.6185044359949302E-3</v>
      </c>
      <c r="M126" s="82">
        <v>8.7427966177764209E-3</v>
      </c>
      <c r="N126" s="83">
        <v>1.1488880512627215E-3</v>
      </c>
      <c r="O126" s="81">
        <v>3.6865880886858093E-3</v>
      </c>
      <c r="P126" s="82">
        <v>8.0594832658737944E-3</v>
      </c>
      <c r="Q126" s="82">
        <v>8.0186616124799538E-3</v>
      </c>
      <c r="R126" s="83">
        <v>1.12392804041913E-3</v>
      </c>
    </row>
    <row r="127" spans="1:18" ht="15" customHeight="1" x14ac:dyDescent="0.4">
      <c r="A127" s="609" t="s">
        <v>94</v>
      </c>
      <c r="B127" s="344" t="s">
        <v>112</v>
      </c>
      <c r="C127" s="319">
        <v>736</v>
      </c>
      <c r="D127" s="319">
        <v>1255</v>
      </c>
      <c r="E127" s="319">
        <v>920</v>
      </c>
      <c r="F127" s="320">
        <v>196</v>
      </c>
      <c r="G127" s="319">
        <v>632</v>
      </c>
      <c r="H127" s="319">
        <v>1129</v>
      </c>
      <c r="I127" s="319">
        <v>784</v>
      </c>
      <c r="J127" s="320">
        <v>132</v>
      </c>
      <c r="K127" s="76">
        <v>3.1357177853993143E-3</v>
      </c>
      <c r="L127" s="77">
        <v>1.026207122122736E-2</v>
      </c>
      <c r="M127" s="77">
        <v>8.2580830475916921E-3</v>
      </c>
      <c r="N127" s="78">
        <v>5.9102902374670184E-4</v>
      </c>
      <c r="O127" s="76">
        <v>3.28158263668934E-3</v>
      </c>
      <c r="P127" s="77">
        <v>1.006543872474725E-2</v>
      </c>
      <c r="Q127" s="77">
        <v>7.620158429314283E-3</v>
      </c>
      <c r="R127" s="78">
        <v>4.6507367189757104E-4</v>
      </c>
    </row>
    <row r="128" spans="1:18" ht="15" customHeight="1" x14ac:dyDescent="0.4">
      <c r="A128" s="610"/>
      <c r="B128" s="343" t="s">
        <v>113</v>
      </c>
      <c r="C128" s="321">
        <v>608</v>
      </c>
      <c r="D128" s="321">
        <v>1500</v>
      </c>
      <c r="E128" s="321">
        <v>851</v>
      </c>
      <c r="F128" s="322">
        <v>89</v>
      </c>
      <c r="G128" s="321">
        <v>538</v>
      </c>
      <c r="H128" s="321">
        <v>1332</v>
      </c>
      <c r="I128" s="321">
        <v>726</v>
      </c>
      <c r="J128" s="322">
        <v>74</v>
      </c>
      <c r="K128" s="79">
        <v>2.5903755618516071E-3</v>
      </c>
      <c r="L128" s="80">
        <v>1.2265423770391267E-2</v>
      </c>
      <c r="M128" s="80">
        <v>7.6387268190223146E-3</v>
      </c>
      <c r="N128" s="58">
        <v>2.6837542404824726E-4</v>
      </c>
      <c r="O128" s="79">
        <v>2.7934991432576979E-3</v>
      </c>
      <c r="P128" s="80">
        <v>1.1875256316530856E-2</v>
      </c>
      <c r="Q128" s="80">
        <v>7.0564222189823589E-3</v>
      </c>
      <c r="R128" s="58">
        <v>2.6072311909409285E-4</v>
      </c>
    </row>
    <row r="129" spans="1:18" ht="15" customHeight="1" x14ac:dyDescent="0.4">
      <c r="A129" s="610"/>
      <c r="B129" s="343" t="s">
        <v>114</v>
      </c>
      <c r="C129" s="321">
        <v>472</v>
      </c>
      <c r="D129" s="321">
        <v>1683</v>
      </c>
      <c r="E129" s="321">
        <v>770</v>
      </c>
      <c r="F129" s="322">
        <v>61</v>
      </c>
      <c r="G129" s="321">
        <v>396</v>
      </c>
      <c r="H129" s="321">
        <v>1455</v>
      </c>
      <c r="I129" s="321">
        <v>642</v>
      </c>
      <c r="J129" s="322">
        <v>68</v>
      </c>
      <c r="K129" s="79">
        <v>2.0109494493321689E-3</v>
      </c>
      <c r="L129" s="80">
        <v>1.3761805470379002E-2</v>
      </c>
      <c r="M129" s="80">
        <v>6.9116564637452206E-3</v>
      </c>
      <c r="N129" s="58">
        <v>1.8394270637014701E-4</v>
      </c>
      <c r="O129" s="79">
        <v>2.0561815255205357E-3</v>
      </c>
      <c r="P129" s="80">
        <v>1.2971845300715011E-2</v>
      </c>
      <c r="Q129" s="80">
        <v>6.2399766729844004E-3</v>
      </c>
      <c r="R129" s="58">
        <v>2.3958340673511236E-4</v>
      </c>
    </row>
    <row r="130" spans="1:18" ht="15" customHeight="1" x14ac:dyDescent="0.4">
      <c r="A130" s="610"/>
      <c r="B130" s="343" t="s">
        <v>115</v>
      </c>
      <c r="C130" s="321">
        <v>371</v>
      </c>
      <c r="D130" s="321">
        <v>1575</v>
      </c>
      <c r="E130" s="321">
        <v>648</v>
      </c>
      <c r="F130" s="322">
        <v>51</v>
      </c>
      <c r="G130" s="321">
        <v>289</v>
      </c>
      <c r="H130" s="321">
        <v>1437</v>
      </c>
      <c r="I130" s="321">
        <v>573</v>
      </c>
      <c r="J130" s="322">
        <v>35</v>
      </c>
      <c r="K130" s="79">
        <v>1.5806403510640564E-3</v>
      </c>
      <c r="L130" s="80">
        <v>1.2878694958910831E-2</v>
      </c>
      <c r="M130" s="80">
        <v>5.8165628422167564E-3</v>
      </c>
      <c r="N130" s="58">
        <v>1.5378816434225405E-4</v>
      </c>
      <c r="O130" s="79">
        <v>1.5005971234228154E-3</v>
      </c>
      <c r="P130" s="80">
        <v>1.2811368864005135E-2</v>
      </c>
      <c r="Q130" s="80">
        <v>5.5693249744860765E-3</v>
      </c>
      <c r="R130" s="58">
        <v>1.2331498876071959E-4</v>
      </c>
    </row>
    <row r="131" spans="1:18" ht="15" customHeight="1" x14ac:dyDescent="0.4">
      <c r="A131" s="610"/>
      <c r="B131" s="343" t="s">
        <v>116</v>
      </c>
      <c r="C131" s="321">
        <v>322</v>
      </c>
      <c r="D131" s="321">
        <v>1557</v>
      </c>
      <c r="E131" s="321">
        <v>624</v>
      </c>
      <c r="F131" s="322">
        <v>42</v>
      </c>
      <c r="G131" s="321">
        <v>264</v>
      </c>
      <c r="H131" s="321">
        <v>1311</v>
      </c>
      <c r="I131" s="321">
        <v>529</v>
      </c>
      <c r="J131" s="322">
        <v>35</v>
      </c>
      <c r="K131" s="79">
        <v>1.3718765311122E-3</v>
      </c>
      <c r="L131" s="80">
        <v>1.2731509873666134E-2</v>
      </c>
      <c r="M131" s="80">
        <v>5.6011345888013209E-3</v>
      </c>
      <c r="N131" s="58">
        <v>1.2664907651715039E-4</v>
      </c>
      <c r="O131" s="79">
        <v>1.3707876836803572E-3</v>
      </c>
      <c r="P131" s="80">
        <v>1.1688033807036001E-2</v>
      </c>
      <c r="Q131" s="80">
        <v>5.1416630218204789E-3</v>
      </c>
      <c r="R131" s="58">
        <v>1.2331498876071959E-4</v>
      </c>
    </row>
    <row r="132" spans="1:18" ht="15" customHeight="1" x14ac:dyDescent="0.4">
      <c r="A132" s="610"/>
      <c r="B132" s="343" t="s">
        <v>117</v>
      </c>
      <c r="C132" s="321">
        <v>284</v>
      </c>
      <c r="D132" s="321">
        <v>1121</v>
      </c>
      <c r="E132" s="321">
        <v>531</v>
      </c>
      <c r="F132" s="322">
        <v>45</v>
      </c>
      <c r="G132" s="321">
        <v>241</v>
      </c>
      <c r="H132" s="321">
        <v>967</v>
      </c>
      <c r="I132" s="321">
        <v>513</v>
      </c>
      <c r="J132" s="322">
        <v>41</v>
      </c>
      <c r="K132" s="79">
        <v>1.2099780584964744E-3</v>
      </c>
      <c r="L132" s="80">
        <v>9.1663600310724069E-3</v>
      </c>
      <c r="M132" s="80">
        <v>4.7663501068165087E-3</v>
      </c>
      <c r="N132" s="58">
        <v>1.3569543912551828E-4</v>
      </c>
      <c r="O132" s="79">
        <v>1.2513629991172958E-3</v>
      </c>
      <c r="P132" s="80">
        <v>8.6211507943583614E-3</v>
      </c>
      <c r="Q132" s="80">
        <v>4.9861495844875344E-3</v>
      </c>
      <c r="R132" s="58">
        <v>1.4445470111970011E-4</v>
      </c>
    </row>
    <row r="133" spans="1:18" ht="15" customHeight="1" x14ac:dyDescent="0.4">
      <c r="A133" s="610"/>
      <c r="B133" s="343" t="s">
        <v>118</v>
      </c>
      <c r="C133" s="321">
        <v>247</v>
      </c>
      <c r="D133" s="321">
        <v>637</v>
      </c>
      <c r="E133" s="321">
        <v>310</v>
      </c>
      <c r="F133" s="322">
        <v>113</v>
      </c>
      <c r="G133" s="321">
        <v>212</v>
      </c>
      <c r="H133" s="321">
        <v>541</v>
      </c>
      <c r="I133" s="321">
        <v>304</v>
      </c>
      <c r="J133" s="322">
        <v>84</v>
      </c>
      <c r="K133" s="79">
        <v>1.0523400720022155E-3</v>
      </c>
      <c r="L133" s="80">
        <v>5.2087166278261578E-3</v>
      </c>
      <c r="M133" s="80">
        <v>2.7826149399493745E-3</v>
      </c>
      <c r="N133" s="58">
        <v>3.4074632491519035E-4</v>
      </c>
      <c r="O133" s="79">
        <v>1.1007840490160445E-3</v>
      </c>
      <c r="P133" s="80">
        <v>4.8232084588912859E-3</v>
      </c>
      <c r="Q133" s="80">
        <v>2.9547553093259462E-3</v>
      </c>
      <c r="R133" s="58">
        <v>2.9595597302572703E-4</v>
      </c>
    </row>
    <row r="134" spans="1:18" ht="15" customHeight="1" x14ac:dyDescent="0.4">
      <c r="A134" s="610"/>
      <c r="B134" s="343" t="s">
        <v>119</v>
      </c>
      <c r="C134" s="321">
        <v>381</v>
      </c>
      <c r="D134" s="321">
        <v>418</v>
      </c>
      <c r="E134" s="321">
        <v>245</v>
      </c>
      <c r="F134" s="322">
        <v>302</v>
      </c>
      <c r="G134" s="321">
        <v>325</v>
      </c>
      <c r="H134" s="321">
        <v>394</v>
      </c>
      <c r="I134" s="321">
        <v>253</v>
      </c>
      <c r="J134" s="322">
        <v>283</v>
      </c>
      <c r="K134" s="79">
        <v>1.623245212278721E-3</v>
      </c>
      <c r="L134" s="80">
        <v>3.4179647573490332E-3</v>
      </c>
      <c r="M134" s="80">
        <v>2.1991634202825701E-3</v>
      </c>
      <c r="N134" s="58">
        <v>9.1066716924236718E-4</v>
      </c>
      <c r="O134" s="79">
        <v>1.6875227166519549E-3</v>
      </c>
      <c r="P134" s="80">
        <v>3.5126508924272952E-3</v>
      </c>
      <c r="Q134" s="80">
        <v>2.4590562278271858E-3</v>
      </c>
      <c r="R134" s="58">
        <v>9.9708976626524705E-4</v>
      </c>
    </row>
    <row r="135" spans="1:18" ht="15" customHeight="1" x14ac:dyDescent="0.4">
      <c r="A135" s="610"/>
      <c r="B135" s="343" t="s">
        <v>120</v>
      </c>
      <c r="C135" s="321">
        <v>733</v>
      </c>
      <c r="D135" s="321">
        <v>447</v>
      </c>
      <c r="E135" s="321">
        <v>385</v>
      </c>
      <c r="F135" s="322">
        <v>977</v>
      </c>
      <c r="G135" s="321">
        <v>721</v>
      </c>
      <c r="H135" s="321">
        <v>465</v>
      </c>
      <c r="I135" s="321">
        <v>320</v>
      </c>
      <c r="J135" s="322">
        <v>1086</v>
      </c>
      <c r="K135" s="79">
        <v>3.1229363270349145E-3</v>
      </c>
      <c r="L135" s="80">
        <v>3.6550962835765976E-3</v>
      </c>
      <c r="M135" s="80">
        <v>3.4558282318726103E-3</v>
      </c>
      <c r="N135" s="58">
        <v>2.9460987561251415E-3</v>
      </c>
      <c r="O135" s="79">
        <v>3.7437042421724909E-3</v>
      </c>
      <c r="P135" s="80">
        <v>4.1456412816718077E-3</v>
      </c>
      <c r="Q135" s="80">
        <v>3.1102687466588912E-3</v>
      </c>
      <c r="R135" s="58">
        <v>3.826287936975471E-3</v>
      </c>
    </row>
    <row r="136" spans="1:18" ht="15" customHeight="1" x14ac:dyDescent="0.4">
      <c r="A136" s="610"/>
      <c r="B136" s="343" t="s">
        <v>121</v>
      </c>
      <c r="C136" s="321">
        <v>1161</v>
      </c>
      <c r="D136" s="321">
        <v>573</v>
      </c>
      <c r="E136" s="321">
        <v>409</v>
      </c>
      <c r="F136" s="322">
        <v>1734</v>
      </c>
      <c r="G136" s="321">
        <v>993</v>
      </c>
      <c r="H136" s="321">
        <v>554</v>
      </c>
      <c r="I136" s="321">
        <v>364</v>
      </c>
      <c r="J136" s="322">
        <v>1661</v>
      </c>
      <c r="K136" s="79">
        <v>4.9464243870225594E-3</v>
      </c>
      <c r="L136" s="80">
        <v>4.6853918802894643E-3</v>
      </c>
      <c r="M136" s="80">
        <v>3.6712564852880453E-3</v>
      </c>
      <c r="N136" s="58">
        <v>5.2287975876366376E-3</v>
      </c>
      <c r="O136" s="79">
        <v>5.1560309465704347E-3</v>
      </c>
      <c r="P136" s="80">
        <v>4.9391081076261972E-3</v>
      </c>
      <c r="Q136" s="80">
        <v>3.5379306993244884E-3</v>
      </c>
      <c r="R136" s="58">
        <v>5.8521770380444357E-3</v>
      </c>
    </row>
    <row r="137" spans="1:18" ht="15" customHeight="1" x14ac:dyDescent="0.4">
      <c r="A137" s="610"/>
      <c r="B137" s="343" t="s">
        <v>122</v>
      </c>
      <c r="C137" s="321">
        <v>1501</v>
      </c>
      <c r="D137" s="321">
        <v>643</v>
      </c>
      <c r="E137" s="321">
        <v>448</v>
      </c>
      <c r="F137" s="322">
        <v>2471</v>
      </c>
      <c r="G137" s="321">
        <v>1258</v>
      </c>
      <c r="H137" s="321">
        <v>645</v>
      </c>
      <c r="I137" s="321">
        <v>456</v>
      </c>
      <c r="J137" s="322">
        <v>2145</v>
      </c>
      <c r="K137" s="79">
        <v>6.3949896683211556E-3</v>
      </c>
      <c r="L137" s="80">
        <v>5.2577783229077234E-3</v>
      </c>
      <c r="M137" s="80">
        <v>4.0213273970881279E-3</v>
      </c>
      <c r="N137" s="58">
        <v>7.4511873350923486E-3</v>
      </c>
      <c r="O137" s="79">
        <v>6.5320110078404903E-3</v>
      </c>
      <c r="P137" s="80">
        <v>5.7504056487705721E-3</v>
      </c>
      <c r="Q137" s="80">
        <v>4.43213296398892E-3</v>
      </c>
      <c r="R137" s="58">
        <v>7.5574471683355297E-3</v>
      </c>
    </row>
    <row r="138" spans="1:18" ht="15" customHeight="1" x14ac:dyDescent="0.4">
      <c r="A138" s="610"/>
      <c r="B138" s="343" t="s">
        <v>123</v>
      </c>
      <c r="C138" s="321">
        <v>1840</v>
      </c>
      <c r="D138" s="321">
        <v>747</v>
      </c>
      <c r="E138" s="321">
        <v>479</v>
      </c>
      <c r="F138" s="322">
        <v>3104</v>
      </c>
      <c r="G138" s="321">
        <v>1512</v>
      </c>
      <c r="H138" s="321">
        <v>724</v>
      </c>
      <c r="I138" s="321">
        <v>487</v>
      </c>
      <c r="J138" s="322">
        <v>2675</v>
      </c>
      <c r="K138" s="79">
        <v>7.839294463498285E-3</v>
      </c>
      <c r="L138" s="80">
        <v>6.1081810376548513E-3</v>
      </c>
      <c r="M138" s="80">
        <v>4.2995888910830659E-3</v>
      </c>
      <c r="N138" s="58">
        <v>9.359969845457972E-3</v>
      </c>
      <c r="O138" s="79">
        <v>7.8508749156238639E-3</v>
      </c>
      <c r="P138" s="80">
        <v>6.45471889877503E-3</v>
      </c>
      <c r="Q138" s="80">
        <v>4.7334402488215001E-3</v>
      </c>
      <c r="R138" s="58">
        <v>9.4247884267121412E-3</v>
      </c>
    </row>
    <row r="139" spans="1:18" ht="15" customHeight="1" x14ac:dyDescent="0.4">
      <c r="A139" s="610"/>
      <c r="B139" s="343" t="s">
        <v>124</v>
      </c>
      <c r="C139" s="321">
        <v>2178</v>
      </c>
      <c r="D139" s="321">
        <v>811</v>
      </c>
      <c r="E139" s="321">
        <v>536</v>
      </c>
      <c r="F139" s="322">
        <v>3569</v>
      </c>
      <c r="G139" s="321">
        <v>1673</v>
      </c>
      <c r="H139" s="321">
        <v>770</v>
      </c>
      <c r="I139" s="321">
        <v>504</v>
      </c>
      <c r="J139" s="322">
        <v>2899</v>
      </c>
      <c r="K139" s="79">
        <v>9.2793387725539477E-3</v>
      </c>
      <c r="L139" s="80">
        <v>6.6315057851915448E-3</v>
      </c>
      <c r="M139" s="80">
        <v>4.8112309929447244E-3</v>
      </c>
      <c r="N139" s="58">
        <v>1.0762156049754994E-2</v>
      </c>
      <c r="O139" s="79">
        <v>8.6868477075652938E-3</v>
      </c>
      <c r="P139" s="80">
        <v>6.8648253481447142E-3</v>
      </c>
      <c r="Q139" s="80">
        <v>4.8986732759877536E-3</v>
      </c>
      <c r="R139" s="58">
        <v>1.0214004354780745E-2</v>
      </c>
    </row>
    <row r="140" spans="1:18" ht="15" customHeight="1" x14ac:dyDescent="0.4">
      <c r="A140" s="610"/>
      <c r="B140" s="343" t="s">
        <v>125</v>
      </c>
      <c r="C140" s="321">
        <v>2267</v>
      </c>
      <c r="D140" s="321">
        <v>832</v>
      </c>
      <c r="E140" s="321">
        <v>611</v>
      </c>
      <c r="F140" s="322">
        <v>3363</v>
      </c>
      <c r="G140" s="321">
        <v>1892</v>
      </c>
      <c r="H140" s="321">
        <v>777</v>
      </c>
      <c r="I140" s="321">
        <v>624</v>
      </c>
      <c r="J140" s="322">
        <v>2861</v>
      </c>
      <c r="K140" s="79">
        <v>9.6585220373644632E-3</v>
      </c>
      <c r="L140" s="80">
        <v>6.8032217179770224E-3</v>
      </c>
      <c r="M140" s="80">
        <v>5.4844442848679606E-3</v>
      </c>
      <c r="N140" s="58">
        <v>1.0140972483980399E-2</v>
      </c>
      <c r="O140" s="79">
        <v>9.8239783997092264E-3</v>
      </c>
      <c r="P140" s="80">
        <v>6.9272328513096662E-3</v>
      </c>
      <c r="Q140" s="80">
        <v>6.065024055984837E-3</v>
      </c>
      <c r="R140" s="58">
        <v>1.0080119509840536E-2</v>
      </c>
    </row>
    <row r="141" spans="1:18" ht="15" customHeight="1" x14ac:dyDescent="0.4">
      <c r="A141" s="610"/>
      <c r="B141" s="343" t="s">
        <v>126</v>
      </c>
      <c r="C141" s="321">
        <v>2517</v>
      </c>
      <c r="D141" s="321">
        <v>836</v>
      </c>
      <c r="E141" s="321">
        <v>644</v>
      </c>
      <c r="F141" s="322">
        <v>3264</v>
      </c>
      <c r="G141" s="321">
        <v>1982</v>
      </c>
      <c r="H141" s="321">
        <v>810</v>
      </c>
      <c r="I141" s="321">
        <v>618</v>
      </c>
      <c r="J141" s="322">
        <v>2954</v>
      </c>
      <c r="K141" s="79">
        <v>1.0723643567731079E-2</v>
      </c>
      <c r="L141" s="80">
        <v>6.8359295146980664E-3</v>
      </c>
      <c r="M141" s="80">
        <v>5.7806581333141845E-3</v>
      </c>
      <c r="N141" s="58">
        <v>9.8424425179042593E-3</v>
      </c>
      <c r="O141" s="79">
        <v>1.0291292382782076E-2</v>
      </c>
      <c r="P141" s="80">
        <v>7.2214396519444399E-3</v>
      </c>
      <c r="Q141" s="80">
        <v>6.0067065169849831E-3</v>
      </c>
      <c r="R141" s="58">
        <v>1.0407785051404734E-2</v>
      </c>
    </row>
    <row r="142" spans="1:18" ht="15" customHeight="1" x14ac:dyDescent="0.4">
      <c r="A142" s="610"/>
      <c r="B142" s="343" t="s">
        <v>127</v>
      </c>
      <c r="C142" s="321">
        <v>2325</v>
      </c>
      <c r="D142" s="321">
        <v>864</v>
      </c>
      <c r="E142" s="321">
        <v>720</v>
      </c>
      <c r="F142" s="322">
        <v>4331</v>
      </c>
      <c r="G142" s="321">
        <v>1943</v>
      </c>
      <c r="H142" s="321">
        <v>842</v>
      </c>
      <c r="I142" s="321">
        <v>632</v>
      </c>
      <c r="J142" s="322">
        <v>3583</v>
      </c>
      <c r="K142" s="79">
        <v>9.9056302324095173E-3</v>
      </c>
      <c r="L142" s="80">
        <v>7.0648840917453696E-3</v>
      </c>
      <c r="M142" s="80">
        <v>6.4628476024630628E-3</v>
      </c>
      <c r="N142" s="58">
        <v>1.3059932152280438E-2</v>
      </c>
      <c r="O142" s="79">
        <v>1.0088789656783842E-2</v>
      </c>
      <c r="P142" s="80">
        <v>7.5067310949842201E-3</v>
      </c>
      <c r="Q142" s="80">
        <v>6.1427807746513097E-3</v>
      </c>
      <c r="R142" s="58">
        <v>1.2623931563704524E-2</v>
      </c>
    </row>
    <row r="143" spans="1:18" ht="15" customHeight="1" x14ac:dyDescent="0.4">
      <c r="A143" s="610"/>
      <c r="B143" s="343" t="s">
        <v>128</v>
      </c>
      <c r="C143" s="321">
        <v>2145</v>
      </c>
      <c r="D143" s="321">
        <v>797</v>
      </c>
      <c r="E143" s="321">
        <v>659</v>
      </c>
      <c r="F143" s="322">
        <v>5178</v>
      </c>
      <c r="G143" s="321">
        <v>1726</v>
      </c>
      <c r="H143" s="321">
        <v>785</v>
      </c>
      <c r="I143" s="321">
        <v>712</v>
      </c>
      <c r="J143" s="322">
        <v>4239</v>
      </c>
      <c r="K143" s="79">
        <v>9.1387427305455547E-3</v>
      </c>
      <c r="L143" s="80">
        <v>6.5170284966678928E-3</v>
      </c>
      <c r="M143" s="80">
        <v>5.9153007916988316E-3</v>
      </c>
      <c r="N143" s="58">
        <v>1.561402186204297E-2</v>
      </c>
      <c r="O143" s="79">
        <v>8.962043719819306E-3</v>
      </c>
      <c r="P143" s="80">
        <v>6.9985557120696108E-3</v>
      </c>
      <c r="Q143" s="80">
        <v>6.9203479613160323E-3</v>
      </c>
      <c r="R143" s="58">
        <v>1.4935206781619725E-2</v>
      </c>
    </row>
    <row r="144" spans="1:18" ht="15" customHeight="1" x14ac:dyDescent="0.4">
      <c r="A144" s="610"/>
      <c r="B144" s="343" t="s">
        <v>129</v>
      </c>
      <c r="C144" s="321">
        <v>2068</v>
      </c>
      <c r="D144" s="321">
        <v>809</v>
      </c>
      <c r="E144" s="321">
        <v>676</v>
      </c>
      <c r="F144" s="322">
        <v>4674</v>
      </c>
      <c r="G144" s="321">
        <v>1707</v>
      </c>
      <c r="H144" s="321">
        <v>783</v>
      </c>
      <c r="I144" s="321">
        <v>694</v>
      </c>
      <c r="J144" s="322">
        <v>3843</v>
      </c>
      <c r="K144" s="79">
        <v>8.8106852991926381E-3</v>
      </c>
      <c r="L144" s="80">
        <v>6.6151518868310232E-3</v>
      </c>
      <c r="M144" s="80">
        <v>6.0678958045347646E-3</v>
      </c>
      <c r="N144" s="58">
        <v>1.4094232943837165E-2</v>
      </c>
      <c r="O144" s="79">
        <v>8.8633885456150373E-3</v>
      </c>
      <c r="P144" s="80">
        <v>6.9807249968796246E-3</v>
      </c>
      <c r="Q144" s="80">
        <v>6.7453953443164698E-3</v>
      </c>
      <c r="R144" s="58">
        <v>1.3539985765927012E-2</v>
      </c>
    </row>
    <row r="145" spans="1:18" ht="15" customHeight="1" x14ac:dyDescent="0.4">
      <c r="A145" s="610"/>
      <c r="B145" s="343" t="s">
        <v>130</v>
      </c>
      <c r="C145" s="321">
        <v>1821</v>
      </c>
      <c r="D145" s="321">
        <v>760</v>
      </c>
      <c r="E145" s="321">
        <v>723</v>
      </c>
      <c r="F145" s="322">
        <v>3433</v>
      </c>
      <c r="G145" s="321">
        <v>1545</v>
      </c>
      <c r="H145" s="321">
        <v>796</v>
      </c>
      <c r="I145" s="321">
        <v>713</v>
      </c>
      <c r="J145" s="322">
        <v>2875</v>
      </c>
      <c r="K145" s="79">
        <v>7.7583452271904225E-3</v>
      </c>
      <c r="L145" s="80">
        <v>6.2144813769982417E-3</v>
      </c>
      <c r="M145" s="80">
        <v>6.4897761341399926E-3</v>
      </c>
      <c r="N145" s="58">
        <v>1.035205427817565E-2</v>
      </c>
      <c r="O145" s="79">
        <v>8.022223376083909E-3</v>
      </c>
      <c r="P145" s="80">
        <v>7.096624645614536E-3</v>
      </c>
      <c r="Q145" s="80">
        <v>6.9300675511493413E-3</v>
      </c>
      <c r="R145" s="58">
        <v>1.0129445505344824E-2</v>
      </c>
    </row>
    <row r="146" spans="1:18" ht="15" customHeight="1" x14ac:dyDescent="0.4">
      <c r="A146" s="610"/>
      <c r="B146" s="343" t="s">
        <v>131</v>
      </c>
      <c r="C146" s="321">
        <v>1823</v>
      </c>
      <c r="D146" s="321">
        <v>792</v>
      </c>
      <c r="E146" s="321">
        <v>720</v>
      </c>
      <c r="F146" s="322">
        <v>2322</v>
      </c>
      <c r="G146" s="321">
        <v>1391</v>
      </c>
      <c r="H146" s="321">
        <v>788</v>
      </c>
      <c r="I146" s="321">
        <v>678</v>
      </c>
      <c r="J146" s="322">
        <v>2067</v>
      </c>
      <c r="K146" s="79">
        <v>7.7668661994333551E-3</v>
      </c>
      <c r="L146" s="80">
        <v>6.4761437507665888E-3</v>
      </c>
      <c r="M146" s="80">
        <v>6.4628476024630628E-3</v>
      </c>
      <c r="N146" s="58">
        <v>7.001884658876743E-3</v>
      </c>
      <c r="O146" s="79">
        <v>7.2225972272703673E-3</v>
      </c>
      <c r="P146" s="80">
        <v>7.0253017848545905E-3</v>
      </c>
      <c r="Q146" s="80">
        <v>6.5898819069835253E-3</v>
      </c>
      <c r="R146" s="58">
        <v>7.282630907668783E-3</v>
      </c>
    </row>
    <row r="147" spans="1:18" ht="15" customHeight="1" x14ac:dyDescent="0.4">
      <c r="A147" s="610"/>
      <c r="B147" s="343" t="s">
        <v>132</v>
      </c>
      <c r="C147" s="321">
        <v>1578</v>
      </c>
      <c r="D147" s="321">
        <v>908</v>
      </c>
      <c r="E147" s="321">
        <v>888</v>
      </c>
      <c r="F147" s="322">
        <v>1617</v>
      </c>
      <c r="G147" s="321">
        <v>1339</v>
      </c>
      <c r="H147" s="321">
        <v>826</v>
      </c>
      <c r="I147" s="321">
        <v>832</v>
      </c>
      <c r="J147" s="322">
        <v>1438</v>
      </c>
      <c r="K147" s="79">
        <v>6.723047099674073E-3</v>
      </c>
      <c r="L147" s="80">
        <v>7.4246698556768471E-3</v>
      </c>
      <c r="M147" s="80">
        <v>7.9708453763711103E-3</v>
      </c>
      <c r="N147" s="58">
        <v>4.8759894459102903E-3</v>
      </c>
      <c r="O147" s="79">
        <v>6.9525935926060545E-3</v>
      </c>
      <c r="P147" s="80">
        <v>7.36408537346433E-3</v>
      </c>
      <c r="Q147" s="80">
        <v>8.0866987413131166E-3</v>
      </c>
      <c r="R147" s="58">
        <v>5.0664843953689941E-3</v>
      </c>
    </row>
    <row r="148" spans="1:18" ht="15" customHeight="1" x14ac:dyDescent="0.4">
      <c r="A148" s="610"/>
      <c r="B148" s="343" t="s">
        <v>133</v>
      </c>
      <c r="C148" s="321">
        <v>1199</v>
      </c>
      <c r="D148" s="321">
        <v>1030</v>
      </c>
      <c r="E148" s="321">
        <v>911</v>
      </c>
      <c r="F148" s="322">
        <v>1094</v>
      </c>
      <c r="G148" s="321">
        <v>1003</v>
      </c>
      <c r="H148" s="321">
        <v>886</v>
      </c>
      <c r="I148" s="321">
        <v>853</v>
      </c>
      <c r="J148" s="322">
        <v>953</v>
      </c>
      <c r="K148" s="79">
        <v>5.1083228596382844E-3</v>
      </c>
      <c r="L148" s="80">
        <v>8.4222576556686694E-3</v>
      </c>
      <c r="M148" s="80">
        <v>8.1772974525609037E-3</v>
      </c>
      <c r="N148" s="58">
        <v>3.2989068978514888E-3</v>
      </c>
      <c r="O148" s="79">
        <v>5.2079547224674182E-3</v>
      </c>
      <c r="P148" s="80">
        <v>7.8990068291639182E-3</v>
      </c>
      <c r="Q148" s="80">
        <v>8.2908101278126069E-3</v>
      </c>
      <c r="R148" s="58">
        <v>3.3576909796847365E-3</v>
      </c>
    </row>
    <row r="149" spans="1:18" ht="15" customHeight="1" x14ac:dyDescent="0.4">
      <c r="A149" s="610"/>
      <c r="B149" s="343" t="s">
        <v>134</v>
      </c>
      <c r="C149" s="321">
        <v>1040</v>
      </c>
      <c r="D149" s="321">
        <v>1042</v>
      </c>
      <c r="E149" s="321">
        <v>953</v>
      </c>
      <c r="F149" s="322">
        <v>718</v>
      </c>
      <c r="G149" s="321">
        <v>849</v>
      </c>
      <c r="H149" s="321">
        <v>1004</v>
      </c>
      <c r="I149" s="321">
        <v>856</v>
      </c>
      <c r="J149" s="322">
        <v>589</v>
      </c>
      <c r="K149" s="79">
        <v>4.4309055663251176E-3</v>
      </c>
      <c r="L149" s="80">
        <v>8.5203810458318006E-3</v>
      </c>
      <c r="M149" s="80">
        <v>8.5542968960379152E-3</v>
      </c>
      <c r="N149" s="58">
        <v>2.1650961176027141E-3</v>
      </c>
      <c r="O149" s="79">
        <v>4.4083285736538757E-3</v>
      </c>
      <c r="P149" s="80">
        <v>8.9510190253731074E-3</v>
      </c>
      <c r="Q149" s="80">
        <v>8.3199688973125338E-3</v>
      </c>
      <c r="R149" s="58">
        <v>2.0752150965732525E-3</v>
      </c>
    </row>
    <row r="150" spans="1:18" ht="15" customHeight="1" thickBot="1" x14ac:dyDescent="0.45">
      <c r="A150" s="611"/>
      <c r="B150" s="343" t="s">
        <v>135</v>
      </c>
      <c r="C150" s="321">
        <v>835</v>
      </c>
      <c r="D150" s="321">
        <v>1231</v>
      </c>
      <c r="E150" s="321">
        <v>1008</v>
      </c>
      <c r="F150" s="322">
        <v>412</v>
      </c>
      <c r="G150" s="321">
        <v>687</v>
      </c>
      <c r="H150" s="321">
        <v>1151</v>
      </c>
      <c r="I150" s="321">
        <v>856</v>
      </c>
      <c r="J150" s="322">
        <v>382</v>
      </c>
      <c r="K150" s="81">
        <v>3.5575059114244935E-3</v>
      </c>
      <c r="L150" s="82">
        <v>1.00658244409011E-2</v>
      </c>
      <c r="M150" s="82">
        <v>9.0479866434482886E-3</v>
      </c>
      <c r="N150" s="83">
        <v>1.2423671315491896E-3</v>
      </c>
      <c r="O150" s="81">
        <v>3.5671634041227478E-3</v>
      </c>
      <c r="P150" s="82">
        <v>1.0261576591837098E-2</v>
      </c>
      <c r="Q150" s="82">
        <v>8.3199688973125338E-3</v>
      </c>
      <c r="R150" s="83">
        <v>1.3458950201884253E-3</v>
      </c>
    </row>
    <row r="151" spans="1:18" ht="15" customHeight="1" x14ac:dyDescent="0.4">
      <c r="A151" s="609" t="s">
        <v>95</v>
      </c>
      <c r="B151" s="344" t="s">
        <v>112</v>
      </c>
      <c r="C151" s="319">
        <v>637</v>
      </c>
      <c r="D151" s="319">
        <v>1589</v>
      </c>
      <c r="E151" s="319">
        <v>916</v>
      </c>
      <c r="F151" s="320">
        <v>257</v>
      </c>
      <c r="G151" s="319">
        <v>546</v>
      </c>
      <c r="H151" s="319">
        <v>1420</v>
      </c>
      <c r="I151" s="319">
        <v>787</v>
      </c>
      <c r="J151" s="320">
        <v>184</v>
      </c>
      <c r="K151" s="76">
        <v>2.7139296593741346E-3</v>
      </c>
      <c r="L151" s="77">
        <v>1.2993172247434482E-2</v>
      </c>
      <c r="M151" s="77">
        <v>8.2221783386891185E-3</v>
      </c>
      <c r="N151" s="78">
        <v>7.7497173011684887E-4</v>
      </c>
      <c r="O151" s="76">
        <v>2.8350381639752841E-3</v>
      </c>
      <c r="P151" s="77">
        <v>1.2659807784890252E-2</v>
      </c>
      <c r="Q151" s="77">
        <v>7.64931719881421E-3</v>
      </c>
      <c r="R151" s="78">
        <v>6.4828451234206878E-4</v>
      </c>
    </row>
    <row r="152" spans="1:18" ht="15" customHeight="1" x14ac:dyDescent="0.4">
      <c r="A152" s="610"/>
      <c r="B152" s="343" t="s">
        <v>113</v>
      </c>
      <c r="C152" s="321">
        <v>592</v>
      </c>
      <c r="D152" s="321">
        <v>2010</v>
      </c>
      <c r="E152" s="321">
        <v>928</v>
      </c>
      <c r="F152" s="322">
        <v>127</v>
      </c>
      <c r="G152" s="321">
        <v>530</v>
      </c>
      <c r="H152" s="321">
        <v>1583</v>
      </c>
      <c r="I152" s="321">
        <v>769</v>
      </c>
      <c r="J152" s="322">
        <v>121</v>
      </c>
      <c r="K152" s="79">
        <v>2.522207783908144E-3</v>
      </c>
      <c r="L152" s="80">
        <v>1.6435667852324299E-2</v>
      </c>
      <c r="M152" s="80">
        <v>8.3298924653968376E-3</v>
      </c>
      <c r="N152" s="58">
        <v>3.8296268375424049E-4</v>
      </c>
      <c r="O152" s="79">
        <v>2.7519601225401112E-3</v>
      </c>
      <c r="P152" s="80">
        <v>1.4113011072874134E-2</v>
      </c>
      <c r="Q152" s="80">
        <v>7.4743645818146475E-3</v>
      </c>
      <c r="R152" s="58">
        <v>4.2631753257277348E-4</v>
      </c>
    </row>
    <row r="153" spans="1:18" ht="15" customHeight="1" x14ac:dyDescent="0.4">
      <c r="A153" s="610"/>
      <c r="B153" s="343" t="s">
        <v>114</v>
      </c>
      <c r="C153" s="321">
        <v>528</v>
      </c>
      <c r="D153" s="321">
        <v>2182</v>
      </c>
      <c r="E153" s="321">
        <v>809</v>
      </c>
      <c r="F153" s="322">
        <v>81</v>
      </c>
      <c r="G153" s="321">
        <v>376</v>
      </c>
      <c r="H153" s="321">
        <v>1720</v>
      </c>
      <c r="I153" s="321">
        <v>688</v>
      </c>
      <c r="J153" s="322">
        <v>66</v>
      </c>
      <c r="K153" s="79">
        <v>2.2495366721342904E-3</v>
      </c>
      <c r="L153" s="80">
        <v>1.7842103111329163E-2</v>
      </c>
      <c r="M153" s="80">
        <v>7.2617273755453031E-3</v>
      </c>
      <c r="N153" s="58">
        <v>2.4425179042593289E-4</v>
      </c>
      <c r="O153" s="79">
        <v>1.9523339737265693E-3</v>
      </c>
      <c r="P153" s="80">
        <v>1.5334415063388193E-2</v>
      </c>
      <c r="Q153" s="80">
        <v>6.6870778053166159E-3</v>
      </c>
      <c r="R153" s="58">
        <v>2.3253683594878552E-4</v>
      </c>
    </row>
    <row r="154" spans="1:18" ht="15" customHeight="1" x14ac:dyDescent="0.4">
      <c r="A154" s="610"/>
      <c r="B154" s="343" t="s">
        <v>115</v>
      </c>
      <c r="C154" s="321">
        <v>426</v>
      </c>
      <c r="D154" s="321">
        <v>2158</v>
      </c>
      <c r="E154" s="321">
        <v>698</v>
      </c>
      <c r="F154" s="322">
        <v>73</v>
      </c>
      <c r="G154" s="321">
        <v>334</v>
      </c>
      <c r="H154" s="321">
        <v>1713</v>
      </c>
      <c r="I154" s="321">
        <v>649</v>
      </c>
      <c r="J154" s="322">
        <v>50</v>
      </c>
      <c r="K154" s="79">
        <v>1.8149670877447117E-3</v>
      </c>
      <c r="L154" s="80">
        <v>1.7645856331002904E-2</v>
      </c>
      <c r="M154" s="80">
        <v>6.2653717034989141E-3</v>
      </c>
      <c r="N154" s="58">
        <v>2.2012815680361856E-4</v>
      </c>
      <c r="O154" s="79">
        <v>1.7342541149592398E-3</v>
      </c>
      <c r="P154" s="80">
        <v>1.527200756022324E-2</v>
      </c>
      <c r="Q154" s="80">
        <v>6.3080138018175632E-3</v>
      </c>
      <c r="R154" s="58">
        <v>1.7616426965817085E-4</v>
      </c>
    </row>
    <row r="155" spans="1:18" ht="15" customHeight="1" x14ac:dyDescent="0.4">
      <c r="A155" s="610"/>
      <c r="B155" s="343" t="s">
        <v>116</v>
      </c>
      <c r="C155" s="321">
        <v>310</v>
      </c>
      <c r="D155" s="321">
        <v>1965</v>
      </c>
      <c r="E155" s="321">
        <v>690</v>
      </c>
      <c r="F155" s="322">
        <v>55</v>
      </c>
      <c r="G155" s="321">
        <v>238</v>
      </c>
      <c r="H155" s="321">
        <v>1611</v>
      </c>
      <c r="I155" s="321">
        <v>593</v>
      </c>
      <c r="J155" s="322">
        <v>53</v>
      </c>
      <c r="K155" s="79">
        <v>1.3207506976546024E-3</v>
      </c>
      <c r="L155" s="80">
        <v>1.606770513921256E-2</v>
      </c>
      <c r="M155" s="80">
        <v>6.1935622856937687E-3</v>
      </c>
      <c r="N155" s="58">
        <v>1.6584998115341123E-4</v>
      </c>
      <c r="O155" s="79">
        <v>1.2357858663482007E-3</v>
      </c>
      <c r="P155" s="80">
        <v>1.436264108553394E-2</v>
      </c>
      <c r="Q155" s="80">
        <v>5.763716771152257E-3</v>
      </c>
      <c r="R155" s="58">
        <v>1.867341258376611E-4</v>
      </c>
    </row>
    <row r="156" spans="1:18" ht="15" customHeight="1" x14ac:dyDescent="0.4">
      <c r="A156" s="610"/>
      <c r="B156" s="343" t="s">
        <v>117</v>
      </c>
      <c r="C156" s="321">
        <v>305</v>
      </c>
      <c r="D156" s="321">
        <v>1441</v>
      </c>
      <c r="E156" s="321">
        <v>537</v>
      </c>
      <c r="F156" s="322">
        <v>57</v>
      </c>
      <c r="G156" s="321">
        <v>217</v>
      </c>
      <c r="H156" s="321">
        <v>1123</v>
      </c>
      <c r="I156" s="321">
        <v>512</v>
      </c>
      <c r="J156" s="322">
        <v>71</v>
      </c>
      <c r="K156" s="79">
        <v>1.2994482670472701E-3</v>
      </c>
      <c r="L156" s="80">
        <v>1.1782983768755877E-2</v>
      </c>
      <c r="M156" s="80">
        <v>4.8202071701703682E-3</v>
      </c>
      <c r="N156" s="58">
        <v>1.7188088955898982E-4</v>
      </c>
      <c r="O156" s="79">
        <v>1.1267459369645361E-3</v>
      </c>
      <c r="P156" s="80">
        <v>1.001194657917729E-2</v>
      </c>
      <c r="Q156" s="80">
        <v>4.9764299946542254E-3</v>
      </c>
      <c r="R156" s="58">
        <v>2.5015326291460261E-4</v>
      </c>
    </row>
    <row r="157" spans="1:18" ht="15" customHeight="1" x14ac:dyDescent="0.4">
      <c r="A157" s="610"/>
      <c r="B157" s="343" t="s">
        <v>118</v>
      </c>
      <c r="C157" s="321">
        <v>241</v>
      </c>
      <c r="D157" s="321">
        <v>840</v>
      </c>
      <c r="E157" s="321">
        <v>372</v>
      </c>
      <c r="F157" s="322">
        <v>135</v>
      </c>
      <c r="G157" s="321">
        <v>195</v>
      </c>
      <c r="H157" s="321">
        <v>688</v>
      </c>
      <c r="I157" s="321">
        <v>317</v>
      </c>
      <c r="J157" s="322">
        <v>114</v>
      </c>
      <c r="K157" s="79">
        <v>1.0267771552734167E-3</v>
      </c>
      <c r="L157" s="80">
        <v>6.8686373114191096E-3</v>
      </c>
      <c r="M157" s="80">
        <v>3.3391379279392491E-3</v>
      </c>
      <c r="N157" s="58">
        <v>4.0708631737655486E-4</v>
      </c>
      <c r="O157" s="79">
        <v>1.012513629991173E-3</v>
      </c>
      <c r="P157" s="80">
        <v>6.1337660253552766E-3</v>
      </c>
      <c r="Q157" s="80">
        <v>3.0811099771589638E-3</v>
      </c>
      <c r="R157" s="58">
        <v>4.0165453482062956E-4</v>
      </c>
    </row>
    <row r="158" spans="1:18" ht="15" customHeight="1" x14ac:dyDescent="0.4">
      <c r="A158" s="610"/>
      <c r="B158" s="343" t="s">
        <v>119</v>
      </c>
      <c r="C158" s="321">
        <v>342</v>
      </c>
      <c r="D158" s="321">
        <v>478</v>
      </c>
      <c r="E158" s="321">
        <v>309</v>
      </c>
      <c r="F158" s="322">
        <v>388</v>
      </c>
      <c r="G158" s="321">
        <v>320</v>
      </c>
      <c r="H158" s="321">
        <v>410</v>
      </c>
      <c r="I158" s="321">
        <v>245</v>
      </c>
      <c r="J158" s="322">
        <v>332</v>
      </c>
      <c r="K158" s="79">
        <v>1.4570862535415291E-3</v>
      </c>
      <c r="L158" s="80">
        <v>3.9085817081646835E-3</v>
      </c>
      <c r="M158" s="80">
        <v>2.7736387627237311E-3</v>
      </c>
      <c r="N158" s="58">
        <v>1.1699962306822465E-3</v>
      </c>
      <c r="O158" s="79">
        <v>1.6615608287034634E-3</v>
      </c>
      <c r="P158" s="80">
        <v>3.6552966139471853E-3</v>
      </c>
      <c r="Q158" s="80">
        <v>2.3812995091607135E-3</v>
      </c>
      <c r="R158" s="58">
        <v>1.1697307505302544E-3</v>
      </c>
    </row>
    <row r="159" spans="1:18" ht="15" customHeight="1" x14ac:dyDescent="0.4">
      <c r="A159" s="610"/>
      <c r="B159" s="343" t="s">
        <v>120</v>
      </c>
      <c r="C159" s="321">
        <v>630</v>
      </c>
      <c r="D159" s="321">
        <v>580</v>
      </c>
      <c r="E159" s="321">
        <v>375</v>
      </c>
      <c r="F159" s="322">
        <v>1317</v>
      </c>
      <c r="G159" s="321">
        <v>564</v>
      </c>
      <c r="H159" s="321">
        <v>518</v>
      </c>
      <c r="I159" s="321">
        <v>303</v>
      </c>
      <c r="J159" s="322">
        <v>1284</v>
      </c>
      <c r="K159" s="79">
        <v>2.6841062565238693E-3</v>
      </c>
      <c r="L159" s="80">
        <v>4.7426305245512898E-3</v>
      </c>
      <c r="M159" s="80">
        <v>3.3660664596161785E-3</v>
      </c>
      <c r="N159" s="58">
        <v>3.971353185073502E-3</v>
      </c>
      <c r="O159" s="79">
        <v>2.9285009605898543E-3</v>
      </c>
      <c r="P159" s="80">
        <v>4.6181552342064438E-3</v>
      </c>
      <c r="Q159" s="80">
        <v>2.9450357194926373E-3</v>
      </c>
      <c r="R159" s="58">
        <v>4.5238984448218271E-3</v>
      </c>
    </row>
    <row r="160" spans="1:18" ht="15" customHeight="1" x14ac:dyDescent="0.4">
      <c r="A160" s="610"/>
      <c r="B160" s="343" t="s">
        <v>121</v>
      </c>
      <c r="C160" s="321">
        <v>946</v>
      </c>
      <c r="D160" s="321">
        <v>618</v>
      </c>
      <c r="E160" s="321">
        <v>396</v>
      </c>
      <c r="F160" s="322">
        <v>2564</v>
      </c>
      <c r="G160" s="321">
        <v>888</v>
      </c>
      <c r="H160" s="321">
        <v>585</v>
      </c>
      <c r="I160" s="321">
        <v>383</v>
      </c>
      <c r="J160" s="322">
        <v>2335</v>
      </c>
      <c r="K160" s="79">
        <v>4.0304198709072703E-3</v>
      </c>
      <c r="L160" s="80">
        <v>5.0533545934012018E-3</v>
      </c>
      <c r="M160" s="80">
        <v>3.5545661813546846E-3</v>
      </c>
      <c r="N160" s="58">
        <v>7.7316245759517527E-3</v>
      </c>
      <c r="O160" s="79">
        <v>4.6108312996521105E-3</v>
      </c>
      <c r="P160" s="80">
        <v>5.2154841930709839E-3</v>
      </c>
      <c r="Q160" s="80">
        <v>3.7226029061573603E-3</v>
      </c>
      <c r="R160" s="58">
        <v>8.2268713930365792E-3</v>
      </c>
    </row>
    <row r="161" spans="1:18" ht="15" customHeight="1" x14ac:dyDescent="0.4">
      <c r="A161" s="610"/>
      <c r="B161" s="343" t="s">
        <v>122</v>
      </c>
      <c r="C161" s="321">
        <v>1398</v>
      </c>
      <c r="D161" s="321">
        <v>871</v>
      </c>
      <c r="E161" s="321">
        <v>458</v>
      </c>
      <c r="F161" s="322">
        <v>3625</v>
      </c>
      <c r="G161" s="321">
        <v>1139</v>
      </c>
      <c r="H161" s="321">
        <v>751</v>
      </c>
      <c r="I161" s="321">
        <v>433</v>
      </c>
      <c r="J161" s="322">
        <v>3093</v>
      </c>
      <c r="K161" s="79">
        <v>5.9561595978101104E-3</v>
      </c>
      <c r="L161" s="80">
        <v>7.122122736007196E-3</v>
      </c>
      <c r="M161" s="80">
        <v>4.1110891693445593E-3</v>
      </c>
      <c r="N161" s="58">
        <v>1.0931021485111195E-2</v>
      </c>
      <c r="O161" s="79">
        <v>5.9141180746663897E-3</v>
      </c>
      <c r="P161" s="80">
        <v>6.6954335538398444E-3</v>
      </c>
      <c r="Q161" s="80">
        <v>4.2085823978228118E-3</v>
      </c>
      <c r="R161" s="58">
        <v>1.0897521721054449E-2</v>
      </c>
    </row>
    <row r="162" spans="1:18" ht="15" customHeight="1" x14ac:dyDescent="0.4">
      <c r="A162" s="610"/>
      <c r="B162" s="343" t="s">
        <v>123</v>
      </c>
      <c r="C162" s="321">
        <v>1669</v>
      </c>
      <c r="D162" s="321">
        <v>970</v>
      </c>
      <c r="E162" s="321">
        <v>522</v>
      </c>
      <c r="F162" s="322">
        <v>5088</v>
      </c>
      <c r="G162" s="321">
        <v>1403</v>
      </c>
      <c r="H162" s="321">
        <v>903</v>
      </c>
      <c r="I162" s="321">
        <v>477</v>
      </c>
      <c r="J162" s="322">
        <v>4127</v>
      </c>
      <c r="K162" s="79">
        <v>7.1107513367275202E-3</v>
      </c>
      <c r="L162" s="80">
        <v>7.9316407048530199E-3</v>
      </c>
      <c r="M162" s="80">
        <v>4.6855645117857203E-3</v>
      </c>
      <c r="N162" s="58">
        <v>1.5342630983791933E-2</v>
      </c>
      <c r="O162" s="79">
        <v>7.2849057583467469E-3</v>
      </c>
      <c r="P162" s="80">
        <v>8.0505679082788009E-3</v>
      </c>
      <c r="Q162" s="80">
        <v>4.6362443504884094E-3</v>
      </c>
      <c r="R162" s="58">
        <v>1.4540598817585421E-2</v>
      </c>
    </row>
    <row r="163" spans="1:18" ht="15" customHeight="1" x14ac:dyDescent="0.4">
      <c r="A163" s="610"/>
      <c r="B163" s="343" t="s">
        <v>124</v>
      </c>
      <c r="C163" s="321">
        <v>1839</v>
      </c>
      <c r="D163" s="321">
        <v>1052</v>
      </c>
      <c r="E163" s="321">
        <v>521</v>
      </c>
      <c r="F163" s="322">
        <v>6700</v>
      </c>
      <c r="G163" s="321">
        <v>1564</v>
      </c>
      <c r="H163" s="321">
        <v>923</v>
      </c>
      <c r="I163" s="321">
        <v>511</v>
      </c>
      <c r="J163" s="322">
        <v>5145</v>
      </c>
      <c r="K163" s="79">
        <v>7.8350339773768183E-3</v>
      </c>
      <c r="L163" s="80">
        <v>8.6021505376344086E-3</v>
      </c>
      <c r="M163" s="80">
        <v>4.6765883345600773E-3</v>
      </c>
      <c r="N163" s="58">
        <v>2.0203543158688279E-2</v>
      </c>
      <c r="O163" s="79">
        <v>8.1208785502881776E-3</v>
      </c>
      <c r="P163" s="80">
        <v>8.2288750601786642E-3</v>
      </c>
      <c r="Q163" s="80">
        <v>4.9667104048209164E-3</v>
      </c>
      <c r="R163" s="58">
        <v>1.8127303347825779E-2</v>
      </c>
    </row>
    <row r="164" spans="1:18" ht="15" customHeight="1" x14ac:dyDescent="0.4">
      <c r="A164" s="610"/>
      <c r="B164" s="343" t="s">
        <v>125</v>
      </c>
      <c r="C164" s="321">
        <v>2025</v>
      </c>
      <c r="D164" s="321">
        <v>1082</v>
      </c>
      <c r="E164" s="321">
        <v>606</v>
      </c>
      <c r="F164" s="322">
        <v>6092</v>
      </c>
      <c r="G164" s="321">
        <v>1763</v>
      </c>
      <c r="H164" s="321">
        <v>1023</v>
      </c>
      <c r="I164" s="321">
        <v>632</v>
      </c>
      <c r="J164" s="322">
        <v>4839</v>
      </c>
      <c r="K164" s="79">
        <v>8.6274843959695795E-3</v>
      </c>
      <c r="L164" s="80">
        <v>8.8474590130422342E-3</v>
      </c>
      <c r="M164" s="80">
        <v>5.4395633987397449E-3</v>
      </c>
      <c r="N164" s="58">
        <v>1.8370147003392387E-2</v>
      </c>
      <c r="O164" s="79">
        <v>9.1541616906381431E-3</v>
      </c>
      <c r="P164" s="80">
        <v>9.1204108196779772E-3</v>
      </c>
      <c r="Q164" s="80">
        <v>6.1427807746513097E-3</v>
      </c>
      <c r="R164" s="58">
        <v>1.7049178017517774E-2</v>
      </c>
    </row>
    <row r="165" spans="1:18" ht="15" customHeight="1" x14ac:dyDescent="0.4">
      <c r="A165" s="610"/>
      <c r="B165" s="343" t="s">
        <v>126</v>
      </c>
      <c r="C165" s="321">
        <v>2129</v>
      </c>
      <c r="D165" s="321">
        <v>980</v>
      </c>
      <c r="E165" s="321">
        <v>681</v>
      </c>
      <c r="F165" s="322">
        <v>5182</v>
      </c>
      <c r="G165" s="321">
        <v>1674</v>
      </c>
      <c r="H165" s="321">
        <v>916</v>
      </c>
      <c r="I165" s="321">
        <v>644</v>
      </c>
      <c r="J165" s="322">
        <v>4369</v>
      </c>
      <c r="K165" s="79">
        <v>9.0705749526020923E-3</v>
      </c>
      <c r="L165" s="80">
        <v>8.0134101966556279E-3</v>
      </c>
      <c r="M165" s="80">
        <v>6.1127766906629803E-3</v>
      </c>
      <c r="N165" s="58">
        <v>1.5626083678854128E-2</v>
      </c>
      <c r="O165" s="79">
        <v>8.6920400851549923E-3</v>
      </c>
      <c r="P165" s="80">
        <v>8.1664675570137114E-3</v>
      </c>
      <c r="Q165" s="80">
        <v>6.2594158526510183E-3</v>
      </c>
      <c r="R165" s="58">
        <v>1.5393233882730969E-2</v>
      </c>
    </row>
    <row r="166" spans="1:18" ht="15" customHeight="1" x14ac:dyDescent="0.4">
      <c r="A166" s="610"/>
      <c r="B166" s="343" t="s">
        <v>127</v>
      </c>
      <c r="C166" s="321">
        <v>2166</v>
      </c>
      <c r="D166" s="321">
        <v>1045</v>
      </c>
      <c r="E166" s="321">
        <v>714</v>
      </c>
      <c r="F166" s="322">
        <v>5026</v>
      </c>
      <c r="G166" s="321">
        <v>1732</v>
      </c>
      <c r="H166" s="321">
        <v>905</v>
      </c>
      <c r="I166" s="321">
        <v>646</v>
      </c>
      <c r="J166" s="322">
        <v>4158</v>
      </c>
      <c r="K166" s="79">
        <v>9.2282129390963506E-3</v>
      </c>
      <c r="L166" s="80">
        <v>8.544911893372583E-3</v>
      </c>
      <c r="M166" s="80">
        <v>6.4089905391092042E-3</v>
      </c>
      <c r="N166" s="58">
        <v>1.5155672823218997E-2</v>
      </c>
      <c r="O166" s="79">
        <v>8.9931979853574949E-3</v>
      </c>
      <c r="P166" s="80">
        <v>8.0683986234687879E-3</v>
      </c>
      <c r="Q166" s="80">
        <v>6.2788550323176363E-3</v>
      </c>
      <c r="R166" s="58">
        <v>1.4649820664773487E-2</v>
      </c>
    </row>
    <row r="167" spans="1:18" ht="15" customHeight="1" x14ac:dyDescent="0.4">
      <c r="A167" s="610"/>
      <c r="B167" s="343" t="s">
        <v>128</v>
      </c>
      <c r="C167" s="321">
        <v>2138</v>
      </c>
      <c r="D167" s="321">
        <v>995</v>
      </c>
      <c r="E167" s="321">
        <v>751</v>
      </c>
      <c r="F167" s="322">
        <v>4502</v>
      </c>
      <c r="G167" s="321">
        <v>1685</v>
      </c>
      <c r="H167" s="321">
        <v>849</v>
      </c>
      <c r="I167" s="321">
        <v>663</v>
      </c>
      <c r="J167" s="322">
        <v>3819</v>
      </c>
      <c r="K167" s="79">
        <v>9.1089193276952894E-3</v>
      </c>
      <c r="L167" s="80">
        <v>8.1360644343595398E-3</v>
      </c>
      <c r="M167" s="80">
        <v>6.7411090964580008E-3</v>
      </c>
      <c r="N167" s="58">
        <v>1.3575574820957406E-2</v>
      </c>
      <c r="O167" s="79">
        <v>8.7491562386416734E-3</v>
      </c>
      <c r="P167" s="80">
        <v>7.5691385981491721E-3</v>
      </c>
      <c r="Q167" s="80">
        <v>6.4440880594838898E-3</v>
      </c>
      <c r="R167" s="58">
        <v>1.3455426916491089E-2</v>
      </c>
    </row>
    <row r="168" spans="1:18" ht="15" customHeight="1" x14ac:dyDescent="0.4">
      <c r="A168" s="610"/>
      <c r="B168" s="343" t="s">
        <v>129</v>
      </c>
      <c r="C168" s="321">
        <v>2062</v>
      </c>
      <c r="D168" s="321">
        <v>992</v>
      </c>
      <c r="E168" s="321">
        <v>740</v>
      </c>
      <c r="F168" s="322">
        <v>3819</v>
      </c>
      <c r="G168" s="321">
        <v>1665</v>
      </c>
      <c r="H168" s="321">
        <v>853</v>
      </c>
      <c r="I168" s="321">
        <v>796</v>
      </c>
      <c r="J168" s="322">
        <v>3122</v>
      </c>
      <c r="K168" s="79">
        <v>8.7851223824638395E-3</v>
      </c>
      <c r="L168" s="80">
        <v>8.1115335868187574E-3</v>
      </c>
      <c r="M168" s="80">
        <v>6.6423711469759256E-3</v>
      </c>
      <c r="N168" s="58">
        <v>1.1516019600452319E-2</v>
      </c>
      <c r="O168" s="79">
        <v>8.645308686847708E-3</v>
      </c>
      <c r="P168" s="80">
        <v>7.6048000285291444E-3</v>
      </c>
      <c r="Q168" s="80">
        <v>7.7367935073139917E-3</v>
      </c>
      <c r="R168" s="58">
        <v>1.0999696997456189E-2</v>
      </c>
    </row>
    <row r="169" spans="1:18" ht="15" customHeight="1" x14ac:dyDescent="0.4">
      <c r="A169" s="610"/>
      <c r="B169" s="343" t="s">
        <v>130</v>
      </c>
      <c r="C169" s="321">
        <v>1824</v>
      </c>
      <c r="D169" s="321">
        <v>948</v>
      </c>
      <c r="E169" s="321">
        <v>754</v>
      </c>
      <c r="F169" s="322">
        <v>3457</v>
      </c>
      <c r="G169" s="321">
        <v>1576</v>
      </c>
      <c r="H169" s="321">
        <v>819</v>
      </c>
      <c r="I169" s="321">
        <v>708</v>
      </c>
      <c r="J169" s="322">
        <v>2820</v>
      </c>
      <c r="K169" s="79">
        <v>7.7711266855548218E-3</v>
      </c>
      <c r="L169" s="80">
        <v>7.7517478228872807E-3</v>
      </c>
      <c r="M169" s="80">
        <v>6.7680376281349297E-3</v>
      </c>
      <c r="N169" s="58">
        <v>1.0424425179042593E-2</v>
      </c>
      <c r="O169" s="79">
        <v>8.1831870813645572E-3</v>
      </c>
      <c r="P169" s="80">
        <v>7.301677870299378E-3</v>
      </c>
      <c r="Q169" s="80">
        <v>6.8814696019827964E-3</v>
      </c>
      <c r="R169" s="58">
        <v>9.9356648087208354E-3</v>
      </c>
    </row>
    <row r="170" spans="1:18" ht="15" customHeight="1" x14ac:dyDescent="0.4">
      <c r="A170" s="610"/>
      <c r="B170" s="343" t="s">
        <v>131</v>
      </c>
      <c r="C170" s="321">
        <v>1700</v>
      </c>
      <c r="D170" s="321">
        <v>916</v>
      </c>
      <c r="E170" s="321">
        <v>831</v>
      </c>
      <c r="F170" s="322">
        <v>3167</v>
      </c>
      <c r="G170" s="321">
        <v>1406</v>
      </c>
      <c r="H170" s="321">
        <v>890</v>
      </c>
      <c r="I170" s="321">
        <v>825</v>
      </c>
      <c r="J170" s="322">
        <v>2467</v>
      </c>
      <c r="K170" s="79">
        <v>7.2428264064929807E-3</v>
      </c>
      <c r="L170" s="80">
        <v>7.4900854491189335E-3</v>
      </c>
      <c r="M170" s="80">
        <v>7.4592032745094518E-3</v>
      </c>
      <c r="N170" s="58">
        <v>9.5499434602336983E-3</v>
      </c>
      <c r="O170" s="79">
        <v>7.3004828911158422E-3</v>
      </c>
      <c r="P170" s="80">
        <v>7.9346682595438905E-3</v>
      </c>
      <c r="Q170" s="80">
        <v>8.0186616124799538E-3</v>
      </c>
      <c r="R170" s="58">
        <v>8.6919450649341496E-3</v>
      </c>
    </row>
    <row r="171" spans="1:18" ht="15" customHeight="1" x14ac:dyDescent="0.4">
      <c r="A171" s="610"/>
      <c r="B171" s="343" t="s">
        <v>132</v>
      </c>
      <c r="C171" s="321">
        <v>1452</v>
      </c>
      <c r="D171" s="321">
        <v>1040</v>
      </c>
      <c r="E171" s="321">
        <v>953</v>
      </c>
      <c r="F171" s="322">
        <v>2479</v>
      </c>
      <c r="G171" s="321">
        <v>1328</v>
      </c>
      <c r="H171" s="321">
        <v>918</v>
      </c>
      <c r="I171" s="321">
        <v>874</v>
      </c>
      <c r="J171" s="322">
        <v>1956</v>
      </c>
      <c r="K171" s="79">
        <v>6.1862258483692993E-3</v>
      </c>
      <c r="L171" s="80">
        <v>8.5040271474712791E-3</v>
      </c>
      <c r="M171" s="80">
        <v>8.5542968960379152E-3</v>
      </c>
      <c r="N171" s="58">
        <v>7.4753109687146629E-3</v>
      </c>
      <c r="O171" s="79">
        <v>6.8954774391193725E-3</v>
      </c>
      <c r="P171" s="80">
        <v>8.1842982722036984E-3</v>
      </c>
      <c r="Q171" s="80">
        <v>8.4949215143120954E-3</v>
      </c>
      <c r="R171" s="58">
        <v>6.8915462290276433E-3</v>
      </c>
    </row>
    <row r="172" spans="1:18" ht="15" customHeight="1" x14ac:dyDescent="0.4">
      <c r="A172" s="610"/>
      <c r="B172" s="343" t="s">
        <v>133</v>
      </c>
      <c r="C172" s="321">
        <v>1192</v>
      </c>
      <c r="D172" s="321">
        <v>973</v>
      </c>
      <c r="E172" s="321">
        <v>994</v>
      </c>
      <c r="F172" s="322">
        <v>1604</v>
      </c>
      <c r="G172" s="321">
        <v>1017</v>
      </c>
      <c r="H172" s="321">
        <v>905</v>
      </c>
      <c r="I172" s="321">
        <v>904</v>
      </c>
      <c r="J172" s="322">
        <v>1364</v>
      </c>
      <c r="K172" s="79">
        <v>5.0784994567880199E-3</v>
      </c>
      <c r="L172" s="80">
        <v>7.9561715523938023E-3</v>
      </c>
      <c r="M172" s="80">
        <v>8.9223201622892837E-3</v>
      </c>
      <c r="N172" s="58">
        <v>4.8367885412740298E-3</v>
      </c>
      <c r="O172" s="79">
        <v>5.2806480087231947E-3</v>
      </c>
      <c r="P172" s="80">
        <v>8.0683986234687879E-3</v>
      </c>
      <c r="Q172" s="80">
        <v>8.7865092093113665E-3</v>
      </c>
      <c r="R172" s="58">
        <v>4.8057612762749009E-3</v>
      </c>
    </row>
    <row r="173" spans="1:18" ht="15" customHeight="1" x14ac:dyDescent="0.4">
      <c r="A173" s="610"/>
      <c r="B173" s="343" t="s">
        <v>134</v>
      </c>
      <c r="C173" s="321">
        <v>948</v>
      </c>
      <c r="D173" s="321">
        <v>869</v>
      </c>
      <c r="E173" s="321">
        <v>953</v>
      </c>
      <c r="F173" s="322">
        <v>910</v>
      </c>
      <c r="G173" s="321">
        <v>710</v>
      </c>
      <c r="H173" s="321">
        <v>806</v>
      </c>
      <c r="I173" s="321">
        <v>923</v>
      </c>
      <c r="J173" s="322">
        <v>761</v>
      </c>
      <c r="K173" s="79">
        <v>4.0389408431502037E-3</v>
      </c>
      <c r="L173" s="80">
        <v>7.1057688376466744E-3</v>
      </c>
      <c r="M173" s="80">
        <v>8.5542968960379152E-3</v>
      </c>
      <c r="N173" s="58">
        <v>2.7440633245382584E-3</v>
      </c>
      <c r="O173" s="79">
        <v>3.6865880886858093E-3</v>
      </c>
      <c r="P173" s="80">
        <v>7.1857782215644667E-3</v>
      </c>
      <c r="Q173" s="80">
        <v>8.9711814161442388E-3</v>
      </c>
      <c r="R173" s="58">
        <v>2.6812201841973603E-3</v>
      </c>
    </row>
    <row r="174" spans="1:18" ht="15" customHeight="1" thickBot="1" x14ac:dyDescent="0.45">
      <c r="A174" s="611"/>
      <c r="B174" s="343" t="s">
        <v>135</v>
      </c>
      <c r="C174" s="321">
        <v>730</v>
      </c>
      <c r="D174" s="321">
        <v>801</v>
      </c>
      <c r="E174" s="321">
        <v>1048</v>
      </c>
      <c r="F174" s="322">
        <v>423</v>
      </c>
      <c r="G174" s="321">
        <v>587</v>
      </c>
      <c r="H174" s="321">
        <v>752</v>
      </c>
      <c r="I174" s="321">
        <v>851</v>
      </c>
      <c r="J174" s="322">
        <v>358</v>
      </c>
      <c r="K174" s="81">
        <v>3.1101548686705153E-3</v>
      </c>
      <c r="L174" s="82">
        <v>6.5497362933889369E-3</v>
      </c>
      <c r="M174" s="82">
        <v>9.4070337324740141E-3</v>
      </c>
      <c r="N174" s="83">
        <v>1.275537127779872E-3</v>
      </c>
      <c r="O174" s="81">
        <v>3.0479256451529154E-3</v>
      </c>
      <c r="P174" s="82">
        <v>6.7043489114348379E-3</v>
      </c>
      <c r="Q174" s="82">
        <v>8.2713709481459889E-3</v>
      </c>
      <c r="R174" s="83">
        <v>1.2613361707525033E-3</v>
      </c>
    </row>
    <row r="175" spans="1:18" ht="4.5" customHeight="1" x14ac:dyDescent="0.4">
      <c r="A175" s="31"/>
      <c r="B175" s="31"/>
      <c r="C175" s="31"/>
      <c r="D175" s="31"/>
      <c r="E175" s="31"/>
      <c r="F175" s="31"/>
      <c r="G175" s="31"/>
      <c r="H175" s="31"/>
      <c r="I175" s="31"/>
      <c r="J175" s="31"/>
      <c r="K175" s="54"/>
      <c r="L175" s="54"/>
      <c r="M175" s="54"/>
      <c r="N175" s="54"/>
      <c r="O175" s="54"/>
      <c r="P175" s="54"/>
      <c r="Q175" s="54"/>
      <c r="R175" s="54"/>
    </row>
    <row r="176" spans="1:18" ht="16.5" customHeight="1" thickBot="1" x14ac:dyDescent="0.45">
      <c r="A176" s="623" t="s">
        <v>10</v>
      </c>
      <c r="B176" s="624"/>
      <c r="C176" s="624"/>
      <c r="D176" s="624"/>
      <c r="E176" s="624"/>
      <c r="F176" s="624"/>
      <c r="G176" s="624"/>
      <c r="H176" s="624"/>
      <c r="I176" s="624"/>
      <c r="J176" s="624"/>
      <c r="K176" s="624"/>
      <c r="L176" s="624"/>
      <c r="M176" s="624"/>
      <c r="N176" s="624"/>
      <c r="O176" s="624"/>
      <c r="P176" s="624"/>
      <c r="Q176" s="24"/>
      <c r="R176" s="24"/>
    </row>
    <row r="177" spans="1:19" ht="16.5" customHeight="1" x14ac:dyDescent="0.4">
      <c r="A177" s="619" t="s">
        <v>898</v>
      </c>
      <c r="B177" s="620"/>
      <c r="C177" s="620"/>
      <c r="D177" s="620"/>
      <c r="E177" s="620"/>
      <c r="F177" s="620"/>
      <c r="G177" s="620"/>
      <c r="H177" s="620"/>
      <c r="I177" s="620"/>
      <c r="J177" s="620"/>
      <c r="K177" s="620"/>
      <c r="L177" s="620"/>
      <c r="M177" s="620"/>
      <c r="N177" s="620"/>
      <c r="O177" s="620"/>
      <c r="P177" s="620"/>
      <c r="Q177" s="15"/>
      <c r="R177" s="15"/>
      <c r="S177" s="33"/>
    </row>
    <row r="178" spans="1:19" ht="16.5" customHeight="1" x14ac:dyDescent="0.45">
      <c r="A178" s="505" t="s">
        <v>780</v>
      </c>
      <c r="B178" s="505"/>
      <c r="C178" s="505"/>
      <c r="D178" s="505"/>
      <c r="E178" s="505"/>
      <c r="F178" s="505"/>
      <c r="G178" s="505"/>
      <c r="H178" s="120"/>
      <c r="I178" s="120"/>
      <c r="J178" s="120"/>
      <c r="K178" s="120"/>
      <c r="L178" s="120"/>
      <c r="M178" s="120"/>
      <c r="N178" s="120"/>
      <c r="O178" s="120"/>
      <c r="P178" s="120"/>
      <c r="Q178" s="120"/>
      <c r="R178" s="15"/>
    </row>
    <row r="179" spans="1:19" ht="16.5" customHeight="1" x14ac:dyDescent="0.4">
      <c r="A179" s="621" t="s">
        <v>575</v>
      </c>
      <c r="B179" s="622"/>
      <c r="C179" s="622"/>
      <c r="D179" s="622"/>
      <c r="E179" s="622"/>
      <c r="F179" s="622"/>
      <c r="G179" s="622"/>
      <c r="H179" s="622"/>
      <c r="I179" s="622"/>
      <c r="J179" s="622"/>
      <c r="K179" s="622"/>
      <c r="L179" s="622"/>
      <c r="M179" s="622"/>
      <c r="N179" s="622"/>
      <c r="O179" s="622"/>
      <c r="P179" s="622"/>
      <c r="Q179" s="32"/>
    </row>
    <row r="180" spans="1:19" ht="12.6" thickBot="1" x14ac:dyDescent="0.45">
      <c r="A180" s="617" t="s">
        <v>845</v>
      </c>
      <c r="B180" s="618"/>
      <c r="C180" s="618"/>
      <c r="D180" s="618"/>
      <c r="E180" s="618"/>
      <c r="F180" s="618"/>
      <c r="G180" s="618"/>
      <c r="H180" s="618"/>
      <c r="I180" s="618"/>
      <c r="J180" s="618"/>
      <c r="K180" s="618"/>
      <c r="L180" s="618"/>
      <c r="M180" s="618"/>
      <c r="N180" s="618"/>
      <c r="O180" s="618"/>
      <c r="P180" s="618"/>
      <c r="Q180" s="24"/>
      <c r="R180" s="356"/>
      <c r="S180" s="358"/>
    </row>
    <row r="181" spans="1:19" x14ac:dyDescent="0.4">
      <c r="A181" s="15"/>
      <c r="B181" s="15"/>
      <c r="C181" s="15"/>
      <c r="D181" s="15"/>
      <c r="E181" s="15"/>
      <c r="F181" s="15"/>
      <c r="G181" s="15"/>
      <c r="H181" s="15"/>
      <c r="I181" s="15"/>
      <c r="J181" s="15"/>
      <c r="K181" s="15"/>
      <c r="L181" s="15"/>
      <c r="M181" s="15"/>
      <c r="N181" s="15"/>
      <c r="O181" s="15"/>
      <c r="P181" s="15"/>
      <c r="Q181" s="15"/>
      <c r="R181" s="15"/>
    </row>
    <row r="182" spans="1:19" x14ac:dyDescent="0.4">
      <c r="A182" s="17" t="s">
        <v>614</v>
      </c>
      <c r="B182" s="15"/>
      <c r="C182" s="15"/>
      <c r="D182" s="15"/>
      <c r="E182" s="15"/>
      <c r="F182" s="15"/>
      <c r="G182" s="15"/>
      <c r="H182" s="15"/>
      <c r="I182" s="15"/>
      <c r="J182" s="15"/>
      <c r="K182" s="15"/>
      <c r="L182" s="15"/>
      <c r="M182" s="15"/>
      <c r="N182" s="15"/>
      <c r="O182" s="15"/>
      <c r="P182" s="15"/>
      <c r="Q182" s="15"/>
      <c r="R182" s="15"/>
    </row>
    <row r="183" spans="1:19" x14ac:dyDescent="0.4">
      <c r="A183" s="15"/>
      <c r="B183" s="15"/>
      <c r="C183" s="15"/>
      <c r="D183" s="15"/>
      <c r="E183" s="15"/>
      <c r="F183" s="15"/>
      <c r="G183" s="15"/>
      <c r="H183" s="15"/>
      <c r="I183" s="15"/>
      <c r="J183" s="15"/>
      <c r="K183" s="15"/>
      <c r="L183" s="15"/>
      <c r="M183" s="15"/>
      <c r="N183" s="15"/>
      <c r="O183" s="15"/>
      <c r="P183" s="15"/>
      <c r="Q183" s="15"/>
    </row>
  </sheetData>
  <mergeCells count="18">
    <mergeCell ref="A180:P180"/>
    <mergeCell ref="A177:P177"/>
    <mergeCell ref="A179:P179"/>
    <mergeCell ref="A151:A174"/>
    <mergeCell ref="A176:P176"/>
    <mergeCell ref="A178:G178"/>
    <mergeCell ref="A55:A78"/>
    <mergeCell ref="A79:A102"/>
    <mergeCell ref="A103:A126"/>
    <mergeCell ref="A127:A150"/>
    <mergeCell ref="A2:P2"/>
    <mergeCell ref="A3:P3"/>
    <mergeCell ref="C5:F5"/>
    <mergeCell ref="G5:J5"/>
    <mergeCell ref="K5:N5"/>
    <mergeCell ref="O5:R5"/>
    <mergeCell ref="A7:A30"/>
    <mergeCell ref="A31:A54"/>
  </mergeCells>
  <hyperlinks>
    <hyperlink ref="A179:P179" r:id="rId1" display="Contact via enquiries@NHSDigital.nhs.uk or 0300 303 5678" xr:uid="{00000000-0004-0000-2A00-000000000000}"/>
    <hyperlink ref="A182" location="Contents!A1" display="Return to Contents" xr:uid="{00000000-0004-0000-2A00-000001000000}"/>
  </hyperlinks>
  <pageMargins left="0.7" right="0.7" top="0.75" bottom="0.75" header="0.3" footer="0.3"/>
  <pageSetup paperSize="9" scale="57" fitToHeight="0" orientation="landscape"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59315-331D-4DAF-AAB4-0822F216AAFA}">
  <dimension ref="A2:K25"/>
  <sheetViews>
    <sheetView workbookViewId="0"/>
  </sheetViews>
  <sheetFormatPr defaultColWidth="9.109375" defaultRowHeight="12.3" x14ac:dyDescent="0.4"/>
  <cols>
    <col min="1" max="1" width="28.33203125" style="451" bestFit="1" customWidth="1"/>
    <col min="2" max="3" width="15.6640625" style="451" customWidth="1"/>
    <col min="4" max="16384" width="9.109375" style="451"/>
  </cols>
  <sheetData>
    <row r="2" spans="1:11" ht="57" customHeight="1" x14ac:dyDescent="0.4">
      <c r="A2" s="629" t="s">
        <v>1319</v>
      </c>
      <c r="B2" s="629"/>
      <c r="C2" s="629"/>
      <c r="D2" s="629"/>
      <c r="E2" s="629"/>
      <c r="F2" s="629"/>
      <c r="G2" s="629"/>
      <c r="H2" s="629"/>
      <c r="I2" s="629"/>
      <c r="J2" s="629"/>
      <c r="K2" s="345"/>
    </row>
    <row r="3" spans="1:11" ht="30.75" customHeight="1" x14ac:dyDescent="0.4">
      <c r="A3" s="598" t="s">
        <v>783</v>
      </c>
      <c r="B3" s="598"/>
      <c r="C3" s="598"/>
      <c r="D3" s="598"/>
      <c r="E3" s="598"/>
      <c r="F3" s="598"/>
      <c r="G3" s="598"/>
      <c r="H3" s="464"/>
    </row>
    <row r="4" spans="1:11" ht="12.6" thickBot="1" x14ac:dyDescent="0.45"/>
    <row r="5" spans="1:11" ht="30.75" customHeight="1" thickBot="1" x14ac:dyDescent="0.45">
      <c r="A5" s="459" t="s">
        <v>1307</v>
      </c>
      <c r="B5" s="460" t="s">
        <v>673</v>
      </c>
      <c r="C5" s="472" t="s">
        <v>844</v>
      </c>
    </row>
    <row r="6" spans="1:11" ht="15" customHeight="1" x14ac:dyDescent="0.4">
      <c r="A6" s="458" t="s">
        <v>1278</v>
      </c>
      <c r="B6" s="469">
        <v>1401004</v>
      </c>
      <c r="C6" s="469">
        <v>1435038</v>
      </c>
      <c r="E6" s="457"/>
    </row>
    <row r="7" spans="1:11" ht="15" customHeight="1" x14ac:dyDescent="0.4">
      <c r="A7" s="456" t="s">
        <v>1279</v>
      </c>
      <c r="B7" s="470">
        <v>1545959</v>
      </c>
      <c r="C7" s="470">
        <v>1583744</v>
      </c>
    </row>
    <row r="8" spans="1:11" ht="15" customHeight="1" x14ac:dyDescent="0.4">
      <c r="A8" s="456" t="s">
        <v>1280</v>
      </c>
      <c r="B8" s="470">
        <v>1596572</v>
      </c>
      <c r="C8" s="470">
        <v>1626090</v>
      </c>
    </row>
    <row r="9" spans="1:11" ht="15" customHeight="1" x14ac:dyDescent="0.4">
      <c r="A9" s="456" t="s">
        <v>1281</v>
      </c>
      <c r="B9" s="470">
        <v>1703114</v>
      </c>
      <c r="C9" s="470">
        <v>1738447</v>
      </c>
    </row>
    <row r="10" spans="1:11" ht="15" customHeight="1" x14ac:dyDescent="0.4">
      <c r="A10" s="456" t="s">
        <v>1282</v>
      </c>
      <c r="B10" s="470">
        <v>1833993</v>
      </c>
      <c r="C10" s="470">
        <v>1877730</v>
      </c>
    </row>
    <row r="11" spans="1:11" ht="15" customHeight="1" x14ac:dyDescent="0.4">
      <c r="A11" s="456" t="s">
        <v>1283</v>
      </c>
      <c r="B11" s="470">
        <v>2654743</v>
      </c>
      <c r="C11" s="470">
        <v>2698740</v>
      </c>
    </row>
    <row r="12" spans="1:11" ht="15" customHeight="1" x14ac:dyDescent="0.4">
      <c r="A12" s="456" t="s">
        <v>1284</v>
      </c>
      <c r="B12" s="470">
        <v>2369166</v>
      </c>
      <c r="C12" s="470">
        <v>2412949</v>
      </c>
    </row>
    <row r="13" spans="1:11" ht="15" customHeight="1" x14ac:dyDescent="0.4">
      <c r="A13" s="456" t="s">
        <v>1285</v>
      </c>
      <c r="B13" s="470">
        <v>2169823</v>
      </c>
      <c r="C13" s="470">
        <v>2210350</v>
      </c>
    </row>
    <row r="14" spans="1:11" ht="15" customHeight="1" x14ac:dyDescent="0.4">
      <c r="A14" s="456" t="s">
        <v>1286</v>
      </c>
      <c r="B14" s="470">
        <v>1978220</v>
      </c>
      <c r="C14" s="470">
        <v>2002279</v>
      </c>
    </row>
    <row r="15" spans="1:11" ht="15" customHeight="1" x14ac:dyDescent="0.4">
      <c r="A15" s="456" t="s">
        <v>1287</v>
      </c>
      <c r="B15" s="470">
        <v>2904797</v>
      </c>
      <c r="C15" s="470">
        <v>2974424</v>
      </c>
    </row>
    <row r="16" spans="1:11" ht="15" customHeight="1" thickBot="1" x14ac:dyDescent="0.45">
      <c r="A16" s="455" t="s">
        <v>1277</v>
      </c>
      <c r="B16" s="471">
        <v>446383</v>
      </c>
      <c r="C16" s="471">
        <v>451914</v>
      </c>
    </row>
    <row r="17" spans="1:7" ht="12.6" thickBot="1" x14ac:dyDescent="0.45">
      <c r="A17" s="454" t="s">
        <v>49</v>
      </c>
      <c r="B17" s="467">
        <f>SUM(B6:B16)</f>
        <v>20603774</v>
      </c>
      <c r="C17" s="468">
        <f>SUM(C6:C16)</f>
        <v>21011705</v>
      </c>
    </row>
    <row r="19" spans="1:7" ht="12.6" thickBot="1" x14ac:dyDescent="0.45">
      <c r="A19" s="630" t="s">
        <v>10</v>
      </c>
      <c r="B19" s="628"/>
      <c r="C19" s="628"/>
      <c r="D19" s="628"/>
      <c r="E19" s="628"/>
      <c r="F19" s="628"/>
      <c r="G19" s="452"/>
    </row>
    <row r="20" spans="1:7" x14ac:dyDescent="0.4">
      <c r="A20" s="631" t="s">
        <v>898</v>
      </c>
      <c r="B20" s="632"/>
      <c r="C20" s="632"/>
      <c r="D20" s="632"/>
      <c r="E20" s="632"/>
      <c r="F20" s="632"/>
      <c r="G20" s="452"/>
    </row>
    <row r="21" spans="1:7" x14ac:dyDescent="0.4">
      <c r="A21" s="505" t="s">
        <v>780</v>
      </c>
      <c r="B21" s="505"/>
      <c r="C21" s="505"/>
      <c r="D21" s="505"/>
      <c r="E21" s="505"/>
      <c r="F21" s="505"/>
      <c r="G21" s="505"/>
    </row>
    <row r="22" spans="1:7" x14ac:dyDescent="0.4">
      <c r="A22" s="625" t="s">
        <v>575</v>
      </c>
      <c r="B22" s="626"/>
      <c r="C22" s="626"/>
      <c r="D22" s="626"/>
      <c r="E22" s="626"/>
      <c r="F22" s="626"/>
      <c r="G22" s="452"/>
    </row>
    <row r="23" spans="1:7" ht="12.6" thickBot="1" x14ac:dyDescent="0.45">
      <c r="A23" s="627" t="s">
        <v>845</v>
      </c>
      <c r="B23" s="628"/>
      <c r="C23" s="628"/>
      <c r="D23" s="628"/>
      <c r="E23" s="628"/>
      <c r="F23" s="628"/>
      <c r="G23" s="452"/>
    </row>
    <row r="24" spans="1:7" x14ac:dyDescent="0.4">
      <c r="A24" s="452"/>
      <c r="B24" s="452"/>
      <c r="C24" s="452"/>
      <c r="D24" s="452"/>
      <c r="E24" s="452"/>
      <c r="F24" s="452"/>
      <c r="G24" s="452"/>
    </row>
    <row r="25" spans="1:7" x14ac:dyDescent="0.4">
      <c r="A25" s="453" t="s">
        <v>614</v>
      </c>
      <c r="B25" s="452"/>
      <c r="C25" s="452"/>
      <c r="D25" s="452"/>
      <c r="E25" s="452"/>
      <c r="F25" s="452"/>
      <c r="G25" s="452"/>
    </row>
  </sheetData>
  <mergeCells count="7">
    <mergeCell ref="A22:F22"/>
    <mergeCell ref="A23:F23"/>
    <mergeCell ref="A2:J2"/>
    <mergeCell ref="A19:F19"/>
    <mergeCell ref="A20:F20"/>
    <mergeCell ref="A21:G21"/>
    <mergeCell ref="A3:G3"/>
  </mergeCells>
  <hyperlinks>
    <hyperlink ref="A22:F22" r:id="rId1" display="Contact via enquiries@NHSDigital.nhs.uk or 0300 303 5678" xr:uid="{EC41AB6E-E292-4DAC-8CC1-2A2BDB44EF8B}"/>
    <hyperlink ref="A25" location="Contents!A1" display="Return to Contents" xr:uid="{C6673258-6E4A-4C42-AD15-02A6D424F81B}"/>
  </hyperlinks>
  <pageMargins left="0.7" right="0.7" top="0.75" bottom="0.75" header="0.3" footer="0.3"/>
  <pageSetup paperSize="9" orientation="portrait"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62BE5-3EE4-4CA5-99B8-AC53A292FA2B}">
  <dimension ref="A2:K32"/>
  <sheetViews>
    <sheetView workbookViewId="0"/>
  </sheetViews>
  <sheetFormatPr defaultColWidth="9.109375" defaultRowHeight="12.3" x14ac:dyDescent="0.4"/>
  <cols>
    <col min="1" max="1" width="31.5546875" style="451" bestFit="1" customWidth="1"/>
    <col min="2" max="3" width="15.6640625" style="451" customWidth="1"/>
    <col min="4" max="16384" width="9.109375" style="451"/>
  </cols>
  <sheetData>
    <row r="2" spans="1:11" ht="36.450000000000003" customHeight="1" x14ac:dyDescent="0.4">
      <c r="A2" s="633" t="s">
        <v>1320</v>
      </c>
      <c r="B2" s="633"/>
      <c r="C2" s="633"/>
      <c r="D2" s="633"/>
      <c r="E2" s="633"/>
      <c r="F2" s="633"/>
      <c r="G2" s="633"/>
      <c r="H2" s="633"/>
      <c r="I2" s="633"/>
      <c r="J2" s="633"/>
      <c r="K2" s="633"/>
    </row>
    <row r="3" spans="1:11" ht="30.9" customHeight="1" x14ac:dyDescent="0.4">
      <c r="A3" s="598" t="s">
        <v>783</v>
      </c>
      <c r="B3" s="598"/>
      <c r="C3" s="598"/>
      <c r="D3" s="598"/>
      <c r="E3" s="598"/>
      <c r="F3" s="598"/>
      <c r="G3" s="598"/>
    </row>
    <row r="4" spans="1:11" ht="12.6" thickBot="1" x14ac:dyDescent="0.45"/>
    <row r="5" spans="1:11" ht="30" customHeight="1" thickBot="1" x14ac:dyDescent="0.45">
      <c r="A5" s="459" t="s">
        <v>1314</v>
      </c>
      <c r="B5" s="461" t="s">
        <v>673</v>
      </c>
      <c r="C5" s="460" t="s">
        <v>844</v>
      </c>
    </row>
    <row r="6" spans="1:11" ht="15" customHeight="1" x14ac:dyDescent="0.4">
      <c r="A6" s="458" t="s">
        <v>1304</v>
      </c>
      <c r="B6" s="469">
        <v>13303787</v>
      </c>
      <c r="C6" s="469">
        <v>13357378</v>
      </c>
    </row>
    <row r="7" spans="1:11" ht="15" customHeight="1" x14ac:dyDescent="0.4">
      <c r="A7" s="456" t="s">
        <v>1303</v>
      </c>
      <c r="B7" s="470">
        <v>125349</v>
      </c>
      <c r="C7" s="470">
        <v>125752</v>
      </c>
    </row>
    <row r="8" spans="1:11" ht="15" customHeight="1" x14ac:dyDescent="0.4">
      <c r="A8" s="456" t="s">
        <v>1302</v>
      </c>
      <c r="B8" s="470">
        <v>1281943</v>
      </c>
      <c r="C8" s="470">
        <v>1345788</v>
      </c>
    </row>
    <row r="9" spans="1:11" ht="15" customHeight="1" x14ac:dyDescent="0.4">
      <c r="A9" s="456" t="s">
        <v>1301</v>
      </c>
      <c r="B9" s="470">
        <v>79322</v>
      </c>
      <c r="C9" s="470">
        <v>82554</v>
      </c>
    </row>
    <row r="10" spans="1:11" ht="15" customHeight="1" x14ac:dyDescent="0.4">
      <c r="A10" s="456" t="s">
        <v>1300</v>
      </c>
      <c r="B10" s="470">
        <v>38686</v>
      </c>
      <c r="C10" s="470">
        <v>41900</v>
      </c>
    </row>
    <row r="11" spans="1:11" ht="15" customHeight="1" x14ac:dyDescent="0.4">
      <c r="A11" s="456" t="s">
        <v>1299</v>
      </c>
      <c r="B11" s="470">
        <v>52246</v>
      </c>
      <c r="C11" s="470">
        <v>55734</v>
      </c>
    </row>
    <row r="12" spans="1:11" ht="15" customHeight="1" x14ac:dyDescent="0.4">
      <c r="A12" s="456" t="s">
        <v>1298</v>
      </c>
      <c r="B12" s="470">
        <v>170450</v>
      </c>
      <c r="C12" s="470">
        <v>196255</v>
      </c>
    </row>
    <row r="13" spans="1:11" ht="15" customHeight="1" x14ac:dyDescent="0.4">
      <c r="A13" s="456" t="s">
        <v>1297</v>
      </c>
      <c r="B13" s="470">
        <v>408299</v>
      </c>
      <c r="C13" s="470">
        <v>422782</v>
      </c>
    </row>
    <row r="14" spans="1:11" ht="15" customHeight="1" x14ac:dyDescent="0.4">
      <c r="A14" s="456" t="s">
        <v>1296</v>
      </c>
      <c r="B14" s="470">
        <v>455828</v>
      </c>
      <c r="C14" s="470">
        <v>473974</v>
      </c>
    </row>
    <row r="15" spans="1:11" ht="15" customHeight="1" x14ac:dyDescent="0.4">
      <c r="A15" s="456" t="s">
        <v>1295</v>
      </c>
      <c r="B15" s="470">
        <v>144946</v>
      </c>
      <c r="C15" s="470">
        <v>153957</v>
      </c>
    </row>
    <row r="16" spans="1:11" ht="15" customHeight="1" x14ac:dyDescent="0.4">
      <c r="A16" s="456" t="s">
        <v>1294</v>
      </c>
      <c r="B16" s="470">
        <v>359704</v>
      </c>
      <c r="C16" s="470">
        <v>371587</v>
      </c>
    </row>
    <row r="17" spans="1:7" ht="15" customHeight="1" x14ac:dyDescent="0.4">
      <c r="A17" s="456" t="s">
        <v>1293</v>
      </c>
      <c r="B17" s="470">
        <v>206001</v>
      </c>
      <c r="C17" s="470">
        <v>207200</v>
      </c>
    </row>
    <row r="18" spans="1:7" ht="15" customHeight="1" x14ac:dyDescent="0.4">
      <c r="A18" s="456" t="s">
        <v>1292</v>
      </c>
      <c r="B18" s="470">
        <v>363764</v>
      </c>
      <c r="C18" s="470">
        <v>379116</v>
      </c>
    </row>
    <row r="19" spans="1:7" ht="15" customHeight="1" x14ac:dyDescent="0.4">
      <c r="A19" s="456" t="s">
        <v>1291</v>
      </c>
      <c r="B19" s="470">
        <v>185721</v>
      </c>
      <c r="C19" s="470">
        <v>198216</v>
      </c>
    </row>
    <row r="20" spans="1:7" ht="15" customHeight="1" x14ac:dyDescent="0.4">
      <c r="A20" s="456" t="s">
        <v>1290</v>
      </c>
      <c r="B20" s="470">
        <v>69121</v>
      </c>
      <c r="C20" s="470">
        <v>70068</v>
      </c>
    </row>
    <row r="21" spans="1:7" ht="15" customHeight="1" x14ac:dyDescent="0.4">
      <c r="A21" s="456" t="s">
        <v>1289</v>
      </c>
      <c r="B21" s="470">
        <v>588614</v>
      </c>
      <c r="C21" s="470">
        <v>628264</v>
      </c>
    </row>
    <row r="22" spans="1:7" ht="15" customHeight="1" x14ac:dyDescent="0.4">
      <c r="A22" s="456" t="s">
        <v>1288</v>
      </c>
      <c r="B22" s="470">
        <v>1776155</v>
      </c>
      <c r="C22" s="470">
        <v>1771792</v>
      </c>
    </row>
    <row r="23" spans="1:7" ht="15" customHeight="1" thickBot="1" x14ac:dyDescent="0.45">
      <c r="A23" s="455" t="s">
        <v>1277</v>
      </c>
      <c r="B23" s="471">
        <v>993838</v>
      </c>
      <c r="C23" s="471">
        <v>1129388</v>
      </c>
    </row>
    <row r="24" spans="1:7" ht="15" customHeight="1" thickBot="1" x14ac:dyDescent="0.45">
      <c r="A24" s="454" t="s">
        <v>49</v>
      </c>
      <c r="B24" s="468">
        <f>SUM(B6:B23)</f>
        <v>20603774</v>
      </c>
      <c r="C24" s="468">
        <f>SUM(C6:C23)</f>
        <v>21011705</v>
      </c>
    </row>
    <row r="26" spans="1:7" ht="12.6" thickBot="1" x14ac:dyDescent="0.45">
      <c r="A26" s="630" t="s">
        <v>10</v>
      </c>
      <c r="B26" s="628"/>
      <c r="C26" s="628"/>
      <c r="D26" s="628"/>
      <c r="E26" s="628"/>
      <c r="F26" s="628"/>
      <c r="G26" s="452"/>
    </row>
    <row r="27" spans="1:7" x14ac:dyDescent="0.4">
      <c r="A27" s="631" t="s">
        <v>898</v>
      </c>
      <c r="B27" s="632"/>
      <c r="C27" s="632"/>
      <c r="D27" s="632"/>
      <c r="E27" s="632"/>
      <c r="F27" s="632"/>
      <c r="G27" s="452"/>
    </row>
    <row r="28" spans="1:7" x14ac:dyDescent="0.4">
      <c r="A28" s="505" t="s">
        <v>780</v>
      </c>
      <c r="B28" s="505"/>
      <c r="C28" s="505"/>
      <c r="D28" s="505"/>
      <c r="E28" s="505"/>
      <c r="F28" s="505"/>
      <c r="G28" s="505"/>
    </row>
    <row r="29" spans="1:7" x14ac:dyDescent="0.4">
      <c r="A29" s="625" t="s">
        <v>575</v>
      </c>
      <c r="B29" s="626"/>
      <c r="C29" s="626"/>
      <c r="D29" s="626"/>
      <c r="E29" s="626"/>
      <c r="F29" s="626"/>
      <c r="G29" s="452"/>
    </row>
    <row r="30" spans="1:7" ht="12.6" thickBot="1" x14ac:dyDescent="0.45">
      <c r="A30" s="627" t="s">
        <v>845</v>
      </c>
      <c r="B30" s="628"/>
      <c r="C30" s="628"/>
      <c r="D30" s="628"/>
      <c r="E30" s="628"/>
      <c r="F30" s="628"/>
      <c r="G30" s="452"/>
    </row>
    <row r="31" spans="1:7" x14ac:dyDescent="0.4">
      <c r="A31" s="452"/>
      <c r="B31" s="452"/>
      <c r="C31" s="452"/>
      <c r="D31" s="452"/>
      <c r="E31" s="452"/>
      <c r="F31" s="452"/>
      <c r="G31" s="452"/>
    </row>
    <row r="32" spans="1:7" x14ac:dyDescent="0.4">
      <c r="A32" s="453" t="s">
        <v>614</v>
      </c>
      <c r="B32" s="452"/>
      <c r="C32" s="452"/>
      <c r="D32" s="452"/>
      <c r="E32" s="452"/>
      <c r="F32" s="452"/>
      <c r="G32" s="452"/>
    </row>
  </sheetData>
  <mergeCells count="7">
    <mergeCell ref="A30:F30"/>
    <mergeCell ref="A2:K2"/>
    <mergeCell ref="A26:F26"/>
    <mergeCell ref="A27:F27"/>
    <mergeCell ref="A28:G28"/>
    <mergeCell ref="A29:F29"/>
    <mergeCell ref="A3:G3"/>
  </mergeCells>
  <hyperlinks>
    <hyperlink ref="A29:F29" r:id="rId1" display="Contact via enquiries@NHSDigital.nhs.uk or 0300 303 5678" xr:uid="{64B7377D-159C-4575-A0D6-1E002BCCFF0F}"/>
    <hyperlink ref="A32" location="Contents!A1" display="Return to Contents" xr:uid="{D3B845AD-E99E-40EA-B4FE-782663C90FDB}"/>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BA236"/>
  <sheetViews>
    <sheetView zoomScale="85" zoomScaleNormal="85" workbookViewId="0"/>
  </sheetViews>
  <sheetFormatPr defaultColWidth="9.109375" defaultRowHeight="12.3" x14ac:dyDescent="0.4"/>
  <cols>
    <col min="1" max="1" width="13.6640625" style="16" customWidth="1"/>
    <col min="2" max="2" width="50.6640625" style="16" customWidth="1"/>
    <col min="3" max="5" width="14.33203125" style="16" customWidth="1"/>
    <col min="6" max="6" width="32.33203125" style="16" customWidth="1"/>
    <col min="7" max="50" width="14.33203125" style="16" customWidth="1"/>
    <col min="51" max="53" width="9.33203125" style="16"/>
    <col min="54" max="16384" width="9.109375" style="16"/>
  </cols>
  <sheetData>
    <row r="1" spans="1:53" ht="15" customHeight="1" x14ac:dyDescent="0.4">
      <c r="A1" s="97"/>
      <c r="B1" s="97"/>
      <c r="C1" s="97"/>
      <c r="D1" s="97"/>
      <c r="E1" s="97"/>
      <c r="F1" s="97"/>
      <c r="G1" s="97"/>
      <c r="H1" s="97"/>
      <c r="I1" s="97"/>
      <c r="J1" s="97"/>
      <c r="K1" s="97"/>
      <c r="L1" s="97"/>
      <c r="M1" s="97"/>
      <c r="N1" s="97"/>
      <c r="O1" s="97"/>
      <c r="P1" s="97"/>
      <c r="Q1" s="97"/>
      <c r="R1" s="97"/>
      <c r="S1" s="97"/>
      <c r="T1" s="97"/>
      <c r="U1" s="97"/>
      <c r="V1" s="97"/>
      <c r="W1" s="97"/>
      <c r="X1" s="97"/>
      <c r="Y1" s="97"/>
      <c r="Z1" s="97"/>
      <c r="AA1" s="97"/>
      <c r="AB1" s="97"/>
      <c r="AC1" s="97"/>
      <c r="AD1" s="97"/>
      <c r="AE1" s="97"/>
      <c r="AF1" s="97"/>
      <c r="AG1" s="97"/>
      <c r="AH1" s="97"/>
      <c r="AI1" s="97"/>
      <c r="AJ1" s="97"/>
      <c r="AK1" s="97"/>
      <c r="AL1" s="97"/>
      <c r="AM1" s="97"/>
      <c r="AN1" s="97"/>
      <c r="AO1" s="97"/>
      <c r="AP1" s="97"/>
      <c r="AQ1" s="97"/>
      <c r="AR1" s="97"/>
      <c r="AS1" s="97"/>
      <c r="AT1" s="97"/>
      <c r="AU1" s="97"/>
      <c r="AV1" s="97"/>
      <c r="AW1" s="97"/>
      <c r="AX1" s="97"/>
      <c r="AY1" s="97"/>
      <c r="AZ1" s="97"/>
      <c r="BA1" s="97"/>
    </row>
    <row r="2" spans="1:53" ht="30" customHeight="1" x14ac:dyDescent="0.4">
      <c r="A2" s="629" t="s">
        <v>1315</v>
      </c>
      <c r="B2" s="629"/>
      <c r="C2" s="629"/>
      <c r="D2" s="629"/>
      <c r="E2" s="629"/>
      <c r="F2" s="629"/>
      <c r="G2" s="629"/>
      <c r="H2" s="629"/>
      <c r="I2" s="99"/>
      <c r="J2" s="99"/>
      <c r="K2" s="99"/>
      <c r="L2" s="99"/>
      <c r="M2" s="100"/>
      <c r="N2" s="100"/>
      <c r="O2" s="100"/>
      <c r="P2" s="100"/>
      <c r="Q2" s="100"/>
      <c r="R2" s="100"/>
      <c r="S2" s="100"/>
      <c r="T2" s="100"/>
      <c r="U2" s="100"/>
      <c r="V2" s="100"/>
      <c r="W2" s="99"/>
      <c r="X2" s="99"/>
      <c r="Y2" s="99"/>
      <c r="Z2" s="99"/>
      <c r="AA2" s="99"/>
      <c r="AB2" s="99"/>
      <c r="AC2" s="99"/>
      <c r="AD2" s="99"/>
      <c r="AE2" s="99"/>
      <c r="AF2" s="99"/>
      <c r="AG2" s="99"/>
      <c r="AH2" s="99"/>
      <c r="AI2" s="99"/>
      <c r="AJ2" s="99"/>
      <c r="AK2" s="99"/>
      <c r="AL2" s="99"/>
      <c r="AM2" s="99"/>
      <c r="AN2" s="99"/>
      <c r="AO2" s="99"/>
      <c r="AP2" s="99"/>
      <c r="AQ2" s="99"/>
      <c r="AR2" s="99"/>
      <c r="AS2" s="99"/>
      <c r="AT2" s="99"/>
      <c r="AU2" s="99"/>
      <c r="AV2" s="99"/>
      <c r="AW2" s="99"/>
      <c r="AX2" s="99"/>
      <c r="AY2" s="97"/>
      <c r="AZ2" s="97"/>
      <c r="BA2" s="97"/>
    </row>
    <row r="3" spans="1:53" ht="52.5" customHeight="1" x14ac:dyDescent="0.4">
      <c r="A3" s="647" t="s">
        <v>1053</v>
      </c>
      <c r="B3" s="648"/>
      <c r="C3" s="648"/>
      <c r="D3" s="648"/>
      <c r="E3" s="648"/>
      <c r="F3" s="648"/>
      <c r="G3" s="648"/>
      <c r="H3" s="648"/>
      <c r="I3" s="99"/>
      <c r="J3" s="99"/>
      <c r="K3" s="99"/>
      <c r="L3" s="99"/>
      <c r="M3" s="100"/>
      <c r="N3" s="100"/>
      <c r="O3" s="100"/>
      <c r="P3" s="100"/>
      <c r="Q3" s="100"/>
      <c r="R3" s="100"/>
      <c r="S3" s="100"/>
      <c r="T3" s="100"/>
      <c r="U3" s="100"/>
      <c r="V3" s="100"/>
      <c r="W3" s="99"/>
      <c r="X3" s="99"/>
      <c r="Y3" s="99"/>
      <c r="Z3" s="99"/>
      <c r="AA3" s="99"/>
      <c r="AB3" s="99"/>
      <c r="AC3" s="99"/>
      <c r="AD3" s="99"/>
      <c r="AE3" s="99"/>
      <c r="AF3" s="99"/>
      <c r="AG3" s="99"/>
      <c r="AH3" s="99"/>
      <c r="AI3" s="99"/>
      <c r="AJ3" s="99"/>
      <c r="AK3" s="99"/>
      <c r="AL3" s="99"/>
      <c r="AM3" s="99"/>
      <c r="AN3" s="99"/>
      <c r="AO3" s="99"/>
      <c r="AP3" s="99"/>
      <c r="AQ3" s="99"/>
      <c r="AR3" s="99"/>
      <c r="AS3" s="99"/>
      <c r="AT3" s="99"/>
      <c r="AU3" s="99"/>
      <c r="AV3" s="99"/>
      <c r="AW3" s="99"/>
      <c r="AX3" s="99"/>
      <c r="AY3" s="97"/>
      <c r="AZ3" s="97"/>
      <c r="BA3" s="97"/>
    </row>
    <row r="4" spans="1:53" ht="15" customHeight="1" thickBot="1" x14ac:dyDescent="0.45">
      <c r="A4" s="101"/>
      <c r="B4" s="387"/>
      <c r="C4" s="387"/>
      <c r="D4" s="387"/>
      <c r="E4" s="387"/>
      <c r="F4" s="387"/>
      <c r="G4" s="387"/>
      <c r="H4" s="387"/>
      <c r="I4" s="99"/>
      <c r="J4" s="99"/>
      <c r="K4" s="99"/>
      <c r="L4" s="99"/>
      <c r="M4" s="100"/>
      <c r="N4" s="100"/>
      <c r="O4" s="100"/>
      <c r="P4" s="100"/>
      <c r="Q4" s="100"/>
      <c r="R4" s="100"/>
      <c r="S4" s="100"/>
      <c r="T4" s="100"/>
      <c r="U4" s="100"/>
      <c r="V4" s="100"/>
      <c r="W4" s="99"/>
      <c r="X4" s="99"/>
      <c r="Y4" s="99"/>
      <c r="Z4" s="99"/>
      <c r="AA4" s="99"/>
      <c r="AB4" s="99"/>
      <c r="AC4" s="99"/>
      <c r="AD4" s="99"/>
      <c r="AE4" s="99"/>
      <c r="AF4" s="99"/>
      <c r="AG4" s="99"/>
      <c r="AH4" s="99"/>
      <c r="AI4" s="99"/>
      <c r="AJ4" s="99"/>
      <c r="AK4" s="99"/>
      <c r="AL4" s="99"/>
      <c r="AM4" s="99"/>
      <c r="AN4" s="99"/>
      <c r="AO4" s="99"/>
      <c r="AP4" s="99"/>
      <c r="AQ4" s="99"/>
      <c r="AR4" s="99"/>
      <c r="AS4" s="99"/>
      <c r="AT4" s="99"/>
      <c r="AU4" s="99"/>
      <c r="AV4" s="99"/>
      <c r="AW4" s="99"/>
      <c r="AX4" s="99"/>
      <c r="AY4" s="97"/>
      <c r="AZ4" s="97"/>
      <c r="BA4" s="97"/>
    </row>
    <row r="5" spans="1:53" ht="45" x14ac:dyDescent="0.4">
      <c r="A5" s="323"/>
      <c r="B5" s="334"/>
      <c r="C5" s="640" t="s">
        <v>723</v>
      </c>
      <c r="D5" s="641"/>
      <c r="E5" s="641"/>
      <c r="F5" s="642"/>
      <c r="G5" s="640" t="s">
        <v>724</v>
      </c>
      <c r="H5" s="641"/>
      <c r="I5" s="641"/>
      <c r="J5" s="642"/>
      <c r="K5" s="640" t="s">
        <v>725</v>
      </c>
      <c r="L5" s="641"/>
      <c r="M5" s="642"/>
      <c r="N5" s="640" t="s">
        <v>726</v>
      </c>
      <c r="O5" s="641"/>
      <c r="P5" s="642"/>
      <c r="Q5" s="640" t="s">
        <v>727</v>
      </c>
      <c r="R5" s="641"/>
      <c r="S5" s="642"/>
      <c r="T5" s="339" t="s">
        <v>728</v>
      </c>
      <c r="U5" s="640" t="s">
        <v>729</v>
      </c>
      <c r="V5" s="641"/>
      <c r="W5" s="641"/>
      <c r="X5" s="641"/>
      <c r="Y5" s="642"/>
      <c r="Z5" s="640" t="s">
        <v>730</v>
      </c>
      <c r="AA5" s="641"/>
      <c r="AB5" s="642"/>
      <c r="AC5" s="640" t="s">
        <v>731</v>
      </c>
      <c r="AD5" s="641"/>
      <c r="AE5" s="641"/>
      <c r="AF5" s="641"/>
      <c r="AG5" s="642"/>
      <c r="AH5" s="640" t="s">
        <v>732</v>
      </c>
      <c r="AI5" s="641"/>
      <c r="AJ5" s="642"/>
      <c r="AK5" s="640" t="s">
        <v>733</v>
      </c>
      <c r="AL5" s="641"/>
      <c r="AM5" s="642"/>
      <c r="AN5" s="640" t="s">
        <v>734</v>
      </c>
      <c r="AO5" s="641"/>
      <c r="AP5" s="642"/>
      <c r="AQ5" s="640" t="s">
        <v>735</v>
      </c>
      <c r="AR5" s="641"/>
      <c r="AS5" s="641"/>
      <c r="AT5" s="641"/>
      <c r="AU5" s="642"/>
      <c r="AV5" s="640" t="s">
        <v>736</v>
      </c>
      <c r="AW5" s="641"/>
      <c r="AX5" s="643"/>
      <c r="AY5" s="98"/>
      <c r="AZ5" s="98"/>
      <c r="BA5" s="98"/>
    </row>
    <row r="6" spans="1:53" ht="183.9" thickBot="1" x14ac:dyDescent="0.45">
      <c r="A6" s="328" t="s">
        <v>737</v>
      </c>
      <c r="B6" s="336" t="s">
        <v>738</v>
      </c>
      <c r="C6" s="380" t="s">
        <v>739</v>
      </c>
      <c r="D6" s="330" t="s">
        <v>772</v>
      </c>
      <c r="E6" s="330" t="s">
        <v>773</v>
      </c>
      <c r="F6" s="338" t="s">
        <v>774</v>
      </c>
      <c r="G6" s="380" t="s">
        <v>740</v>
      </c>
      <c r="H6" s="330" t="s">
        <v>741</v>
      </c>
      <c r="I6" s="330" t="s">
        <v>742</v>
      </c>
      <c r="J6" s="338" t="s">
        <v>743</v>
      </c>
      <c r="K6" s="380" t="s">
        <v>744</v>
      </c>
      <c r="L6" s="330" t="s">
        <v>745</v>
      </c>
      <c r="M6" s="338" t="s">
        <v>746</v>
      </c>
      <c r="N6" s="380" t="s">
        <v>747</v>
      </c>
      <c r="O6" s="330" t="s">
        <v>748</v>
      </c>
      <c r="P6" s="338" t="s">
        <v>749</v>
      </c>
      <c r="Q6" s="380" t="s">
        <v>740</v>
      </c>
      <c r="R6" s="330" t="s">
        <v>750</v>
      </c>
      <c r="S6" s="338" t="s">
        <v>751</v>
      </c>
      <c r="T6" s="381" t="s">
        <v>752</v>
      </c>
      <c r="U6" s="380" t="s">
        <v>753</v>
      </c>
      <c r="V6" s="330" t="s">
        <v>754</v>
      </c>
      <c r="W6" s="330" t="s">
        <v>755</v>
      </c>
      <c r="X6" s="330" t="s">
        <v>756</v>
      </c>
      <c r="Y6" s="338" t="s">
        <v>757</v>
      </c>
      <c r="Z6" s="380" t="s">
        <v>758</v>
      </c>
      <c r="AA6" s="330" t="s">
        <v>759</v>
      </c>
      <c r="AB6" s="338" t="s">
        <v>760</v>
      </c>
      <c r="AC6" s="380" t="s">
        <v>761</v>
      </c>
      <c r="AD6" s="330" t="s">
        <v>762</v>
      </c>
      <c r="AE6" s="330" t="s">
        <v>763</v>
      </c>
      <c r="AF6" s="330" t="s">
        <v>764</v>
      </c>
      <c r="AG6" s="338" t="s">
        <v>765</v>
      </c>
      <c r="AH6" s="380" t="s">
        <v>758</v>
      </c>
      <c r="AI6" s="330" t="s">
        <v>759</v>
      </c>
      <c r="AJ6" s="338" t="s">
        <v>766</v>
      </c>
      <c r="AK6" s="380" t="s">
        <v>758</v>
      </c>
      <c r="AL6" s="330" t="s">
        <v>759</v>
      </c>
      <c r="AM6" s="338" t="s">
        <v>766</v>
      </c>
      <c r="AN6" s="380" t="s">
        <v>758</v>
      </c>
      <c r="AO6" s="330" t="s">
        <v>759</v>
      </c>
      <c r="AP6" s="338" t="s">
        <v>766</v>
      </c>
      <c r="AQ6" s="380" t="s">
        <v>740</v>
      </c>
      <c r="AR6" s="330" t="s">
        <v>767</v>
      </c>
      <c r="AS6" s="330" t="s">
        <v>768</v>
      </c>
      <c r="AT6" s="330" t="s">
        <v>769</v>
      </c>
      <c r="AU6" s="338" t="s">
        <v>770</v>
      </c>
      <c r="AV6" s="380" t="s">
        <v>758</v>
      </c>
      <c r="AW6" s="330" t="s">
        <v>759</v>
      </c>
      <c r="AX6" s="382" t="s">
        <v>766</v>
      </c>
      <c r="AY6" s="97"/>
      <c r="AZ6" s="97"/>
      <c r="BA6" s="97"/>
    </row>
    <row r="7" spans="1:53" ht="22.5" customHeight="1" x14ac:dyDescent="0.4">
      <c r="A7" s="324" t="s">
        <v>283</v>
      </c>
      <c r="B7" s="335" t="s">
        <v>771</v>
      </c>
      <c r="C7" s="332">
        <v>20561244</v>
      </c>
      <c r="D7" s="326">
        <v>22071119</v>
      </c>
      <c r="E7" s="479">
        <v>0.93</v>
      </c>
      <c r="F7" s="337"/>
      <c r="G7" s="332">
        <v>20561244</v>
      </c>
      <c r="H7" s="326">
        <v>757538</v>
      </c>
      <c r="I7" s="479">
        <v>0.04</v>
      </c>
      <c r="J7" s="484">
        <v>0.03</v>
      </c>
      <c r="K7" s="332">
        <v>19803706</v>
      </c>
      <c r="L7" s="326">
        <v>568254</v>
      </c>
      <c r="M7" s="479">
        <v>0.03</v>
      </c>
      <c r="N7" s="332">
        <v>21011705</v>
      </c>
      <c r="O7" s="326">
        <v>450461</v>
      </c>
      <c r="P7" s="479">
        <v>0.02</v>
      </c>
      <c r="Q7" s="332">
        <v>20561244</v>
      </c>
      <c r="R7" s="326">
        <v>1636179</v>
      </c>
      <c r="S7" s="479">
        <v>0.08</v>
      </c>
      <c r="T7" s="484">
        <v>0</v>
      </c>
      <c r="U7" s="332">
        <v>4708799</v>
      </c>
      <c r="V7" s="326">
        <v>339655</v>
      </c>
      <c r="W7" s="479">
        <v>7.0000000000000007E-2</v>
      </c>
      <c r="X7" s="325"/>
      <c r="Y7" s="484">
        <v>0.01</v>
      </c>
      <c r="Z7" s="332">
        <v>7</v>
      </c>
      <c r="AA7" s="326">
        <v>91</v>
      </c>
      <c r="AB7" s="340">
        <v>1439</v>
      </c>
      <c r="AC7" s="332">
        <v>19168720</v>
      </c>
      <c r="AD7" s="326">
        <v>1084814</v>
      </c>
      <c r="AE7" s="479">
        <v>0.06</v>
      </c>
      <c r="AF7" s="325"/>
      <c r="AG7" s="484">
        <v>0</v>
      </c>
      <c r="AH7" s="332">
        <v>59</v>
      </c>
      <c r="AI7" s="326">
        <v>213</v>
      </c>
      <c r="AJ7" s="340">
        <v>1439</v>
      </c>
      <c r="AK7" s="332">
        <v>235</v>
      </c>
      <c r="AL7" s="326">
        <v>746</v>
      </c>
      <c r="AM7" s="340">
        <v>1439</v>
      </c>
      <c r="AN7" s="332">
        <v>127</v>
      </c>
      <c r="AO7" s="326">
        <v>322</v>
      </c>
      <c r="AP7" s="340">
        <v>1439</v>
      </c>
      <c r="AQ7" s="332">
        <v>20561244</v>
      </c>
      <c r="AR7" s="326">
        <v>104203</v>
      </c>
      <c r="AS7" s="479">
        <v>0.01</v>
      </c>
      <c r="AT7" s="325"/>
      <c r="AU7" s="484">
        <v>0</v>
      </c>
      <c r="AV7" s="332">
        <v>149</v>
      </c>
      <c r="AW7" s="326">
        <v>447</v>
      </c>
      <c r="AX7" s="327">
        <v>1439</v>
      </c>
      <c r="AY7" s="97"/>
      <c r="AZ7" s="97"/>
      <c r="BA7" s="97"/>
    </row>
    <row r="8" spans="1:53" ht="22.5" customHeight="1" x14ac:dyDescent="0.4">
      <c r="A8" s="324" t="s">
        <v>603</v>
      </c>
      <c r="B8" s="335" t="s">
        <v>1059</v>
      </c>
      <c r="C8" s="332">
        <v>65410</v>
      </c>
      <c r="D8" s="326" t="s">
        <v>1060</v>
      </c>
      <c r="E8" s="479" t="s">
        <v>1060</v>
      </c>
      <c r="F8" s="337" t="s">
        <v>1060</v>
      </c>
      <c r="G8" s="332">
        <v>65410</v>
      </c>
      <c r="H8" s="332">
        <v>65410</v>
      </c>
      <c r="I8" s="479">
        <v>1</v>
      </c>
      <c r="J8" s="482">
        <v>0</v>
      </c>
      <c r="K8" s="485" t="s">
        <v>1060</v>
      </c>
      <c r="L8" s="332" t="s">
        <v>1060</v>
      </c>
      <c r="M8" s="482" t="s">
        <v>1060</v>
      </c>
      <c r="N8" s="485">
        <v>65415</v>
      </c>
      <c r="O8" s="332" t="s">
        <v>1274</v>
      </c>
      <c r="P8" s="482" t="s">
        <v>1274</v>
      </c>
      <c r="Q8" s="485">
        <v>65410</v>
      </c>
      <c r="R8" s="332">
        <v>1790</v>
      </c>
      <c r="S8" s="482">
        <v>0.03</v>
      </c>
      <c r="T8" s="482">
        <v>0</v>
      </c>
      <c r="U8" s="485" t="s">
        <v>1060</v>
      </c>
      <c r="V8" s="332" t="s">
        <v>1060</v>
      </c>
      <c r="W8" s="482" t="s">
        <v>1060</v>
      </c>
      <c r="X8" s="325"/>
      <c r="Y8" s="482" t="s">
        <v>1060</v>
      </c>
      <c r="Z8" s="332" t="s">
        <v>1060</v>
      </c>
      <c r="AA8" s="326" t="s">
        <v>1060</v>
      </c>
      <c r="AB8" s="340" t="s">
        <v>1060</v>
      </c>
      <c r="AC8" s="485" t="s">
        <v>1060</v>
      </c>
      <c r="AD8" s="332" t="s">
        <v>1060</v>
      </c>
      <c r="AE8" s="482" t="s">
        <v>1060</v>
      </c>
      <c r="AF8" s="325"/>
      <c r="AG8" s="482" t="s">
        <v>1060</v>
      </c>
      <c r="AH8" s="332" t="s">
        <v>1060</v>
      </c>
      <c r="AI8" s="326" t="s">
        <v>1060</v>
      </c>
      <c r="AJ8" s="340" t="s">
        <v>1060</v>
      </c>
      <c r="AK8" s="332" t="s">
        <v>1060</v>
      </c>
      <c r="AL8" s="326" t="s">
        <v>1060</v>
      </c>
      <c r="AM8" s="340" t="s">
        <v>1060</v>
      </c>
      <c r="AN8" s="332" t="s">
        <v>1060</v>
      </c>
      <c r="AO8" s="326" t="s">
        <v>1060</v>
      </c>
      <c r="AP8" s="340" t="s">
        <v>1060</v>
      </c>
      <c r="AQ8" s="485">
        <v>65410</v>
      </c>
      <c r="AR8" s="332">
        <v>0</v>
      </c>
      <c r="AS8" s="482">
        <v>0</v>
      </c>
      <c r="AT8" s="325"/>
      <c r="AU8" s="482">
        <v>0</v>
      </c>
      <c r="AV8" s="332">
        <v>62</v>
      </c>
      <c r="AW8" s="326">
        <v>209</v>
      </c>
      <c r="AX8" s="327">
        <v>1428</v>
      </c>
      <c r="AY8" s="97"/>
      <c r="AZ8" s="97"/>
      <c r="BA8" s="97"/>
    </row>
    <row r="9" spans="1:53" ht="22.5" customHeight="1" x14ac:dyDescent="0.4">
      <c r="A9" s="324" t="s">
        <v>512</v>
      </c>
      <c r="B9" s="335" t="s">
        <v>1061</v>
      </c>
      <c r="C9" s="332">
        <v>2060</v>
      </c>
      <c r="D9" s="326" t="s">
        <v>1060</v>
      </c>
      <c r="E9" s="479" t="s">
        <v>1060</v>
      </c>
      <c r="F9" s="337" t="s">
        <v>1060</v>
      </c>
      <c r="G9" s="332">
        <v>2060</v>
      </c>
      <c r="H9" s="332">
        <v>0</v>
      </c>
      <c r="I9" s="479">
        <v>0</v>
      </c>
      <c r="J9" s="482">
        <v>0.04</v>
      </c>
      <c r="K9" s="485">
        <v>2060</v>
      </c>
      <c r="L9" s="332">
        <v>25</v>
      </c>
      <c r="M9" s="482">
        <v>0.01</v>
      </c>
      <c r="N9" s="485">
        <v>2060</v>
      </c>
      <c r="O9" s="332">
        <v>0</v>
      </c>
      <c r="P9" s="482">
        <v>0</v>
      </c>
      <c r="Q9" s="485">
        <v>2060</v>
      </c>
      <c r="R9" s="332">
        <v>35</v>
      </c>
      <c r="S9" s="482">
        <v>0.02</v>
      </c>
      <c r="T9" s="482">
        <v>0</v>
      </c>
      <c r="U9" s="485" t="s">
        <v>1274</v>
      </c>
      <c r="V9" s="332" t="s">
        <v>1274</v>
      </c>
      <c r="W9" s="482" t="s">
        <v>1316</v>
      </c>
      <c r="X9" s="325"/>
      <c r="Y9" s="482" t="s">
        <v>1316</v>
      </c>
      <c r="Z9" s="332" t="s">
        <v>1274</v>
      </c>
      <c r="AA9" s="326" t="s">
        <v>1274</v>
      </c>
      <c r="AB9" s="340" t="s">
        <v>1274</v>
      </c>
      <c r="AC9" s="485">
        <v>2030</v>
      </c>
      <c r="AD9" s="332">
        <v>40</v>
      </c>
      <c r="AE9" s="482">
        <v>0.02</v>
      </c>
      <c r="AF9" s="325" t="s">
        <v>1062</v>
      </c>
      <c r="AG9" s="482">
        <v>0</v>
      </c>
      <c r="AH9" s="332" t="s">
        <v>1275</v>
      </c>
      <c r="AI9" s="326" t="s">
        <v>1275</v>
      </c>
      <c r="AJ9" s="340" t="s">
        <v>1275</v>
      </c>
      <c r="AK9" s="332" t="s">
        <v>1060</v>
      </c>
      <c r="AL9" s="326" t="s">
        <v>1060</v>
      </c>
      <c r="AM9" s="340" t="s">
        <v>1060</v>
      </c>
      <c r="AN9" s="332">
        <v>38</v>
      </c>
      <c r="AO9" s="326">
        <v>124</v>
      </c>
      <c r="AP9" s="340">
        <v>330</v>
      </c>
      <c r="AQ9" s="485">
        <v>2060</v>
      </c>
      <c r="AR9" s="332">
        <v>0</v>
      </c>
      <c r="AS9" s="482">
        <v>0</v>
      </c>
      <c r="AT9" s="325"/>
      <c r="AU9" s="482">
        <v>0</v>
      </c>
      <c r="AV9" s="332">
        <v>38</v>
      </c>
      <c r="AW9" s="326">
        <v>124</v>
      </c>
      <c r="AX9" s="327">
        <v>330</v>
      </c>
      <c r="AY9" s="97"/>
      <c r="AZ9" s="97"/>
      <c r="BA9" s="97"/>
    </row>
    <row r="10" spans="1:53" ht="22.5" customHeight="1" x14ac:dyDescent="0.4">
      <c r="A10" s="324" t="s">
        <v>872</v>
      </c>
      <c r="B10" s="335" t="s">
        <v>1063</v>
      </c>
      <c r="C10" s="332">
        <v>73575</v>
      </c>
      <c r="D10" s="326" t="s">
        <v>1060</v>
      </c>
      <c r="E10" s="479" t="s">
        <v>1060</v>
      </c>
      <c r="F10" s="337" t="s">
        <v>1060</v>
      </c>
      <c r="G10" s="332">
        <v>73575</v>
      </c>
      <c r="H10" s="332" t="s">
        <v>1274</v>
      </c>
      <c r="I10" s="479" t="s">
        <v>1274</v>
      </c>
      <c r="J10" s="482" t="s">
        <v>1274</v>
      </c>
      <c r="K10" s="485">
        <v>73575</v>
      </c>
      <c r="L10" s="332">
        <v>0</v>
      </c>
      <c r="M10" s="482">
        <v>0</v>
      </c>
      <c r="N10" s="485">
        <v>73575</v>
      </c>
      <c r="O10" s="332">
        <v>0</v>
      </c>
      <c r="P10" s="482">
        <v>0</v>
      </c>
      <c r="Q10" s="485">
        <v>73575</v>
      </c>
      <c r="R10" s="332">
        <v>5495</v>
      </c>
      <c r="S10" s="482">
        <v>7.0000000000000007E-2</v>
      </c>
      <c r="T10" s="482">
        <v>0</v>
      </c>
      <c r="U10" s="485">
        <v>1385</v>
      </c>
      <c r="V10" s="332">
        <v>0</v>
      </c>
      <c r="W10" s="482">
        <v>0</v>
      </c>
      <c r="X10" s="325"/>
      <c r="Y10" s="482">
        <v>0</v>
      </c>
      <c r="Z10" s="332">
        <v>5</v>
      </c>
      <c r="AA10" s="326">
        <v>15</v>
      </c>
      <c r="AB10" s="340">
        <v>34</v>
      </c>
      <c r="AC10" s="485">
        <v>73575</v>
      </c>
      <c r="AD10" s="332">
        <v>2130</v>
      </c>
      <c r="AE10" s="482">
        <v>0.03</v>
      </c>
      <c r="AF10" s="325"/>
      <c r="AG10" s="482">
        <v>0</v>
      </c>
      <c r="AH10" s="332">
        <v>65</v>
      </c>
      <c r="AI10" s="326">
        <v>184</v>
      </c>
      <c r="AJ10" s="340">
        <v>1393</v>
      </c>
      <c r="AK10" s="332" t="s">
        <v>1060</v>
      </c>
      <c r="AL10" s="326" t="s">
        <v>1060</v>
      </c>
      <c r="AM10" s="340" t="s">
        <v>1060</v>
      </c>
      <c r="AN10" s="332">
        <v>117</v>
      </c>
      <c r="AO10" s="326">
        <v>228</v>
      </c>
      <c r="AP10" s="340">
        <v>1428</v>
      </c>
      <c r="AQ10" s="485">
        <v>73575</v>
      </c>
      <c r="AR10" s="332">
        <v>0</v>
      </c>
      <c r="AS10" s="482">
        <v>0</v>
      </c>
      <c r="AT10" s="325"/>
      <c r="AU10" s="482">
        <v>0</v>
      </c>
      <c r="AV10" s="332">
        <v>117</v>
      </c>
      <c r="AW10" s="326">
        <v>228</v>
      </c>
      <c r="AX10" s="327">
        <v>1428</v>
      </c>
      <c r="AY10" s="97"/>
      <c r="AZ10" s="97"/>
      <c r="BA10" s="97"/>
    </row>
    <row r="11" spans="1:53" ht="22.5" customHeight="1" x14ac:dyDescent="0.4">
      <c r="A11" s="324" t="s">
        <v>873</v>
      </c>
      <c r="B11" s="335" t="s">
        <v>1064</v>
      </c>
      <c r="C11" s="332">
        <v>93200</v>
      </c>
      <c r="D11" s="326" t="s">
        <v>1060</v>
      </c>
      <c r="E11" s="479" t="s">
        <v>1060</v>
      </c>
      <c r="F11" s="337" t="s">
        <v>1060</v>
      </c>
      <c r="G11" s="332">
        <v>93200</v>
      </c>
      <c r="H11" s="332">
        <v>105</v>
      </c>
      <c r="I11" s="479">
        <v>0</v>
      </c>
      <c r="J11" s="482">
        <v>0</v>
      </c>
      <c r="K11" s="485">
        <v>93090</v>
      </c>
      <c r="L11" s="332">
        <v>0</v>
      </c>
      <c r="M11" s="482">
        <v>0</v>
      </c>
      <c r="N11" s="485">
        <v>93200</v>
      </c>
      <c r="O11" s="332">
        <v>0</v>
      </c>
      <c r="P11" s="482">
        <v>0</v>
      </c>
      <c r="Q11" s="485">
        <v>93200</v>
      </c>
      <c r="R11" s="332">
        <v>5365</v>
      </c>
      <c r="S11" s="482">
        <v>0.06</v>
      </c>
      <c r="T11" s="482">
        <v>0</v>
      </c>
      <c r="U11" s="485">
        <v>1690</v>
      </c>
      <c r="V11" s="332" t="s">
        <v>1274</v>
      </c>
      <c r="W11" s="482" t="s">
        <v>1274</v>
      </c>
      <c r="X11" s="325"/>
      <c r="Y11" s="482">
        <v>0</v>
      </c>
      <c r="Z11" s="332">
        <v>6</v>
      </c>
      <c r="AA11" s="326">
        <v>18</v>
      </c>
      <c r="AB11" s="340">
        <v>450</v>
      </c>
      <c r="AC11" s="485">
        <v>93090</v>
      </c>
      <c r="AD11" s="332">
        <v>1580</v>
      </c>
      <c r="AE11" s="482">
        <v>0.02</v>
      </c>
      <c r="AF11" s="325"/>
      <c r="AG11" s="482">
        <v>0</v>
      </c>
      <c r="AH11" s="332">
        <v>55</v>
      </c>
      <c r="AI11" s="326">
        <v>179</v>
      </c>
      <c r="AJ11" s="340">
        <v>1439</v>
      </c>
      <c r="AK11" s="332" t="s">
        <v>1060</v>
      </c>
      <c r="AL11" s="326" t="s">
        <v>1060</v>
      </c>
      <c r="AM11" s="340" t="s">
        <v>1060</v>
      </c>
      <c r="AN11" s="332">
        <v>107</v>
      </c>
      <c r="AO11" s="326">
        <v>231</v>
      </c>
      <c r="AP11" s="340">
        <v>1385</v>
      </c>
      <c r="AQ11" s="485">
        <v>93200</v>
      </c>
      <c r="AR11" s="332">
        <v>0</v>
      </c>
      <c r="AS11" s="482">
        <v>0</v>
      </c>
      <c r="AT11" s="325"/>
      <c r="AU11" s="482">
        <v>0</v>
      </c>
      <c r="AV11" s="332">
        <v>107</v>
      </c>
      <c r="AW11" s="326">
        <v>231</v>
      </c>
      <c r="AX11" s="327">
        <v>1385</v>
      </c>
      <c r="AY11" s="97"/>
      <c r="AZ11" s="97"/>
      <c r="BA11" s="97"/>
    </row>
    <row r="12" spans="1:53" ht="22.5" customHeight="1" x14ac:dyDescent="0.4">
      <c r="A12" s="324" t="s">
        <v>679</v>
      </c>
      <c r="B12" s="335" t="s">
        <v>1065</v>
      </c>
      <c r="C12" s="332">
        <v>64710</v>
      </c>
      <c r="D12" s="326" t="s">
        <v>1060</v>
      </c>
      <c r="E12" s="479" t="s">
        <v>1060</v>
      </c>
      <c r="F12" s="337" t="s">
        <v>1060</v>
      </c>
      <c r="G12" s="332">
        <v>64710</v>
      </c>
      <c r="H12" s="332">
        <v>0</v>
      </c>
      <c r="I12" s="479">
        <v>0</v>
      </c>
      <c r="J12" s="482">
        <v>0.01</v>
      </c>
      <c r="K12" s="485">
        <v>64710</v>
      </c>
      <c r="L12" s="332">
        <v>4165</v>
      </c>
      <c r="M12" s="482">
        <v>0.06</v>
      </c>
      <c r="N12" s="485">
        <v>64710</v>
      </c>
      <c r="O12" s="332">
        <v>0</v>
      </c>
      <c r="P12" s="482">
        <v>0</v>
      </c>
      <c r="Q12" s="485">
        <v>64710</v>
      </c>
      <c r="R12" s="332">
        <v>3895</v>
      </c>
      <c r="S12" s="482">
        <v>0.06</v>
      </c>
      <c r="T12" s="482">
        <v>0</v>
      </c>
      <c r="U12" s="485">
        <v>2195</v>
      </c>
      <c r="V12" s="332">
        <v>0</v>
      </c>
      <c r="W12" s="482">
        <v>0</v>
      </c>
      <c r="X12" s="325"/>
      <c r="Y12" s="482">
        <v>0.02</v>
      </c>
      <c r="Z12" s="332">
        <v>7</v>
      </c>
      <c r="AA12" s="326">
        <v>24</v>
      </c>
      <c r="AB12" s="340">
        <v>1387</v>
      </c>
      <c r="AC12" s="485">
        <v>58670</v>
      </c>
      <c r="AD12" s="332">
        <v>0</v>
      </c>
      <c r="AE12" s="482">
        <v>0</v>
      </c>
      <c r="AF12" s="325"/>
      <c r="AG12" s="482">
        <v>0.01</v>
      </c>
      <c r="AH12" s="332">
        <v>67</v>
      </c>
      <c r="AI12" s="326">
        <v>186</v>
      </c>
      <c r="AJ12" s="340">
        <v>1380</v>
      </c>
      <c r="AK12" s="332" t="s">
        <v>1060</v>
      </c>
      <c r="AL12" s="326" t="s">
        <v>1060</v>
      </c>
      <c r="AM12" s="340" t="s">
        <v>1060</v>
      </c>
      <c r="AN12" s="332">
        <v>94</v>
      </c>
      <c r="AO12" s="326">
        <v>211</v>
      </c>
      <c r="AP12" s="340">
        <v>755</v>
      </c>
      <c r="AQ12" s="485">
        <v>64710</v>
      </c>
      <c r="AR12" s="332">
        <v>0</v>
      </c>
      <c r="AS12" s="482">
        <v>0</v>
      </c>
      <c r="AT12" s="325"/>
      <c r="AU12" s="482">
        <v>0</v>
      </c>
      <c r="AV12" s="332">
        <v>94</v>
      </c>
      <c r="AW12" s="326">
        <v>211</v>
      </c>
      <c r="AX12" s="327">
        <v>755</v>
      </c>
      <c r="AY12" s="97"/>
      <c r="AZ12" s="97"/>
      <c r="BA12" s="97"/>
    </row>
    <row r="13" spans="1:53" ht="22.5" customHeight="1" x14ac:dyDescent="0.4">
      <c r="A13" s="324" t="s">
        <v>379</v>
      </c>
      <c r="B13" s="335" t="s">
        <v>1066</v>
      </c>
      <c r="C13" s="332">
        <v>7440</v>
      </c>
      <c r="D13" s="326">
        <v>7959</v>
      </c>
      <c r="E13" s="479">
        <v>0.93</v>
      </c>
      <c r="F13" s="337" t="s">
        <v>1067</v>
      </c>
      <c r="G13" s="332">
        <v>7440</v>
      </c>
      <c r="H13" s="332">
        <v>5245</v>
      </c>
      <c r="I13" s="479">
        <v>0.7</v>
      </c>
      <c r="J13" s="482">
        <v>0</v>
      </c>
      <c r="K13" s="485">
        <v>2195</v>
      </c>
      <c r="L13" s="332">
        <v>40</v>
      </c>
      <c r="M13" s="482">
        <v>0.02</v>
      </c>
      <c r="N13" s="485">
        <v>7440</v>
      </c>
      <c r="O13" s="332">
        <v>0</v>
      </c>
      <c r="P13" s="482">
        <v>0</v>
      </c>
      <c r="Q13" s="485">
        <v>7440</v>
      </c>
      <c r="R13" s="332">
        <v>345</v>
      </c>
      <c r="S13" s="482">
        <v>0.05</v>
      </c>
      <c r="T13" s="482">
        <v>0</v>
      </c>
      <c r="U13" s="485" t="s">
        <v>1060</v>
      </c>
      <c r="V13" s="332" t="s">
        <v>1060</v>
      </c>
      <c r="W13" s="482" t="s">
        <v>1060</v>
      </c>
      <c r="X13" s="325"/>
      <c r="Y13" s="482" t="s">
        <v>1060</v>
      </c>
      <c r="Z13" s="332" t="s">
        <v>1060</v>
      </c>
      <c r="AA13" s="326" t="s">
        <v>1060</v>
      </c>
      <c r="AB13" s="340" t="s">
        <v>1060</v>
      </c>
      <c r="AC13" s="485">
        <v>2145</v>
      </c>
      <c r="AD13" s="332">
        <v>0</v>
      </c>
      <c r="AE13" s="482">
        <v>0</v>
      </c>
      <c r="AF13" s="325"/>
      <c r="AG13" s="482">
        <v>0</v>
      </c>
      <c r="AH13" s="332">
        <v>27</v>
      </c>
      <c r="AI13" s="326">
        <v>114</v>
      </c>
      <c r="AJ13" s="340">
        <v>400</v>
      </c>
      <c r="AK13" s="332" t="s">
        <v>1274</v>
      </c>
      <c r="AL13" s="326" t="s">
        <v>1274</v>
      </c>
      <c r="AM13" s="340" t="s">
        <v>1274</v>
      </c>
      <c r="AN13" s="332">
        <v>73</v>
      </c>
      <c r="AO13" s="326">
        <v>178</v>
      </c>
      <c r="AP13" s="340">
        <v>446</v>
      </c>
      <c r="AQ13" s="485">
        <v>7440</v>
      </c>
      <c r="AR13" s="332">
        <v>35</v>
      </c>
      <c r="AS13" s="482">
        <v>0</v>
      </c>
      <c r="AT13" s="325"/>
      <c r="AU13" s="482">
        <v>0</v>
      </c>
      <c r="AV13" s="332">
        <v>67</v>
      </c>
      <c r="AW13" s="326">
        <v>163</v>
      </c>
      <c r="AX13" s="327">
        <v>473</v>
      </c>
      <c r="AY13" s="97"/>
      <c r="AZ13" s="97"/>
      <c r="BA13" s="97"/>
    </row>
    <row r="14" spans="1:53" ht="22.5" customHeight="1" x14ac:dyDescent="0.4">
      <c r="A14" s="324" t="s">
        <v>589</v>
      </c>
      <c r="B14" s="335" t="s">
        <v>1068</v>
      </c>
      <c r="C14" s="332">
        <v>19780</v>
      </c>
      <c r="D14" s="326">
        <v>21972</v>
      </c>
      <c r="E14" s="479">
        <v>0.9</v>
      </c>
      <c r="F14" s="337" t="s">
        <v>1067</v>
      </c>
      <c r="G14" s="332">
        <v>19780</v>
      </c>
      <c r="H14" s="332">
        <v>0</v>
      </c>
      <c r="I14" s="479">
        <v>0</v>
      </c>
      <c r="J14" s="482">
        <v>0.09</v>
      </c>
      <c r="K14" s="485">
        <v>19780</v>
      </c>
      <c r="L14" s="332">
        <v>170</v>
      </c>
      <c r="M14" s="482">
        <v>0.01</v>
      </c>
      <c r="N14" s="485">
        <v>19780</v>
      </c>
      <c r="O14" s="332">
        <v>0</v>
      </c>
      <c r="P14" s="482">
        <v>0</v>
      </c>
      <c r="Q14" s="485">
        <v>19780</v>
      </c>
      <c r="R14" s="332">
        <v>690</v>
      </c>
      <c r="S14" s="482">
        <v>0.03</v>
      </c>
      <c r="T14" s="482">
        <v>0</v>
      </c>
      <c r="U14" s="485">
        <v>20</v>
      </c>
      <c r="V14" s="332">
        <v>0</v>
      </c>
      <c r="W14" s="482" t="s">
        <v>1316</v>
      </c>
      <c r="X14" s="325"/>
      <c r="Y14" s="482" t="s">
        <v>1316</v>
      </c>
      <c r="Z14" s="332">
        <v>1</v>
      </c>
      <c r="AA14" s="326">
        <v>1</v>
      </c>
      <c r="AB14" s="340">
        <v>1</v>
      </c>
      <c r="AC14" s="485">
        <v>19600</v>
      </c>
      <c r="AD14" s="332" t="s">
        <v>1274</v>
      </c>
      <c r="AE14" s="482" t="s">
        <v>1274</v>
      </c>
      <c r="AF14" s="325"/>
      <c r="AG14" s="482">
        <v>0</v>
      </c>
      <c r="AH14" s="332">
        <v>7</v>
      </c>
      <c r="AI14" s="326">
        <v>44</v>
      </c>
      <c r="AJ14" s="340">
        <v>726</v>
      </c>
      <c r="AK14" s="332" t="s">
        <v>1060</v>
      </c>
      <c r="AL14" s="326" t="s">
        <v>1060</v>
      </c>
      <c r="AM14" s="340" t="s">
        <v>1060</v>
      </c>
      <c r="AN14" s="332">
        <v>36</v>
      </c>
      <c r="AO14" s="326">
        <v>110</v>
      </c>
      <c r="AP14" s="340">
        <v>731</v>
      </c>
      <c r="AQ14" s="485">
        <v>19780</v>
      </c>
      <c r="AR14" s="332">
        <v>0</v>
      </c>
      <c r="AS14" s="482">
        <v>0</v>
      </c>
      <c r="AT14" s="325"/>
      <c r="AU14" s="482">
        <v>0</v>
      </c>
      <c r="AV14" s="332">
        <v>36</v>
      </c>
      <c r="AW14" s="326">
        <v>110</v>
      </c>
      <c r="AX14" s="327">
        <v>731</v>
      </c>
      <c r="AY14" s="97"/>
      <c r="AZ14" s="97"/>
      <c r="BA14" s="97"/>
    </row>
    <row r="15" spans="1:53" ht="22.5" customHeight="1" x14ac:dyDescent="0.4">
      <c r="A15" s="324" t="s">
        <v>572</v>
      </c>
      <c r="B15" s="335" t="s">
        <v>1069</v>
      </c>
      <c r="C15" s="332">
        <v>48115</v>
      </c>
      <c r="D15" s="326">
        <v>44260</v>
      </c>
      <c r="E15" s="479">
        <v>1.0900000000000001</v>
      </c>
      <c r="F15" s="337" t="s">
        <v>1067</v>
      </c>
      <c r="G15" s="332">
        <v>48115</v>
      </c>
      <c r="H15" s="332">
        <v>0</v>
      </c>
      <c r="I15" s="479">
        <v>0</v>
      </c>
      <c r="J15" s="482">
        <v>0.2</v>
      </c>
      <c r="K15" s="485">
        <v>48115</v>
      </c>
      <c r="L15" s="332">
        <v>1440</v>
      </c>
      <c r="M15" s="482">
        <v>0.03</v>
      </c>
      <c r="N15" s="485">
        <v>48115</v>
      </c>
      <c r="O15" s="332">
        <v>0</v>
      </c>
      <c r="P15" s="482">
        <v>0</v>
      </c>
      <c r="Q15" s="485">
        <v>48115</v>
      </c>
      <c r="R15" s="332">
        <v>2915</v>
      </c>
      <c r="S15" s="482">
        <v>0.06</v>
      </c>
      <c r="T15" s="482">
        <v>0</v>
      </c>
      <c r="U15" s="485">
        <v>195</v>
      </c>
      <c r="V15" s="332">
        <v>0</v>
      </c>
      <c r="W15" s="482" t="s">
        <v>1316</v>
      </c>
      <c r="X15" s="325"/>
      <c r="Y15" s="482" t="s">
        <v>1316</v>
      </c>
      <c r="Z15" s="332">
        <v>1</v>
      </c>
      <c r="AA15" s="326">
        <v>43</v>
      </c>
      <c r="AB15" s="340">
        <v>116</v>
      </c>
      <c r="AC15" s="485">
        <v>46645</v>
      </c>
      <c r="AD15" s="332">
        <v>0</v>
      </c>
      <c r="AE15" s="482">
        <v>0</v>
      </c>
      <c r="AF15" s="325"/>
      <c r="AG15" s="482">
        <v>0</v>
      </c>
      <c r="AH15" s="332">
        <v>19</v>
      </c>
      <c r="AI15" s="326">
        <v>116</v>
      </c>
      <c r="AJ15" s="340">
        <v>585</v>
      </c>
      <c r="AK15" s="332">
        <v>104</v>
      </c>
      <c r="AL15" s="326">
        <v>242</v>
      </c>
      <c r="AM15" s="340">
        <v>803</v>
      </c>
      <c r="AN15" s="332">
        <v>92</v>
      </c>
      <c r="AO15" s="326">
        <v>224</v>
      </c>
      <c r="AP15" s="340">
        <v>1418</v>
      </c>
      <c r="AQ15" s="485">
        <v>48115</v>
      </c>
      <c r="AR15" s="332">
        <v>0</v>
      </c>
      <c r="AS15" s="482">
        <v>0</v>
      </c>
      <c r="AT15" s="325"/>
      <c r="AU15" s="482">
        <v>0</v>
      </c>
      <c r="AV15" s="332">
        <v>93</v>
      </c>
      <c r="AW15" s="326">
        <v>225</v>
      </c>
      <c r="AX15" s="327">
        <v>1418</v>
      </c>
      <c r="AY15" s="97"/>
      <c r="AZ15" s="97"/>
      <c r="BA15" s="97"/>
    </row>
    <row r="16" spans="1:53" ht="22.5" customHeight="1" x14ac:dyDescent="0.4">
      <c r="A16" s="324" t="s">
        <v>299</v>
      </c>
      <c r="B16" s="335" t="s">
        <v>1070</v>
      </c>
      <c r="C16" s="332">
        <v>59345</v>
      </c>
      <c r="D16" s="326" t="s">
        <v>1060</v>
      </c>
      <c r="E16" s="479" t="s">
        <v>1060</v>
      </c>
      <c r="F16" s="337" t="s">
        <v>1060</v>
      </c>
      <c r="G16" s="332">
        <v>59345</v>
      </c>
      <c r="H16" s="332">
        <v>0</v>
      </c>
      <c r="I16" s="479">
        <v>0</v>
      </c>
      <c r="J16" s="482">
        <v>0.04</v>
      </c>
      <c r="K16" s="485">
        <v>59345</v>
      </c>
      <c r="L16" s="332">
        <v>390</v>
      </c>
      <c r="M16" s="482">
        <v>0.01</v>
      </c>
      <c r="N16" s="485">
        <v>59345</v>
      </c>
      <c r="O16" s="332">
        <v>0</v>
      </c>
      <c r="P16" s="482">
        <v>0</v>
      </c>
      <c r="Q16" s="485">
        <v>59345</v>
      </c>
      <c r="R16" s="332">
        <v>2645</v>
      </c>
      <c r="S16" s="482">
        <v>0.04</v>
      </c>
      <c r="T16" s="482">
        <v>0.01</v>
      </c>
      <c r="U16" s="485">
        <v>180</v>
      </c>
      <c r="V16" s="332">
        <v>0</v>
      </c>
      <c r="W16" s="482" t="s">
        <v>1316</v>
      </c>
      <c r="X16" s="325"/>
      <c r="Y16" s="482" t="s">
        <v>1316</v>
      </c>
      <c r="Z16" s="332">
        <v>0</v>
      </c>
      <c r="AA16" s="326">
        <v>13</v>
      </c>
      <c r="AB16" s="340">
        <v>1439</v>
      </c>
      <c r="AC16" s="485">
        <v>58905</v>
      </c>
      <c r="AD16" s="332">
        <v>11380</v>
      </c>
      <c r="AE16" s="482">
        <v>0.19</v>
      </c>
      <c r="AF16" s="325"/>
      <c r="AG16" s="482">
        <v>0</v>
      </c>
      <c r="AH16" s="332">
        <v>39</v>
      </c>
      <c r="AI16" s="326">
        <v>282</v>
      </c>
      <c r="AJ16" s="340">
        <v>1438</v>
      </c>
      <c r="AK16" s="332">
        <v>89</v>
      </c>
      <c r="AL16" s="326">
        <v>224</v>
      </c>
      <c r="AM16" s="340">
        <v>1334</v>
      </c>
      <c r="AN16" s="332">
        <v>81</v>
      </c>
      <c r="AO16" s="326">
        <v>252</v>
      </c>
      <c r="AP16" s="340">
        <v>1439</v>
      </c>
      <c r="AQ16" s="485">
        <v>59345</v>
      </c>
      <c r="AR16" s="332">
        <v>645</v>
      </c>
      <c r="AS16" s="482">
        <v>0.01</v>
      </c>
      <c r="AT16" s="325"/>
      <c r="AU16" s="482">
        <v>0</v>
      </c>
      <c r="AV16" s="332">
        <v>81</v>
      </c>
      <c r="AW16" s="326">
        <v>251</v>
      </c>
      <c r="AX16" s="327">
        <v>1439</v>
      </c>
      <c r="AY16" s="97"/>
      <c r="AZ16" s="97"/>
      <c r="BA16" s="97"/>
    </row>
    <row r="17" spans="1:53" ht="22.5" customHeight="1" x14ac:dyDescent="0.4">
      <c r="A17" s="324" t="s">
        <v>874</v>
      </c>
      <c r="B17" s="335" t="s">
        <v>1071</v>
      </c>
      <c r="C17" s="332">
        <v>22135</v>
      </c>
      <c r="D17" s="326" t="s">
        <v>1060</v>
      </c>
      <c r="E17" s="479" t="s">
        <v>1060</v>
      </c>
      <c r="F17" s="337" t="s">
        <v>1060</v>
      </c>
      <c r="G17" s="332">
        <v>22135</v>
      </c>
      <c r="H17" s="332">
        <v>0</v>
      </c>
      <c r="I17" s="479">
        <v>0</v>
      </c>
      <c r="J17" s="482">
        <v>1</v>
      </c>
      <c r="K17" s="485">
        <v>22135</v>
      </c>
      <c r="L17" s="332" t="s">
        <v>1274</v>
      </c>
      <c r="M17" s="482" t="s">
        <v>1274</v>
      </c>
      <c r="N17" s="485">
        <v>22135</v>
      </c>
      <c r="O17" s="332">
        <v>0</v>
      </c>
      <c r="P17" s="482">
        <v>0</v>
      </c>
      <c r="Q17" s="485">
        <v>22135</v>
      </c>
      <c r="R17" s="332">
        <v>845</v>
      </c>
      <c r="S17" s="482">
        <v>0.04</v>
      </c>
      <c r="T17" s="482">
        <v>0</v>
      </c>
      <c r="U17" s="485" t="s">
        <v>1060</v>
      </c>
      <c r="V17" s="332" t="s">
        <v>1060</v>
      </c>
      <c r="W17" s="482" t="s">
        <v>1060</v>
      </c>
      <c r="X17" s="325"/>
      <c r="Y17" s="482" t="s">
        <v>1060</v>
      </c>
      <c r="Z17" s="332" t="s">
        <v>1060</v>
      </c>
      <c r="AA17" s="326" t="s">
        <v>1060</v>
      </c>
      <c r="AB17" s="340" t="s">
        <v>1060</v>
      </c>
      <c r="AC17" s="485">
        <v>22135</v>
      </c>
      <c r="AD17" s="332">
        <v>795</v>
      </c>
      <c r="AE17" s="482">
        <v>0.04</v>
      </c>
      <c r="AF17" s="325"/>
      <c r="AG17" s="482">
        <v>0</v>
      </c>
      <c r="AH17" s="332">
        <v>20</v>
      </c>
      <c r="AI17" s="326">
        <v>748</v>
      </c>
      <c r="AJ17" s="340">
        <v>1439</v>
      </c>
      <c r="AK17" s="332" t="s">
        <v>1060</v>
      </c>
      <c r="AL17" s="326" t="s">
        <v>1060</v>
      </c>
      <c r="AM17" s="340" t="s">
        <v>1060</v>
      </c>
      <c r="AN17" s="332">
        <v>43</v>
      </c>
      <c r="AO17" s="326">
        <v>122</v>
      </c>
      <c r="AP17" s="340">
        <v>1439</v>
      </c>
      <c r="AQ17" s="485">
        <v>22135</v>
      </c>
      <c r="AR17" s="332">
        <v>795</v>
      </c>
      <c r="AS17" s="482">
        <v>0.04</v>
      </c>
      <c r="AT17" s="325"/>
      <c r="AU17" s="482">
        <v>0</v>
      </c>
      <c r="AV17" s="332">
        <v>43</v>
      </c>
      <c r="AW17" s="326">
        <v>122</v>
      </c>
      <c r="AX17" s="327">
        <v>1439</v>
      </c>
      <c r="AY17" s="97"/>
      <c r="AZ17" s="97"/>
      <c r="BA17" s="97"/>
    </row>
    <row r="18" spans="1:53" ht="22.5" customHeight="1" x14ac:dyDescent="0.4">
      <c r="A18" s="324" t="s">
        <v>875</v>
      </c>
      <c r="B18" s="335" t="s">
        <v>1072</v>
      </c>
      <c r="C18" s="332">
        <v>28310</v>
      </c>
      <c r="D18" s="326" t="s">
        <v>1060</v>
      </c>
      <c r="E18" s="479" t="s">
        <v>1060</v>
      </c>
      <c r="F18" s="337" t="s">
        <v>1060</v>
      </c>
      <c r="G18" s="332">
        <v>28310</v>
      </c>
      <c r="H18" s="332">
        <v>0</v>
      </c>
      <c r="I18" s="479">
        <v>0</v>
      </c>
      <c r="J18" s="482">
        <v>1</v>
      </c>
      <c r="K18" s="485">
        <v>28310</v>
      </c>
      <c r="L18" s="332" t="s">
        <v>1274</v>
      </c>
      <c r="M18" s="482" t="s">
        <v>1274</v>
      </c>
      <c r="N18" s="485">
        <v>28310</v>
      </c>
      <c r="O18" s="332">
        <v>0</v>
      </c>
      <c r="P18" s="482">
        <v>0</v>
      </c>
      <c r="Q18" s="485">
        <v>28310</v>
      </c>
      <c r="R18" s="332">
        <v>1065</v>
      </c>
      <c r="S18" s="482">
        <v>0.04</v>
      </c>
      <c r="T18" s="482">
        <v>0</v>
      </c>
      <c r="U18" s="485" t="s">
        <v>1060</v>
      </c>
      <c r="V18" s="332" t="s">
        <v>1060</v>
      </c>
      <c r="W18" s="482" t="s">
        <v>1060</v>
      </c>
      <c r="X18" s="325"/>
      <c r="Y18" s="482" t="s">
        <v>1060</v>
      </c>
      <c r="Z18" s="332" t="s">
        <v>1060</v>
      </c>
      <c r="AA18" s="326" t="s">
        <v>1060</v>
      </c>
      <c r="AB18" s="340" t="s">
        <v>1060</v>
      </c>
      <c r="AC18" s="485">
        <v>28305</v>
      </c>
      <c r="AD18" s="332">
        <v>995</v>
      </c>
      <c r="AE18" s="482">
        <v>0.04</v>
      </c>
      <c r="AF18" s="325"/>
      <c r="AG18" s="482">
        <v>0</v>
      </c>
      <c r="AH18" s="332">
        <v>23</v>
      </c>
      <c r="AI18" s="326">
        <v>1223</v>
      </c>
      <c r="AJ18" s="340">
        <v>1439</v>
      </c>
      <c r="AK18" s="332" t="s">
        <v>1060</v>
      </c>
      <c r="AL18" s="326" t="s">
        <v>1060</v>
      </c>
      <c r="AM18" s="340" t="s">
        <v>1060</v>
      </c>
      <c r="AN18" s="332">
        <v>46</v>
      </c>
      <c r="AO18" s="326">
        <v>123</v>
      </c>
      <c r="AP18" s="340">
        <v>1437</v>
      </c>
      <c r="AQ18" s="485">
        <v>28310</v>
      </c>
      <c r="AR18" s="332">
        <v>995</v>
      </c>
      <c r="AS18" s="482">
        <v>0.04</v>
      </c>
      <c r="AT18" s="325"/>
      <c r="AU18" s="482">
        <v>0</v>
      </c>
      <c r="AV18" s="332">
        <v>46</v>
      </c>
      <c r="AW18" s="326">
        <v>123</v>
      </c>
      <c r="AX18" s="327">
        <v>1437</v>
      </c>
      <c r="AY18" s="97"/>
      <c r="AZ18" s="97"/>
      <c r="BA18" s="97"/>
    </row>
    <row r="19" spans="1:53" ht="22.5" customHeight="1" x14ac:dyDescent="0.4">
      <c r="A19" s="324" t="s">
        <v>876</v>
      </c>
      <c r="B19" s="335" t="s">
        <v>1073</v>
      </c>
      <c r="C19" s="332">
        <v>31475</v>
      </c>
      <c r="D19" s="326" t="s">
        <v>1060</v>
      </c>
      <c r="E19" s="479" t="s">
        <v>1060</v>
      </c>
      <c r="F19" s="337" t="s">
        <v>1060</v>
      </c>
      <c r="G19" s="332">
        <v>31475</v>
      </c>
      <c r="H19" s="332">
        <v>0</v>
      </c>
      <c r="I19" s="479">
        <v>0</v>
      </c>
      <c r="J19" s="482">
        <v>1</v>
      </c>
      <c r="K19" s="485">
        <v>31475</v>
      </c>
      <c r="L19" s="332" t="s">
        <v>1274</v>
      </c>
      <c r="M19" s="482" t="s">
        <v>1274</v>
      </c>
      <c r="N19" s="485">
        <v>31475</v>
      </c>
      <c r="O19" s="332">
        <v>0</v>
      </c>
      <c r="P19" s="482">
        <v>0</v>
      </c>
      <c r="Q19" s="485">
        <v>31475</v>
      </c>
      <c r="R19" s="332">
        <v>1475</v>
      </c>
      <c r="S19" s="482">
        <v>0.05</v>
      </c>
      <c r="T19" s="482">
        <v>0</v>
      </c>
      <c r="U19" s="485" t="s">
        <v>1060</v>
      </c>
      <c r="V19" s="332" t="s">
        <v>1060</v>
      </c>
      <c r="W19" s="482" t="s">
        <v>1060</v>
      </c>
      <c r="X19" s="325"/>
      <c r="Y19" s="482" t="s">
        <v>1060</v>
      </c>
      <c r="Z19" s="332" t="s">
        <v>1060</v>
      </c>
      <c r="AA19" s="326" t="s">
        <v>1060</v>
      </c>
      <c r="AB19" s="340" t="s">
        <v>1060</v>
      </c>
      <c r="AC19" s="485">
        <v>31470</v>
      </c>
      <c r="AD19" s="332">
        <v>940</v>
      </c>
      <c r="AE19" s="482">
        <v>0.03</v>
      </c>
      <c r="AF19" s="325"/>
      <c r="AG19" s="482">
        <v>0</v>
      </c>
      <c r="AH19" s="332">
        <v>27</v>
      </c>
      <c r="AI19" s="326">
        <v>215</v>
      </c>
      <c r="AJ19" s="340">
        <v>1439</v>
      </c>
      <c r="AK19" s="332" t="s">
        <v>1060</v>
      </c>
      <c r="AL19" s="326" t="s">
        <v>1060</v>
      </c>
      <c r="AM19" s="340" t="s">
        <v>1060</v>
      </c>
      <c r="AN19" s="332">
        <v>50</v>
      </c>
      <c r="AO19" s="326">
        <v>135</v>
      </c>
      <c r="AP19" s="340">
        <v>1437</v>
      </c>
      <c r="AQ19" s="485">
        <v>31475</v>
      </c>
      <c r="AR19" s="332">
        <v>945</v>
      </c>
      <c r="AS19" s="482">
        <v>0.03</v>
      </c>
      <c r="AT19" s="325"/>
      <c r="AU19" s="482">
        <v>0</v>
      </c>
      <c r="AV19" s="332">
        <v>50</v>
      </c>
      <c r="AW19" s="326">
        <v>135</v>
      </c>
      <c r="AX19" s="327">
        <v>1437</v>
      </c>
      <c r="AY19" s="97"/>
      <c r="AZ19" s="97"/>
      <c r="BA19" s="97"/>
    </row>
    <row r="20" spans="1:53" ht="22.5" customHeight="1" x14ac:dyDescent="0.4">
      <c r="A20" s="324" t="s">
        <v>877</v>
      </c>
      <c r="B20" s="335" t="s">
        <v>1074</v>
      </c>
      <c r="C20" s="332">
        <v>29900</v>
      </c>
      <c r="D20" s="326" t="s">
        <v>1060</v>
      </c>
      <c r="E20" s="479" t="s">
        <v>1060</v>
      </c>
      <c r="F20" s="337" t="s">
        <v>1060</v>
      </c>
      <c r="G20" s="332">
        <v>29900</v>
      </c>
      <c r="H20" s="332">
        <v>0</v>
      </c>
      <c r="I20" s="479">
        <v>0</v>
      </c>
      <c r="J20" s="482">
        <v>0.15</v>
      </c>
      <c r="K20" s="485">
        <v>29900</v>
      </c>
      <c r="L20" s="332">
        <v>35</v>
      </c>
      <c r="M20" s="482">
        <v>0</v>
      </c>
      <c r="N20" s="485">
        <v>29900</v>
      </c>
      <c r="O20" s="332">
        <v>0</v>
      </c>
      <c r="P20" s="482">
        <v>0</v>
      </c>
      <c r="Q20" s="485">
        <v>29900</v>
      </c>
      <c r="R20" s="332">
        <v>1625</v>
      </c>
      <c r="S20" s="482">
        <v>0.05</v>
      </c>
      <c r="T20" s="482">
        <v>0</v>
      </c>
      <c r="U20" s="485" t="s">
        <v>1060</v>
      </c>
      <c r="V20" s="332" t="s">
        <v>1060</v>
      </c>
      <c r="W20" s="482" t="s">
        <v>1060</v>
      </c>
      <c r="X20" s="325"/>
      <c r="Y20" s="482" t="s">
        <v>1060</v>
      </c>
      <c r="Z20" s="332" t="s">
        <v>1060</v>
      </c>
      <c r="AA20" s="326" t="s">
        <v>1060</v>
      </c>
      <c r="AB20" s="340" t="s">
        <v>1060</v>
      </c>
      <c r="AC20" s="485">
        <v>29845</v>
      </c>
      <c r="AD20" s="332">
        <v>615</v>
      </c>
      <c r="AE20" s="482">
        <v>0.02</v>
      </c>
      <c r="AF20" s="325"/>
      <c r="AG20" s="482">
        <v>0</v>
      </c>
      <c r="AH20" s="332">
        <v>44</v>
      </c>
      <c r="AI20" s="326">
        <v>1282</v>
      </c>
      <c r="AJ20" s="340">
        <v>1439</v>
      </c>
      <c r="AK20" s="332">
        <v>56</v>
      </c>
      <c r="AL20" s="326">
        <v>171</v>
      </c>
      <c r="AM20" s="340">
        <v>1395</v>
      </c>
      <c r="AN20" s="332">
        <v>63</v>
      </c>
      <c r="AO20" s="326">
        <v>214</v>
      </c>
      <c r="AP20" s="340">
        <v>1439</v>
      </c>
      <c r="AQ20" s="485">
        <v>29900</v>
      </c>
      <c r="AR20" s="332">
        <v>620</v>
      </c>
      <c r="AS20" s="482">
        <v>0.02</v>
      </c>
      <c r="AT20" s="325"/>
      <c r="AU20" s="482">
        <v>0</v>
      </c>
      <c r="AV20" s="332">
        <v>63</v>
      </c>
      <c r="AW20" s="326">
        <v>213</v>
      </c>
      <c r="AX20" s="327">
        <v>1439</v>
      </c>
      <c r="AY20" s="97"/>
      <c r="AZ20" s="97"/>
      <c r="BA20" s="97"/>
    </row>
    <row r="21" spans="1:53" ht="22.5" customHeight="1" x14ac:dyDescent="0.4">
      <c r="A21" s="324" t="s">
        <v>595</v>
      </c>
      <c r="B21" s="335" t="s">
        <v>1075</v>
      </c>
      <c r="C21" s="332">
        <v>7815</v>
      </c>
      <c r="D21" s="326">
        <v>7180</v>
      </c>
      <c r="E21" s="479">
        <v>1.0900000000000001</v>
      </c>
      <c r="F21" s="337" t="s">
        <v>1067</v>
      </c>
      <c r="G21" s="332">
        <v>7815</v>
      </c>
      <c r="H21" s="332">
        <v>0</v>
      </c>
      <c r="I21" s="479">
        <v>0</v>
      </c>
      <c r="J21" s="482">
        <v>1</v>
      </c>
      <c r="K21" s="485">
        <v>7815</v>
      </c>
      <c r="L21" s="332" t="s">
        <v>1274</v>
      </c>
      <c r="M21" s="482" t="s">
        <v>1274</v>
      </c>
      <c r="N21" s="485">
        <v>7815</v>
      </c>
      <c r="O21" s="332">
        <v>0</v>
      </c>
      <c r="P21" s="482">
        <v>0</v>
      </c>
      <c r="Q21" s="485">
        <v>7815</v>
      </c>
      <c r="R21" s="332">
        <v>510</v>
      </c>
      <c r="S21" s="482">
        <v>7.0000000000000007E-2</v>
      </c>
      <c r="T21" s="482">
        <v>0</v>
      </c>
      <c r="U21" s="485" t="s">
        <v>1060</v>
      </c>
      <c r="V21" s="332" t="s">
        <v>1060</v>
      </c>
      <c r="W21" s="482" t="s">
        <v>1060</v>
      </c>
      <c r="X21" s="325"/>
      <c r="Y21" s="482" t="s">
        <v>1060</v>
      </c>
      <c r="Z21" s="332" t="s">
        <v>1060</v>
      </c>
      <c r="AA21" s="326" t="s">
        <v>1060</v>
      </c>
      <c r="AB21" s="340" t="s">
        <v>1060</v>
      </c>
      <c r="AC21" s="485">
        <v>7815</v>
      </c>
      <c r="AD21" s="332">
        <v>185</v>
      </c>
      <c r="AE21" s="482">
        <v>0.02</v>
      </c>
      <c r="AF21" s="325"/>
      <c r="AG21" s="482">
        <v>0</v>
      </c>
      <c r="AH21" s="332">
        <v>23</v>
      </c>
      <c r="AI21" s="326">
        <v>101</v>
      </c>
      <c r="AJ21" s="340">
        <v>1437</v>
      </c>
      <c r="AK21" s="332" t="s">
        <v>1060</v>
      </c>
      <c r="AL21" s="326" t="s">
        <v>1060</v>
      </c>
      <c r="AM21" s="340" t="s">
        <v>1060</v>
      </c>
      <c r="AN21" s="332">
        <v>42</v>
      </c>
      <c r="AO21" s="326">
        <v>121</v>
      </c>
      <c r="AP21" s="340">
        <v>1435</v>
      </c>
      <c r="AQ21" s="485">
        <v>7815</v>
      </c>
      <c r="AR21" s="332">
        <v>185</v>
      </c>
      <c r="AS21" s="482">
        <v>0.02</v>
      </c>
      <c r="AT21" s="325"/>
      <c r="AU21" s="482">
        <v>0</v>
      </c>
      <c r="AV21" s="332">
        <v>42</v>
      </c>
      <c r="AW21" s="326">
        <v>121</v>
      </c>
      <c r="AX21" s="327">
        <v>1435</v>
      </c>
      <c r="AY21" s="97"/>
      <c r="AZ21" s="97"/>
      <c r="BA21" s="97"/>
    </row>
    <row r="22" spans="1:53" ht="22.5" customHeight="1" x14ac:dyDescent="0.4">
      <c r="A22" s="324" t="s">
        <v>600</v>
      </c>
      <c r="B22" s="335" t="s">
        <v>1076</v>
      </c>
      <c r="C22" s="332">
        <v>36825</v>
      </c>
      <c r="D22" s="326">
        <v>31572</v>
      </c>
      <c r="E22" s="479">
        <v>1.17</v>
      </c>
      <c r="F22" s="337" t="s">
        <v>1077</v>
      </c>
      <c r="G22" s="332">
        <v>36825</v>
      </c>
      <c r="H22" s="332">
        <v>0</v>
      </c>
      <c r="I22" s="479">
        <v>0</v>
      </c>
      <c r="J22" s="482">
        <v>1</v>
      </c>
      <c r="K22" s="485">
        <v>36825</v>
      </c>
      <c r="L22" s="332" t="s">
        <v>1274</v>
      </c>
      <c r="M22" s="482" t="s">
        <v>1274</v>
      </c>
      <c r="N22" s="485">
        <v>36825</v>
      </c>
      <c r="O22" s="332">
        <v>0</v>
      </c>
      <c r="P22" s="482">
        <v>0</v>
      </c>
      <c r="Q22" s="485">
        <v>36825</v>
      </c>
      <c r="R22" s="332">
        <v>1550</v>
      </c>
      <c r="S22" s="482">
        <v>0.04</v>
      </c>
      <c r="T22" s="482">
        <v>0</v>
      </c>
      <c r="U22" s="485" t="s">
        <v>1060</v>
      </c>
      <c r="V22" s="332" t="s">
        <v>1060</v>
      </c>
      <c r="W22" s="482" t="s">
        <v>1060</v>
      </c>
      <c r="X22" s="325"/>
      <c r="Y22" s="482" t="s">
        <v>1060</v>
      </c>
      <c r="Z22" s="332" t="s">
        <v>1060</v>
      </c>
      <c r="AA22" s="326" t="s">
        <v>1060</v>
      </c>
      <c r="AB22" s="340" t="s">
        <v>1060</v>
      </c>
      <c r="AC22" s="485">
        <v>36825</v>
      </c>
      <c r="AD22" s="332">
        <v>1370</v>
      </c>
      <c r="AE22" s="482">
        <v>0.04</v>
      </c>
      <c r="AF22" s="325"/>
      <c r="AG22" s="482">
        <v>0</v>
      </c>
      <c r="AH22" s="332">
        <v>36</v>
      </c>
      <c r="AI22" s="326">
        <v>114</v>
      </c>
      <c r="AJ22" s="340">
        <v>1438</v>
      </c>
      <c r="AK22" s="332" t="s">
        <v>1060</v>
      </c>
      <c r="AL22" s="326" t="s">
        <v>1060</v>
      </c>
      <c r="AM22" s="340" t="s">
        <v>1060</v>
      </c>
      <c r="AN22" s="332">
        <v>56</v>
      </c>
      <c r="AO22" s="326">
        <v>134</v>
      </c>
      <c r="AP22" s="340">
        <v>1438</v>
      </c>
      <c r="AQ22" s="485">
        <v>36825</v>
      </c>
      <c r="AR22" s="332">
        <v>1375</v>
      </c>
      <c r="AS22" s="482">
        <v>0.04</v>
      </c>
      <c r="AT22" s="325"/>
      <c r="AU22" s="482">
        <v>0</v>
      </c>
      <c r="AV22" s="332">
        <v>56</v>
      </c>
      <c r="AW22" s="326">
        <v>134</v>
      </c>
      <c r="AX22" s="327">
        <v>1438</v>
      </c>
      <c r="AY22" s="97"/>
      <c r="AZ22" s="97"/>
      <c r="BA22" s="97"/>
    </row>
    <row r="23" spans="1:53" ht="22.5" customHeight="1" x14ac:dyDescent="0.4">
      <c r="A23" s="324" t="s">
        <v>594</v>
      </c>
      <c r="B23" s="335" t="s">
        <v>1078</v>
      </c>
      <c r="C23" s="332">
        <v>8570</v>
      </c>
      <c r="D23" s="326">
        <v>7655</v>
      </c>
      <c r="E23" s="479">
        <v>1.1200000000000001</v>
      </c>
      <c r="F23" s="337" t="s">
        <v>1077</v>
      </c>
      <c r="G23" s="332">
        <v>8570</v>
      </c>
      <c r="H23" s="332">
        <v>0</v>
      </c>
      <c r="I23" s="479">
        <v>0</v>
      </c>
      <c r="J23" s="482">
        <v>1</v>
      </c>
      <c r="K23" s="485">
        <v>8570</v>
      </c>
      <c r="L23" s="332" t="s">
        <v>1274</v>
      </c>
      <c r="M23" s="482" t="s">
        <v>1274</v>
      </c>
      <c r="N23" s="485">
        <v>8570</v>
      </c>
      <c r="O23" s="332">
        <v>0</v>
      </c>
      <c r="P23" s="482">
        <v>0</v>
      </c>
      <c r="Q23" s="485">
        <v>8570</v>
      </c>
      <c r="R23" s="332">
        <v>400</v>
      </c>
      <c r="S23" s="482">
        <v>0.05</v>
      </c>
      <c r="T23" s="482">
        <v>0</v>
      </c>
      <c r="U23" s="485" t="s">
        <v>1060</v>
      </c>
      <c r="V23" s="332" t="s">
        <v>1060</v>
      </c>
      <c r="W23" s="482" t="s">
        <v>1060</v>
      </c>
      <c r="X23" s="325"/>
      <c r="Y23" s="482" t="s">
        <v>1060</v>
      </c>
      <c r="Z23" s="332" t="s">
        <v>1060</v>
      </c>
      <c r="AA23" s="326" t="s">
        <v>1060</v>
      </c>
      <c r="AB23" s="340" t="s">
        <v>1060</v>
      </c>
      <c r="AC23" s="485">
        <v>8570</v>
      </c>
      <c r="AD23" s="332">
        <v>285</v>
      </c>
      <c r="AE23" s="482">
        <v>0.03</v>
      </c>
      <c r="AF23" s="325"/>
      <c r="AG23" s="482">
        <v>0</v>
      </c>
      <c r="AH23" s="332">
        <v>27</v>
      </c>
      <c r="AI23" s="326">
        <v>120</v>
      </c>
      <c r="AJ23" s="340">
        <v>1439</v>
      </c>
      <c r="AK23" s="332" t="s">
        <v>1060</v>
      </c>
      <c r="AL23" s="326" t="s">
        <v>1060</v>
      </c>
      <c r="AM23" s="340" t="s">
        <v>1060</v>
      </c>
      <c r="AN23" s="332">
        <v>44</v>
      </c>
      <c r="AO23" s="326">
        <v>137</v>
      </c>
      <c r="AP23" s="340">
        <v>1438</v>
      </c>
      <c r="AQ23" s="485">
        <v>8570</v>
      </c>
      <c r="AR23" s="332">
        <v>290</v>
      </c>
      <c r="AS23" s="482">
        <v>0.03</v>
      </c>
      <c r="AT23" s="325"/>
      <c r="AU23" s="482">
        <v>0</v>
      </c>
      <c r="AV23" s="332">
        <v>44</v>
      </c>
      <c r="AW23" s="326">
        <v>137</v>
      </c>
      <c r="AX23" s="327">
        <v>1438</v>
      </c>
      <c r="AY23" s="97"/>
      <c r="AZ23" s="97"/>
      <c r="BA23" s="97"/>
    </row>
    <row r="24" spans="1:53" ht="22.5" customHeight="1" x14ac:dyDescent="0.4">
      <c r="A24" s="324" t="s">
        <v>601</v>
      </c>
      <c r="B24" s="335" t="s">
        <v>1079</v>
      </c>
      <c r="C24" s="332">
        <v>4160</v>
      </c>
      <c r="D24" s="326">
        <v>3521</v>
      </c>
      <c r="E24" s="479">
        <v>1.18</v>
      </c>
      <c r="F24" s="337" t="s">
        <v>1077</v>
      </c>
      <c r="G24" s="332">
        <v>4160</v>
      </c>
      <c r="H24" s="332">
        <v>0</v>
      </c>
      <c r="I24" s="479">
        <v>0</v>
      </c>
      <c r="J24" s="482">
        <v>1</v>
      </c>
      <c r="K24" s="485">
        <v>4160</v>
      </c>
      <c r="L24" s="332">
        <v>0</v>
      </c>
      <c r="M24" s="482">
        <v>0</v>
      </c>
      <c r="N24" s="485">
        <v>4160</v>
      </c>
      <c r="O24" s="332">
        <v>0</v>
      </c>
      <c r="P24" s="482">
        <v>0</v>
      </c>
      <c r="Q24" s="485">
        <v>4160</v>
      </c>
      <c r="R24" s="332">
        <v>290</v>
      </c>
      <c r="S24" s="482">
        <v>7.0000000000000007E-2</v>
      </c>
      <c r="T24" s="482">
        <v>0</v>
      </c>
      <c r="U24" s="485" t="s">
        <v>1060</v>
      </c>
      <c r="V24" s="332" t="s">
        <v>1060</v>
      </c>
      <c r="W24" s="482" t="s">
        <v>1060</v>
      </c>
      <c r="X24" s="325"/>
      <c r="Y24" s="482" t="s">
        <v>1060</v>
      </c>
      <c r="Z24" s="332" t="s">
        <v>1060</v>
      </c>
      <c r="AA24" s="326" t="s">
        <v>1060</v>
      </c>
      <c r="AB24" s="340" t="s">
        <v>1060</v>
      </c>
      <c r="AC24" s="485">
        <v>4160</v>
      </c>
      <c r="AD24" s="332">
        <v>185</v>
      </c>
      <c r="AE24" s="482">
        <v>0.04</v>
      </c>
      <c r="AF24" s="325"/>
      <c r="AG24" s="482">
        <v>0</v>
      </c>
      <c r="AH24" s="332">
        <v>13</v>
      </c>
      <c r="AI24" s="326">
        <v>93</v>
      </c>
      <c r="AJ24" s="340">
        <v>1436</v>
      </c>
      <c r="AK24" s="332" t="s">
        <v>1060</v>
      </c>
      <c r="AL24" s="326" t="s">
        <v>1060</v>
      </c>
      <c r="AM24" s="340" t="s">
        <v>1060</v>
      </c>
      <c r="AN24" s="332">
        <v>29</v>
      </c>
      <c r="AO24" s="326">
        <v>110</v>
      </c>
      <c r="AP24" s="340">
        <v>1435</v>
      </c>
      <c r="AQ24" s="485">
        <v>4160</v>
      </c>
      <c r="AR24" s="332">
        <v>185</v>
      </c>
      <c r="AS24" s="482">
        <v>0.04</v>
      </c>
      <c r="AT24" s="325"/>
      <c r="AU24" s="482">
        <v>0</v>
      </c>
      <c r="AV24" s="332">
        <v>29</v>
      </c>
      <c r="AW24" s="326">
        <v>110</v>
      </c>
      <c r="AX24" s="327">
        <v>1435</v>
      </c>
      <c r="AY24" s="97"/>
      <c r="AZ24" s="97"/>
      <c r="BA24" s="97"/>
    </row>
    <row r="25" spans="1:53" ht="22.5" customHeight="1" x14ac:dyDescent="0.4">
      <c r="A25" s="324" t="s">
        <v>878</v>
      </c>
      <c r="B25" s="335" t="s">
        <v>1080</v>
      </c>
      <c r="C25" s="332">
        <v>12405</v>
      </c>
      <c r="D25" s="326" t="s">
        <v>1060</v>
      </c>
      <c r="E25" s="479" t="s">
        <v>1060</v>
      </c>
      <c r="F25" s="337" t="s">
        <v>1060</v>
      </c>
      <c r="G25" s="332">
        <v>12405</v>
      </c>
      <c r="H25" s="332">
        <v>0</v>
      </c>
      <c r="I25" s="479">
        <v>0</v>
      </c>
      <c r="J25" s="482">
        <v>7.0000000000000007E-2</v>
      </c>
      <c r="K25" s="485">
        <v>12405</v>
      </c>
      <c r="L25" s="332">
        <v>20</v>
      </c>
      <c r="M25" s="482">
        <v>0</v>
      </c>
      <c r="N25" s="485">
        <v>12405</v>
      </c>
      <c r="O25" s="332">
        <v>0</v>
      </c>
      <c r="P25" s="482">
        <v>0</v>
      </c>
      <c r="Q25" s="485">
        <v>12405</v>
      </c>
      <c r="R25" s="332">
        <v>925</v>
      </c>
      <c r="S25" s="482">
        <v>7.0000000000000007E-2</v>
      </c>
      <c r="T25" s="482">
        <v>0</v>
      </c>
      <c r="U25" s="485" t="s">
        <v>1060</v>
      </c>
      <c r="V25" s="332" t="s">
        <v>1060</v>
      </c>
      <c r="W25" s="482" t="s">
        <v>1060</v>
      </c>
      <c r="X25" s="325"/>
      <c r="Y25" s="482" t="s">
        <v>1060</v>
      </c>
      <c r="Z25" s="332" t="s">
        <v>1060</v>
      </c>
      <c r="AA25" s="326" t="s">
        <v>1060</v>
      </c>
      <c r="AB25" s="340" t="s">
        <v>1060</v>
      </c>
      <c r="AC25" s="485">
        <v>12370</v>
      </c>
      <c r="AD25" s="332">
        <v>115</v>
      </c>
      <c r="AE25" s="482">
        <v>0.01</v>
      </c>
      <c r="AF25" s="325"/>
      <c r="AG25" s="482">
        <v>0</v>
      </c>
      <c r="AH25" s="332">
        <v>27</v>
      </c>
      <c r="AI25" s="326">
        <v>1318</v>
      </c>
      <c r="AJ25" s="340">
        <v>1439</v>
      </c>
      <c r="AK25" s="332">
        <v>63</v>
      </c>
      <c r="AL25" s="326">
        <v>543</v>
      </c>
      <c r="AM25" s="340">
        <v>1366</v>
      </c>
      <c r="AN25" s="332">
        <v>51</v>
      </c>
      <c r="AO25" s="326">
        <v>167</v>
      </c>
      <c r="AP25" s="340">
        <v>1439</v>
      </c>
      <c r="AQ25" s="485">
        <v>12405</v>
      </c>
      <c r="AR25" s="332">
        <v>115</v>
      </c>
      <c r="AS25" s="482">
        <v>0.01</v>
      </c>
      <c r="AT25" s="325"/>
      <c r="AU25" s="482">
        <v>0</v>
      </c>
      <c r="AV25" s="332">
        <v>51</v>
      </c>
      <c r="AW25" s="326">
        <v>168</v>
      </c>
      <c r="AX25" s="327">
        <v>1439</v>
      </c>
      <c r="AY25" s="97"/>
      <c r="AZ25" s="97"/>
      <c r="BA25" s="97"/>
    </row>
    <row r="26" spans="1:53" ht="22.5" customHeight="1" x14ac:dyDescent="0.4">
      <c r="A26" s="324" t="s">
        <v>879</v>
      </c>
      <c r="B26" s="335" t="s">
        <v>1081</v>
      </c>
      <c r="C26" s="332">
        <v>53730</v>
      </c>
      <c r="D26" s="326" t="s">
        <v>1060</v>
      </c>
      <c r="E26" s="479" t="s">
        <v>1060</v>
      </c>
      <c r="F26" s="337" t="s">
        <v>1060</v>
      </c>
      <c r="G26" s="332">
        <v>53730</v>
      </c>
      <c r="H26" s="332">
        <v>0</v>
      </c>
      <c r="I26" s="479">
        <v>0</v>
      </c>
      <c r="J26" s="482">
        <v>0.25</v>
      </c>
      <c r="K26" s="485">
        <v>53730</v>
      </c>
      <c r="L26" s="332">
        <v>575</v>
      </c>
      <c r="M26" s="482">
        <v>0.01</v>
      </c>
      <c r="N26" s="485">
        <v>53730</v>
      </c>
      <c r="O26" s="332">
        <v>0</v>
      </c>
      <c r="P26" s="482">
        <v>0</v>
      </c>
      <c r="Q26" s="485">
        <v>53730</v>
      </c>
      <c r="R26" s="332">
        <v>3110</v>
      </c>
      <c r="S26" s="482">
        <v>0.06</v>
      </c>
      <c r="T26" s="482">
        <v>0</v>
      </c>
      <c r="U26" s="485" t="s">
        <v>1060</v>
      </c>
      <c r="V26" s="332" t="s">
        <v>1060</v>
      </c>
      <c r="W26" s="482" t="s">
        <v>1060</v>
      </c>
      <c r="X26" s="325"/>
      <c r="Y26" s="482" t="s">
        <v>1060</v>
      </c>
      <c r="Z26" s="332" t="s">
        <v>1060</v>
      </c>
      <c r="AA26" s="326" t="s">
        <v>1060</v>
      </c>
      <c r="AB26" s="340" t="s">
        <v>1060</v>
      </c>
      <c r="AC26" s="485">
        <v>53070</v>
      </c>
      <c r="AD26" s="332">
        <v>1000</v>
      </c>
      <c r="AE26" s="482">
        <v>0.02</v>
      </c>
      <c r="AF26" s="325"/>
      <c r="AG26" s="482">
        <v>0</v>
      </c>
      <c r="AH26" s="332">
        <v>1372</v>
      </c>
      <c r="AI26" s="326">
        <v>1432</v>
      </c>
      <c r="AJ26" s="340">
        <v>1439</v>
      </c>
      <c r="AK26" s="332">
        <v>122</v>
      </c>
      <c r="AL26" s="326">
        <v>1379</v>
      </c>
      <c r="AM26" s="340">
        <v>1407</v>
      </c>
      <c r="AN26" s="332">
        <v>83</v>
      </c>
      <c r="AO26" s="326">
        <v>1378</v>
      </c>
      <c r="AP26" s="340">
        <v>1439</v>
      </c>
      <c r="AQ26" s="485">
        <v>53730</v>
      </c>
      <c r="AR26" s="332">
        <v>1120</v>
      </c>
      <c r="AS26" s="482">
        <v>0.02</v>
      </c>
      <c r="AT26" s="325"/>
      <c r="AU26" s="482">
        <v>0</v>
      </c>
      <c r="AV26" s="332">
        <v>83</v>
      </c>
      <c r="AW26" s="326">
        <v>1378</v>
      </c>
      <c r="AX26" s="327">
        <v>1439</v>
      </c>
      <c r="AY26" s="97"/>
      <c r="AZ26" s="97"/>
      <c r="BA26" s="97"/>
    </row>
    <row r="27" spans="1:53" ht="22.5" customHeight="1" x14ac:dyDescent="0.4">
      <c r="A27" s="324" t="s">
        <v>880</v>
      </c>
      <c r="B27" s="335" t="s">
        <v>1082</v>
      </c>
      <c r="C27" s="332">
        <v>9195</v>
      </c>
      <c r="D27" s="326" t="s">
        <v>1060</v>
      </c>
      <c r="E27" s="479" t="s">
        <v>1060</v>
      </c>
      <c r="F27" s="337" t="s">
        <v>1060</v>
      </c>
      <c r="G27" s="332">
        <v>9195</v>
      </c>
      <c r="H27" s="332">
        <v>0</v>
      </c>
      <c r="I27" s="479">
        <v>0</v>
      </c>
      <c r="J27" s="482">
        <v>0.05</v>
      </c>
      <c r="K27" s="485">
        <v>9195</v>
      </c>
      <c r="L27" s="332">
        <v>15</v>
      </c>
      <c r="M27" s="482">
        <v>0</v>
      </c>
      <c r="N27" s="485">
        <v>9195</v>
      </c>
      <c r="O27" s="332">
        <v>0</v>
      </c>
      <c r="P27" s="482">
        <v>0</v>
      </c>
      <c r="Q27" s="485">
        <v>9195</v>
      </c>
      <c r="R27" s="332">
        <v>160</v>
      </c>
      <c r="S27" s="482">
        <v>0.02</v>
      </c>
      <c r="T27" s="482">
        <v>0</v>
      </c>
      <c r="U27" s="485" t="s">
        <v>1060</v>
      </c>
      <c r="V27" s="332" t="s">
        <v>1060</v>
      </c>
      <c r="W27" s="482" t="s">
        <v>1060</v>
      </c>
      <c r="X27" s="325"/>
      <c r="Y27" s="482" t="s">
        <v>1060</v>
      </c>
      <c r="Z27" s="332" t="s">
        <v>1060</v>
      </c>
      <c r="AA27" s="326" t="s">
        <v>1060</v>
      </c>
      <c r="AB27" s="340" t="s">
        <v>1060</v>
      </c>
      <c r="AC27" s="485">
        <v>9170</v>
      </c>
      <c r="AD27" s="332">
        <v>85</v>
      </c>
      <c r="AE27" s="482">
        <v>0.01</v>
      </c>
      <c r="AF27" s="325"/>
      <c r="AG27" s="482">
        <v>0</v>
      </c>
      <c r="AH27" s="332">
        <v>28</v>
      </c>
      <c r="AI27" s="326">
        <v>131</v>
      </c>
      <c r="AJ27" s="340">
        <v>1439</v>
      </c>
      <c r="AK27" s="332">
        <v>56</v>
      </c>
      <c r="AL27" s="326">
        <v>154</v>
      </c>
      <c r="AM27" s="340">
        <v>1435</v>
      </c>
      <c r="AN27" s="332">
        <v>47</v>
      </c>
      <c r="AO27" s="326">
        <v>148</v>
      </c>
      <c r="AP27" s="340">
        <v>1439</v>
      </c>
      <c r="AQ27" s="485">
        <v>9195</v>
      </c>
      <c r="AR27" s="332">
        <v>85</v>
      </c>
      <c r="AS27" s="482">
        <v>0.01</v>
      </c>
      <c r="AT27" s="325"/>
      <c r="AU27" s="482">
        <v>0</v>
      </c>
      <c r="AV27" s="332">
        <v>47</v>
      </c>
      <c r="AW27" s="326">
        <v>149</v>
      </c>
      <c r="AX27" s="327">
        <v>1439</v>
      </c>
      <c r="AY27" s="97"/>
      <c r="AZ27" s="97"/>
      <c r="BA27" s="97"/>
    </row>
    <row r="28" spans="1:53" ht="22.5" customHeight="1" x14ac:dyDescent="0.4">
      <c r="A28" s="324" t="s">
        <v>881</v>
      </c>
      <c r="B28" s="335" t="s">
        <v>1083</v>
      </c>
      <c r="C28" s="332">
        <v>24710</v>
      </c>
      <c r="D28" s="326" t="s">
        <v>1060</v>
      </c>
      <c r="E28" s="479" t="s">
        <v>1060</v>
      </c>
      <c r="F28" s="337" t="s">
        <v>1060</v>
      </c>
      <c r="G28" s="332">
        <v>24710</v>
      </c>
      <c r="H28" s="332">
        <v>0</v>
      </c>
      <c r="I28" s="479">
        <v>0</v>
      </c>
      <c r="J28" s="482">
        <v>0.1</v>
      </c>
      <c r="K28" s="485">
        <v>24710</v>
      </c>
      <c r="L28" s="332">
        <v>135</v>
      </c>
      <c r="M28" s="482">
        <v>0.01</v>
      </c>
      <c r="N28" s="485">
        <v>24710</v>
      </c>
      <c r="O28" s="332">
        <v>0</v>
      </c>
      <c r="P28" s="482">
        <v>0</v>
      </c>
      <c r="Q28" s="485">
        <v>24710</v>
      </c>
      <c r="R28" s="332">
        <v>1335</v>
      </c>
      <c r="S28" s="482">
        <v>0.05</v>
      </c>
      <c r="T28" s="482">
        <v>0</v>
      </c>
      <c r="U28" s="485" t="s">
        <v>1060</v>
      </c>
      <c r="V28" s="332" t="s">
        <v>1060</v>
      </c>
      <c r="W28" s="482" t="s">
        <v>1060</v>
      </c>
      <c r="X28" s="325"/>
      <c r="Y28" s="482" t="s">
        <v>1060</v>
      </c>
      <c r="Z28" s="332" t="s">
        <v>1060</v>
      </c>
      <c r="AA28" s="326" t="s">
        <v>1060</v>
      </c>
      <c r="AB28" s="340" t="s">
        <v>1060</v>
      </c>
      <c r="AC28" s="485">
        <v>24510</v>
      </c>
      <c r="AD28" s="332">
        <v>95</v>
      </c>
      <c r="AE28" s="482">
        <v>0</v>
      </c>
      <c r="AF28" s="325"/>
      <c r="AG28" s="482">
        <v>0</v>
      </c>
      <c r="AH28" s="332">
        <v>194</v>
      </c>
      <c r="AI28" s="326">
        <v>1428</v>
      </c>
      <c r="AJ28" s="340">
        <v>1439</v>
      </c>
      <c r="AK28" s="332">
        <v>55</v>
      </c>
      <c r="AL28" s="326">
        <v>1377</v>
      </c>
      <c r="AM28" s="340">
        <v>1439</v>
      </c>
      <c r="AN28" s="332">
        <v>70</v>
      </c>
      <c r="AO28" s="326">
        <v>1377</v>
      </c>
      <c r="AP28" s="340">
        <v>1439</v>
      </c>
      <c r="AQ28" s="485">
        <v>24710</v>
      </c>
      <c r="AR28" s="332">
        <v>95</v>
      </c>
      <c r="AS28" s="482">
        <v>0</v>
      </c>
      <c r="AT28" s="325"/>
      <c r="AU28" s="482">
        <v>0</v>
      </c>
      <c r="AV28" s="332">
        <v>68</v>
      </c>
      <c r="AW28" s="326">
        <v>1377</v>
      </c>
      <c r="AX28" s="327">
        <v>1439</v>
      </c>
      <c r="AY28" s="97"/>
      <c r="AZ28" s="97"/>
      <c r="BA28" s="97"/>
    </row>
    <row r="29" spans="1:53" ht="22.5" customHeight="1" x14ac:dyDescent="0.4">
      <c r="A29" s="324" t="s">
        <v>434</v>
      </c>
      <c r="B29" s="335" t="s">
        <v>1084</v>
      </c>
      <c r="C29" s="332">
        <v>11765</v>
      </c>
      <c r="D29" s="326" t="s">
        <v>1060</v>
      </c>
      <c r="E29" s="479" t="s">
        <v>1060</v>
      </c>
      <c r="F29" s="337" t="s">
        <v>1060</v>
      </c>
      <c r="G29" s="332">
        <v>11765</v>
      </c>
      <c r="H29" s="332">
        <v>0</v>
      </c>
      <c r="I29" s="479">
        <v>0</v>
      </c>
      <c r="J29" s="482">
        <v>0.78</v>
      </c>
      <c r="K29" s="485">
        <v>11765</v>
      </c>
      <c r="L29" s="332">
        <v>0</v>
      </c>
      <c r="M29" s="482">
        <v>0</v>
      </c>
      <c r="N29" s="485">
        <v>11765</v>
      </c>
      <c r="O29" s="332">
        <v>0</v>
      </c>
      <c r="P29" s="482">
        <v>0</v>
      </c>
      <c r="Q29" s="485">
        <v>11765</v>
      </c>
      <c r="R29" s="332">
        <v>875</v>
      </c>
      <c r="S29" s="482">
        <v>7.0000000000000007E-2</v>
      </c>
      <c r="T29" s="482">
        <v>0</v>
      </c>
      <c r="U29" s="485">
        <v>70</v>
      </c>
      <c r="V29" s="332">
        <v>0</v>
      </c>
      <c r="W29" s="482" t="s">
        <v>1316</v>
      </c>
      <c r="X29" s="325" t="s">
        <v>1062</v>
      </c>
      <c r="Y29" s="482" t="s">
        <v>1316</v>
      </c>
      <c r="Z29" s="332" t="s">
        <v>1275</v>
      </c>
      <c r="AA29" s="326" t="s">
        <v>1275</v>
      </c>
      <c r="AB29" s="340" t="s">
        <v>1275</v>
      </c>
      <c r="AC29" s="485">
        <v>11765</v>
      </c>
      <c r="AD29" s="332">
        <v>0</v>
      </c>
      <c r="AE29" s="482">
        <v>0</v>
      </c>
      <c r="AF29" s="325"/>
      <c r="AG29" s="482">
        <v>0</v>
      </c>
      <c r="AH29" s="332">
        <v>20</v>
      </c>
      <c r="AI29" s="326">
        <v>78</v>
      </c>
      <c r="AJ29" s="340">
        <v>611</v>
      </c>
      <c r="AK29" s="332" t="s">
        <v>1060</v>
      </c>
      <c r="AL29" s="326" t="s">
        <v>1060</v>
      </c>
      <c r="AM29" s="340" t="s">
        <v>1060</v>
      </c>
      <c r="AN29" s="332">
        <v>37</v>
      </c>
      <c r="AO29" s="326">
        <v>102</v>
      </c>
      <c r="AP29" s="340">
        <v>636</v>
      </c>
      <c r="AQ29" s="485">
        <v>11765</v>
      </c>
      <c r="AR29" s="332">
        <v>11305</v>
      </c>
      <c r="AS29" s="482">
        <v>0.96</v>
      </c>
      <c r="AT29" s="325"/>
      <c r="AU29" s="482">
        <v>0</v>
      </c>
      <c r="AV29" s="332">
        <v>37</v>
      </c>
      <c r="AW29" s="326">
        <v>102</v>
      </c>
      <c r="AX29" s="327">
        <v>636</v>
      </c>
      <c r="AY29" s="97"/>
      <c r="AZ29" s="97"/>
      <c r="BA29" s="97"/>
    </row>
    <row r="30" spans="1:53" ht="22.5" customHeight="1" x14ac:dyDescent="0.4">
      <c r="A30" s="324" t="s">
        <v>566</v>
      </c>
      <c r="B30" s="335" t="s">
        <v>1085</v>
      </c>
      <c r="C30" s="332">
        <v>16820</v>
      </c>
      <c r="D30" s="326">
        <v>16768</v>
      </c>
      <c r="E30" s="479">
        <v>1</v>
      </c>
      <c r="F30" s="337" t="s">
        <v>1067</v>
      </c>
      <c r="G30" s="332">
        <v>16820</v>
      </c>
      <c r="H30" s="332">
        <v>0</v>
      </c>
      <c r="I30" s="479">
        <v>0</v>
      </c>
      <c r="J30" s="482">
        <v>0.11</v>
      </c>
      <c r="K30" s="485">
        <v>16820</v>
      </c>
      <c r="L30" s="332">
        <v>300</v>
      </c>
      <c r="M30" s="482">
        <v>0.02</v>
      </c>
      <c r="N30" s="485">
        <v>16820</v>
      </c>
      <c r="O30" s="332">
        <v>0</v>
      </c>
      <c r="P30" s="482">
        <v>0</v>
      </c>
      <c r="Q30" s="485">
        <v>16820</v>
      </c>
      <c r="R30" s="332">
        <v>335</v>
      </c>
      <c r="S30" s="482">
        <v>0.02</v>
      </c>
      <c r="T30" s="482">
        <v>0</v>
      </c>
      <c r="U30" s="485">
        <v>30</v>
      </c>
      <c r="V30" s="332">
        <v>0</v>
      </c>
      <c r="W30" s="482" t="s">
        <v>1316</v>
      </c>
      <c r="X30" s="325" t="s">
        <v>1062</v>
      </c>
      <c r="Y30" s="482" t="s">
        <v>1316</v>
      </c>
      <c r="Z30" s="332" t="s">
        <v>1275</v>
      </c>
      <c r="AA30" s="326" t="s">
        <v>1275</v>
      </c>
      <c r="AB30" s="340" t="s">
        <v>1275</v>
      </c>
      <c r="AC30" s="485">
        <v>16515</v>
      </c>
      <c r="AD30" s="332">
        <v>0</v>
      </c>
      <c r="AE30" s="482">
        <v>0</v>
      </c>
      <c r="AF30" s="325"/>
      <c r="AG30" s="482">
        <v>0</v>
      </c>
      <c r="AH30" s="332">
        <v>74</v>
      </c>
      <c r="AI30" s="326">
        <v>198</v>
      </c>
      <c r="AJ30" s="340">
        <v>868</v>
      </c>
      <c r="AK30" s="332">
        <v>77</v>
      </c>
      <c r="AL30" s="326">
        <v>168</v>
      </c>
      <c r="AM30" s="340">
        <v>168</v>
      </c>
      <c r="AN30" s="332">
        <v>80</v>
      </c>
      <c r="AO30" s="326">
        <v>203</v>
      </c>
      <c r="AP30" s="340">
        <v>1402</v>
      </c>
      <c r="AQ30" s="485">
        <v>16820</v>
      </c>
      <c r="AR30" s="332">
        <v>0</v>
      </c>
      <c r="AS30" s="482">
        <v>0</v>
      </c>
      <c r="AT30" s="325"/>
      <c r="AU30" s="482">
        <v>0</v>
      </c>
      <c r="AV30" s="332">
        <v>80</v>
      </c>
      <c r="AW30" s="326">
        <v>203</v>
      </c>
      <c r="AX30" s="327">
        <v>1402</v>
      </c>
      <c r="AY30" s="97"/>
      <c r="AZ30" s="97"/>
      <c r="BA30" s="97"/>
    </row>
    <row r="31" spans="1:53" ht="22.5" customHeight="1" x14ac:dyDescent="0.4">
      <c r="A31" s="324" t="s">
        <v>312</v>
      </c>
      <c r="B31" s="335" t="s">
        <v>1086</v>
      </c>
      <c r="C31" s="332">
        <v>24310</v>
      </c>
      <c r="D31" s="326">
        <v>24481</v>
      </c>
      <c r="E31" s="479">
        <v>0.99</v>
      </c>
      <c r="F31" s="337" t="s">
        <v>1067</v>
      </c>
      <c r="G31" s="332">
        <v>24310</v>
      </c>
      <c r="H31" s="332">
        <v>0</v>
      </c>
      <c r="I31" s="479">
        <v>0</v>
      </c>
      <c r="J31" s="482">
        <v>0.08</v>
      </c>
      <c r="K31" s="485">
        <v>24310</v>
      </c>
      <c r="L31" s="332">
        <v>460</v>
      </c>
      <c r="M31" s="482">
        <v>0.02</v>
      </c>
      <c r="N31" s="485">
        <v>24310</v>
      </c>
      <c r="O31" s="332">
        <v>0</v>
      </c>
      <c r="P31" s="482">
        <v>0</v>
      </c>
      <c r="Q31" s="485">
        <v>24310</v>
      </c>
      <c r="R31" s="332">
        <v>970</v>
      </c>
      <c r="S31" s="482">
        <v>0.04</v>
      </c>
      <c r="T31" s="482">
        <v>0</v>
      </c>
      <c r="U31" s="485">
        <v>55</v>
      </c>
      <c r="V31" s="332">
        <v>0</v>
      </c>
      <c r="W31" s="482" t="s">
        <v>1316</v>
      </c>
      <c r="X31" s="325"/>
      <c r="Y31" s="482" t="s">
        <v>1316</v>
      </c>
      <c r="Z31" s="332">
        <v>0</v>
      </c>
      <c r="AA31" s="326">
        <v>4</v>
      </c>
      <c r="AB31" s="340">
        <v>53</v>
      </c>
      <c r="AC31" s="485">
        <v>23830</v>
      </c>
      <c r="AD31" s="332">
        <v>0</v>
      </c>
      <c r="AE31" s="482">
        <v>0</v>
      </c>
      <c r="AF31" s="325"/>
      <c r="AG31" s="482">
        <v>0</v>
      </c>
      <c r="AH31" s="332">
        <v>40</v>
      </c>
      <c r="AI31" s="326">
        <v>114</v>
      </c>
      <c r="AJ31" s="340">
        <v>260</v>
      </c>
      <c r="AK31" s="332" t="s">
        <v>1060</v>
      </c>
      <c r="AL31" s="326" t="s">
        <v>1060</v>
      </c>
      <c r="AM31" s="340" t="s">
        <v>1060</v>
      </c>
      <c r="AN31" s="332">
        <v>78</v>
      </c>
      <c r="AO31" s="326">
        <v>170</v>
      </c>
      <c r="AP31" s="340">
        <v>779</v>
      </c>
      <c r="AQ31" s="485">
        <v>24310</v>
      </c>
      <c r="AR31" s="332">
        <v>0</v>
      </c>
      <c r="AS31" s="482">
        <v>0</v>
      </c>
      <c r="AT31" s="325"/>
      <c r="AU31" s="482">
        <v>0</v>
      </c>
      <c r="AV31" s="332">
        <v>78</v>
      </c>
      <c r="AW31" s="326">
        <v>170</v>
      </c>
      <c r="AX31" s="327">
        <v>779</v>
      </c>
      <c r="AY31" s="97"/>
      <c r="AZ31" s="97"/>
      <c r="BA31" s="97"/>
    </row>
    <row r="32" spans="1:53" ht="22.5" customHeight="1" x14ac:dyDescent="0.4">
      <c r="A32" s="324" t="s">
        <v>316</v>
      </c>
      <c r="B32" s="335" t="s">
        <v>1087</v>
      </c>
      <c r="C32" s="332">
        <v>19100</v>
      </c>
      <c r="D32" s="326" t="s">
        <v>1060</v>
      </c>
      <c r="E32" s="479" t="s">
        <v>1060</v>
      </c>
      <c r="F32" s="337" t="s">
        <v>1060</v>
      </c>
      <c r="G32" s="332">
        <v>19100</v>
      </c>
      <c r="H32" s="332">
        <v>0</v>
      </c>
      <c r="I32" s="479">
        <v>0</v>
      </c>
      <c r="J32" s="482">
        <v>0.01</v>
      </c>
      <c r="K32" s="485">
        <v>19100</v>
      </c>
      <c r="L32" s="332">
        <v>200</v>
      </c>
      <c r="M32" s="482">
        <v>0.01</v>
      </c>
      <c r="N32" s="485">
        <v>19100</v>
      </c>
      <c r="O32" s="332">
        <v>0</v>
      </c>
      <c r="P32" s="482">
        <v>0</v>
      </c>
      <c r="Q32" s="485">
        <v>19100</v>
      </c>
      <c r="R32" s="332">
        <v>1050</v>
      </c>
      <c r="S32" s="482">
        <v>0.05</v>
      </c>
      <c r="T32" s="482">
        <v>0</v>
      </c>
      <c r="U32" s="485">
        <v>70</v>
      </c>
      <c r="V32" s="332">
        <v>0</v>
      </c>
      <c r="W32" s="482" t="s">
        <v>1316</v>
      </c>
      <c r="X32" s="325"/>
      <c r="Y32" s="482" t="s">
        <v>1316</v>
      </c>
      <c r="Z32" s="332">
        <v>23</v>
      </c>
      <c r="AA32" s="326">
        <v>95</v>
      </c>
      <c r="AB32" s="340">
        <v>158</v>
      </c>
      <c r="AC32" s="485">
        <v>18855</v>
      </c>
      <c r="AD32" s="332">
        <v>35</v>
      </c>
      <c r="AE32" s="482">
        <v>0</v>
      </c>
      <c r="AF32" s="325"/>
      <c r="AG32" s="482">
        <v>0</v>
      </c>
      <c r="AH32" s="332">
        <v>17</v>
      </c>
      <c r="AI32" s="326">
        <v>86</v>
      </c>
      <c r="AJ32" s="340">
        <v>304</v>
      </c>
      <c r="AK32" s="332">
        <v>65</v>
      </c>
      <c r="AL32" s="326">
        <v>153</v>
      </c>
      <c r="AM32" s="340">
        <v>343</v>
      </c>
      <c r="AN32" s="332">
        <v>49</v>
      </c>
      <c r="AO32" s="326">
        <v>129</v>
      </c>
      <c r="AP32" s="340">
        <v>760</v>
      </c>
      <c r="AQ32" s="485">
        <v>19100</v>
      </c>
      <c r="AR32" s="332">
        <v>0</v>
      </c>
      <c r="AS32" s="482">
        <v>0</v>
      </c>
      <c r="AT32" s="325"/>
      <c r="AU32" s="482">
        <v>0</v>
      </c>
      <c r="AV32" s="332">
        <v>49</v>
      </c>
      <c r="AW32" s="326">
        <v>129</v>
      </c>
      <c r="AX32" s="327">
        <v>760</v>
      </c>
      <c r="AY32" s="97"/>
      <c r="AZ32" s="97"/>
      <c r="BA32" s="97"/>
    </row>
    <row r="33" spans="1:53" ht="22.5" customHeight="1" x14ac:dyDescent="0.4">
      <c r="A33" s="324" t="s">
        <v>882</v>
      </c>
      <c r="B33" s="335" t="s">
        <v>1088</v>
      </c>
      <c r="C33" s="332">
        <v>2425</v>
      </c>
      <c r="D33" s="326">
        <v>2420</v>
      </c>
      <c r="E33" s="479">
        <v>1</v>
      </c>
      <c r="F33" s="337" t="s">
        <v>1067</v>
      </c>
      <c r="G33" s="332">
        <v>2425</v>
      </c>
      <c r="H33" s="332">
        <v>0</v>
      </c>
      <c r="I33" s="479">
        <v>0</v>
      </c>
      <c r="J33" s="482">
        <v>0.01</v>
      </c>
      <c r="K33" s="485">
        <v>2425</v>
      </c>
      <c r="L33" s="332" t="s">
        <v>1274</v>
      </c>
      <c r="M33" s="482" t="s">
        <v>1274</v>
      </c>
      <c r="N33" s="485">
        <v>2425</v>
      </c>
      <c r="O33" s="332">
        <v>0</v>
      </c>
      <c r="P33" s="482">
        <v>0</v>
      </c>
      <c r="Q33" s="485">
        <v>2425</v>
      </c>
      <c r="R33" s="332">
        <v>75</v>
      </c>
      <c r="S33" s="482">
        <v>0.03</v>
      </c>
      <c r="T33" s="482">
        <v>0</v>
      </c>
      <c r="U33" s="485">
        <v>10</v>
      </c>
      <c r="V33" s="332">
        <v>0</v>
      </c>
      <c r="W33" s="482" t="s">
        <v>1316</v>
      </c>
      <c r="X33" s="325"/>
      <c r="Y33" s="482" t="s">
        <v>1316</v>
      </c>
      <c r="Z33" s="332">
        <v>1</v>
      </c>
      <c r="AA33" s="326">
        <v>75</v>
      </c>
      <c r="AB33" s="340">
        <v>75</v>
      </c>
      <c r="AC33" s="485">
        <v>2410</v>
      </c>
      <c r="AD33" s="332">
        <v>0</v>
      </c>
      <c r="AE33" s="482">
        <v>0</v>
      </c>
      <c r="AF33" s="325"/>
      <c r="AG33" s="482">
        <v>0</v>
      </c>
      <c r="AH33" s="332">
        <v>6</v>
      </c>
      <c r="AI33" s="326">
        <v>72</v>
      </c>
      <c r="AJ33" s="340">
        <v>1337</v>
      </c>
      <c r="AK33" s="332" t="s">
        <v>1060</v>
      </c>
      <c r="AL33" s="326" t="s">
        <v>1060</v>
      </c>
      <c r="AM33" s="340" t="s">
        <v>1060</v>
      </c>
      <c r="AN33" s="332">
        <v>25</v>
      </c>
      <c r="AO33" s="326">
        <v>93</v>
      </c>
      <c r="AP33" s="340">
        <v>1338</v>
      </c>
      <c r="AQ33" s="485">
        <v>2425</v>
      </c>
      <c r="AR33" s="332">
        <v>0</v>
      </c>
      <c r="AS33" s="482">
        <v>0</v>
      </c>
      <c r="AT33" s="325"/>
      <c r="AU33" s="482">
        <v>0</v>
      </c>
      <c r="AV33" s="332">
        <v>25</v>
      </c>
      <c r="AW33" s="326">
        <v>93</v>
      </c>
      <c r="AX33" s="327">
        <v>1338</v>
      </c>
      <c r="AY33" s="97"/>
      <c r="AZ33" s="97"/>
      <c r="BA33" s="97"/>
    </row>
    <row r="34" spans="1:53" ht="22.5" customHeight="1" x14ac:dyDescent="0.4">
      <c r="A34" s="324" t="s">
        <v>362</v>
      </c>
      <c r="B34" s="335" t="s">
        <v>1089</v>
      </c>
      <c r="C34" s="332" t="s">
        <v>1274</v>
      </c>
      <c r="D34" s="326" t="s">
        <v>1060</v>
      </c>
      <c r="E34" s="479" t="s">
        <v>1060</v>
      </c>
      <c r="F34" s="337" t="s">
        <v>1060</v>
      </c>
      <c r="G34" s="332" t="s">
        <v>1274</v>
      </c>
      <c r="H34" s="332">
        <v>0</v>
      </c>
      <c r="I34" s="479" t="s">
        <v>1316</v>
      </c>
      <c r="J34" s="482" t="s">
        <v>1316</v>
      </c>
      <c r="K34" s="485" t="s">
        <v>1274</v>
      </c>
      <c r="L34" s="332">
        <v>0</v>
      </c>
      <c r="M34" s="482" t="s">
        <v>1316</v>
      </c>
      <c r="N34" s="485" t="s">
        <v>1274</v>
      </c>
      <c r="O34" s="332">
        <v>0</v>
      </c>
      <c r="P34" s="482" t="s">
        <v>1316</v>
      </c>
      <c r="Q34" s="485" t="s">
        <v>1274</v>
      </c>
      <c r="R34" s="332" t="s">
        <v>1060</v>
      </c>
      <c r="S34" s="482" t="s">
        <v>1060</v>
      </c>
      <c r="T34" s="482" t="s">
        <v>1316</v>
      </c>
      <c r="U34" s="485" t="s">
        <v>1060</v>
      </c>
      <c r="V34" s="332" t="s">
        <v>1060</v>
      </c>
      <c r="W34" s="482" t="s">
        <v>1060</v>
      </c>
      <c r="X34" s="325"/>
      <c r="Y34" s="482" t="s">
        <v>1060</v>
      </c>
      <c r="Z34" s="332" t="s">
        <v>1060</v>
      </c>
      <c r="AA34" s="326" t="s">
        <v>1060</v>
      </c>
      <c r="AB34" s="340" t="s">
        <v>1060</v>
      </c>
      <c r="AC34" s="485" t="s">
        <v>1274</v>
      </c>
      <c r="AD34" s="332">
        <v>0</v>
      </c>
      <c r="AE34" s="482" t="s">
        <v>1316</v>
      </c>
      <c r="AF34" s="325"/>
      <c r="AG34" s="482" t="s">
        <v>1316</v>
      </c>
      <c r="AH34" s="332" t="s">
        <v>1274</v>
      </c>
      <c r="AI34" s="326" t="s">
        <v>1274</v>
      </c>
      <c r="AJ34" s="340" t="s">
        <v>1274</v>
      </c>
      <c r="AK34" s="332" t="s">
        <v>1060</v>
      </c>
      <c r="AL34" s="326" t="s">
        <v>1060</v>
      </c>
      <c r="AM34" s="340" t="s">
        <v>1060</v>
      </c>
      <c r="AN34" s="332" t="s">
        <v>1274</v>
      </c>
      <c r="AO34" s="326" t="s">
        <v>1274</v>
      </c>
      <c r="AP34" s="340" t="s">
        <v>1274</v>
      </c>
      <c r="AQ34" s="485" t="s">
        <v>1274</v>
      </c>
      <c r="AR34" s="332">
        <v>0</v>
      </c>
      <c r="AS34" s="482" t="s">
        <v>1316</v>
      </c>
      <c r="AT34" s="325"/>
      <c r="AU34" s="482" t="s">
        <v>1316</v>
      </c>
      <c r="AV34" s="332" t="s">
        <v>1274</v>
      </c>
      <c r="AW34" s="326" t="s">
        <v>1274</v>
      </c>
      <c r="AX34" s="327" t="s">
        <v>1274</v>
      </c>
      <c r="AY34" s="97"/>
      <c r="AZ34" s="97"/>
      <c r="BA34" s="97"/>
    </row>
    <row r="35" spans="1:53" ht="22.5" customHeight="1" x14ac:dyDescent="0.4">
      <c r="A35" s="324" t="s">
        <v>676</v>
      </c>
      <c r="B35" s="335" t="s">
        <v>1090</v>
      </c>
      <c r="C35" s="332">
        <v>300</v>
      </c>
      <c r="D35" s="326" t="s">
        <v>1060</v>
      </c>
      <c r="E35" s="479" t="s">
        <v>1060</v>
      </c>
      <c r="F35" s="337" t="s">
        <v>1060</v>
      </c>
      <c r="G35" s="332">
        <v>300</v>
      </c>
      <c r="H35" s="332">
        <v>0</v>
      </c>
      <c r="I35" s="479" t="s">
        <v>1316</v>
      </c>
      <c r="J35" s="482" t="s">
        <v>1316</v>
      </c>
      <c r="K35" s="485">
        <v>300</v>
      </c>
      <c r="L35" s="332" t="s">
        <v>1274</v>
      </c>
      <c r="M35" s="482" t="s">
        <v>1316</v>
      </c>
      <c r="N35" s="485">
        <v>300</v>
      </c>
      <c r="O35" s="332">
        <v>0</v>
      </c>
      <c r="P35" s="482" t="s">
        <v>1316</v>
      </c>
      <c r="Q35" s="485">
        <v>300</v>
      </c>
      <c r="R35" s="332" t="s">
        <v>1274</v>
      </c>
      <c r="S35" s="482" t="s">
        <v>1316</v>
      </c>
      <c r="T35" s="482" t="s">
        <v>1316</v>
      </c>
      <c r="U35" s="485" t="s">
        <v>1274</v>
      </c>
      <c r="V35" s="332" t="s">
        <v>1274</v>
      </c>
      <c r="W35" s="482" t="s">
        <v>1316</v>
      </c>
      <c r="X35" s="325"/>
      <c r="Y35" s="482" t="s">
        <v>1316</v>
      </c>
      <c r="Z35" s="332" t="s">
        <v>1274</v>
      </c>
      <c r="AA35" s="326" t="s">
        <v>1274</v>
      </c>
      <c r="AB35" s="340" t="s">
        <v>1274</v>
      </c>
      <c r="AC35" s="485">
        <v>295</v>
      </c>
      <c r="AD35" s="332">
        <v>0</v>
      </c>
      <c r="AE35" s="482" t="s">
        <v>1316</v>
      </c>
      <c r="AF35" s="325"/>
      <c r="AG35" s="482" t="s">
        <v>1316</v>
      </c>
      <c r="AH35" s="332">
        <v>28</v>
      </c>
      <c r="AI35" s="326">
        <v>101</v>
      </c>
      <c r="AJ35" s="340">
        <v>187</v>
      </c>
      <c r="AK35" s="332" t="s">
        <v>1060</v>
      </c>
      <c r="AL35" s="326" t="s">
        <v>1060</v>
      </c>
      <c r="AM35" s="340" t="s">
        <v>1060</v>
      </c>
      <c r="AN35" s="332">
        <v>61</v>
      </c>
      <c r="AO35" s="326">
        <v>139</v>
      </c>
      <c r="AP35" s="340">
        <v>1034</v>
      </c>
      <c r="AQ35" s="485">
        <v>300</v>
      </c>
      <c r="AR35" s="332">
        <v>0</v>
      </c>
      <c r="AS35" s="482" t="s">
        <v>1316</v>
      </c>
      <c r="AT35" s="325"/>
      <c r="AU35" s="482" t="s">
        <v>1316</v>
      </c>
      <c r="AV35" s="332">
        <v>61</v>
      </c>
      <c r="AW35" s="326">
        <v>139</v>
      </c>
      <c r="AX35" s="327">
        <v>1034</v>
      </c>
      <c r="AY35" s="97"/>
      <c r="AZ35" s="97"/>
      <c r="BA35" s="97"/>
    </row>
    <row r="36" spans="1:53" ht="22.5" customHeight="1" x14ac:dyDescent="0.4">
      <c r="A36" s="324" t="s">
        <v>883</v>
      </c>
      <c r="B36" s="335" t="s">
        <v>1091</v>
      </c>
      <c r="C36" s="332">
        <v>4595</v>
      </c>
      <c r="D36" s="326">
        <v>4734</v>
      </c>
      <c r="E36" s="479">
        <v>0.97</v>
      </c>
      <c r="F36" s="337" t="s">
        <v>1067</v>
      </c>
      <c r="G36" s="332">
        <v>4595</v>
      </c>
      <c r="H36" s="332">
        <v>0</v>
      </c>
      <c r="I36" s="479">
        <v>0</v>
      </c>
      <c r="J36" s="482">
        <v>0.04</v>
      </c>
      <c r="K36" s="485">
        <v>4595</v>
      </c>
      <c r="L36" s="332" t="s">
        <v>1274</v>
      </c>
      <c r="M36" s="482" t="s">
        <v>1274</v>
      </c>
      <c r="N36" s="485">
        <v>4595</v>
      </c>
      <c r="O36" s="332">
        <v>0</v>
      </c>
      <c r="P36" s="482">
        <v>0</v>
      </c>
      <c r="Q36" s="485">
        <v>4595</v>
      </c>
      <c r="R36" s="332">
        <v>270</v>
      </c>
      <c r="S36" s="482">
        <v>0.06</v>
      </c>
      <c r="T36" s="482">
        <v>0</v>
      </c>
      <c r="U36" s="485">
        <v>10</v>
      </c>
      <c r="V36" s="332">
        <v>0</v>
      </c>
      <c r="W36" s="482" t="s">
        <v>1316</v>
      </c>
      <c r="X36" s="325"/>
      <c r="Y36" s="482" t="s">
        <v>1316</v>
      </c>
      <c r="Z36" s="332">
        <v>1</v>
      </c>
      <c r="AA36" s="326">
        <v>1</v>
      </c>
      <c r="AB36" s="340">
        <v>1</v>
      </c>
      <c r="AC36" s="485">
        <v>4575</v>
      </c>
      <c r="AD36" s="332" t="s">
        <v>1274</v>
      </c>
      <c r="AE36" s="482" t="s">
        <v>1274</v>
      </c>
      <c r="AF36" s="325"/>
      <c r="AG36" s="482">
        <v>0</v>
      </c>
      <c r="AH36" s="332">
        <v>13</v>
      </c>
      <c r="AI36" s="326">
        <v>78</v>
      </c>
      <c r="AJ36" s="340">
        <v>270</v>
      </c>
      <c r="AK36" s="332" t="s">
        <v>1060</v>
      </c>
      <c r="AL36" s="326" t="s">
        <v>1060</v>
      </c>
      <c r="AM36" s="340" t="s">
        <v>1060</v>
      </c>
      <c r="AN36" s="332">
        <v>32</v>
      </c>
      <c r="AO36" s="326">
        <v>101</v>
      </c>
      <c r="AP36" s="340">
        <v>274</v>
      </c>
      <c r="AQ36" s="485">
        <v>4595</v>
      </c>
      <c r="AR36" s="332">
        <v>0</v>
      </c>
      <c r="AS36" s="482">
        <v>0</v>
      </c>
      <c r="AT36" s="325"/>
      <c r="AU36" s="482">
        <v>0</v>
      </c>
      <c r="AV36" s="332">
        <v>32</v>
      </c>
      <c r="AW36" s="326">
        <v>101</v>
      </c>
      <c r="AX36" s="327">
        <v>274</v>
      </c>
      <c r="AY36" s="97"/>
      <c r="AZ36" s="97"/>
      <c r="BA36" s="97"/>
    </row>
    <row r="37" spans="1:53" ht="22.5" customHeight="1" x14ac:dyDescent="0.4">
      <c r="A37" s="324" t="s">
        <v>884</v>
      </c>
      <c r="B37" s="335" t="s">
        <v>1092</v>
      </c>
      <c r="C37" s="332">
        <v>30095</v>
      </c>
      <c r="D37" s="326">
        <v>24300</v>
      </c>
      <c r="E37" s="479">
        <v>1.24</v>
      </c>
      <c r="F37" s="337" t="s">
        <v>1093</v>
      </c>
      <c r="G37" s="332">
        <v>30095</v>
      </c>
      <c r="H37" s="332">
        <v>0</v>
      </c>
      <c r="I37" s="479">
        <v>0</v>
      </c>
      <c r="J37" s="482">
        <v>0</v>
      </c>
      <c r="K37" s="485">
        <v>30095</v>
      </c>
      <c r="L37" s="332">
        <v>1065</v>
      </c>
      <c r="M37" s="482">
        <v>0.04</v>
      </c>
      <c r="N37" s="485">
        <v>30095</v>
      </c>
      <c r="O37" s="332">
        <v>0</v>
      </c>
      <c r="P37" s="482">
        <v>0</v>
      </c>
      <c r="Q37" s="485">
        <v>30095</v>
      </c>
      <c r="R37" s="332">
        <v>960</v>
      </c>
      <c r="S37" s="482">
        <v>0.03</v>
      </c>
      <c r="T37" s="482">
        <v>0</v>
      </c>
      <c r="U37" s="485" t="s">
        <v>1274</v>
      </c>
      <c r="V37" s="332" t="s">
        <v>1274</v>
      </c>
      <c r="W37" s="482" t="s">
        <v>1316</v>
      </c>
      <c r="X37" s="325"/>
      <c r="Y37" s="482" t="s">
        <v>1316</v>
      </c>
      <c r="Z37" s="332" t="s">
        <v>1274</v>
      </c>
      <c r="AA37" s="326" t="s">
        <v>1274</v>
      </c>
      <c r="AB37" s="340" t="s">
        <v>1274</v>
      </c>
      <c r="AC37" s="485">
        <v>29020</v>
      </c>
      <c r="AD37" s="332" t="s">
        <v>1274</v>
      </c>
      <c r="AE37" s="482" t="s">
        <v>1274</v>
      </c>
      <c r="AF37" s="325"/>
      <c r="AG37" s="482">
        <v>0</v>
      </c>
      <c r="AH37" s="332">
        <v>36</v>
      </c>
      <c r="AI37" s="326">
        <v>130</v>
      </c>
      <c r="AJ37" s="340">
        <v>572</v>
      </c>
      <c r="AK37" s="332" t="s">
        <v>1060</v>
      </c>
      <c r="AL37" s="326" t="s">
        <v>1060</v>
      </c>
      <c r="AM37" s="340" t="s">
        <v>1060</v>
      </c>
      <c r="AN37" s="332">
        <v>53</v>
      </c>
      <c r="AO37" s="326">
        <v>156</v>
      </c>
      <c r="AP37" s="340">
        <v>946</v>
      </c>
      <c r="AQ37" s="485">
        <v>30095</v>
      </c>
      <c r="AR37" s="332">
        <v>0</v>
      </c>
      <c r="AS37" s="482">
        <v>0</v>
      </c>
      <c r="AT37" s="325"/>
      <c r="AU37" s="482">
        <v>0</v>
      </c>
      <c r="AV37" s="332">
        <v>53</v>
      </c>
      <c r="AW37" s="326">
        <v>156</v>
      </c>
      <c r="AX37" s="327">
        <v>946</v>
      </c>
      <c r="AY37" s="97"/>
      <c r="AZ37" s="97"/>
      <c r="BA37" s="97"/>
    </row>
    <row r="38" spans="1:53" ht="22.5" customHeight="1" x14ac:dyDescent="0.4">
      <c r="A38" s="324" t="s">
        <v>885</v>
      </c>
      <c r="B38" s="335" t="s">
        <v>1094</v>
      </c>
      <c r="C38" s="332">
        <v>1720</v>
      </c>
      <c r="D38" s="326">
        <v>1727</v>
      </c>
      <c r="E38" s="479">
        <v>1</v>
      </c>
      <c r="F38" s="337" t="s">
        <v>1067</v>
      </c>
      <c r="G38" s="332">
        <v>1720</v>
      </c>
      <c r="H38" s="332">
        <v>0</v>
      </c>
      <c r="I38" s="479">
        <v>0</v>
      </c>
      <c r="J38" s="482">
        <v>0.01</v>
      </c>
      <c r="K38" s="485">
        <v>1720</v>
      </c>
      <c r="L38" s="332" t="s">
        <v>1274</v>
      </c>
      <c r="M38" s="482" t="s">
        <v>1274</v>
      </c>
      <c r="N38" s="485">
        <v>1720</v>
      </c>
      <c r="O38" s="332">
        <v>0</v>
      </c>
      <c r="P38" s="482">
        <v>0</v>
      </c>
      <c r="Q38" s="485">
        <v>1720</v>
      </c>
      <c r="R38" s="332">
        <v>15</v>
      </c>
      <c r="S38" s="482">
        <v>0.01</v>
      </c>
      <c r="T38" s="482">
        <v>0</v>
      </c>
      <c r="U38" s="485">
        <v>10</v>
      </c>
      <c r="V38" s="332">
        <v>0</v>
      </c>
      <c r="W38" s="482" t="s">
        <v>1316</v>
      </c>
      <c r="X38" s="325"/>
      <c r="Y38" s="482" t="s">
        <v>1316</v>
      </c>
      <c r="Z38" s="332">
        <v>0</v>
      </c>
      <c r="AA38" s="326">
        <v>3</v>
      </c>
      <c r="AB38" s="340">
        <v>3</v>
      </c>
      <c r="AC38" s="485">
        <v>1710</v>
      </c>
      <c r="AD38" s="332">
        <v>0</v>
      </c>
      <c r="AE38" s="482">
        <v>0</v>
      </c>
      <c r="AF38" s="325"/>
      <c r="AG38" s="482">
        <v>0</v>
      </c>
      <c r="AH38" s="332">
        <v>31</v>
      </c>
      <c r="AI38" s="326">
        <v>98</v>
      </c>
      <c r="AJ38" s="340">
        <v>186</v>
      </c>
      <c r="AK38" s="332" t="s">
        <v>1060</v>
      </c>
      <c r="AL38" s="326" t="s">
        <v>1060</v>
      </c>
      <c r="AM38" s="340" t="s">
        <v>1060</v>
      </c>
      <c r="AN38" s="332">
        <v>59</v>
      </c>
      <c r="AO38" s="326">
        <v>134</v>
      </c>
      <c r="AP38" s="340">
        <v>237</v>
      </c>
      <c r="AQ38" s="485">
        <v>1720</v>
      </c>
      <c r="AR38" s="332">
        <v>0</v>
      </c>
      <c r="AS38" s="482">
        <v>0</v>
      </c>
      <c r="AT38" s="325"/>
      <c r="AU38" s="482">
        <v>0</v>
      </c>
      <c r="AV38" s="332">
        <v>59</v>
      </c>
      <c r="AW38" s="326">
        <v>134</v>
      </c>
      <c r="AX38" s="327">
        <v>237</v>
      </c>
      <c r="AY38" s="97"/>
      <c r="AZ38" s="97"/>
      <c r="BA38" s="97"/>
    </row>
    <row r="39" spans="1:53" ht="22.5" customHeight="1" x14ac:dyDescent="0.4">
      <c r="A39" s="324" t="s">
        <v>886</v>
      </c>
      <c r="B39" s="335" t="s">
        <v>1095</v>
      </c>
      <c r="C39" s="332">
        <v>2510</v>
      </c>
      <c r="D39" s="326">
        <v>2676</v>
      </c>
      <c r="E39" s="479">
        <v>0.94</v>
      </c>
      <c r="F39" s="337" t="s">
        <v>1067</v>
      </c>
      <c r="G39" s="332">
        <v>2510</v>
      </c>
      <c r="H39" s="332">
        <v>0</v>
      </c>
      <c r="I39" s="479">
        <v>0</v>
      </c>
      <c r="J39" s="482">
        <v>0</v>
      </c>
      <c r="K39" s="485">
        <v>2510</v>
      </c>
      <c r="L39" s="332" t="s">
        <v>1274</v>
      </c>
      <c r="M39" s="482" t="s">
        <v>1274</v>
      </c>
      <c r="N39" s="485">
        <v>2510</v>
      </c>
      <c r="O39" s="332">
        <v>0</v>
      </c>
      <c r="P39" s="482">
        <v>0</v>
      </c>
      <c r="Q39" s="485">
        <v>2510</v>
      </c>
      <c r="R39" s="332">
        <v>95</v>
      </c>
      <c r="S39" s="482">
        <v>0.04</v>
      </c>
      <c r="T39" s="482">
        <v>0</v>
      </c>
      <c r="U39" s="485" t="s">
        <v>1274</v>
      </c>
      <c r="V39" s="332">
        <v>0</v>
      </c>
      <c r="W39" s="482" t="s">
        <v>1316</v>
      </c>
      <c r="X39" s="325"/>
      <c r="Y39" s="482" t="s">
        <v>1316</v>
      </c>
      <c r="Z39" s="332">
        <v>0</v>
      </c>
      <c r="AA39" s="326">
        <v>15</v>
      </c>
      <c r="AB39" s="340">
        <v>15</v>
      </c>
      <c r="AC39" s="485">
        <v>2505</v>
      </c>
      <c r="AD39" s="332" t="s">
        <v>1274</v>
      </c>
      <c r="AE39" s="482" t="s">
        <v>1274</v>
      </c>
      <c r="AF39" s="325"/>
      <c r="AG39" s="482">
        <v>0</v>
      </c>
      <c r="AH39" s="332">
        <v>15</v>
      </c>
      <c r="AI39" s="326">
        <v>98</v>
      </c>
      <c r="AJ39" s="340">
        <v>209</v>
      </c>
      <c r="AK39" s="332" t="s">
        <v>1060</v>
      </c>
      <c r="AL39" s="326" t="s">
        <v>1060</v>
      </c>
      <c r="AM39" s="340" t="s">
        <v>1060</v>
      </c>
      <c r="AN39" s="332">
        <v>34</v>
      </c>
      <c r="AO39" s="326">
        <v>121</v>
      </c>
      <c r="AP39" s="340">
        <v>403</v>
      </c>
      <c r="AQ39" s="485">
        <v>2510</v>
      </c>
      <c r="AR39" s="332">
        <v>0</v>
      </c>
      <c r="AS39" s="482">
        <v>0</v>
      </c>
      <c r="AT39" s="325"/>
      <c r="AU39" s="482">
        <v>0</v>
      </c>
      <c r="AV39" s="332">
        <v>34</v>
      </c>
      <c r="AW39" s="326">
        <v>121</v>
      </c>
      <c r="AX39" s="327">
        <v>403</v>
      </c>
      <c r="AY39" s="97"/>
      <c r="AZ39" s="97"/>
      <c r="BA39" s="97"/>
    </row>
    <row r="40" spans="1:53" ht="22.5" customHeight="1" x14ac:dyDescent="0.4">
      <c r="A40" s="324" t="s">
        <v>366</v>
      </c>
      <c r="B40" s="335" t="s">
        <v>1096</v>
      </c>
      <c r="C40" s="332">
        <v>6290</v>
      </c>
      <c r="D40" s="326">
        <v>7383</v>
      </c>
      <c r="E40" s="479">
        <v>0.85</v>
      </c>
      <c r="F40" s="337" t="s">
        <v>1077</v>
      </c>
      <c r="G40" s="332">
        <v>6290</v>
      </c>
      <c r="H40" s="332">
        <v>0</v>
      </c>
      <c r="I40" s="479">
        <v>0</v>
      </c>
      <c r="J40" s="482">
        <v>0.14000000000000001</v>
      </c>
      <c r="K40" s="485">
        <v>6290</v>
      </c>
      <c r="L40" s="332">
        <v>45</v>
      </c>
      <c r="M40" s="482">
        <v>0.01</v>
      </c>
      <c r="N40" s="485">
        <v>6290</v>
      </c>
      <c r="O40" s="332">
        <v>0</v>
      </c>
      <c r="P40" s="482">
        <v>0</v>
      </c>
      <c r="Q40" s="485">
        <v>6290</v>
      </c>
      <c r="R40" s="332">
        <v>170</v>
      </c>
      <c r="S40" s="482">
        <v>0.03</v>
      </c>
      <c r="T40" s="482">
        <v>0</v>
      </c>
      <c r="U40" s="485">
        <v>10</v>
      </c>
      <c r="V40" s="332">
        <v>0</v>
      </c>
      <c r="W40" s="482" t="s">
        <v>1316</v>
      </c>
      <c r="X40" s="325" t="s">
        <v>1062</v>
      </c>
      <c r="Y40" s="482" t="s">
        <v>1316</v>
      </c>
      <c r="Z40" s="332" t="s">
        <v>1275</v>
      </c>
      <c r="AA40" s="326" t="s">
        <v>1275</v>
      </c>
      <c r="AB40" s="340" t="s">
        <v>1275</v>
      </c>
      <c r="AC40" s="485">
        <v>6240</v>
      </c>
      <c r="AD40" s="332">
        <v>0</v>
      </c>
      <c r="AE40" s="482">
        <v>0</v>
      </c>
      <c r="AF40" s="325"/>
      <c r="AG40" s="482">
        <v>0</v>
      </c>
      <c r="AH40" s="332">
        <v>13</v>
      </c>
      <c r="AI40" s="326">
        <v>73</v>
      </c>
      <c r="AJ40" s="340">
        <v>377</v>
      </c>
      <c r="AK40" s="332" t="s">
        <v>1060</v>
      </c>
      <c r="AL40" s="326" t="s">
        <v>1060</v>
      </c>
      <c r="AM40" s="340" t="s">
        <v>1060</v>
      </c>
      <c r="AN40" s="332">
        <v>35</v>
      </c>
      <c r="AO40" s="326">
        <v>136</v>
      </c>
      <c r="AP40" s="340">
        <v>409</v>
      </c>
      <c r="AQ40" s="485">
        <v>6290</v>
      </c>
      <c r="AR40" s="332">
        <v>0</v>
      </c>
      <c r="AS40" s="482">
        <v>0</v>
      </c>
      <c r="AT40" s="325"/>
      <c r="AU40" s="482">
        <v>0</v>
      </c>
      <c r="AV40" s="332">
        <v>35</v>
      </c>
      <c r="AW40" s="326">
        <v>136</v>
      </c>
      <c r="AX40" s="327">
        <v>409</v>
      </c>
      <c r="AY40" s="97"/>
      <c r="AZ40" s="97"/>
      <c r="BA40" s="97"/>
    </row>
    <row r="41" spans="1:53" ht="22.5" customHeight="1" x14ac:dyDescent="0.4">
      <c r="A41" s="324" t="s">
        <v>334</v>
      </c>
      <c r="B41" s="335" t="s">
        <v>1097</v>
      </c>
      <c r="C41" s="332">
        <v>26060</v>
      </c>
      <c r="D41" s="326">
        <v>30724</v>
      </c>
      <c r="E41" s="479">
        <v>0.85</v>
      </c>
      <c r="F41" s="337" t="s">
        <v>1077</v>
      </c>
      <c r="G41" s="332">
        <v>26060</v>
      </c>
      <c r="H41" s="332">
        <v>0</v>
      </c>
      <c r="I41" s="479">
        <v>0</v>
      </c>
      <c r="J41" s="482">
        <v>0.12</v>
      </c>
      <c r="K41" s="485">
        <v>26060</v>
      </c>
      <c r="L41" s="332">
        <v>645</v>
      </c>
      <c r="M41" s="482">
        <v>0.02</v>
      </c>
      <c r="N41" s="485">
        <v>26060</v>
      </c>
      <c r="O41" s="332">
        <v>0</v>
      </c>
      <c r="P41" s="482">
        <v>0</v>
      </c>
      <c r="Q41" s="485">
        <v>26060</v>
      </c>
      <c r="R41" s="332">
        <v>760</v>
      </c>
      <c r="S41" s="482">
        <v>0.03</v>
      </c>
      <c r="T41" s="482">
        <v>0</v>
      </c>
      <c r="U41" s="485">
        <v>95</v>
      </c>
      <c r="V41" s="332">
        <v>0</v>
      </c>
      <c r="W41" s="482" t="s">
        <v>1316</v>
      </c>
      <c r="X41" s="325"/>
      <c r="Y41" s="482" t="s">
        <v>1316</v>
      </c>
      <c r="Z41" s="332">
        <v>0</v>
      </c>
      <c r="AA41" s="326">
        <v>1</v>
      </c>
      <c r="AB41" s="340">
        <v>9</v>
      </c>
      <c r="AC41" s="485">
        <v>25400</v>
      </c>
      <c r="AD41" s="332">
        <v>0</v>
      </c>
      <c r="AE41" s="482">
        <v>0</v>
      </c>
      <c r="AF41" s="325"/>
      <c r="AG41" s="482">
        <v>0</v>
      </c>
      <c r="AH41" s="332">
        <v>25</v>
      </c>
      <c r="AI41" s="326">
        <v>105</v>
      </c>
      <c r="AJ41" s="340">
        <v>293</v>
      </c>
      <c r="AK41" s="332" t="s">
        <v>1060</v>
      </c>
      <c r="AL41" s="326" t="s">
        <v>1060</v>
      </c>
      <c r="AM41" s="340" t="s">
        <v>1060</v>
      </c>
      <c r="AN41" s="332">
        <v>64</v>
      </c>
      <c r="AO41" s="326">
        <v>166</v>
      </c>
      <c r="AP41" s="340">
        <v>615</v>
      </c>
      <c r="AQ41" s="485">
        <v>26060</v>
      </c>
      <c r="AR41" s="332">
        <v>0</v>
      </c>
      <c r="AS41" s="482">
        <v>0</v>
      </c>
      <c r="AT41" s="325"/>
      <c r="AU41" s="482">
        <v>0</v>
      </c>
      <c r="AV41" s="332">
        <v>64</v>
      </c>
      <c r="AW41" s="326">
        <v>166</v>
      </c>
      <c r="AX41" s="327">
        <v>615</v>
      </c>
      <c r="AY41" s="97"/>
      <c r="AZ41" s="97"/>
      <c r="BA41" s="97"/>
    </row>
    <row r="42" spans="1:53" ht="22.5" customHeight="1" x14ac:dyDescent="0.4">
      <c r="A42" s="324" t="s">
        <v>292</v>
      </c>
      <c r="B42" s="335" t="s">
        <v>1098</v>
      </c>
      <c r="C42" s="332">
        <v>43915</v>
      </c>
      <c r="D42" s="326">
        <v>43502</v>
      </c>
      <c r="E42" s="479">
        <v>1.01</v>
      </c>
      <c r="F42" s="337" t="s">
        <v>1067</v>
      </c>
      <c r="G42" s="332">
        <v>43915</v>
      </c>
      <c r="H42" s="332">
        <v>0</v>
      </c>
      <c r="I42" s="479">
        <v>0</v>
      </c>
      <c r="J42" s="482">
        <v>0.26</v>
      </c>
      <c r="K42" s="485">
        <v>43915</v>
      </c>
      <c r="L42" s="332">
        <v>0</v>
      </c>
      <c r="M42" s="482">
        <v>0</v>
      </c>
      <c r="N42" s="485">
        <v>43915</v>
      </c>
      <c r="O42" s="332">
        <v>0</v>
      </c>
      <c r="P42" s="482">
        <v>0</v>
      </c>
      <c r="Q42" s="485">
        <v>43915</v>
      </c>
      <c r="R42" s="332">
        <v>3960</v>
      </c>
      <c r="S42" s="482">
        <v>0.09</v>
      </c>
      <c r="T42" s="482">
        <v>0</v>
      </c>
      <c r="U42" s="485" t="s">
        <v>1060</v>
      </c>
      <c r="V42" s="332" t="s">
        <v>1060</v>
      </c>
      <c r="W42" s="482" t="s">
        <v>1060</v>
      </c>
      <c r="X42" s="325"/>
      <c r="Y42" s="482" t="s">
        <v>1060</v>
      </c>
      <c r="Z42" s="332" t="s">
        <v>1060</v>
      </c>
      <c r="AA42" s="326" t="s">
        <v>1060</v>
      </c>
      <c r="AB42" s="340" t="s">
        <v>1060</v>
      </c>
      <c r="AC42" s="485">
        <v>43915</v>
      </c>
      <c r="AD42" s="332">
        <v>15</v>
      </c>
      <c r="AE42" s="482">
        <v>0</v>
      </c>
      <c r="AF42" s="325"/>
      <c r="AG42" s="482">
        <v>0</v>
      </c>
      <c r="AH42" s="332">
        <v>30</v>
      </c>
      <c r="AI42" s="326">
        <v>140</v>
      </c>
      <c r="AJ42" s="340">
        <v>1395</v>
      </c>
      <c r="AK42" s="332">
        <v>59</v>
      </c>
      <c r="AL42" s="326">
        <v>150</v>
      </c>
      <c r="AM42" s="340">
        <v>182</v>
      </c>
      <c r="AN42" s="332">
        <v>46</v>
      </c>
      <c r="AO42" s="326">
        <v>160</v>
      </c>
      <c r="AP42" s="340">
        <v>1418</v>
      </c>
      <c r="AQ42" s="485">
        <v>43915</v>
      </c>
      <c r="AR42" s="332">
        <v>15</v>
      </c>
      <c r="AS42" s="482">
        <v>0</v>
      </c>
      <c r="AT42" s="325"/>
      <c r="AU42" s="482">
        <v>0</v>
      </c>
      <c r="AV42" s="332">
        <v>46</v>
      </c>
      <c r="AW42" s="326">
        <v>160</v>
      </c>
      <c r="AX42" s="327">
        <v>1418</v>
      </c>
      <c r="AY42" s="97"/>
      <c r="AZ42" s="97"/>
      <c r="BA42" s="97"/>
    </row>
    <row r="43" spans="1:53" ht="22.5" customHeight="1" x14ac:dyDescent="0.4">
      <c r="A43" s="324" t="s">
        <v>887</v>
      </c>
      <c r="B43" s="335" t="s">
        <v>1099</v>
      </c>
      <c r="C43" s="332">
        <v>235</v>
      </c>
      <c r="D43" s="326" t="s">
        <v>1060</v>
      </c>
      <c r="E43" s="479" t="s">
        <v>1060</v>
      </c>
      <c r="F43" s="337" t="s">
        <v>1060</v>
      </c>
      <c r="G43" s="332">
        <v>235</v>
      </c>
      <c r="H43" s="332">
        <v>0</v>
      </c>
      <c r="I43" s="479" t="s">
        <v>1316</v>
      </c>
      <c r="J43" s="482" t="s">
        <v>1316</v>
      </c>
      <c r="K43" s="485">
        <v>235</v>
      </c>
      <c r="L43" s="332" t="s">
        <v>1274</v>
      </c>
      <c r="M43" s="482" t="s">
        <v>1316</v>
      </c>
      <c r="N43" s="485">
        <v>235</v>
      </c>
      <c r="O43" s="332">
        <v>0</v>
      </c>
      <c r="P43" s="482" t="s">
        <v>1316</v>
      </c>
      <c r="Q43" s="485">
        <v>235</v>
      </c>
      <c r="R43" s="332" t="s">
        <v>1274</v>
      </c>
      <c r="S43" s="482" t="s">
        <v>1316</v>
      </c>
      <c r="T43" s="482" t="s">
        <v>1316</v>
      </c>
      <c r="U43" s="485" t="s">
        <v>1274</v>
      </c>
      <c r="V43" s="332" t="s">
        <v>1274</v>
      </c>
      <c r="W43" s="482" t="s">
        <v>1316</v>
      </c>
      <c r="X43" s="325"/>
      <c r="Y43" s="482" t="s">
        <v>1316</v>
      </c>
      <c r="Z43" s="332" t="s">
        <v>1274</v>
      </c>
      <c r="AA43" s="326" t="s">
        <v>1274</v>
      </c>
      <c r="AB43" s="340" t="s">
        <v>1274</v>
      </c>
      <c r="AC43" s="485">
        <v>235</v>
      </c>
      <c r="AD43" s="332" t="s">
        <v>1274</v>
      </c>
      <c r="AE43" s="482" t="s">
        <v>1316</v>
      </c>
      <c r="AF43" s="325"/>
      <c r="AG43" s="482" t="s">
        <v>1316</v>
      </c>
      <c r="AH43" s="332">
        <v>9</v>
      </c>
      <c r="AI43" s="326">
        <v>63</v>
      </c>
      <c r="AJ43" s="340">
        <v>350</v>
      </c>
      <c r="AK43" s="332">
        <v>54</v>
      </c>
      <c r="AL43" s="326">
        <v>1434</v>
      </c>
      <c r="AM43" s="340">
        <v>1434</v>
      </c>
      <c r="AN43" s="332">
        <v>33</v>
      </c>
      <c r="AO43" s="326">
        <v>1280</v>
      </c>
      <c r="AP43" s="340">
        <v>1439</v>
      </c>
      <c r="AQ43" s="485">
        <v>235</v>
      </c>
      <c r="AR43" s="332">
        <v>0</v>
      </c>
      <c r="AS43" s="482" t="s">
        <v>1316</v>
      </c>
      <c r="AT43" s="325"/>
      <c r="AU43" s="482" t="s">
        <v>1316</v>
      </c>
      <c r="AV43" s="332">
        <v>34</v>
      </c>
      <c r="AW43" s="326">
        <v>1306</v>
      </c>
      <c r="AX43" s="327">
        <v>1439</v>
      </c>
      <c r="AY43" s="97"/>
      <c r="AZ43" s="97"/>
      <c r="BA43" s="97"/>
    </row>
    <row r="44" spans="1:53" ht="22.5" customHeight="1" x14ac:dyDescent="0.4">
      <c r="A44" s="324" t="s">
        <v>888</v>
      </c>
      <c r="B44" s="335" t="s">
        <v>1100</v>
      </c>
      <c r="C44" s="332">
        <v>20325</v>
      </c>
      <c r="D44" s="326">
        <v>13150</v>
      </c>
      <c r="E44" s="479">
        <v>1.55</v>
      </c>
      <c r="F44" s="337" t="s">
        <v>1093</v>
      </c>
      <c r="G44" s="332">
        <v>20325</v>
      </c>
      <c r="H44" s="332">
        <v>890</v>
      </c>
      <c r="I44" s="479">
        <v>0.04</v>
      </c>
      <c r="J44" s="482">
        <v>0.1</v>
      </c>
      <c r="K44" s="485">
        <v>19430</v>
      </c>
      <c r="L44" s="332">
        <v>10</v>
      </c>
      <c r="M44" s="482">
        <v>0</v>
      </c>
      <c r="N44" s="485">
        <v>20325</v>
      </c>
      <c r="O44" s="332">
        <v>0</v>
      </c>
      <c r="P44" s="482">
        <v>0</v>
      </c>
      <c r="Q44" s="485">
        <v>20325</v>
      </c>
      <c r="R44" s="332">
        <v>1760</v>
      </c>
      <c r="S44" s="482">
        <v>0.09</v>
      </c>
      <c r="T44" s="482">
        <v>0</v>
      </c>
      <c r="U44" s="485">
        <v>50</v>
      </c>
      <c r="V44" s="332">
        <v>0</v>
      </c>
      <c r="W44" s="482" t="s">
        <v>1316</v>
      </c>
      <c r="X44" s="325"/>
      <c r="Y44" s="482" t="s">
        <v>1316</v>
      </c>
      <c r="Z44" s="332">
        <v>14</v>
      </c>
      <c r="AA44" s="326">
        <v>70</v>
      </c>
      <c r="AB44" s="340">
        <v>139</v>
      </c>
      <c r="AC44" s="485">
        <v>19425</v>
      </c>
      <c r="AD44" s="332">
        <v>0</v>
      </c>
      <c r="AE44" s="482">
        <v>0</v>
      </c>
      <c r="AF44" s="325"/>
      <c r="AG44" s="482">
        <v>0</v>
      </c>
      <c r="AH44" s="332">
        <v>46</v>
      </c>
      <c r="AI44" s="326">
        <v>143</v>
      </c>
      <c r="AJ44" s="340">
        <v>1437</v>
      </c>
      <c r="AK44" s="332" t="s">
        <v>1274</v>
      </c>
      <c r="AL44" s="326" t="s">
        <v>1274</v>
      </c>
      <c r="AM44" s="340" t="s">
        <v>1274</v>
      </c>
      <c r="AN44" s="332">
        <v>63</v>
      </c>
      <c r="AO44" s="326">
        <v>160</v>
      </c>
      <c r="AP44" s="340">
        <v>1428</v>
      </c>
      <c r="AQ44" s="485">
        <v>20325</v>
      </c>
      <c r="AR44" s="332">
        <v>0</v>
      </c>
      <c r="AS44" s="482">
        <v>0</v>
      </c>
      <c r="AT44" s="325"/>
      <c r="AU44" s="482">
        <v>0</v>
      </c>
      <c r="AV44" s="332">
        <v>63</v>
      </c>
      <c r="AW44" s="326">
        <v>160</v>
      </c>
      <c r="AX44" s="327">
        <v>1428</v>
      </c>
      <c r="AY44" s="97"/>
      <c r="AZ44" s="97"/>
      <c r="BA44" s="97"/>
    </row>
    <row r="45" spans="1:53" ht="22.5" customHeight="1" x14ac:dyDescent="0.4">
      <c r="A45" s="324" t="s">
        <v>889</v>
      </c>
      <c r="B45" s="335" t="s">
        <v>1101</v>
      </c>
      <c r="C45" s="332">
        <v>37925</v>
      </c>
      <c r="D45" s="326" t="s">
        <v>1060</v>
      </c>
      <c r="E45" s="479" t="s">
        <v>1060</v>
      </c>
      <c r="F45" s="337" t="s">
        <v>1060</v>
      </c>
      <c r="G45" s="332">
        <v>37925</v>
      </c>
      <c r="H45" s="332">
        <v>3390</v>
      </c>
      <c r="I45" s="479">
        <v>0.09</v>
      </c>
      <c r="J45" s="482">
        <v>0.08</v>
      </c>
      <c r="K45" s="485">
        <v>34535</v>
      </c>
      <c r="L45" s="332">
        <v>20</v>
      </c>
      <c r="M45" s="482">
        <v>0</v>
      </c>
      <c r="N45" s="485">
        <v>37925</v>
      </c>
      <c r="O45" s="332">
        <v>0</v>
      </c>
      <c r="P45" s="482">
        <v>0</v>
      </c>
      <c r="Q45" s="485">
        <v>37925</v>
      </c>
      <c r="R45" s="332">
        <v>2910</v>
      </c>
      <c r="S45" s="482">
        <v>0.08</v>
      </c>
      <c r="T45" s="482">
        <v>0</v>
      </c>
      <c r="U45" s="485">
        <v>95</v>
      </c>
      <c r="V45" s="332">
        <v>0</v>
      </c>
      <c r="W45" s="482" t="s">
        <v>1316</v>
      </c>
      <c r="X45" s="325"/>
      <c r="Y45" s="482" t="s">
        <v>1316</v>
      </c>
      <c r="Z45" s="332">
        <v>7</v>
      </c>
      <c r="AA45" s="326">
        <v>50</v>
      </c>
      <c r="AB45" s="340">
        <v>1346</v>
      </c>
      <c r="AC45" s="485">
        <v>34515</v>
      </c>
      <c r="AD45" s="332" t="s">
        <v>1274</v>
      </c>
      <c r="AE45" s="482" t="s">
        <v>1274</v>
      </c>
      <c r="AF45" s="325"/>
      <c r="AG45" s="482">
        <v>0</v>
      </c>
      <c r="AH45" s="332">
        <v>43</v>
      </c>
      <c r="AI45" s="326">
        <v>147</v>
      </c>
      <c r="AJ45" s="340">
        <v>1439</v>
      </c>
      <c r="AK45" s="332">
        <v>60</v>
      </c>
      <c r="AL45" s="326">
        <v>211</v>
      </c>
      <c r="AM45" s="340">
        <v>211</v>
      </c>
      <c r="AN45" s="332">
        <v>59</v>
      </c>
      <c r="AO45" s="326">
        <v>163</v>
      </c>
      <c r="AP45" s="340">
        <v>1439</v>
      </c>
      <c r="AQ45" s="485">
        <v>37925</v>
      </c>
      <c r="AR45" s="332">
        <v>10</v>
      </c>
      <c r="AS45" s="482">
        <v>0</v>
      </c>
      <c r="AT45" s="325"/>
      <c r="AU45" s="482">
        <v>0</v>
      </c>
      <c r="AV45" s="332">
        <v>60</v>
      </c>
      <c r="AW45" s="326">
        <v>166</v>
      </c>
      <c r="AX45" s="327">
        <v>1439</v>
      </c>
      <c r="AY45" s="97"/>
      <c r="AZ45" s="97"/>
      <c r="BA45" s="97"/>
    </row>
    <row r="46" spans="1:53" ht="22.5" customHeight="1" x14ac:dyDescent="0.4">
      <c r="A46" s="324" t="s">
        <v>890</v>
      </c>
      <c r="B46" s="335" t="s">
        <v>1102</v>
      </c>
      <c r="C46" s="332">
        <v>7730</v>
      </c>
      <c r="D46" s="326">
        <v>8332</v>
      </c>
      <c r="E46" s="479">
        <v>0.93</v>
      </c>
      <c r="F46" s="337" t="s">
        <v>1067</v>
      </c>
      <c r="G46" s="332">
        <v>7730</v>
      </c>
      <c r="H46" s="332">
        <v>0</v>
      </c>
      <c r="I46" s="479">
        <v>0</v>
      </c>
      <c r="J46" s="482">
        <v>0.06</v>
      </c>
      <c r="K46" s="485">
        <v>7730</v>
      </c>
      <c r="L46" s="332">
        <v>45</v>
      </c>
      <c r="M46" s="482">
        <v>0.01</v>
      </c>
      <c r="N46" s="485">
        <v>7730</v>
      </c>
      <c r="O46" s="332">
        <v>0</v>
      </c>
      <c r="P46" s="482">
        <v>0</v>
      </c>
      <c r="Q46" s="485">
        <v>7730</v>
      </c>
      <c r="R46" s="332">
        <v>530</v>
      </c>
      <c r="S46" s="482">
        <v>7.0000000000000007E-2</v>
      </c>
      <c r="T46" s="482">
        <v>0</v>
      </c>
      <c r="U46" s="485" t="s">
        <v>1274</v>
      </c>
      <c r="V46" s="332">
        <v>0</v>
      </c>
      <c r="W46" s="482" t="s">
        <v>1316</v>
      </c>
      <c r="X46" s="325"/>
      <c r="Y46" s="482" t="s">
        <v>1316</v>
      </c>
      <c r="Z46" s="332">
        <v>1</v>
      </c>
      <c r="AA46" s="326">
        <v>9</v>
      </c>
      <c r="AB46" s="340">
        <v>9</v>
      </c>
      <c r="AC46" s="485">
        <v>7680</v>
      </c>
      <c r="AD46" s="332" t="s">
        <v>1274</v>
      </c>
      <c r="AE46" s="482" t="s">
        <v>1274</v>
      </c>
      <c r="AF46" s="325"/>
      <c r="AG46" s="482">
        <v>0</v>
      </c>
      <c r="AH46" s="332">
        <v>30</v>
      </c>
      <c r="AI46" s="326">
        <v>106</v>
      </c>
      <c r="AJ46" s="340">
        <v>751</v>
      </c>
      <c r="AK46" s="332" t="s">
        <v>1274</v>
      </c>
      <c r="AL46" s="326" t="s">
        <v>1274</v>
      </c>
      <c r="AM46" s="340" t="s">
        <v>1274</v>
      </c>
      <c r="AN46" s="332">
        <v>54</v>
      </c>
      <c r="AO46" s="326">
        <v>134</v>
      </c>
      <c r="AP46" s="340">
        <v>1099</v>
      </c>
      <c r="AQ46" s="485">
        <v>7730</v>
      </c>
      <c r="AR46" s="332">
        <v>0</v>
      </c>
      <c r="AS46" s="482">
        <v>0</v>
      </c>
      <c r="AT46" s="325"/>
      <c r="AU46" s="482">
        <v>0</v>
      </c>
      <c r="AV46" s="332">
        <v>54</v>
      </c>
      <c r="AW46" s="326">
        <v>134</v>
      </c>
      <c r="AX46" s="327">
        <v>1099</v>
      </c>
      <c r="AY46" s="97"/>
      <c r="AZ46" s="97"/>
      <c r="BA46" s="97"/>
    </row>
    <row r="47" spans="1:53" ht="22.5" customHeight="1" x14ac:dyDescent="0.4">
      <c r="A47" s="324" t="s">
        <v>891</v>
      </c>
      <c r="B47" s="335" t="s">
        <v>1103</v>
      </c>
      <c r="C47" s="332">
        <v>46210</v>
      </c>
      <c r="D47" s="326" t="s">
        <v>1060</v>
      </c>
      <c r="E47" s="479" t="s">
        <v>1060</v>
      </c>
      <c r="F47" s="337" t="s">
        <v>1060</v>
      </c>
      <c r="G47" s="332">
        <v>46210</v>
      </c>
      <c r="H47" s="332">
        <v>7215</v>
      </c>
      <c r="I47" s="479">
        <v>0.16</v>
      </c>
      <c r="J47" s="482">
        <v>0</v>
      </c>
      <c r="K47" s="485">
        <v>38995</v>
      </c>
      <c r="L47" s="332">
        <v>2665</v>
      </c>
      <c r="M47" s="482">
        <v>7.0000000000000007E-2</v>
      </c>
      <c r="N47" s="485">
        <v>46210</v>
      </c>
      <c r="O47" s="332">
        <v>0</v>
      </c>
      <c r="P47" s="482">
        <v>0</v>
      </c>
      <c r="Q47" s="485">
        <v>46210</v>
      </c>
      <c r="R47" s="332">
        <v>3825</v>
      </c>
      <c r="S47" s="482">
        <v>0.08</v>
      </c>
      <c r="T47" s="482">
        <v>0</v>
      </c>
      <c r="U47" s="485">
        <v>150</v>
      </c>
      <c r="V47" s="332">
        <v>0</v>
      </c>
      <c r="W47" s="482" t="s">
        <v>1316</v>
      </c>
      <c r="X47" s="325"/>
      <c r="Y47" s="482" t="s">
        <v>1316</v>
      </c>
      <c r="Z47" s="332">
        <v>80</v>
      </c>
      <c r="AA47" s="326">
        <v>226</v>
      </c>
      <c r="AB47" s="340">
        <v>359</v>
      </c>
      <c r="AC47" s="485">
        <v>36330</v>
      </c>
      <c r="AD47" s="332">
        <v>0</v>
      </c>
      <c r="AE47" s="482">
        <v>0</v>
      </c>
      <c r="AF47" s="325"/>
      <c r="AG47" s="482">
        <v>0</v>
      </c>
      <c r="AH47" s="332">
        <v>83</v>
      </c>
      <c r="AI47" s="326">
        <v>214</v>
      </c>
      <c r="AJ47" s="340">
        <v>664</v>
      </c>
      <c r="AK47" s="332">
        <v>62</v>
      </c>
      <c r="AL47" s="326">
        <v>202</v>
      </c>
      <c r="AM47" s="340">
        <v>354</v>
      </c>
      <c r="AN47" s="332">
        <v>101</v>
      </c>
      <c r="AO47" s="326">
        <v>230</v>
      </c>
      <c r="AP47" s="340">
        <v>1402</v>
      </c>
      <c r="AQ47" s="485">
        <v>46210</v>
      </c>
      <c r="AR47" s="332">
        <v>10</v>
      </c>
      <c r="AS47" s="482">
        <v>0</v>
      </c>
      <c r="AT47" s="325"/>
      <c r="AU47" s="482">
        <v>0</v>
      </c>
      <c r="AV47" s="332">
        <v>98</v>
      </c>
      <c r="AW47" s="326">
        <v>229</v>
      </c>
      <c r="AX47" s="327">
        <v>1402</v>
      </c>
      <c r="AY47" s="97"/>
      <c r="AZ47" s="97"/>
      <c r="BA47" s="97"/>
    </row>
    <row r="48" spans="1:53" ht="22.5" customHeight="1" x14ac:dyDescent="0.4">
      <c r="A48" s="324" t="s">
        <v>475</v>
      </c>
      <c r="B48" s="335" t="s">
        <v>1104</v>
      </c>
      <c r="C48" s="332">
        <v>54090</v>
      </c>
      <c r="D48" s="326" t="s">
        <v>1060</v>
      </c>
      <c r="E48" s="479" t="s">
        <v>1060</v>
      </c>
      <c r="F48" s="337" t="s">
        <v>1060</v>
      </c>
      <c r="G48" s="332">
        <v>54090</v>
      </c>
      <c r="H48" s="332">
        <v>0</v>
      </c>
      <c r="I48" s="479">
        <v>0</v>
      </c>
      <c r="J48" s="482">
        <v>0</v>
      </c>
      <c r="K48" s="485">
        <v>54090</v>
      </c>
      <c r="L48" s="332">
        <v>3420</v>
      </c>
      <c r="M48" s="482">
        <v>0.06</v>
      </c>
      <c r="N48" s="485">
        <v>54090</v>
      </c>
      <c r="O48" s="332">
        <v>0</v>
      </c>
      <c r="P48" s="482">
        <v>0</v>
      </c>
      <c r="Q48" s="485">
        <v>54090</v>
      </c>
      <c r="R48" s="332">
        <v>1835</v>
      </c>
      <c r="S48" s="482">
        <v>0.03</v>
      </c>
      <c r="T48" s="482">
        <v>0</v>
      </c>
      <c r="U48" s="485">
        <v>15</v>
      </c>
      <c r="V48" s="332" t="s">
        <v>1274</v>
      </c>
      <c r="W48" s="482" t="s">
        <v>1316</v>
      </c>
      <c r="X48" s="325"/>
      <c r="Y48" s="482" t="s">
        <v>1316</v>
      </c>
      <c r="Z48" s="332">
        <v>8</v>
      </c>
      <c r="AA48" s="326">
        <v>66</v>
      </c>
      <c r="AB48" s="340">
        <v>66</v>
      </c>
      <c r="AC48" s="485">
        <v>50670</v>
      </c>
      <c r="AD48" s="332">
        <v>0</v>
      </c>
      <c r="AE48" s="482">
        <v>0</v>
      </c>
      <c r="AF48" s="325"/>
      <c r="AG48" s="482">
        <v>0</v>
      </c>
      <c r="AH48" s="332">
        <v>11</v>
      </c>
      <c r="AI48" s="326">
        <v>57</v>
      </c>
      <c r="AJ48" s="340">
        <v>1106</v>
      </c>
      <c r="AK48" s="332">
        <v>98</v>
      </c>
      <c r="AL48" s="326">
        <v>223</v>
      </c>
      <c r="AM48" s="340">
        <v>465</v>
      </c>
      <c r="AN48" s="332">
        <v>99</v>
      </c>
      <c r="AO48" s="326">
        <v>236</v>
      </c>
      <c r="AP48" s="340">
        <v>1110</v>
      </c>
      <c r="AQ48" s="485">
        <v>54090</v>
      </c>
      <c r="AR48" s="332">
        <v>0</v>
      </c>
      <c r="AS48" s="482">
        <v>0</v>
      </c>
      <c r="AT48" s="325"/>
      <c r="AU48" s="482">
        <v>0</v>
      </c>
      <c r="AV48" s="332">
        <v>99</v>
      </c>
      <c r="AW48" s="326">
        <v>236</v>
      </c>
      <c r="AX48" s="327">
        <v>1110</v>
      </c>
      <c r="AY48" s="97"/>
      <c r="AZ48" s="97"/>
      <c r="BA48" s="97"/>
    </row>
    <row r="49" spans="1:53" ht="22.5" customHeight="1" x14ac:dyDescent="0.4">
      <c r="A49" s="324" t="s">
        <v>343</v>
      </c>
      <c r="B49" s="335" t="s">
        <v>1105</v>
      </c>
      <c r="C49" s="332">
        <v>16525</v>
      </c>
      <c r="D49" s="326" t="s">
        <v>1060</v>
      </c>
      <c r="E49" s="479" t="s">
        <v>1060</v>
      </c>
      <c r="F49" s="337" t="s">
        <v>1060</v>
      </c>
      <c r="G49" s="332">
        <v>16525</v>
      </c>
      <c r="H49" s="332">
        <v>0</v>
      </c>
      <c r="I49" s="479">
        <v>0</v>
      </c>
      <c r="J49" s="482">
        <v>0.17</v>
      </c>
      <c r="K49" s="485">
        <v>16525</v>
      </c>
      <c r="L49" s="332">
        <v>310</v>
      </c>
      <c r="M49" s="482">
        <v>0.02</v>
      </c>
      <c r="N49" s="485">
        <v>16525</v>
      </c>
      <c r="O49" s="332">
        <v>0</v>
      </c>
      <c r="P49" s="482">
        <v>0</v>
      </c>
      <c r="Q49" s="485">
        <v>16525</v>
      </c>
      <c r="R49" s="332">
        <v>855</v>
      </c>
      <c r="S49" s="482">
        <v>0.05</v>
      </c>
      <c r="T49" s="482">
        <v>0</v>
      </c>
      <c r="U49" s="485">
        <v>35</v>
      </c>
      <c r="V49" s="332">
        <v>0</v>
      </c>
      <c r="W49" s="482" t="s">
        <v>1316</v>
      </c>
      <c r="X49" s="325"/>
      <c r="Y49" s="482" t="s">
        <v>1316</v>
      </c>
      <c r="Z49" s="332">
        <v>13</v>
      </c>
      <c r="AA49" s="326">
        <v>57</v>
      </c>
      <c r="AB49" s="340">
        <v>71</v>
      </c>
      <c r="AC49" s="485">
        <v>16205</v>
      </c>
      <c r="AD49" s="332">
        <v>125</v>
      </c>
      <c r="AE49" s="482">
        <v>0.01</v>
      </c>
      <c r="AF49" s="325"/>
      <c r="AG49" s="482">
        <v>0</v>
      </c>
      <c r="AH49" s="332">
        <v>15</v>
      </c>
      <c r="AI49" s="326">
        <v>75</v>
      </c>
      <c r="AJ49" s="340">
        <v>256</v>
      </c>
      <c r="AK49" s="332" t="s">
        <v>1274</v>
      </c>
      <c r="AL49" s="326" t="s">
        <v>1274</v>
      </c>
      <c r="AM49" s="340" t="s">
        <v>1274</v>
      </c>
      <c r="AN49" s="332">
        <v>73</v>
      </c>
      <c r="AO49" s="326">
        <v>179</v>
      </c>
      <c r="AP49" s="340">
        <v>393</v>
      </c>
      <c r="AQ49" s="485">
        <v>16525</v>
      </c>
      <c r="AR49" s="332">
        <v>0</v>
      </c>
      <c r="AS49" s="482">
        <v>0</v>
      </c>
      <c r="AT49" s="325"/>
      <c r="AU49" s="482">
        <v>0</v>
      </c>
      <c r="AV49" s="332">
        <v>73</v>
      </c>
      <c r="AW49" s="326">
        <v>179</v>
      </c>
      <c r="AX49" s="327">
        <v>393</v>
      </c>
      <c r="AY49" s="97"/>
      <c r="AZ49" s="97"/>
      <c r="BA49" s="97"/>
    </row>
    <row r="50" spans="1:53" ht="22.5" customHeight="1" x14ac:dyDescent="0.4">
      <c r="A50" s="324" t="s">
        <v>495</v>
      </c>
      <c r="B50" s="335" t="s">
        <v>1106</v>
      </c>
      <c r="C50" s="332">
        <v>51865</v>
      </c>
      <c r="D50" s="326">
        <v>52693</v>
      </c>
      <c r="E50" s="479">
        <v>0.98</v>
      </c>
      <c r="F50" s="337" t="s">
        <v>1067</v>
      </c>
      <c r="G50" s="332">
        <v>51865</v>
      </c>
      <c r="H50" s="332">
        <v>525</v>
      </c>
      <c r="I50" s="479">
        <v>0.01</v>
      </c>
      <c r="J50" s="482">
        <v>0.02</v>
      </c>
      <c r="K50" s="485">
        <v>51340</v>
      </c>
      <c r="L50" s="332">
        <v>330</v>
      </c>
      <c r="M50" s="482">
        <v>0.01</v>
      </c>
      <c r="N50" s="485">
        <v>51865</v>
      </c>
      <c r="O50" s="332" t="s">
        <v>1274</v>
      </c>
      <c r="P50" s="482" t="s">
        <v>1274</v>
      </c>
      <c r="Q50" s="485">
        <v>51865</v>
      </c>
      <c r="R50" s="332">
        <v>2700</v>
      </c>
      <c r="S50" s="482">
        <v>0.05</v>
      </c>
      <c r="T50" s="482">
        <v>0</v>
      </c>
      <c r="U50" s="485">
        <v>50</v>
      </c>
      <c r="V50" s="332">
        <v>0</v>
      </c>
      <c r="W50" s="482" t="s">
        <v>1316</v>
      </c>
      <c r="X50" s="325"/>
      <c r="Y50" s="482" t="s">
        <v>1316</v>
      </c>
      <c r="Z50" s="332">
        <v>12</v>
      </c>
      <c r="AA50" s="326">
        <v>57</v>
      </c>
      <c r="AB50" s="340">
        <v>85</v>
      </c>
      <c r="AC50" s="485">
        <v>50975</v>
      </c>
      <c r="AD50" s="332">
        <v>125</v>
      </c>
      <c r="AE50" s="482">
        <v>0</v>
      </c>
      <c r="AF50" s="325"/>
      <c r="AG50" s="482">
        <v>0</v>
      </c>
      <c r="AH50" s="332">
        <v>36</v>
      </c>
      <c r="AI50" s="326">
        <v>149</v>
      </c>
      <c r="AJ50" s="340">
        <v>1439</v>
      </c>
      <c r="AK50" s="332">
        <v>87</v>
      </c>
      <c r="AL50" s="326">
        <v>200</v>
      </c>
      <c r="AM50" s="340">
        <v>327</v>
      </c>
      <c r="AN50" s="332">
        <v>57</v>
      </c>
      <c r="AO50" s="326">
        <v>170</v>
      </c>
      <c r="AP50" s="340">
        <v>1438</v>
      </c>
      <c r="AQ50" s="485">
        <v>51865</v>
      </c>
      <c r="AR50" s="332">
        <v>310</v>
      </c>
      <c r="AS50" s="482">
        <v>0.01</v>
      </c>
      <c r="AT50" s="325"/>
      <c r="AU50" s="482">
        <v>0</v>
      </c>
      <c r="AV50" s="332">
        <v>57</v>
      </c>
      <c r="AW50" s="326">
        <v>170</v>
      </c>
      <c r="AX50" s="327">
        <v>1438</v>
      </c>
      <c r="AY50" s="97"/>
      <c r="AZ50" s="97"/>
      <c r="BA50" s="97"/>
    </row>
    <row r="51" spans="1:53" ht="22.5" customHeight="1" x14ac:dyDescent="0.4">
      <c r="A51" s="324" t="s">
        <v>892</v>
      </c>
      <c r="B51" s="335" t="s">
        <v>1107</v>
      </c>
      <c r="C51" s="332">
        <v>36580</v>
      </c>
      <c r="D51" s="326" t="s">
        <v>1060</v>
      </c>
      <c r="E51" s="479" t="s">
        <v>1060</v>
      </c>
      <c r="F51" s="337" t="s">
        <v>1060</v>
      </c>
      <c r="G51" s="332">
        <v>36580</v>
      </c>
      <c r="H51" s="332" t="s">
        <v>1274</v>
      </c>
      <c r="I51" s="479" t="s">
        <v>1274</v>
      </c>
      <c r="J51" s="482">
        <v>0.01</v>
      </c>
      <c r="K51" s="485">
        <v>36575</v>
      </c>
      <c r="L51" s="332">
        <v>1430</v>
      </c>
      <c r="M51" s="482">
        <v>0.04</v>
      </c>
      <c r="N51" s="485">
        <v>37665</v>
      </c>
      <c r="O51" s="332">
        <v>1085</v>
      </c>
      <c r="P51" s="482">
        <v>0.03</v>
      </c>
      <c r="Q51" s="485">
        <v>36580</v>
      </c>
      <c r="R51" s="332">
        <v>2155</v>
      </c>
      <c r="S51" s="482">
        <v>0.06</v>
      </c>
      <c r="T51" s="482">
        <v>0</v>
      </c>
      <c r="U51" s="485">
        <v>185</v>
      </c>
      <c r="V51" s="332" t="s">
        <v>1274</v>
      </c>
      <c r="W51" s="482" t="s">
        <v>1316</v>
      </c>
      <c r="X51" s="325"/>
      <c r="Y51" s="482" t="s">
        <v>1316</v>
      </c>
      <c r="Z51" s="332">
        <v>6</v>
      </c>
      <c r="AA51" s="326">
        <v>32</v>
      </c>
      <c r="AB51" s="340">
        <v>93</v>
      </c>
      <c r="AC51" s="485">
        <v>35095</v>
      </c>
      <c r="AD51" s="332">
        <v>10</v>
      </c>
      <c r="AE51" s="482">
        <v>0</v>
      </c>
      <c r="AF51" s="325"/>
      <c r="AG51" s="482">
        <v>0</v>
      </c>
      <c r="AH51" s="332">
        <v>63</v>
      </c>
      <c r="AI51" s="326">
        <v>188</v>
      </c>
      <c r="AJ51" s="340">
        <v>994</v>
      </c>
      <c r="AK51" s="332" t="s">
        <v>1060</v>
      </c>
      <c r="AL51" s="326" t="s">
        <v>1060</v>
      </c>
      <c r="AM51" s="340" t="s">
        <v>1060</v>
      </c>
      <c r="AN51" s="332">
        <v>92</v>
      </c>
      <c r="AO51" s="326">
        <v>211</v>
      </c>
      <c r="AP51" s="340">
        <v>995</v>
      </c>
      <c r="AQ51" s="485">
        <v>36580</v>
      </c>
      <c r="AR51" s="332" t="s">
        <v>1274</v>
      </c>
      <c r="AS51" s="482" t="s">
        <v>1274</v>
      </c>
      <c r="AT51" s="325"/>
      <c r="AU51" s="482">
        <v>0</v>
      </c>
      <c r="AV51" s="332">
        <v>92</v>
      </c>
      <c r="AW51" s="326">
        <v>211</v>
      </c>
      <c r="AX51" s="327">
        <v>995</v>
      </c>
      <c r="AY51" s="97"/>
      <c r="AZ51" s="97"/>
      <c r="BA51" s="97"/>
    </row>
    <row r="52" spans="1:53" ht="22.5" customHeight="1" x14ac:dyDescent="0.4">
      <c r="A52" s="324" t="s">
        <v>504</v>
      </c>
      <c r="B52" s="335" t="s">
        <v>1108</v>
      </c>
      <c r="C52" s="332">
        <v>56905</v>
      </c>
      <c r="D52" s="326">
        <v>57341</v>
      </c>
      <c r="E52" s="479">
        <v>0.99</v>
      </c>
      <c r="F52" s="337" t="s">
        <v>1067</v>
      </c>
      <c r="G52" s="332">
        <v>56905</v>
      </c>
      <c r="H52" s="332">
        <v>1815</v>
      </c>
      <c r="I52" s="479">
        <v>0.03</v>
      </c>
      <c r="J52" s="482">
        <v>0.01</v>
      </c>
      <c r="K52" s="485">
        <v>55090</v>
      </c>
      <c r="L52" s="332">
        <v>490</v>
      </c>
      <c r="M52" s="482">
        <v>0.01</v>
      </c>
      <c r="N52" s="485">
        <v>56905</v>
      </c>
      <c r="O52" s="332" t="s">
        <v>1274</v>
      </c>
      <c r="P52" s="482" t="s">
        <v>1274</v>
      </c>
      <c r="Q52" s="485">
        <v>56905</v>
      </c>
      <c r="R52" s="332">
        <v>1570</v>
      </c>
      <c r="S52" s="482">
        <v>0.03</v>
      </c>
      <c r="T52" s="482">
        <v>0</v>
      </c>
      <c r="U52" s="485">
        <v>35</v>
      </c>
      <c r="V52" s="332" t="s">
        <v>1274</v>
      </c>
      <c r="W52" s="482" t="s">
        <v>1316</v>
      </c>
      <c r="X52" s="325"/>
      <c r="Y52" s="482" t="s">
        <v>1316</v>
      </c>
      <c r="Z52" s="332">
        <v>7</v>
      </c>
      <c r="AA52" s="326">
        <v>37</v>
      </c>
      <c r="AB52" s="340">
        <v>43</v>
      </c>
      <c r="AC52" s="485">
        <v>54565</v>
      </c>
      <c r="AD52" s="332">
        <v>0</v>
      </c>
      <c r="AE52" s="482">
        <v>0</v>
      </c>
      <c r="AF52" s="325"/>
      <c r="AG52" s="482">
        <v>0</v>
      </c>
      <c r="AH52" s="332">
        <v>96</v>
      </c>
      <c r="AI52" s="326">
        <v>226</v>
      </c>
      <c r="AJ52" s="340">
        <v>1439</v>
      </c>
      <c r="AK52" s="332">
        <v>94</v>
      </c>
      <c r="AL52" s="326">
        <v>226</v>
      </c>
      <c r="AM52" s="340">
        <v>991</v>
      </c>
      <c r="AN52" s="332">
        <v>113</v>
      </c>
      <c r="AO52" s="326">
        <v>235</v>
      </c>
      <c r="AP52" s="340">
        <v>1439</v>
      </c>
      <c r="AQ52" s="485">
        <v>56905</v>
      </c>
      <c r="AR52" s="332">
        <v>325</v>
      </c>
      <c r="AS52" s="482">
        <v>0.01</v>
      </c>
      <c r="AT52" s="325"/>
      <c r="AU52" s="482">
        <v>0</v>
      </c>
      <c r="AV52" s="332">
        <v>111</v>
      </c>
      <c r="AW52" s="326">
        <v>235</v>
      </c>
      <c r="AX52" s="327">
        <v>1439</v>
      </c>
      <c r="AY52" s="97"/>
      <c r="AZ52" s="97"/>
      <c r="BA52" s="97"/>
    </row>
    <row r="53" spans="1:53" ht="22.5" customHeight="1" x14ac:dyDescent="0.4">
      <c r="A53" s="324" t="s">
        <v>893</v>
      </c>
      <c r="B53" s="335" t="s">
        <v>1109</v>
      </c>
      <c r="C53" s="332">
        <v>9265</v>
      </c>
      <c r="D53" s="326" t="s">
        <v>1060</v>
      </c>
      <c r="E53" s="479" t="s">
        <v>1060</v>
      </c>
      <c r="F53" s="337" t="s">
        <v>1060</v>
      </c>
      <c r="G53" s="332">
        <v>9265</v>
      </c>
      <c r="H53" s="332">
        <v>0</v>
      </c>
      <c r="I53" s="479">
        <v>0</v>
      </c>
      <c r="J53" s="482">
        <v>0.02</v>
      </c>
      <c r="K53" s="485">
        <v>9265</v>
      </c>
      <c r="L53" s="332">
        <v>50</v>
      </c>
      <c r="M53" s="482">
        <v>0.01</v>
      </c>
      <c r="N53" s="485">
        <v>9265</v>
      </c>
      <c r="O53" s="332">
        <v>0</v>
      </c>
      <c r="P53" s="482">
        <v>0</v>
      </c>
      <c r="Q53" s="485">
        <v>9265</v>
      </c>
      <c r="R53" s="332">
        <v>430</v>
      </c>
      <c r="S53" s="482">
        <v>0.05</v>
      </c>
      <c r="T53" s="482">
        <v>0</v>
      </c>
      <c r="U53" s="485">
        <v>25</v>
      </c>
      <c r="V53" s="332">
        <v>0</v>
      </c>
      <c r="W53" s="482" t="s">
        <v>1316</v>
      </c>
      <c r="X53" s="325"/>
      <c r="Y53" s="482" t="s">
        <v>1316</v>
      </c>
      <c r="Z53" s="332">
        <v>12</v>
      </c>
      <c r="AA53" s="326">
        <v>65</v>
      </c>
      <c r="AB53" s="340">
        <v>114</v>
      </c>
      <c r="AC53" s="485">
        <v>9215</v>
      </c>
      <c r="AD53" s="332">
        <v>0</v>
      </c>
      <c r="AE53" s="482">
        <v>0</v>
      </c>
      <c r="AF53" s="325"/>
      <c r="AG53" s="482">
        <v>0</v>
      </c>
      <c r="AH53" s="332">
        <v>17</v>
      </c>
      <c r="AI53" s="326">
        <v>81</v>
      </c>
      <c r="AJ53" s="340">
        <v>306</v>
      </c>
      <c r="AK53" s="332" t="s">
        <v>1274</v>
      </c>
      <c r="AL53" s="326" t="s">
        <v>1274</v>
      </c>
      <c r="AM53" s="340" t="s">
        <v>1274</v>
      </c>
      <c r="AN53" s="332">
        <v>49</v>
      </c>
      <c r="AO53" s="326">
        <v>134</v>
      </c>
      <c r="AP53" s="340">
        <v>464</v>
      </c>
      <c r="AQ53" s="485">
        <v>9265</v>
      </c>
      <c r="AR53" s="332">
        <v>0</v>
      </c>
      <c r="AS53" s="482">
        <v>0</v>
      </c>
      <c r="AT53" s="325"/>
      <c r="AU53" s="482">
        <v>0</v>
      </c>
      <c r="AV53" s="332">
        <v>49</v>
      </c>
      <c r="AW53" s="326">
        <v>134</v>
      </c>
      <c r="AX53" s="327">
        <v>464</v>
      </c>
      <c r="AY53" s="97"/>
      <c r="AZ53" s="97"/>
      <c r="BA53" s="97"/>
    </row>
    <row r="54" spans="1:53" ht="22.5" customHeight="1" x14ac:dyDescent="0.4">
      <c r="A54" s="324" t="s">
        <v>894</v>
      </c>
      <c r="B54" s="335" t="s">
        <v>1110</v>
      </c>
      <c r="C54" s="332">
        <v>40315</v>
      </c>
      <c r="D54" s="326">
        <v>41619</v>
      </c>
      <c r="E54" s="479">
        <v>0.97</v>
      </c>
      <c r="F54" s="337" t="s">
        <v>1067</v>
      </c>
      <c r="G54" s="332">
        <v>40315</v>
      </c>
      <c r="H54" s="332">
        <v>555</v>
      </c>
      <c r="I54" s="479">
        <v>0.01</v>
      </c>
      <c r="J54" s="482">
        <v>0</v>
      </c>
      <c r="K54" s="485">
        <v>39760</v>
      </c>
      <c r="L54" s="332">
        <v>0</v>
      </c>
      <c r="M54" s="482">
        <v>0</v>
      </c>
      <c r="N54" s="485">
        <v>40315</v>
      </c>
      <c r="O54" s="332">
        <v>0</v>
      </c>
      <c r="P54" s="482">
        <v>0</v>
      </c>
      <c r="Q54" s="485">
        <v>40315</v>
      </c>
      <c r="R54" s="332">
        <v>3880</v>
      </c>
      <c r="S54" s="482">
        <v>0.1</v>
      </c>
      <c r="T54" s="482">
        <v>0</v>
      </c>
      <c r="U54" s="485">
        <v>40</v>
      </c>
      <c r="V54" s="332">
        <v>35</v>
      </c>
      <c r="W54" s="482" t="s">
        <v>1316</v>
      </c>
      <c r="X54" s="325"/>
      <c r="Y54" s="482" t="s">
        <v>1316</v>
      </c>
      <c r="Z54" s="332">
        <v>6</v>
      </c>
      <c r="AA54" s="326">
        <v>16</v>
      </c>
      <c r="AB54" s="340">
        <v>16</v>
      </c>
      <c r="AC54" s="485">
        <v>39760</v>
      </c>
      <c r="AD54" s="332">
        <v>0</v>
      </c>
      <c r="AE54" s="482">
        <v>0</v>
      </c>
      <c r="AF54" s="325"/>
      <c r="AG54" s="482">
        <v>0</v>
      </c>
      <c r="AH54" s="332">
        <v>23</v>
      </c>
      <c r="AI54" s="326">
        <v>94</v>
      </c>
      <c r="AJ54" s="340">
        <v>1243</v>
      </c>
      <c r="AK54" s="332" t="s">
        <v>1060</v>
      </c>
      <c r="AL54" s="326" t="s">
        <v>1060</v>
      </c>
      <c r="AM54" s="340" t="s">
        <v>1060</v>
      </c>
      <c r="AN54" s="332">
        <v>56</v>
      </c>
      <c r="AO54" s="326">
        <v>144</v>
      </c>
      <c r="AP54" s="340">
        <v>1385</v>
      </c>
      <c r="AQ54" s="485">
        <v>40315</v>
      </c>
      <c r="AR54" s="332">
        <v>0</v>
      </c>
      <c r="AS54" s="482">
        <v>0</v>
      </c>
      <c r="AT54" s="325"/>
      <c r="AU54" s="482">
        <v>0</v>
      </c>
      <c r="AV54" s="332">
        <v>56</v>
      </c>
      <c r="AW54" s="326">
        <v>144</v>
      </c>
      <c r="AX54" s="327">
        <v>1385</v>
      </c>
      <c r="AY54" s="97"/>
      <c r="AZ54" s="97"/>
      <c r="BA54" s="97"/>
    </row>
    <row r="55" spans="1:53" ht="22.5" customHeight="1" x14ac:dyDescent="0.4">
      <c r="A55" s="324" t="s">
        <v>895</v>
      </c>
      <c r="B55" s="335" t="s">
        <v>1111</v>
      </c>
      <c r="C55" s="332">
        <v>38590</v>
      </c>
      <c r="D55" s="326">
        <v>41139</v>
      </c>
      <c r="E55" s="479">
        <v>0.94</v>
      </c>
      <c r="F55" s="337" t="s">
        <v>1067</v>
      </c>
      <c r="G55" s="332">
        <v>38590</v>
      </c>
      <c r="H55" s="332">
        <v>290</v>
      </c>
      <c r="I55" s="479">
        <v>0.01</v>
      </c>
      <c r="J55" s="482">
        <v>0</v>
      </c>
      <c r="K55" s="485">
        <v>38300</v>
      </c>
      <c r="L55" s="332">
        <v>0</v>
      </c>
      <c r="M55" s="482">
        <v>0</v>
      </c>
      <c r="N55" s="485">
        <v>38590</v>
      </c>
      <c r="O55" s="332" t="s">
        <v>1274</v>
      </c>
      <c r="P55" s="482" t="s">
        <v>1274</v>
      </c>
      <c r="Q55" s="485">
        <v>38590</v>
      </c>
      <c r="R55" s="332">
        <v>2805</v>
      </c>
      <c r="S55" s="482">
        <v>7.0000000000000007E-2</v>
      </c>
      <c r="T55" s="482">
        <v>0</v>
      </c>
      <c r="U55" s="485">
        <v>30</v>
      </c>
      <c r="V55" s="332">
        <v>25</v>
      </c>
      <c r="W55" s="482" t="s">
        <v>1316</v>
      </c>
      <c r="X55" s="325"/>
      <c r="Y55" s="482" t="s">
        <v>1316</v>
      </c>
      <c r="Z55" s="332">
        <v>8</v>
      </c>
      <c r="AA55" s="326">
        <v>21</v>
      </c>
      <c r="AB55" s="340">
        <v>21</v>
      </c>
      <c r="AC55" s="485">
        <v>38300</v>
      </c>
      <c r="AD55" s="332">
        <v>0</v>
      </c>
      <c r="AE55" s="482">
        <v>0</v>
      </c>
      <c r="AF55" s="325"/>
      <c r="AG55" s="482">
        <v>0</v>
      </c>
      <c r="AH55" s="332">
        <v>37</v>
      </c>
      <c r="AI55" s="326">
        <v>115</v>
      </c>
      <c r="AJ55" s="340">
        <v>965</v>
      </c>
      <c r="AK55" s="332" t="s">
        <v>1060</v>
      </c>
      <c r="AL55" s="326" t="s">
        <v>1060</v>
      </c>
      <c r="AM55" s="340" t="s">
        <v>1060</v>
      </c>
      <c r="AN55" s="332">
        <v>70</v>
      </c>
      <c r="AO55" s="326">
        <v>161</v>
      </c>
      <c r="AP55" s="340">
        <v>967</v>
      </c>
      <c r="AQ55" s="485">
        <v>38590</v>
      </c>
      <c r="AR55" s="332">
        <v>0</v>
      </c>
      <c r="AS55" s="482">
        <v>0</v>
      </c>
      <c r="AT55" s="325"/>
      <c r="AU55" s="482">
        <v>0</v>
      </c>
      <c r="AV55" s="332">
        <v>70</v>
      </c>
      <c r="AW55" s="326">
        <v>161</v>
      </c>
      <c r="AX55" s="327">
        <v>967</v>
      </c>
      <c r="AY55" s="97"/>
      <c r="AZ55" s="97"/>
      <c r="BA55" s="97"/>
    </row>
    <row r="56" spans="1:53" ht="22.5" customHeight="1" x14ac:dyDescent="0.4">
      <c r="A56" s="324" t="s">
        <v>896</v>
      </c>
      <c r="B56" s="335" t="s">
        <v>1112</v>
      </c>
      <c r="C56" s="332">
        <v>9020</v>
      </c>
      <c r="D56" s="326" t="s">
        <v>1060</v>
      </c>
      <c r="E56" s="479" t="s">
        <v>1060</v>
      </c>
      <c r="F56" s="337" t="s">
        <v>1060</v>
      </c>
      <c r="G56" s="332">
        <v>9020</v>
      </c>
      <c r="H56" s="332">
        <v>135</v>
      </c>
      <c r="I56" s="479">
        <v>0.01</v>
      </c>
      <c r="J56" s="482">
        <v>0</v>
      </c>
      <c r="K56" s="485">
        <v>8885</v>
      </c>
      <c r="L56" s="332">
        <v>0</v>
      </c>
      <c r="M56" s="482">
        <v>0</v>
      </c>
      <c r="N56" s="485">
        <v>9020</v>
      </c>
      <c r="O56" s="332">
        <v>0</v>
      </c>
      <c r="P56" s="482">
        <v>0</v>
      </c>
      <c r="Q56" s="485">
        <v>9020</v>
      </c>
      <c r="R56" s="332">
        <v>620</v>
      </c>
      <c r="S56" s="482">
        <v>7.0000000000000007E-2</v>
      </c>
      <c r="T56" s="482">
        <v>0</v>
      </c>
      <c r="U56" s="485" t="s">
        <v>1274</v>
      </c>
      <c r="V56" s="332" t="s">
        <v>1274</v>
      </c>
      <c r="W56" s="482" t="s">
        <v>1316</v>
      </c>
      <c r="X56" s="325"/>
      <c r="Y56" s="482" t="s">
        <v>1316</v>
      </c>
      <c r="Z56" s="332" t="s">
        <v>1274</v>
      </c>
      <c r="AA56" s="326" t="s">
        <v>1274</v>
      </c>
      <c r="AB56" s="340" t="s">
        <v>1274</v>
      </c>
      <c r="AC56" s="485">
        <v>8885</v>
      </c>
      <c r="AD56" s="332">
        <v>0</v>
      </c>
      <c r="AE56" s="482">
        <v>0</v>
      </c>
      <c r="AF56" s="325"/>
      <c r="AG56" s="482">
        <v>0</v>
      </c>
      <c r="AH56" s="332">
        <v>44</v>
      </c>
      <c r="AI56" s="326">
        <v>120</v>
      </c>
      <c r="AJ56" s="340">
        <v>218</v>
      </c>
      <c r="AK56" s="332" t="s">
        <v>1060</v>
      </c>
      <c r="AL56" s="326" t="s">
        <v>1060</v>
      </c>
      <c r="AM56" s="340" t="s">
        <v>1060</v>
      </c>
      <c r="AN56" s="332">
        <v>81</v>
      </c>
      <c r="AO56" s="326">
        <v>172</v>
      </c>
      <c r="AP56" s="340">
        <v>1222</v>
      </c>
      <c r="AQ56" s="485">
        <v>9020</v>
      </c>
      <c r="AR56" s="332">
        <v>10</v>
      </c>
      <c r="AS56" s="482">
        <v>0</v>
      </c>
      <c r="AT56" s="325"/>
      <c r="AU56" s="482">
        <v>0</v>
      </c>
      <c r="AV56" s="332">
        <v>81</v>
      </c>
      <c r="AW56" s="326">
        <v>172</v>
      </c>
      <c r="AX56" s="327">
        <v>1222</v>
      </c>
      <c r="AY56" s="97"/>
      <c r="AZ56" s="97"/>
      <c r="BA56" s="97"/>
    </row>
    <row r="57" spans="1:53" ht="22.5" customHeight="1" x14ac:dyDescent="0.4">
      <c r="A57" s="324" t="s">
        <v>897</v>
      </c>
      <c r="B57" s="335" t="s">
        <v>1113</v>
      </c>
      <c r="C57" s="332">
        <v>364670</v>
      </c>
      <c r="D57" s="326">
        <v>203651</v>
      </c>
      <c r="E57" s="479">
        <v>1.79</v>
      </c>
      <c r="F57" s="337" t="s">
        <v>1093</v>
      </c>
      <c r="G57" s="332">
        <v>364670</v>
      </c>
      <c r="H57" s="332">
        <v>2735</v>
      </c>
      <c r="I57" s="479">
        <v>0.01</v>
      </c>
      <c r="J57" s="482">
        <v>0.01</v>
      </c>
      <c r="K57" s="485">
        <v>361935</v>
      </c>
      <c r="L57" s="332">
        <v>10995</v>
      </c>
      <c r="M57" s="482">
        <v>0.03</v>
      </c>
      <c r="N57" s="485">
        <v>364670</v>
      </c>
      <c r="O57" s="332">
        <v>0</v>
      </c>
      <c r="P57" s="482">
        <v>0</v>
      </c>
      <c r="Q57" s="485">
        <v>364670</v>
      </c>
      <c r="R57" s="332">
        <v>36190</v>
      </c>
      <c r="S57" s="482">
        <v>0.1</v>
      </c>
      <c r="T57" s="482">
        <v>0</v>
      </c>
      <c r="U57" s="485">
        <v>64080</v>
      </c>
      <c r="V57" s="332">
        <v>245</v>
      </c>
      <c r="W57" s="482">
        <v>0</v>
      </c>
      <c r="X57" s="325"/>
      <c r="Y57" s="482">
        <v>0</v>
      </c>
      <c r="Z57" s="332">
        <v>2</v>
      </c>
      <c r="AA57" s="326">
        <v>22</v>
      </c>
      <c r="AB57" s="340">
        <v>1439</v>
      </c>
      <c r="AC57" s="485">
        <v>349425</v>
      </c>
      <c r="AD57" s="332">
        <v>18295</v>
      </c>
      <c r="AE57" s="482">
        <v>0.05</v>
      </c>
      <c r="AF57" s="325"/>
      <c r="AG57" s="482">
        <v>0</v>
      </c>
      <c r="AH57" s="332">
        <v>74</v>
      </c>
      <c r="AI57" s="326">
        <v>219</v>
      </c>
      <c r="AJ57" s="340">
        <v>1439</v>
      </c>
      <c r="AK57" s="332">
        <v>236</v>
      </c>
      <c r="AL57" s="326">
        <v>617</v>
      </c>
      <c r="AM57" s="340">
        <v>1349</v>
      </c>
      <c r="AN57" s="332">
        <v>142</v>
      </c>
      <c r="AO57" s="326">
        <v>282</v>
      </c>
      <c r="AP57" s="340">
        <v>1429</v>
      </c>
      <c r="AQ57" s="485">
        <v>364670</v>
      </c>
      <c r="AR57" s="332">
        <v>0</v>
      </c>
      <c r="AS57" s="482">
        <v>0</v>
      </c>
      <c r="AT57" s="325"/>
      <c r="AU57" s="482">
        <v>0</v>
      </c>
      <c r="AV57" s="332">
        <v>162</v>
      </c>
      <c r="AW57" s="326">
        <v>388</v>
      </c>
      <c r="AX57" s="327">
        <v>1429</v>
      </c>
      <c r="AY57" s="97"/>
      <c r="AZ57" s="97"/>
      <c r="BA57" s="97"/>
    </row>
    <row r="58" spans="1:53" ht="22.5" customHeight="1" x14ac:dyDescent="0.4">
      <c r="A58" s="324" t="s">
        <v>484</v>
      </c>
      <c r="B58" s="335" t="s">
        <v>1114</v>
      </c>
      <c r="C58" s="332">
        <v>24685</v>
      </c>
      <c r="D58" s="326">
        <v>24689</v>
      </c>
      <c r="E58" s="479">
        <v>1</v>
      </c>
      <c r="F58" s="337" t="s">
        <v>1067</v>
      </c>
      <c r="G58" s="332">
        <v>24685</v>
      </c>
      <c r="H58" s="332">
        <v>0</v>
      </c>
      <c r="I58" s="479">
        <v>0</v>
      </c>
      <c r="J58" s="482">
        <v>0.06</v>
      </c>
      <c r="K58" s="485">
        <v>24685</v>
      </c>
      <c r="L58" s="332">
        <v>185</v>
      </c>
      <c r="M58" s="482">
        <v>0.01</v>
      </c>
      <c r="N58" s="485">
        <v>24685</v>
      </c>
      <c r="O58" s="332">
        <v>0</v>
      </c>
      <c r="P58" s="482">
        <v>0</v>
      </c>
      <c r="Q58" s="485">
        <v>24685</v>
      </c>
      <c r="R58" s="332">
        <v>1440</v>
      </c>
      <c r="S58" s="482">
        <v>0.06</v>
      </c>
      <c r="T58" s="482">
        <v>0</v>
      </c>
      <c r="U58" s="485">
        <v>90</v>
      </c>
      <c r="V58" s="332" t="s">
        <v>1274</v>
      </c>
      <c r="W58" s="482" t="s">
        <v>1316</v>
      </c>
      <c r="X58" s="325"/>
      <c r="Y58" s="482" t="s">
        <v>1316</v>
      </c>
      <c r="Z58" s="332">
        <v>4</v>
      </c>
      <c r="AA58" s="326">
        <v>44</v>
      </c>
      <c r="AB58" s="340">
        <v>60</v>
      </c>
      <c r="AC58" s="485">
        <v>24480</v>
      </c>
      <c r="AD58" s="332">
        <v>675</v>
      </c>
      <c r="AE58" s="482">
        <v>0.03</v>
      </c>
      <c r="AF58" s="325"/>
      <c r="AG58" s="482">
        <v>0</v>
      </c>
      <c r="AH58" s="332">
        <v>7</v>
      </c>
      <c r="AI58" s="326">
        <v>45</v>
      </c>
      <c r="AJ58" s="340">
        <v>838</v>
      </c>
      <c r="AK58" s="332" t="s">
        <v>1060</v>
      </c>
      <c r="AL58" s="326" t="s">
        <v>1060</v>
      </c>
      <c r="AM58" s="340" t="s">
        <v>1060</v>
      </c>
      <c r="AN58" s="332">
        <v>50</v>
      </c>
      <c r="AO58" s="326">
        <v>152</v>
      </c>
      <c r="AP58" s="340">
        <v>1418</v>
      </c>
      <c r="AQ58" s="485">
        <v>24685</v>
      </c>
      <c r="AR58" s="332">
        <v>0</v>
      </c>
      <c r="AS58" s="482">
        <v>0</v>
      </c>
      <c r="AT58" s="325"/>
      <c r="AU58" s="482">
        <v>0</v>
      </c>
      <c r="AV58" s="332">
        <v>50</v>
      </c>
      <c r="AW58" s="326">
        <v>152</v>
      </c>
      <c r="AX58" s="327">
        <v>1418</v>
      </c>
      <c r="AY58" s="97"/>
      <c r="AZ58" s="97"/>
      <c r="BA58" s="97"/>
    </row>
    <row r="59" spans="1:53" ht="22.5" customHeight="1" x14ac:dyDescent="0.4">
      <c r="A59" s="324" t="s">
        <v>592</v>
      </c>
      <c r="B59" s="335" t="s">
        <v>1115</v>
      </c>
      <c r="C59" s="332">
        <v>49695</v>
      </c>
      <c r="D59" s="326">
        <v>56013</v>
      </c>
      <c r="E59" s="479">
        <v>0.89</v>
      </c>
      <c r="F59" s="337" t="s">
        <v>1077</v>
      </c>
      <c r="G59" s="332">
        <v>49695</v>
      </c>
      <c r="H59" s="332">
        <v>1945</v>
      </c>
      <c r="I59" s="479">
        <v>0.04</v>
      </c>
      <c r="J59" s="482">
        <v>0</v>
      </c>
      <c r="K59" s="485">
        <v>47750</v>
      </c>
      <c r="L59" s="332">
        <v>1180</v>
      </c>
      <c r="M59" s="482">
        <v>0.02</v>
      </c>
      <c r="N59" s="485">
        <v>49695</v>
      </c>
      <c r="O59" s="332" t="s">
        <v>1274</v>
      </c>
      <c r="P59" s="482" t="s">
        <v>1274</v>
      </c>
      <c r="Q59" s="485">
        <v>49695</v>
      </c>
      <c r="R59" s="332">
        <v>4415</v>
      </c>
      <c r="S59" s="482">
        <v>0.09</v>
      </c>
      <c r="T59" s="482">
        <v>0</v>
      </c>
      <c r="U59" s="485">
        <v>15035</v>
      </c>
      <c r="V59" s="332">
        <v>0</v>
      </c>
      <c r="W59" s="482">
        <v>0</v>
      </c>
      <c r="X59" s="325"/>
      <c r="Y59" s="482">
        <v>0</v>
      </c>
      <c r="Z59" s="332">
        <v>2</v>
      </c>
      <c r="AA59" s="326">
        <v>5</v>
      </c>
      <c r="AB59" s="340">
        <v>1439</v>
      </c>
      <c r="AC59" s="485">
        <v>46560</v>
      </c>
      <c r="AD59" s="332">
        <v>35</v>
      </c>
      <c r="AE59" s="482">
        <v>0</v>
      </c>
      <c r="AF59" s="325"/>
      <c r="AG59" s="482">
        <v>0</v>
      </c>
      <c r="AH59" s="332">
        <v>43</v>
      </c>
      <c r="AI59" s="326">
        <v>171</v>
      </c>
      <c r="AJ59" s="340">
        <v>1438</v>
      </c>
      <c r="AK59" s="332">
        <v>240</v>
      </c>
      <c r="AL59" s="326">
        <v>858</v>
      </c>
      <c r="AM59" s="340">
        <v>1435</v>
      </c>
      <c r="AN59" s="332">
        <v>135</v>
      </c>
      <c r="AO59" s="326">
        <v>323</v>
      </c>
      <c r="AP59" s="340">
        <v>1439</v>
      </c>
      <c r="AQ59" s="485">
        <v>49695</v>
      </c>
      <c r="AR59" s="332">
        <v>400</v>
      </c>
      <c r="AS59" s="482">
        <v>0.01</v>
      </c>
      <c r="AT59" s="325"/>
      <c r="AU59" s="482">
        <v>0</v>
      </c>
      <c r="AV59" s="332">
        <v>161</v>
      </c>
      <c r="AW59" s="326">
        <v>533</v>
      </c>
      <c r="AX59" s="327">
        <v>1439</v>
      </c>
      <c r="AY59" s="97"/>
      <c r="AZ59" s="97"/>
      <c r="BA59" s="97"/>
    </row>
    <row r="60" spans="1:53" ht="22.5" customHeight="1" x14ac:dyDescent="0.4">
      <c r="A60" s="324" t="s">
        <v>297</v>
      </c>
      <c r="B60" s="335" t="s">
        <v>1116</v>
      </c>
      <c r="C60" s="332">
        <v>437250</v>
      </c>
      <c r="D60" s="326">
        <v>492559</v>
      </c>
      <c r="E60" s="479">
        <v>0.89</v>
      </c>
      <c r="F60" s="337" t="s">
        <v>1077</v>
      </c>
      <c r="G60" s="332">
        <v>437250</v>
      </c>
      <c r="H60" s="332">
        <v>24970</v>
      </c>
      <c r="I60" s="479">
        <v>0.06</v>
      </c>
      <c r="J60" s="482">
        <v>0.05</v>
      </c>
      <c r="K60" s="485">
        <v>412280</v>
      </c>
      <c r="L60" s="332">
        <v>14830</v>
      </c>
      <c r="M60" s="482">
        <v>0.04</v>
      </c>
      <c r="N60" s="485">
        <v>437280</v>
      </c>
      <c r="O60" s="332">
        <v>30</v>
      </c>
      <c r="P60" s="482">
        <v>0</v>
      </c>
      <c r="Q60" s="485">
        <v>437250</v>
      </c>
      <c r="R60" s="332">
        <v>41950</v>
      </c>
      <c r="S60" s="482">
        <v>0.1</v>
      </c>
      <c r="T60" s="482">
        <v>0</v>
      </c>
      <c r="U60" s="485">
        <v>93025</v>
      </c>
      <c r="V60" s="332">
        <v>2020</v>
      </c>
      <c r="W60" s="482">
        <v>0.02</v>
      </c>
      <c r="X60" s="325"/>
      <c r="Y60" s="482">
        <v>0.01</v>
      </c>
      <c r="Z60" s="332">
        <v>13</v>
      </c>
      <c r="AA60" s="326">
        <v>75</v>
      </c>
      <c r="AB60" s="340">
        <v>1439</v>
      </c>
      <c r="AC60" s="485">
        <v>397045</v>
      </c>
      <c r="AD60" s="332">
        <v>33535</v>
      </c>
      <c r="AE60" s="482">
        <v>0.08</v>
      </c>
      <c r="AF60" s="325"/>
      <c r="AG60" s="482">
        <v>0</v>
      </c>
      <c r="AH60" s="332">
        <v>60</v>
      </c>
      <c r="AI60" s="326">
        <v>203</v>
      </c>
      <c r="AJ60" s="340">
        <v>1439</v>
      </c>
      <c r="AK60" s="332">
        <v>248</v>
      </c>
      <c r="AL60" s="326">
        <v>728</v>
      </c>
      <c r="AM60" s="340">
        <v>1433</v>
      </c>
      <c r="AN60" s="332">
        <v>167</v>
      </c>
      <c r="AO60" s="326">
        <v>357</v>
      </c>
      <c r="AP60" s="340">
        <v>1433</v>
      </c>
      <c r="AQ60" s="485">
        <v>437250</v>
      </c>
      <c r="AR60" s="332">
        <v>1575</v>
      </c>
      <c r="AS60" s="482">
        <v>0</v>
      </c>
      <c r="AT60" s="325"/>
      <c r="AU60" s="482">
        <v>0</v>
      </c>
      <c r="AV60" s="332">
        <v>180</v>
      </c>
      <c r="AW60" s="326">
        <v>480</v>
      </c>
      <c r="AX60" s="327">
        <v>1433</v>
      </c>
      <c r="AY60" s="97"/>
      <c r="AZ60" s="97"/>
      <c r="BA60" s="97"/>
    </row>
    <row r="61" spans="1:53" ht="22.5" customHeight="1" x14ac:dyDescent="0.4">
      <c r="A61" s="324" t="s">
        <v>371</v>
      </c>
      <c r="B61" s="335" t="s">
        <v>1117</v>
      </c>
      <c r="C61" s="332">
        <v>70505</v>
      </c>
      <c r="D61" s="326">
        <v>70503</v>
      </c>
      <c r="E61" s="479">
        <v>1</v>
      </c>
      <c r="F61" s="337" t="s">
        <v>1067</v>
      </c>
      <c r="G61" s="332">
        <v>70505</v>
      </c>
      <c r="H61" s="332" t="s">
        <v>1274</v>
      </c>
      <c r="I61" s="479" t="s">
        <v>1274</v>
      </c>
      <c r="J61" s="482">
        <v>0.04</v>
      </c>
      <c r="K61" s="485">
        <v>70505</v>
      </c>
      <c r="L61" s="332">
        <v>1660</v>
      </c>
      <c r="M61" s="482">
        <v>0.02</v>
      </c>
      <c r="N61" s="485">
        <v>70505</v>
      </c>
      <c r="O61" s="332">
        <v>0</v>
      </c>
      <c r="P61" s="482">
        <v>0</v>
      </c>
      <c r="Q61" s="485">
        <v>70505</v>
      </c>
      <c r="R61" s="332">
        <v>5460</v>
      </c>
      <c r="S61" s="482">
        <v>0.08</v>
      </c>
      <c r="T61" s="482">
        <v>0</v>
      </c>
      <c r="U61" s="485">
        <v>215</v>
      </c>
      <c r="V61" s="332" t="s">
        <v>1274</v>
      </c>
      <c r="W61" s="482" t="s">
        <v>1316</v>
      </c>
      <c r="X61" s="325"/>
      <c r="Y61" s="482" t="s">
        <v>1316</v>
      </c>
      <c r="Z61" s="332">
        <v>7</v>
      </c>
      <c r="AA61" s="326">
        <v>23</v>
      </c>
      <c r="AB61" s="340">
        <v>174</v>
      </c>
      <c r="AC61" s="485">
        <v>68765</v>
      </c>
      <c r="AD61" s="332">
        <v>395</v>
      </c>
      <c r="AE61" s="482">
        <v>0.01</v>
      </c>
      <c r="AF61" s="325"/>
      <c r="AG61" s="482">
        <v>0</v>
      </c>
      <c r="AH61" s="332">
        <v>27</v>
      </c>
      <c r="AI61" s="326">
        <v>125</v>
      </c>
      <c r="AJ61" s="340">
        <v>337</v>
      </c>
      <c r="AK61" s="332">
        <v>75</v>
      </c>
      <c r="AL61" s="326">
        <v>169</v>
      </c>
      <c r="AM61" s="340">
        <v>236</v>
      </c>
      <c r="AN61" s="332">
        <v>65</v>
      </c>
      <c r="AO61" s="326">
        <v>175</v>
      </c>
      <c r="AP61" s="340">
        <v>551</v>
      </c>
      <c r="AQ61" s="485">
        <v>70505</v>
      </c>
      <c r="AR61" s="332">
        <v>0</v>
      </c>
      <c r="AS61" s="482">
        <v>0</v>
      </c>
      <c r="AT61" s="325"/>
      <c r="AU61" s="482">
        <v>0</v>
      </c>
      <c r="AV61" s="332">
        <v>65</v>
      </c>
      <c r="AW61" s="326">
        <v>175</v>
      </c>
      <c r="AX61" s="327">
        <v>551</v>
      </c>
      <c r="AY61" s="97"/>
      <c r="AZ61" s="97"/>
      <c r="BA61" s="97"/>
    </row>
    <row r="62" spans="1:53" ht="22.5" customHeight="1" x14ac:dyDescent="0.4">
      <c r="A62" s="324" t="s">
        <v>413</v>
      </c>
      <c r="B62" s="335" t="s">
        <v>1118</v>
      </c>
      <c r="C62" s="332">
        <v>140810</v>
      </c>
      <c r="D62" s="326">
        <v>339535</v>
      </c>
      <c r="E62" s="479">
        <v>0.41</v>
      </c>
      <c r="F62" s="337" t="s">
        <v>1093</v>
      </c>
      <c r="G62" s="332">
        <v>140810</v>
      </c>
      <c r="H62" s="332">
        <v>1040</v>
      </c>
      <c r="I62" s="479">
        <v>0.01</v>
      </c>
      <c r="J62" s="482">
        <v>0.01</v>
      </c>
      <c r="K62" s="485">
        <v>139770</v>
      </c>
      <c r="L62" s="332">
        <v>4095</v>
      </c>
      <c r="M62" s="482">
        <v>0.03</v>
      </c>
      <c r="N62" s="485">
        <v>140810</v>
      </c>
      <c r="O62" s="332">
        <v>0</v>
      </c>
      <c r="P62" s="482">
        <v>0</v>
      </c>
      <c r="Q62" s="485">
        <v>140810</v>
      </c>
      <c r="R62" s="332">
        <v>12025</v>
      </c>
      <c r="S62" s="482">
        <v>0.09</v>
      </c>
      <c r="T62" s="482">
        <v>0</v>
      </c>
      <c r="U62" s="485">
        <v>58705</v>
      </c>
      <c r="V62" s="332">
        <v>660</v>
      </c>
      <c r="W62" s="482">
        <v>0.01</v>
      </c>
      <c r="X62" s="325"/>
      <c r="Y62" s="482">
        <v>0</v>
      </c>
      <c r="Z62" s="332">
        <v>7</v>
      </c>
      <c r="AA62" s="326">
        <v>43</v>
      </c>
      <c r="AB62" s="340">
        <v>1431</v>
      </c>
      <c r="AC62" s="485">
        <v>135580</v>
      </c>
      <c r="AD62" s="332">
        <v>970</v>
      </c>
      <c r="AE62" s="482">
        <v>0.01</v>
      </c>
      <c r="AF62" s="325"/>
      <c r="AG62" s="482">
        <v>0</v>
      </c>
      <c r="AH62" s="332">
        <v>92</v>
      </c>
      <c r="AI62" s="326">
        <v>301</v>
      </c>
      <c r="AJ62" s="340">
        <v>1439</v>
      </c>
      <c r="AK62" s="332">
        <v>292</v>
      </c>
      <c r="AL62" s="326">
        <v>1013</v>
      </c>
      <c r="AM62" s="340">
        <v>1439</v>
      </c>
      <c r="AN62" s="332">
        <v>222</v>
      </c>
      <c r="AO62" s="326">
        <v>617</v>
      </c>
      <c r="AP62" s="340">
        <v>1439</v>
      </c>
      <c r="AQ62" s="485">
        <v>140810</v>
      </c>
      <c r="AR62" s="332">
        <v>0</v>
      </c>
      <c r="AS62" s="482">
        <v>0</v>
      </c>
      <c r="AT62" s="325"/>
      <c r="AU62" s="482">
        <v>0</v>
      </c>
      <c r="AV62" s="332">
        <v>235</v>
      </c>
      <c r="AW62" s="326">
        <v>866</v>
      </c>
      <c r="AX62" s="327">
        <v>1439</v>
      </c>
      <c r="AY62" s="97"/>
      <c r="AZ62" s="97"/>
      <c r="BA62" s="97"/>
    </row>
    <row r="63" spans="1:53" ht="22.5" customHeight="1" x14ac:dyDescent="0.4">
      <c r="A63" s="324" t="s">
        <v>467</v>
      </c>
      <c r="B63" s="335" t="s">
        <v>1119</v>
      </c>
      <c r="C63" s="332">
        <v>35410</v>
      </c>
      <c r="D63" s="326">
        <v>70722</v>
      </c>
      <c r="E63" s="479">
        <v>0.5</v>
      </c>
      <c r="F63" s="337" t="s">
        <v>1093</v>
      </c>
      <c r="G63" s="332">
        <v>35410</v>
      </c>
      <c r="H63" s="332">
        <v>390</v>
      </c>
      <c r="I63" s="479">
        <v>0.01</v>
      </c>
      <c r="J63" s="482">
        <v>0.01</v>
      </c>
      <c r="K63" s="485">
        <v>35020</v>
      </c>
      <c r="L63" s="332">
        <v>900</v>
      </c>
      <c r="M63" s="482">
        <v>0.03</v>
      </c>
      <c r="N63" s="485">
        <v>70935</v>
      </c>
      <c r="O63" s="332">
        <v>35525</v>
      </c>
      <c r="P63" s="482">
        <v>0.5</v>
      </c>
      <c r="Q63" s="485">
        <v>35410</v>
      </c>
      <c r="R63" s="332">
        <v>2730</v>
      </c>
      <c r="S63" s="482">
        <v>0.08</v>
      </c>
      <c r="T63" s="482">
        <v>0</v>
      </c>
      <c r="U63" s="485">
        <v>8250</v>
      </c>
      <c r="V63" s="332">
        <v>8250</v>
      </c>
      <c r="W63" s="482">
        <v>1</v>
      </c>
      <c r="X63" s="325"/>
      <c r="Y63" s="482">
        <v>0</v>
      </c>
      <c r="Z63" s="332" t="s">
        <v>1276</v>
      </c>
      <c r="AA63" s="326" t="s">
        <v>1276</v>
      </c>
      <c r="AB63" s="340" t="s">
        <v>1276</v>
      </c>
      <c r="AC63" s="485">
        <v>34120</v>
      </c>
      <c r="AD63" s="332">
        <v>1525</v>
      </c>
      <c r="AE63" s="482">
        <v>0.04</v>
      </c>
      <c r="AF63" s="325"/>
      <c r="AG63" s="482">
        <v>0</v>
      </c>
      <c r="AH63" s="332">
        <v>12</v>
      </c>
      <c r="AI63" s="326">
        <v>76</v>
      </c>
      <c r="AJ63" s="340">
        <v>1438</v>
      </c>
      <c r="AK63" s="332">
        <v>208</v>
      </c>
      <c r="AL63" s="326">
        <v>303</v>
      </c>
      <c r="AM63" s="340">
        <v>1435</v>
      </c>
      <c r="AN63" s="332">
        <v>129</v>
      </c>
      <c r="AO63" s="326">
        <v>236</v>
      </c>
      <c r="AP63" s="340">
        <v>1438</v>
      </c>
      <c r="AQ63" s="485">
        <v>35410</v>
      </c>
      <c r="AR63" s="332">
        <v>10</v>
      </c>
      <c r="AS63" s="482">
        <v>0</v>
      </c>
      <c r="AT63" s="325"/>
      <c r="AU63" s="482">
        <v>0</v>
      </c>
      <c r="AV63" s="332">
        <v>152</v>
      </c>
      <c r="AW63" s="326">
        <v>239</v>
      </c>
      <c r="AX63" s="327">
        <v>1438</v>
      </c>
      <c r="AY63" s="97"/>
      <c r="AZ63" s="97"/>
      <c r="BA63" s="97"/>
    </row>
    <row r="64" spans="1:53" ht="22.5" customHeight="1" x14ac:dyDescent="0.4">
      <c r="A64" s="324" t="s">
        <v>556</v>
      </c>
      <c r="B64" s="335" t="s">
        <v>1120</v>
      </c>
      <c r="C64" s="332">
        <v>47040</v>
      </c>
      <c r="D64" s="326">
        <v>47685</v>
      </c>
      <c r="E64" s="479">
        <v>0.99</v>
      </c>
      <c r="F64" s="337" t="s">
        <v>1067</v>
      </c>
      <c r="G64" s="332">
        <v>47040</v>
      </c>
      <c r="H64" s="332">
        <v>0</v>
      </c>
      <c r="I64" s="479">
        <v>0</v>
      </c>
      <c r="J64" s="482">
        <v>0</v>
      </c>
      <c r="K64" s="485">
        <v>47040</v>
      </c>
      <c r="L64" s="332">
        <v>840</v>
      </c>
      <c r="M64" s="482">
        <v>0.02</v>
      </c>
      <c r="N64" s="485">
        <v>47045</v>
      </c>
      <c r="O64" s="332" t="s">
        <v>1274</v>
      </c>
      <c r="P64" s="482" t="s">
        <v>1274</v>
      </c>
      <c r="Q64" s="485">
        <v>47040</v>
      </c>
      <c r="R64" s="332">
        <v>3010</v>
      </c>
      <c r="S64" s="482">
        <v>0.06</v>
      </c>
      <c r="T64" s="482">
        <v>0</v>
      </c>
      <c r="U64" s="485">
        <v>12735</v>
      </c>
      <c r="V64" s="332">
        <v>0</v>
      </c>
      <c r="W64" s="482">
        <v>0</v>
      </c>
      <c r="X64" s="325"/>
      <c r="Y64" s="482">
        <v>0.05</v>
      </c>
      <c r="Z64" s="332">
        <v>23</v>
      </c>
      <c r="AA64" s="326">
        <v>257</v>
      </c>
      <c r="AB64" s="340">
        <v>1439</v>
      </c>
      <c r="AC64" s="485">
        <v>46140</v>
      </c>
      <c r="AD64" s="332">
        <v>0</v>
      </c>
      <c r="AE64" s="482">
        <v>0</v>
      </c>
      <c r="AF64" s="325"/>
      <c r="AG64" s="482">
        <v>0.01</v>
      </c>
      <c r="AH64" s="332">
        <v>12</v>
      </c>
      <c r="AI64" s="326">
        <v>51</v>
      </c>
      <c r="AJ64" s="340">
        <v>1439</v>
      </c>
      <c r="AK64" s="332">
        <v>235</v>
      </c>
      <c r="AL64" s="326">
        <v>959</v>
      </c>
      <c r="AM64" s="340">
        <v>1434</v>
      </c>
      <c r="AN64" s="332">
        <v>144</v>
      </c>
      <c r="AO64" s="326">
        <v>324</v>
      </c>
      <c r="AP64" s="340">
        <v>1433</v>
      </c>
      <c r="AQ64" s="485">
        <v>47040</v>
      </c>
      <c r="AR64" s="332">
        <v>0</v>
      </c>
      <c r="AS64" s="482">
        <v>0</v>
      </c>
      <c r="AT64" s="325"/>
      <c r="AU64" s="482">
        <v>0</v>
      </c>
      <c r="AV64" s="332">
        <v>169</v>
      </c>
      <c r="AW64" s="326">
        <v>506</v>
      </c>
      <c r="AX64" s="327">
        <v>1434</v>
      </c>
      <c r="AY64" s="97"/>
      <c r="AZ64" s="97"/>
      <c r="BA64" s="97"/>
    </row>
    <row r="65" spans="1:53" ht="22.5" customHeight="1" x14ac:dyDescent="0.4">
      <c r="A65" s="324" t="s">
        <v>568</v>
      </c>
      <c r="B65" s="335" t="s">
        <v>1121</v>
      </c>
      <c r="C65" s="332">
        <v>50405</v>
      </c>
      <c r="D65" s="326">
        <v>50454</v>
      </c>
      <c r="E65" s="479">
        <v>1</v>
      </c>
      <c r="F65" s="337" t="s">
        <v>1067</v>
      </c>
      <c r="G65" s="332">
        <v>50405</v>
      </c>
      <c r="H65" s="332" t="s">
        <v>1274</v>
      </c>
      <c r="I65" s="479" t="s">
        <v>1274</v>
      </c>
      <c r="J65" s="482">
        <v>0.01</v>
      </c>
      <c r="K65" s="485">
        <v>50405</v>
      </c>
      <c r="L65" s="332">
        <v>445</v>
      </c>
      <c r="M65" s="482">
        <v>0.01</v>
      </c>
      <c r="N65" s="485">
        <v>50410</v>
      </c>
      <c r="O65" s="332" t="s">
        <v>1274</v>
      </c>
      <c r="P65" s="482" t="s">
        <v>1274</v>
      </c>
      <c r="Q65" s="485">
        <v>50405</v>
      </c>
      <c r="R65" s="332">
        <v>3385</v>
      </c>
      <c r="S65" s="482">
        <v>7.0000000000000007E-2</v>
      </c>
      <c r="T65" s="482">
        <v>0</v>
      </c>
      <c r="U65" s="485">
        <v>15715</v>
      </c>
      <c r="V65" s="332">
        <v>205</v>
      </c>
      <c r="W65" s="482">
        <v>0.01</v>
      </c>
      <c r="X65" s="325"/>
      <c r="Y65" s="482">
        <v>0</v>
      </c>
      <c r="Z65" s="332">
        <v>8</v>
      </c>
      <c r="AA65" s="326">
        <v>41</v>
      </c>
      <c r="AB65" s="340">
        <v>1156</v>
      </c>
      <c r="AC65" s="485">
        <v>49805</v>
      </c>
      <c r="AD65" s="332">
        <v>6605</v>
      </c>
      <c r="AE65" s="482">
        <v>0.13</v>
      </c>
      <c r="AF65" s="325"/>
      <c r="AG65" s="482">
        <v>0</v>
      </c>
      <c r="AH65" s="332">
        <v>52</v>
      </c>
      <c r="AI65" s="326">
        <v>155</v>
      </c>
      <c r="AJ65" s="340">
        <v>1431</v>
      </c>
      <c r="AK65" s="332">
        <v>202</v>
      </c>
      <c r="AL65" s="326">
        <v>324</v>
      </c>
      <c r="AM65" s="340">
        <v>1424</v>
      </c>
      <c r="AN65" s="332">
        <v>138</v>
      </c>
      <c r="AO65" s="326">
        <v>239</v>
      </c>
      <c r="AP65" s="340">
        <v>1438</v>
      </c>
      <c r="AQ65" s="485">
        <v>50405</v>
      </c>
      <c r="AR65" s="332">
        <v>100</v>
      </c>
      <c r="AS65" s="482">
        <v>0</v>
      </c>
      <c r="AT65" s="325"/>
      <c r="AU65" s="482">
        <v>0</v>
      </c>
      <c r="AV65" s="332">
        <v>158</v>
      </c>
      <c r="AW65" s="326">
        <v>261</v>
      </c>
      <c r="AX65" s="327">
        <v>1438</v>
      </c>
      <c r="AY65" s="97"/>
      <c r="AZ65" s="97"/>
      <c r="BA65" s="97"/>
    </row>
    <row r="66" spans="1:53" ht="22.5" customHeight="1" x14ac:dyDescent="0.4">
      <c r="A66" s="324" t="s">
        <v>539</v>
      </c>
      <c r="B66" s="335" t="s">
        <v>1122</v>
      </c>
      <c r="C66" s="332">
        <v>134055</v>
      </c>
      <c r="D66" s="326">
        <v>132709</v>
      </c>
      <c r="E66" s="479">
        <v>1.01</v>
      </c>
      <c r="F66" s="337" t="s">
        <v>1067</v>
      </c>
      <c r="G66" s="332">
        <v>134055</v>
      </c>
      <c r="H66" s="332">
        <v>0</v>
      </c>
      <c r="I66" s="479">
        <v>0</v>
      </c>
      <c r="J66" s="482">
        <v>0</v>
      </c>
      <c r="K66" s="485">
        <v>134055</v>
      </c>
      <c r="L66" s="332">
        <v>4865</v>
      </c>
      <c r="M66" s="482">
        <v>0.04</v>
      </c>
      <c r="N66" s="485">
        <v>134055</v>
      </c>
      <c r="O66" s="332">
        <v>0</v>
      </c>
      <c r="P66" s="482">
        <v>0</v>
      </c>
      <c r="Q66" s="485">
        <v>134055</v>
      </c>
      <c r="R66" s="332">
        <v>12330</v>
      </c>
      <c r="S66" s="482">
        <v>0.09</v>
      </c>
      <c r="T66" s="482">
        <v>0</v>
      </c>
      <c r="U66" s="485">
        <v>35390</v>
      </c>
      <c r="V66" s="332">
        <v>515</v>
      </c>
      <c r="W66" s="482">
        <v>0.01</v>
      </c>
      <c r="X66" s="325"/>
      <c r="Y66" s="482">
        <v>0</v>
      </c>
      <c r="Z66" s="332">
        <v>3</v>
      </c>
      <c r="AA66" s="326">
        <v>35</v>
      </c>
      <c r="AB66" s="340">
        <v>323</v>
      </c>
      <c r="AC66" s="485">
        <v>127295</v>
      </c>
      <c r="AD66" s="332">
        <v>85</v>
      </c>
      <c r="AE66" s="482">
        <v>0</v>
      </c>
      <c r="AF66" s="325"/>
      <c r="AG66" s="482">
        <v>0</v>
      </c>
      <c r="AH66" s="332">
        <v>56</v>
      </c>
      <c r="AI66" s="326">
        <v>210</v>
      </c>
      <c r="AJ66" s="340">
        <v>760</v>
      </c>
      <c r="AK66" s="332">
        <v>231</v>
      </c>
      <c r="AL66" s="326">
        <v>564</v>
      </c>
      <c r="AM66" s="340">
        <v>1439</v>
      </c>
      <c r="AN66" s="332">
        <v>134</v>
      </c>
      <c r="AO66" s="326">
        <v>295</v>
      </c>
      <c r="AP66" s="340">
        <v>1385</v>
      </c>
      <c r="AQ66" s="485">
        <v>134055</v>
      </c>
      <c r="AR66" s="332">
        <v>0</v>
      </c>
      <c r="AS66" s="482">
        <v>0</v>
      </c>
      <c r="AT66" s="325"/>
      <c r="AU66" s="482">
        <v>0</v>
      </c>
      <c r="AV66" s="332">
        <v>161</v>
      </c>
      <c r="AW66" s="326">
        <v>390</v>
      </c>
      <c r="AX66" s="327">
        <v>1439</v>
      </c>
      <c r="AY66" s="97"/>
      <c r="AZ66" s="97"/>
      <c r="BA66" s="97"/>
    </row>
    <row r="67" spans="1:53" ht="22.5" customHeight="1" x14ac:dyDescent="0.4">
      <c r="A67" s="324" t="s">
        <v>487</v>
      </c>
      <c r="B67" s="335" t="s">
        <v>1123</v>
      </c>
      <c r="C67" s="332">
        <v>109130</v>
      </c>
      <c r="D67" s="326">
        <v>109133</v>
      </c>
      <c r="E67" s="479">
        <v>1</v>
      </c>
      <c r="F67" s="337" t="s">
        <v>1067</v>
      </c>
      <c r="G67" s="332">
        <v>109130</v>
      </c>
      <c r="H67" s="332">
        <v>2980</v>
      </c>
      <c r="I67" s="479">
        <v>0.03</v>
      </c>
      <c r="J67" s="482">
        <v>0.01</v>
      </c>
      <c r="K67" s="485">
        <v>106150</v>
      </c>
      <c r="L67" s="332">
        <v>2710</v>
      </c>
      <c r="M67" s="482">
        <v>0.03</v>
      </c>
      <c r="N67" s="485">
        <v>109130</v>
      </c>
      <c r="O67" s="332">
        <v>0</v>
      </c>
      <c r="P67" s="482">
        <v>0</v>
      </c>
      <c r="Q67" s="485">
        <v>109130</v>
      </c>
      <c r="R67" s="332">
        <v>10110</v>
      </c>
      <c r="S67" s="482">
        <v>0.09</v>
      </c>
      <c r="T67" s="482">
        <v>0</v>
      </c>
      <c r="U67" s="485">
        <v>28325</v>
      </c>
      <c r="V67" s="332">
        <v>0</v>
      </c>
      <c r="W67" s="482">
        <v>0</v>
      </c>
      <c r="X67" s="325"/>
      <c r="Y67" s="482">
        <v>0</v>
      </c>
      <c r="Z67" s="332">
        <v>0</v>
      </c>
      <c r="AA67" s="326">
        <v>9</v>
      </c>
      <c r="AB67" s="340">
        <v>1436</v>
      </c>
      <c r="AC67" s="485">
        <v>102900</v>
      </c>
      <c r="AD67" s="332">
        <v>0</v>
      </c>
      <c r="AE67" s="482">
        <v>0</v>
      </c>
      <c r="AF67" s="325"/>
      <c r="AG67" s="482">
        <v>0</v>
      </c>
      <c r="AH67" s="332">
        <v>39</v>
      </c>
      <c r="AI67" s="326">
        <v>191</v>
      </c>
      <c r="AJ67" s="340">
        <v>1438</v>
      </c>
      <c r="AK67" s="332">
        <v>218</v>
      </c>
      <c r="AL67" s="326">
        <v>489</v>
      </c>
      <c r="AM67" s="340">
        <v>1369</v>
      </c>
      <c r="AN67" s="332">
        <v>82</v>
      </c>
      <c r="AO67" s="326">
        <v>240</v>
      </c>
      <c r="AP67" s="340">
        <v>1366</v>
      </c>
      <c r="AQ67" s="485">
        <v>109130</v>
      </c>
      <c r="AR67" s="332">
        <v>0</v>
      </c>
      <c r="AS67" s="482">
        <v>0</v>
      </c>
      <c r="AT67" s="325"/>
      <c r="AU67" s="482">
        <v>0</v>
      </c>
      <c r="AV67" s="332">
        <v>119</v>
      </c>
      <c r="AW67" s="326">
        <v>343</v>
      </c>
      <c r="AX67" s="327">
        <v>1369</v>
      </c>
      <c r="AY67" s="97"/>
      <c r="AZ67" s="97"/>
      <c r="BA67" s="97"/>
    </row>
    <row r="68" spans="1:53" ht="22.5" customHeight="1" x14ac:dyDescent="0.4">
      <c r="A68" s="324" t="s">
        <v>310</v>
      </c>
      <c r="B68" s="335" t="s">
        <v>1124</v>
      </c>
      <c r="C68" s="332">
        <v>134270</v>
      </c>
      <c r="D68" s="326">
        <v>134746</v>
      </c>
      <c r="E68" s="479">
        <v>1</v>
      </c>
      <c r="F68" s="337" t="s">
        <v>1067</v>
      </c>
      <c r="G68" s="332">
        <v>134270</v>
      </c>
      <c r="H68" s="332">
        <v>0</v>
      </c>
      <c r="I68" s="479">
        <v>0</v>
      </c>
      <c r="J68" s="482">
        <v>0.16</v>
      </c>
      <c r="K68" s="485">
        <v>134270</v>
      </c>
      <c r="L68" s="332">
        <v>8035</v>
      </c>
      <c r="M68" s="482">
        <v>0.06</v>
      </c>
      <c r="N68" s="485">
        <v>134270</v>
      </c>
      <c r="O68" s="332">
        <v>0</v>
      </c>
      <c r="P68" s="482">
        <v>0</v>
      </c>
      <c r="Q68" s="485">
        <v>134270</v>
      </c>
      <c r="R68" s="332">
        <v>9900</v>
      </c>
      <c r="S68" s="482">
        <v>7.0000000000000007E-2</v>
      </c>
      <c r="T68" s="482">
        <v>0</v>
      </c>
      <c r="U68" s="485">
        <v>41910</v>
      </c>
      <c r="V68" s="332" t="s">
        <v>1274</v>
      </c>
      <c r="W68" s="482" t="s">
        <v>1274</v>
      </c>
      <c r="X68" s="325"/>
      <c r="Y68" s="482">
        <v>0</v>
      </c>
      <c r="Z68" s="332">
        <v>9</v>
      </c>
      <c r="AA68" s="326">
        <v>130</v>
      </c>
      <c r="AB68" s="340">
        <v>1425</v>
      </c>
      <c r="AC68" s="485">
        <v>124775</v>
      </c>
      <c r="AD68" s="332">
        <v>21125</v>
      </c>
      <c r="AE68" s="482">
        <v>0.17</v>
      </c>
      <c r="AF68" s="325"/>
      <c r="AG68" s="482">
        <v>0</v>
      </c>
      <c r="AH68" s="332">
        <v>93</v>
      </c>
      <c r="AI68" s="326">
        <v>245</v>
      </c>
      <c r="AJ68" s="340">
        <v>1439</v>
      </c>
      <c r="AK68" s="332">
        <v>236</v>
      </c>
      <c r="AL68" s="326">
        <v>462</v>
      </c>
      <c r="AM68" s="340">
        <v>1426</v>
      </c>
      <c r="AN68" s="332">
        <v>190</v>
      </c>
      <c r="AO68" s="326">
        <v>424</v>
      </c>
      <c r="AP68" s="340">
        <v>1439</v>
      </c>
      <c r="AQ68" s="485">
        <v>134270</v>
      </c>
      <c r="AR68" s="332">
        <v>85</v>
      </c>
      <c r="AS68" s="482">
        <v>0</v>
      </c>
      <c r="AT68" s="325"/>
      <c r="AU68" s="482">
        <v>0</v>
      </c>
      <c r="AV68" s="332">
        <v>197</v>
      </c>
      <c r="AW68" s="326">
        <v>430</v>
      </c>
      <c r="AX68" s="327">
        <v>1439</v>
      </c>
      <c r="AY68" s="97"/>
      <c r="AZ68" s="97"/>
      <c r="BA68" s="97"/>
    </row>
    <row r="69" spans="1:53" ht="22.5" customHeight="1" x14ac:dyDescent="0.4">
      <c r="A69" s="324" t="s">
        <v>497</v>
      </c>
      <c r="B69" s="335" t="s">
        <v>1125</v>
      </c>
      <c r="C69" s="332">
        <v>101025</v>
      </c>
      <c r="D69" s="326">
        <v>101044</v>
      </c>
      <c r="E69" s="479">
        <v>1</v>
      </c>
      <c r="F69" s="337" t="s">
        <v>1067</v>
      </c>
      <c r="G69" s="332">
        <v>101025</v>
      </c>
      <c r="H69" s="332">
        <v>0</v>
      </c>
      <c r="I69" s="479">
        <v>0</v>
      </c>
      <c r="J69" s="482" t="s">
        <v>1274</v>
      </c>
      <c r="K69" s="485">
        <v>101025</v>
      </c>
      <c r="L69" s="332">
        <v>1655</v>
      </c>
      <c r="M69" s="482">
        <v>0.02</v>
      </c>
      <c r="N69" s="485">
        <v>101025</v>
      </c>
      <c r="O69" s="332">
        <v>0</v>
      </c>
      <c r="P69" s="482">
        <v>0</v>
      </c>
      <c r="Q69" s="485">
        <v>101025</v>
      </c>
      <c r="R69" s="332">
        <v>6895</v>
      </c>
      <c r="S69" s="482">
        <v>7.0000000000000007E-2</v>
      </c>
      <c r="T69" s="482">
        <v>0</v>
      </c>
      <c r="U69" s="485">
        <v>30690</v>
      </c>
      <c r="V69" s="332">
        <v>10945</v>
      </c>
      <c r="W69" s="482">
        <v>0.36</v>
      </c>
      <c r="X69" s="325"/>
      <c r="Y69" s="482">
        <v>0</v>
      </c>
      <c r="Z69" s="332">
        <v>15</v>
      </c>
      <c r="AA69" s="326">
        <v>61</v>
      </c>
      <c r="AB69" s="340">
        <v>444</v>
      </c>
      <c r="AC69" s="485">
        <v>97765</v>
      </c>
      <c r="AD69" s="332">
        <v>970</v>
      </c>
      <c r="AE69" s="482">
        <v>0.01</v>
      </c>
      <c r="AF69" s="325"/>
      <c r="AG69" s="482">
        <v>0</v>
      </c>
      <c r="AH69" s="332">
        <v>57</v>
      </c>
      <c r="AI69" s="326">
        <v>189</v>
      </c>
      <c r="AJ69" s="340">
        <v>951</v>
      </c>
      <c r="AK69" s="332">
        <v>233</v>
      </c>
      <c r="AL69" s="326">
        <v>521</v>
      </c>
      <c r="AM69" s="340">
        <v>1196</v>
      </c>
      <c r="AN69" s="332">
        <v>130</v>
      </c>
      <c r="AO69" s="326">
        <v>258</v>
      </c>
      <c r="AP69" s="340">
        <v>1125</v>
      </c>
      <c r="AQ69" s="485">
        <v>101025</v>
      </c>
      <c r="AR69" s="332">
        <v>0</v>
      </c>
      <c r="AS69" s="482">
        <v>0</v>
      </c>
      <c r="AT69" s="325"/>
      <c r="AU69" s="482">
        <v>0</v>
      </c>
      <c r="AV69" s="332">
        <v>155</v>
      </c>
      <c r="AW69" s="326">
        <v>384</v>
      </c>
      <c r="AX69" s="327">
        <v>1196</v>
      </c>
      <c r="AY69" s="97"/>
      <c r="AZ69" s="97"/>
      <c r="BA69" s="97"/>
    </row>
    <row r="70" spans="1:53" ht="22.5" customHeight="1" x14ac:dyDescent="0.4">
      <c r="A70" s="324" t="s">
        <v>464</v>
      </c>
      <c r="B70" s="335" t="s">
        <v>1126</v>
      </c>
      <c r="C70" s="332">
        <v>262685</v>
      </c>
      <c r="D70" s="326">
        <v>264470</v>
      </c>
      <c r="E70" s="479">
        <v>0.99</v>
      </c>
      <c r="F70" s="337" t="s">
        <v>1067</v>
      </c>
      <c r="G70" s="332">
        <v>262685</v>
      </c>
      <c r="H70" s="332">
        <v>305</v>
      </c>
      <c r="I70" s="479">
        <v>0</v>
      </c>
      <c r="J70" s="482">
        <v>0</v>
      </c>
      <c r="K70" s="485">
        <v>262380</v>
      </c>
      <c r="L70" s="332">
        <v>13710</v>
      </c>
      <c r="M70" s="482">
        <v>0.05</v>
      </c>
      <c r="N70" s="485">
        <v>263870</v>
      </c>
      <c r="O70" s="332">
        <v>1180</v>
      </c>
      <c r="P70" s="482">
        <v>0</v>
      </c>
      <c r="Q70" s="485">
        <v>262685</v>
      </c>
      <c r="R70" s="332">
        <v>23595</v>
      </c>
      <c r="S70" s="482">
        <v>0.09</v>
      </c>
      <c r="T70" s="482">
        <v>0</v>
      </c>
      <c r="U70" s="485">
        <v>49620</v>
      </c>
      <c r="V70" s="332">
        <v>0</v>
      </c>
      <c r="W70" s="482">
        <v>0</v>
      </c>
      <c r="X70" s="325"/>
      <c r="Y70" s="482">
        <v>0.23</v>
      </c>
      <c r="Z70" s="332">
        <v>21</v>
      </c>
      <c r="AA70" s="326">
        <v>1081</v>
      </c>
      <c r="AB70" s="340">
        <v>1439</v>
      </c>
      <c r="AC70" s="485">
        <v>248350</v>
      </c>
      <c r="AD70" s="332">
        <v>0</v>
      </c>
      <c r="AE70" s="482">
        <v>0</v>
      </c>
      <c r="AF70" s="325"/>
      <c r="AG70" s="482">
        <v>0.04</v>
      </c>
      <c r="AH70" s="332">
        <v>89</v>
      </c>
      <c r="AI70" s="326">
        <v>294</v>
      </c>
      <c r="AJ70" s="340">
        <v>1439</v>
      </c>
      <c r="AK70" s="332">
        <v>238</v>
      </c>
      <c r="AL70" s="326">
        <v>909</v>
      </c>
      <c r="AM70" s="340">
        <v>1439</v>
      </c>
      <c r="AN70" s="332">
        <v>156</v>
      </c>
      <c r="AO70" s="326">
        <v>352</v>
      </c>
      <c r="AP70" s="340">
        <v>1439</v>
      </c>
      <c r="AQ70" s="485">
        <v>262685</v>
      </c>
      <c r="AR70" s="332">
        <v>0</v>
      </c>
      <c r="AS70" s="482">
        <v>0</v>
      </c>
      <c r="AT70" s="325"/>
      <c r="AU70" s="482">
        <v>0</v>
      </c>
      <c r="AV70" s="332">
        <v>180</v>
      </c>
      <c r="AW70" s="326">
        <v>514</v>
      </c>
      <c r="AX70" s="327">
        <v>1439</v>
      </c>
      <c r="AY70" s="97"/>
      <c r="AZ70" s="97"/>
      <c r="BA70" s="97"/>
    </row>
    <row r="71" spans="1:53" ht="22.5" customHeight="1" x14ac:dyDescent="0.4">
      <c r="A71" s="324" t="s">
        <v>433</v>
      </c>
      <c r="B71" s="335" t="s">
        <v>1127</v>
      </c>
      <c r="C71" s="332">
        <v>175160</v>
      </c>
      <c r="D71" s="326">
        <v>175167</v>
      </c>
      <c r="E71" s="479">
        <v>1</v>
      </c>
      <c r="F71" s="337" t="s">
        <v>1067</v>
      </c>
      <c r="G71" s="332">
        <v>175160</v>
      </c>
      <c r="H71" s="332">
        <v>4215</v>
      </c>
      <c r="I71" s="479">
        <v>0.02</v>
      </c>
      <c r="J71" s="482">
        <v>0</v>
      </c>
      <c r="K71" s="485">
        <v>170945</v>
      </c>
      <c r="L71" s="332">
        <v>5510</v>
      </c>
      <c r="M71" s="482">
        <v>0.03</v>
      </c>
      <c r="N71" s="485">
        <v>175160</v>
      </c>
      <c r="O71" s="332">
        <v>0</v>
      </c>
      <c r="P71" s="482">
        <v>0</v>
      </c>
      <c r="Q71" s="485">
        <v>175160</v>
      </c>
      <c r="R71" s="332">
        <v>15730</v>
      </c>
      <c r="S71" s="482">
        <v>0.09</v>
      </c>
      <c r="T71" s="482">
        <v>0</v>
      </c>
      <c r="U71" s="485">
        <v>37615</v>
      </c>
      <c r="V71" s="332">
        <v>1280</v>
      </c>
      <c r="W71" s="482">
        <v>0.03</v>
      </c>
      <c r="X71" s="325"/>
      <c r="Y71" s="482">
        <v>0</v>
      </c>
      <c r="Z71" s="332">
        <v>12</v>
      </c>
      <c r="AA71" s="326">
        <v>51</v>
      </c>
      <c r="AB71" s="340">
        <v>1075</v>
      </c>
      <c r="AC71" s="485">
        <v>165205</v>
      </c>
      <c r="AD71" s="332">
        <v>515</v>
      </c>
      <c r="AE71" s="482">
        <v>0</v>
      </c>
      <c r="AF71" s="325"/>
      <c r="AG71" s="482">
        <v>0</v>
      </c>
      <c r="AH71" s="332">
        <v>98</v>
      </c>
      <c r="AI71" s="326">
        <v>237</v>
      </c>
      <c r="AJ71" s="340">
        <v>1426</v>
      </c>
      <c r="AK71" s="332">
        <v>237</v>
      </c>
      <c r="AL71" s="326">
        <v>646</v>
      </c>
      <c r="AM71" s="340">
        <v>1430</v>
      </c>
      <c r="AN71" s="332">
        <v>177</v>
      </c>
      <c r="AO71" s="326">
        <v>354</v>
      </c>
      <c r="AP71" s="340">
        <v>1437</v>
      </c>
      <c r="AQ71" s="485">
        <v>175160</v>
      </c>
      <c r="AR71" s="332" t="s">
        <v>1274</v>
      </c>
      <c r="AS71" s="482" t="s">
        <v>1274</v>
      </c>
      <c r="AT71" s="325"/>
      <c r="AU71" s="482">
        <v>0</v>
      </c>
      <c r="AV71" s="332">
        <v>187</v>
      </c>
      <c r="AW71" s="326">
        <v>433</v>
      </c>
      <c r="AX71" s="327">
        <v>1437</v>
      </c>
      <c r="AY71" s="97"/>
      <c r="AZ71" s="97"/>
      <c r="BA71" s="97"/>
    </row>
    <row r="72" spans="1:53" ht="22.5" customHeight="1" x14ac:dyDescent="0.4">
      <c r="A72" s="324" t="s">
        <v>516</v>
      </c>
      <c r="B72" s="335" t="s">
        <v>1128</v>
      </c>
      <c r="C72" s="332">
        <v>94160</v>
      </c>
      <c r="D72" s="326">
        <v>162553</v>
      </c>
      <c r="E72" s="479">
        <v>0.57999999999999996</v>
      </c>
      <c r="F72" s="337" t="s">
        <v>1093</v>
      </c>
      <c r="G72" s="332">
        <v>94160</v>
      </c>
      <c r="H72" s="332">
        <v>0</v>
      </c>
      <c r="I72" s="479">
        <v>0</v>
      </c>
      <c r="J72" s="482">
        <v>0</v>
      </c>
      <c r="K72" s="485">
        <v>94160</v>
      </c>
      <c r="L72" s="332">
        <v>2185</v>
      </c>
      <c r="M72" s="482">
        <v>0.02</v>
      </c>
      <c r="N72" s="485">
        <v>94160</v>
      </c>
      <c r="O72" s="332">
        <v>0</v>
      </c>
      <c r="P72" s="482">
        <v>0</v>
      </c>
      <c r="Q72" s="485">
        <v>94160</v>
      </c>
      <c r="R72" s="332">
        <v>7080</v>
      </c>
      <c r="S72" s="482">
        <v>0.08</v>
      </c>
      <c r="T72" s="482">
        <v>0</v>
      </c>
      <c r="U72" s="485">
        <v>26030</v>
      </c>
      <c r="V72" s="332">
        <v>16225</v>
      </c>
      <c r="W72" s="482">
        <v>0.62</v>
      </c>
      <c r="X72" s="325"/>
      <c r="Y72" s="482">
        <v>0</v>
      </c>
      <c r="Z72" s="332">
        <v>1</v>
      </c>
      <c r="AA72" s="326">
        <v>4</v>
      </c>
      <c r="AB72" s="340">
        <v>1439</v>
      </c>
      <c r="AC72" s="485">
        <v>91440</v>
      </c>
      <c r="AD72" s="332">
        <v>2350</v>
      </c>
      <c r="AE72" s="482">
        <v>0.03</v>
      </c>
      <c r="AF72" s="325"/>
      <c r="AG72" s="482">
        <v>0</v>
      </c>
      <c r="AH72" s="332">
        <v>80</v>
      </c>
      <c r="AI72" s="326">
        <v>247</v>
      </c>
      <c r="AJ72" s="340">
        <v>1434</v>
      </c>
      <c r="AK72" s="332">
        <v>239</v>
      </c>
      <c r="AL72" s="326">
        <v>898</v>
      </c>
      <c r="AM72" s="340">
        <v>1434</v>
      </c>
      <c r="AN72" s="332">
        <v>148</v>
      </c>
      <c r="AO72" s="326">
        <v>427</v>
      </c>
      <c r="AP72" s="340">
        <v>1417</v>
      </c>
      <c r="AQ72" s="485">
        <v>94160</v>
      </c>
      <c r="AR72" s="332">
        <v>0</v>
      </c>
      <c r="AS72" s="482">
        <v>0</v>
      </c>
      <c r="AT72" s="325"/>
      <c r="AU72" s="482">
        <v>0</v>
      </c>
      <c r="AV72" s="332">
        <v>191</v>
      </c>
      <c r="AW72" s="326">
        <v>592</v>
      </c>
      <c r="AX72" s="327">
        <v>1434</v>
      </c>
      <c r="AY72" s="97"/>
      <c r="AZ72" s="97"/>
      <c r="BA72" s="97"/>
    </row>
    <row r="73" spans="1:53" ht="22.5" customHeight="1" x14ac:dyDescent="0.4">
      <c r="A73" s="324" t="s">
        <v>431</v>
      </c>
      <c r="B73" s="335" t="s">
        <v>1129</v>
      </c>
      <c r="C73" s="332">
        <v>56580</v>
      </c>
      <c r="D73" s="326">
        <v>63231</v>
      </c>
      <c r="E73" s="479">
        <v>0.89</v>
      </c>
      <c r="F73" s="337" t="s">
        <v>1077</v>
      </c>
      <c r="G73" s="332">
        <v>56580</v>
      </c>
      <c r="H73" s="332">
        <v>0</v>
      </c>
      <c r="I73" s="479">
        <v>0</v>
      </c>
      <c r="J73" s="482">
        <v>0.14000000000000001</v>
      </c>
      <c r="K73" s="485">
        <v>56580</v>
      </c>
      <c r="L73" s="332">
        <v>855</v>
      </c>
      <c r="M73" s="482">
        <v>0.02</v>
      </c>
      <c r="N73" s="485">
        <v>56580</v>
      </c>
      <c r="O73" s="332">
        <v>0</v>
      </c>
      <c r="P73" s="482">
        <v>0</v>
      </c>
      <c r="Q73" s="485">
        <v>56580</v>
      </c>
      <c r="R73" s="332">
        <v>9930</v>
      </c>
      <c r="S73" s="482">
        <v>0.18</v>
      </c>
      <c r="T73" s="482">
        <v>0</v>
      </c>
      <c r="U73" s="485" t="s">
        <v>1060</v>
      </c>
      <c r="V73" s="332" t="s">
        <v>1060</v>
      </c>
      <c r="W73" s="482" t="s">
        <v>1060</v>
      </c>
      <c r="X73" s="325"/>
      <c r="Y73" s="482" t="s">
        <v>1060</v>
      </c>
      <c r="Z73" s="332" t="s">
        <v>1060</v>
      </c>
      <c r="AA73" s="326" t="s">
        <v>1060</v>
      </c>
      <c r="AB73" s="340" t="s">
        <v>1060</v>
      </c>
      <c r="AC73" s="485">
        <v>55705</v>
      </c>
      <c r="AD73" s="332">
        <v>0</v>
      </c>
      <c r="AE73" s="482">
        <v>0</v>
      </c>
      <c r="AF73" s="325" t="s">
        <v>1062</v>
      </c>
      <c r="AG73" s="482">
        <v>0</v>
      </c>
      <c r="AH73" s="332" t="s">
        <v>1275</v>
      </c>
      <c r="AI73" s="326" t="s">
        <v>1275</v>
      </c>
      <c r="AJ73" s="340" t="s">
        <v>1275</v>
      </c>
      <c r="AK73" s="332" t="s">
        <v>1060</v>
      </c>
      <c r="AL73" s="326" t="s">
        <v>1060</v>
      </c>
      <c r="AM73" s="340" t="s">
        <v>1060</v>
      </c>
      <c r="AN73" s="332">
        <v>64</v>
      </c>
      <c r="AO73" s="326">
        <v>191</v>
      </c>
      <c r="AP73" s="340">
        <v>1258</v>
      </c>
      <c r="AQ73" s="485">
        <v>56580</v>
      </c>
      <c r="AR73" s="332">
        <v>0</v>
      </c>
      <c r="AS73" s="482">
        <v>0</v>
      </c>
      <c r="AT73" s="325"/>
      <c r="AU73" s="482">
        <v>0</v>
      </c>
      <c r="AV73" s="332">
        <v>64</v>
      </c>
      <c r="AW73" s="326">
        <v>191</v>
      </c>
      <c r="AX73" s="327">
        <v>1258</v>
      </c>
      <c r="AY73" s="97"/>
      <c r="AZ73" s="97"/>
      <c r="BA73" s="97"/>
    </row>
    <row r="74" spans="1:53" ht="22.5" customHeight="1" x14ac:dyDescent="0.4">
      <c r="A74" s="324" t="s">
        <v>401</v>
      </c>
      <c r="B74" s="335" t="s">
        <v>1130</v>
      </c>
      <c r="C74" s="332">
        <v>116985</v>
      </c>
      <c r="D74" s="326">
        <v>118397</v>
      </c>
      <c r="E74" s="479">
        <v>0.99</v>
      </c>
      <c r="F74" s="337" t="s">
        <v>1067</v>
      </c>
      <c r="G74" s="332">
        <v>116985</v>
      </c>
      <c r="H74" s="332">
        <v>205</v>
      </c>
      <c r="I74" s="479">
        <v>0</v>
      </c>
      <c r="J74" s="482">
        <v>0</v>
      </c>
      <c r="K74" s="485">
        <v>116780</v>
      </c>
      <c r="L74" s="332">
        <v>1505</v>
      </c>
      <c r="M74" s="482">
        <v>0.01</v>
      </c>
      <c r="N74" s="485">
        <v>116985</v>
      </c>
      <c r="O74" s="332">
        <v>0</v>
      </c>
      <c r="P74" s="482">
        <v>0</v>
      </c>
      <c r="Q74" s="485">
        <v>116985</v>
      </c>
      <c r="R74" s="332">
        <v>10275</v>
      </c>
      <c r="S74" s="482">
        <v>0.09</v>
      </c>
      <c r="T74" s="482">
        <v>0</v>
      </c>
      <c r="U74" s="485">
        <v>26155</v>
      </c>
      <c r="V74" s="332">
        <v>100</v>
      </c>
      <c r="W74" s="482">
        <v>0</v>
      </c>
      <c r="X74" s="325"/>
      <c r="Y74" s="482">
        <v>0</v>
      </c>
      <c r="Z74" s="332">
        <v>19</v>
      </c>
      <c r="AA74" s="326">
        <v>773</v>
      </c>
      <c r="AB74" s="340">
        <v>1439</v>
      </c>
      <c r="AC74" s="485">
        <v>115180</v>
      </c>
      <c r="AD74" s="332">
        <v>155</v>
      </c>
      <c r="AE74" s="482">
        <v>0</v>
      </c>
      <c r="AF74" s="325"/>
      <c r="AG74" s="482">
        <v>0</v>
      </c>
      <c r="AH74" s="332">
        <v>19</v>
      </c>
      <c r="AI74" s="326">
        <v>69</v>
      </c>
      <c r="AJ74" s="340">
        <v>1439</v>
      </c>
      <c r="AK74" s="332">
        <v>244</v>
      </c>
      <c r="AL74" s="326">
        <v>739</v>
      </c>
      <c r="AM74" s="340">
        <v>1431</v>
      </c>
      <c r="AN74" s="332">
        <v>164</v>
      </c>
      <c r="AO74" s="326">
        <v>308</v>
      </c>
      <c r="AP74" s="340">
        <v>1438</v>
      </c>
      <c r="AQ74" s="485">
        <v>116985</v>
      </c>
      <c r="AR74" s="332">
        <v>30</v>
      </c>
      <c r="AS74" s="482">
        <v>0</v>
      </c>
      <c r="AT74" s="325"/>
      <c r="AU74" s="482">
        <v>0</v>
      </c>
      <c r="AV74" s="332">
        <v>180</v>
      </c>
      <c r="AW74" s="326">
        <v>432</v>
      </c>
      <c r="AX74" s="327">
        <v>1438</v>
      </c>
      <c r="AY74" s="97"/>
      <c r="AZ74" s="97"/>
      <c r="BA74" s="97"/>
    </row>
    <row r="75" spans="1:53" ht="22.5" customHeight="1" x14ac:dyDescent="0.4">
      <c r="A75" s="324" t="s">
        <v>510</v>
      </c>
      <c r="B75" s="335" t="s">
        <v>1131</v>
      </c>
      <c r="C75" s="332">
        <v>70940</v>
      </c>
      <c r="D75" s="326">
        <v>70797</v>
      </c>
      <c r="E75" s="479">
        <v>1</v>
      </c>
      <c r="F75" s="337" t="s">
        <v>1067</v>
      </c>
      <c r="G75" s="332">
        <v>70940</v>
      </c>
      <c r="H75" s="332">
        <v>36290</v>
      </c>
      <c r="I75" s="479">
        <v>0.51</v>
      </c>
      <c r="J75" s="482">
        <v>0</v>
      </c>
      <c r="K75" s="485">
        <v>34655</v>
      </c>
      <c r="L75" s="332">
        <v>525</v>
      </c>
      <c r="M75" s="482">
        <v>0.02</v>
      </c>
      <c r="N75" s="485">
        <v>70940</v>
      </c>
      <c r="O75" s="332">
        <v>0</v>
      </c>
      <c r="P75" s="482">
        <v>0</v>
      </c>
      <c r="Q75" s="485">
        <v>70940</v>
      </c>
      <c r="R75" s="332">
        <v>4780</v>
      </c>
      <c r="S75" s="482">
        <v>7.0000000000000007E-2</v>
      </c>
      <c r="T75" s="482">
        <v>0</v>
      </c>
      <c r="U75" s="485">
        <v>25535</v>
      </c>
      <c r="V75" s="332">
        <v>740</v>
      </c>
      <c r="W75" s="482">
        <v>0.03</v>
      </c>
      <c r="X75" s="325"/>
      <c r="Y75" s="482">
        <v>0</v>
      </c>
      <c r="Z75" s="332">
        <v>12</v>
      </c>
      <c r="AA75" s="326">
        <v>39</v>
      </c>
      <c r="AB75" s="340">
        <v>1439</v>
      </c>
      <c r="AC75" s="485">
        <v>34015</v>
      </c>
      <c r="AD75" s="332">
        <v>25</v>
      </c>
      <c r="AE75" s="482">
        <v>0</v>
      </c>
      <c r="AF75" s="325"/>
      <c r="AG75" s="482">
        <v>0</v>
      </c>
      <c r="AH75" s="332">
        <v>60</v>
      </c>
      <c r="AI75" s="326">
        <v>188</v>
      </c>
      <c r="AJ75" s="340">
        <v>1439</v>
      </c>
      <c r="AK75" s="332">
        <v>217</v>
      </c>
      <c r="AL75" s="326">
        <v>354</v>
      </c>
      <c r="AM75" s="340">
        <v>1437</v>
      </c>
      <c r="AN75" s="332">
        <v>122</v>
      </c>
      <c r="AO75" s="326">
        <v>237</v>
      </c>
      <c r="AP75" s="340">
        <v>1171</v>
      </c>
      <c r="AQ75" s="485">
        <v>70940</v>
      </c>
      <c r="AR75" s="332">
        <v>220</v>
      </c>
      <c r="AS75" s="482">
        <v>0</v>
      </c>
      <c r="AT75" s="325"/>
      <c r="AU75" s="482">
        <v>0</v>
      </c>
      <c r="AV75" s="332">
        <v>160</v>
      </c>
      <c r="AW75" s="326">
        <v>316</v>
      </c>
      <c r="AX75" s="327">
        <v>1437</v>
      </c>
      <c r="AY75" s="97"/>
      <c r="AZ75" s="97"/>
      <c r="BA75" s="97"/>
    </row>
    <row r="76" spans="1:53" ht="22.5" customHeight="1" x14ac:dyDescent="0.4">
      <c r="A76" s="324" t="s">
        <v>351</v>
      </c>
      <c r="B76" s="335" t="s">
        <v>1132</v>
      </c>
      <c r="C76" s="332">
        <v>93875</v>
      </c>
      <c r="D76" s="326">
        <v>94342</v>
      </c>
      <c r="E76" s="479">
        <v>1</v>
      </c>
      <c r="F76" s="337" t="s">
        <v>1067</v>
      </c>
      <c r="G76" s="332">
        <v>93875</v>
      </c>
      <c r="H76" s="332">
        <v>985</v>
      </c>
      <c r="I76" s="479">
        <v>0.01</v>
      </c>
      <c r="J76" s="482">
        <v>0.05</v>
      </c>
      <c r="K76" s="485">
        <v>92890</v>
      </c>
      <c r="L76" s="332">
        <v>1055</v>
      </c>
      <c r="M76" s="482">
        <v>0.01</v>
      </c>
      <c r="N76" s="485">
        <v>93875</v>
      </c>
      <c r="O76" s="332">
        <v>0</v>
      </c>
      <c r="P76" s="482">
        <v>0</v>
      </c>
      <c r="Q76" s="485">
        <v>93875</v>
      </c>
      <c r="R76" s="332">
        <v>9475</v>
      </c>
      <c r="S76" s="482">
        <v>0.1</v>
      </c>
      <c r="T76" s="482">
        <v>0</v>
      </c>
      <c r="U76" s="485">
        <v>15060</v>
      </c>
      <c r="V76" s="332">
        <v>3145</v>
      </c>
      <c r="W76" s="482">
        <v>0.21</v>
      </c>
      <c r="X76" s="325"/>
      <c r="Y76" s="482">
        <v>0</v>
      </c>
      <c r="Z76" s="332">
        <v>0</v>
      </c>
      <c r="AA76" s="326">
        <v>41</v>
      </c>
      <c r="AB76" s="340">
        <v>661</v>
      </c>
      <c r="AC76" s="485">
        <v>91820</v>
      </c>
      <c r="AD76" s="332">
        <v>14320</v>
      </c>
      <c r="AE76" s="482">
        <v>0.16</v>
      </c>
      <c r="AF76" s="325"/>
      <c r="AG76" s="482">
        <v>0</v>
      </c>
      <c r="AH76" s="332">
        <v>37</v>
      </c>
      <c r="AI76" s="326">
        <v>138</v>
      </c>
      <c r="AJ76" s="340">
        <v>1437</v>
      </c>
      <c r="AK76" s="332">
        <v>190</v>
      </c>
      <c r="AL76" s="326">
        <v>307</v>
      </c>
      <c r="AM76" s="340">
        <v>905</v>
      </c>
      <c r="AN76" s="332">
        <v>66</v>
      </c>
      <c r="AO76" s="326">
        <v>210</v>
      </c>
      <c r="AP76" s="340">
        <v>1314</v>
      </c>
      <c r="AQ76" s="485">
        <v>93875</v>
      </c>
      <c r="AR76" s="332">
        <v>0</v>
      </c>
      <c r="AS76" s="482">
        <v>0</v>
      </c>
      <c r="AT76" s="325"/>
      <c r="AU76" s="482">
        <v>0</v>
      </c>
      <c r="AV76" s="332">
        <v>77</v>
      </c>
      <c r="AW76" s="326">
        <v>231</v>
      </c>
      <c r="AX76" s="327">
        <v>1314</v>
      </c>
      <c r="AY76" s="97"/>
      <c r="AZ76" s="97"/>
      <c r="BA76" s="97"/>
    </row>
    <row r="77" spans="1:53" ht="22.5" customHeight="1" x14ac:dyDescent="0.4">
      <c r="A77" s="324" t="s">
        <v>548</v>
      </c>
      <c r="B77" s="335" t="s">
        <v>1133</v>
      </c>
      <c r="C77" s="332">
        <v>76140</v>
      </c>
      <c r="D77" s="326">
        <v>118323</v>
      </c>
      <c r="E77" s="479">
        <v>0.64</v>
      </c>
      <c r="F77" s="337" t="s">
        <v>1093</v>
      </c>
      <c r="G77" s="332">
        <v>76140</v>
      </c>
      <c r="H77" s="332">
        <v>495</v>
      </c>
      <c r="I77" s="479">
        <v>0.01</v>
      </c>
      <c r="J77" s="482">
        <v>0</v>
      </c>
      <c r="K77" s="485">
        <v>75645</v>
      </c>
      <c r="L77" s="332">
        <v>3040</v>
      </c>
      <c r="M77" s="482">
        <v>0.04</v>
      </c>
      <c r="N77" s="485">
        <v>76140</v>
      </c>
      <c r="O77" s="332">
        <v>0</v>
      </c>
      <c r="P77" s="482">
        <v>0</v>
      </c>
      <c r="Q77" s="485">
        <v>76140</v>
      </c>
      <c r="R77" s="332">
        <v>5065</v>
      </c>
      <c r="S77" s="482">
        <v>7.0000000000000007E-2</v>
      </c>
      <c r="T77" s="482">
        <v>0</v>
      </c>
      <c r="U77" s="485">
        <v>32040</v>
      </c>
      <c r="V77" s="332">
        <v>4320</v>
      </c>
      <c r="W77" s="482">
        <v>0.13</v>
      </c>
      <c r="X77" s="325"/>
      <c r="Y77" s="482">
        <v>0</v>
      </c>
      <c r="Z77" s="332">
        <v>14</v>
      </c>
      <c r="AA77" s="326">
        <v>67</v>
      </c>
      <c r="AB77" s="340">
        <v>218</v>
      </c>
      <c r="AC77" s="485">
        <v>72245</v>
      </c>
      <c r="AD77" s="332">
        <v>20750</v>
      </c>
      <c r="AE77" s="482">
        <v>0.28999999999999998</v>
      </c>
      <c r="AF77" s="325"/>
      <c r="AG77" s="482">
        <v>0</v>
      </c>
      <c r="AH77" s="332">
        <v>82</v>
      </c>
      <c r="AI77" s="326">
        <v>221</v>
      </c>
      <c r="AJ77" s="340">
        <v>400</v>
      </c>
      <c r="AK77" s="332">
        <v>283</v>
      </c>
      <c r="AL77" s="326">
        <v>774</v>
      </c>
      <c r="AM77" s="340">
        <v>1200</v>
      </c>
      <c r="AN77" s="332">
        <v>136</v>
      </c>
      <c r="AO77" s="326">
        <v>409</v>
      </c>
      <c r="AP77" s="340">
        <v>1196</v>
      </c>
      <c r="AQ77" s="485">
        <v>76140</v>
      </c>
      <c r="AR77" s="332">
        <v>275</v>
      </c>
      <c r="AS77" s="482">
        <v>0</v>
      </c>
      <c r="AT77" s="325"/>
      <c r="AU77" s="482">
        <v>0</v>
      </c>
      <c r="AV77" s="332">
        <v>174</v>
      </c>
      <c r="AW77" s="326">
        <v>604</v>
      </c>
      <c r="AX77" s="327">
        <v>1200</v>
      </c>
      <c r="AY77" s="97"/>
      <c r="AZ77" s="97"/>
      <c r="BA77" s="97"/>
    </row>
    <row r="78" spans="1:53" ht="22.5" customHeight="1" x14ac:dyDescent="0.4">
      <c r="A78" s="324" t="s">
        <v>559</v>
      </c>
      <c r="B78" s="335" t="s">
        <v>1134</v>
      </c>
      <c r="C78" s="332">
        <v>94175</v>
      </c>
      <c r="D78" s="326">
        <v>126111</v>
      </c>
      <c r="E78" s="479">
        <v>0.75</v>
      </c>
      <c r="F78" s="337" t="s">
        <v>1093</v>
      </c>
      <c r="G78" s="332">
        <v>94175</v>
      </c>
      <c r="H78" s="332">
        <v>0</v>
      </c>
      <c r="I78" s="479">
        <v>0</v>
      </c>
      <c r="J78" s="482">
        <v>0</v>
      </c>
      <c r="K78" s="485">
        <v>94175</v>
      </c>
      <c r="L78" s="332">
        <v>3365</v>
      </c>
      <c r="M78" s="482">
        <v>0.04</v>
      </c>
      <c r="N78" s="485">
        <v>94210</v>
      </c>
      <c r="O78" s="332">
        <v>35</v>
      </c>
      <c r="P78" s="482">
        <v>0</v>
      </c>
      <c r="Q78" s="485">
        <v>94175</v>
      </c>
      <c r="R78" s="332">
        <v>6050</v>
      </c>
      <c r="S78" s="482">
        <v>0.06</v>
      </c>
      <c r="T78" s="482">
        <v>0</v>
      </c>
      <c r="U78" s="485">
        <v>31990</v>
      </c>
      <c r="V78" s="332">
        <v>565</v>
      </c>
      <c r="W78" s="482">
        <v>0.02</v>
      </c>
      <c r="X78" s="325"/>
      <c r="Y78" s="482">
        <v>0</v>
      </c>
      <c r="Z78" s="332">
        <v>19</v>
      </c>
      <c r="AA78" s="326">
        <v>102</v>
      </c>
      <c r="AB78" s="340">
        <v>1398</v>
      </c>
      <c r="AC78" s="485">
        <v>89960</v>
      </c>
      <c r="AD78" s="332">
        <v>4480</v>
      </c>
      <c r="AE78" s="482">
        <v>0.05</v>
      </c>
      <c r="AF78" s="325"/>
      <c r="AG78" s="482">
        <v>0</v>
      </c>
      <c r="AH78" s="332">
        <v>73</v>
      </c>
      <c r="AI78" s="326">
        <v>208</v>
      </c>
      <c r="AJ78" s="340">
        <v>1437</v>
      </c>
      <c r="AK78" s="332">
        <v>301</v>
      </c>
      <c r="AL78" s="326">
        <v>839</v>
      </c>
      <c r="AM78" s="340">
        <v>1437</v>
      </c>
      <c r="AN78" s="332">
        <v>145</v>
      </c>
      <c r="AO78" s="326">
        <v>350</v>
      </c>
      <c r="AP78" s="340">
        <v>1432</v>
      </c>
      <c r="AQ78" s="485">
        <v>94175</v>
      </c>
      <c r="AR78" s="332">
        <v>0</v>
      </c>
      <c r="AS78" s="482">
        <v>0</v>
      </c>
      <c r="AT78" s="325"/>
      <c r="AU78" s="482">
        <v>0</v>
      </c>
      <c r="AV78" s="332">
        <v>183</v>
      </c>
      <c r="AW78" s="326">
        <v>601</v>
      </c>
      <c r="AX78" s="327">
        <v>1437</v>
      </c>
      <c r="AY78" s="97"/>
      <c r="AZ78" s="97"/>
      <c r="BA78" s="97"/>
    </row>
    <row r="79" spans="1:53" ht="22.5" customHeight="1" x14ac:dyDescent="0.4">
      <c r="A79" s="324" t="s">
        <v>502</v>
      </c>
      <c r="B79" s="335" t="s">
        <v>1135</v>
      </c>
      <c r="C79" s="332">
        <v>164715</v>
      </c>
      <c r="D79" s="326">
        <v>164721</v>
      </c>
      <c r="E79" s="479">
        <v>1</v>
      </c>
      <c r="F79" s="337" t="s">
        <v>1067</v>
      </c>
      <c r="G79" s="332">
        <v>164715</v>
      </c>
      <c r="H79" s="332">
        <v>2525</v>
      </c>
      <c r="I79" s="479">
        <v>0.02</v>
      </c>
      <c r="J79" s="482">
        <v>0.01</v>
      </c>
      <c r="K79" s="485">
        <v>162190</v>
      </c>
      <c r="L79" s="332">
        <v>3095</v>
      </c>
      <c r="M79" s="482">
        <v>0.02</v>
      </c>
      <c r="N79" s="485">
        <v>164715</v>
      </c>
      <c r="O79" s="332">
        <v>0</v>
      </c>
      <c r="P79" s="482">
        <v>0</v>
      </c>
      <c r="Q79" s="485">
        <v>164715</v>
      </c>
      <c r="R79" s="332">
        <v>15930</v>
      </c>
      <c r="S79" s="482">
        <v>0.1</v>
      </c>
      <c r="T79" s="482">
        <v>0</v>
      </c>
      <c r="U79" s="485">
        <v>35055</v>
      </c>
      <c r="V79" s="332">
        <v>250</v>
      </c>
      <c r="W79" s="482">
        <v>0.01</v>
      </c>
      <c r="X79" s="325"/>
      <c r="Y79" s="482">
        <v>0</v>
      </c>
      <c r="Z79" s="332">
        <v>31</v>
      </c>
      <c r="AA79" s="326">
        <v>226</v>
      </c>
      <c r="AB79" s="340">
        <v>1428</v>
      </c>
      <c r="AC79" s="485">
        <v>159025</v>
      </c>
      <c r="AD79" s="332">
        <v>65</v>
      </c>
      <c r="AE79" s="482">
        <v>0</v>
      </c>
      <c r="AF79" s="325"/>
      <c r="AG79" s="482">
        <v>0</v>
      </c>
      <c r="AH79" s="332">
        <v>59</v>
      </c>
      <c r="AI79" s="326">
        <v>226</v>
      </c>
      <c r="AJ79" s="340">
        <v>1425</v>
      </c>
      <c r="AK79" s="332">
        <v>231</v>
      </c>
      <c r="AL79" s="326">
        <v>917</v>
      </c>
      <c r="AM79" s="340">
        <v>1438</v>
      </c>
      <c r="AN79" s="332">
        <v>113</v>
      </c>
      <c r="AO79" s="326">
        <v>319</v>
      </c>
      <c r="AP79" s="340">
        <v>1434</v>
      </c>
      <c r="AQ79" s="485">
        <v>164715</v>
      </c>
      <c r="AR79" s="332" t="s">
        <v>1274</v>
      </c>
      <c r="AS79" s="482" t="s">
        <v>1274</v>
      </c>
      <c r="AT79" s="325"/>
      <c r="AU79" s="482">
        <v>0</v>
      </c>
      <c r="AV79" s="332">
        <v>140</v>
      </c>
      <c r="AW79" s="326">
        <v>556</v>
      </c>
      <c r="AX79" s="327">
        <v>1438</v>
      </c>
      <c r="AY79" s="97"/>
      <c r="AZ79" s="97"/>
      <c r="BA79" s="97"/>
    </row>
    <row r="80" spans="1:53" ht="22.5" customHeight="1" x14ac:dyDescent="0.4">
      <c r="A80" s="324" t="s">
        <v>290</v>
      </c>
      <c r="B80" s="335" t="s">
        <v>1136</v>
      </c>
      <c r="C80" s="332">
        <v>59960</v>
      </c>
      <c r="D80" s="326">
        <v>59956</v>
      </c>
      <c r="E80" s="479">
        <v>1</v>
      </c>
      <c r="F80" s="337" t="s">
        <v>1067</v>
      </c>
      <c r="G80" s="332">
        <v>59960</v>
      </c>
      <c r="H80" s="332" t="s">
        <v>1274</v>
      </c>
      <c r="I80" s="479" t="s">
        <v>1274</v>
      </c>
      <c r="J80" s="482" t="s">
        <v>1274</v>
      </c>
      <c r="K80" s="485">
        <v>59955</v>
      </c>
      <c r="L80" s="332">
        <v>820</v>
      </c>
      <c r="M80" s="482">
        <v>0.01</v>
      </c>
      <c r="N80" s="485">
        <v>59960</v>
      </c>
      <c r="O80" s="332">
        <v>0</v>
      </c>
      <c r="P80" s="482">
        <v>0</v>
      </c>
      <c r="Q80" s="485">
        <v>59960</v>
      </c>
      <c r="R80" s="332">
        <v>4995</v>
      </c>
      <c r="S80" s="482">
        <v>0.08</v>
      </c>
      <c r="T80" s="482">
        <v>0</v>
      </c>
      <c r="U80" s="485">
        <v>5785</v>
      </c>
      <c r="V80" s="332">
        <v>40</v>
      </c>
      <c r="W80" s="482">
        <v>0.01</v>
      </c>
      <c r="X80" s="325"/>
      <c r="Y80" s="482">
        <v>0</v>
      </c>
      <c r="Z80" s="332">
        <v>1</v>
      </c>
      <c r="AA80" s="326">
        <v>51</v>
      </c>
      <c r="AB80" s="340">
        <v>1426</v>
      </c>
      <c r="AC80" s="485">
        <v>59125</v>
      </c>
      <c r="AD80" s="332">
        <v>3325</v>
      </c>
      <c r="AE80" s="482">
        <v>0.06</v>
      </c>
      <c r="AF80" s="325"/>
      <c r="AG80" s="482">
        <v>0</v>
      </c>
      <c r="AH80" s="332">
        <v>77</v>
      </c>
      <c r="AI80" s="326">
        <v>200</v>
      </c>
      <c r="AJ80" s="340">
        <v>1415</v>
      </c>
      <c r="AK80" s="332">
        <v>190</v>
      </c>
      <c r="AL80" s="326">
        <v>355</v>
      </c>
      <c r="AM80" s="340">
        <v>833</v>
      </c>
      <c r="AN80" s="332">
        <v>140</v>
      </c>
      <c r="AO80" s="326">
        <v>240</v>
      </c>
      <c r="AP80" s="340">
        <v>848</v>
      </c>
      <c r="AQ80" s="485">
        <v>59960</v>
      </c>
      <c r="AR80" s="332">
        <v>0</v>
      </c>
      <c r="AS80" s="482">
        <v>0</v>
      </c>
      <c r="AT80" s="325"/>
      <c r="AU80" s="482">
        <v>0</v>
      </c>
      <c r="AV80" s="332">
        <v>142</v>
      </c>
      <c r="AW80" s="326">
        <v>255</v>
      </c>
      <c r="AX80" s="327">
        <v>848</v>
      </c>
      <c r="AY80" s="97"/>
      <c r="AZ80" s="97"/>
      <c r="BA80" s="97"/>
    </row>
    <row r="81" spans="1:53" ht="22.5" customHeight="1" x14ac:dyDescent="0.4">
      <c r="A81" s="324" t="s">
        <v>419</v>
      </c>
      <c r="B81" s="335" t="s">
        <v>1137</v>
      </c>
      <c r="C81" s="332">
        <v>88190</v>
      </c>
      <c r="D81" s="326">
        <v>87780</v>
      </c>
      <c r="E81" s="479">
        <v>1</v>
      </c>
      <c r="F81" s="337" t="s">
        <v>1067</v>
      </c>
      <c r="G81" s="332">
        <v>88190</v>
      </c>
      <c r="H81" s="332">
        <v>0</v>
      </c>
      <c r="I81" s="479">
        <v>0</v>
      </c>
      <c r="J81" s="482">
        <v>0</v>
      </c>
      <c r="K81" s="485">
        <v>88190</v>
      </c>
      <c r="L81" s="332">
        <v>2010</v>
      </c>
      <c r="M81" s="482">
        <v>0.02</v>
      </c>
      <c r="N81" s="485">
        <v>88190</v>
      </c>
      <c r="O81" s="332">
        <v>0</v>
      </c>
      <c r="P81" s="482">
        <v>0</v>
      </c>
      <c r="Q81" s="485">
        <v>88190</v>
      </c>
      <c r="R81" s="332">
        <v>7635</v>
      </c>
      <c r="S81" s="482">
        <v>0.09</v>
      </c>
      <c r="T81" s="482">
        <v>0</v>
      </c>
      <c r="U81" s="485">
        <v>25330</v>
      </c>
      <c r="V81" s="332">
        <v>505</v>
      </c>
      <c r="W81" s="482">
        <v>0.02</v>
      </c>
      <c r="X81" s="325"/>
      <c r="Y81" s="482">
        <v>0</v>
      </c>
      <c r="Z81" s="332">
        <v>3</v>
      </c>
      <c r="AA81" s="326">
        <v>20</v>
      </c>
      <c r="AB81" s="340">
        <v>1438</v>
      </c>
      <c r="AC81" s="485">
        <v>86180</v>
      </c>
      <c r="AD81" s="332">
        <v>16935</v>
      </c>
      <c r="AE81" s="482">
        <v>0.2</v>
      </c>
      <c r="AF81" s="325"/>
      <c r="AG81" s="482">
        <v>0</v>
      </c>
      <c r="AH81" s="332">
        <v>58</v>
      </c>
      <c r="AI81" s="326">
        <v>220</v>
      </c>
      <c r="AJ81" s="340">
        <v>922</v>
      </c>
      <c r="AK81" s="332">
        <v>205</v>
      </c>
      <c r="AL81" s="326">
        <v>535</v>
      </c>
      <c r="AM81" s="340">
        <v>1428</v>
      </c>
      <c r="AN81" s="332">
        <v>100</v>
      </c>
      <c r="AO81" s="326">
        <v>336</v>
      </c>
      <c r="AP81" s="340">
        <v>1398</v>
      </c>
      <c r="AQ81" s="485">
        <v>88190</v>
      </c>
      <c r="AR81" s="332" t="s">
        <v>1274</v>
      </c>
      <c r="AS81" s="482" t="s">
        <v>1274</v>
      </c>
      <c r="AT81" s="325"/>
      <c r="AU81" s="482">
        <v>0</v>
      </c>
      <c r="AV81" s="332">
        <v>123</v>
      </c>
      <c r="AW81" s="326">
        <v>400</v>
      </c>
      <c r="AX81" s="327">
        <v>1428</v>
      </c>
      <c r="AY81" s="97"/>
      <c r="AZ81" s="97"/>
      <c r="BA81" s="97"/>
    </row>
    <row r="82" spans="1:53" ht="22.5" customHeight="1" x14ac:dyDescent="0.4">
      <c r="A82" s="324" t="s">
        <v>439</v>
      </c>
      <c r="B82" s="335" t="s">
        <v>1138</v>
      </c>
      <c r="C82" s="332">
        <v>55235</v>
      </c>
      <c r="D82" s="326">
        <v>94295</v>
      </c>
      <c r="E82" s="479">
        <v>0.59</v>
      </c>
      <c r="F82" s="337" t="s">
        <v>1093</v>
      </c>
      <c r="G82" s="332">
        <v>55235</v>
      </c>
      <c r="H82" s="332">
        <v>25</v>
      </c>
      <c r="I82" s="479">
        <v>0</v>
      </c>
      <c r="J82" s="482">
        <v>0.03</v>
      </c>
      <c r="K82" s="485">
        <v>55210</v>
      </c>
      <c r="L82" s="332">
        <v>1640</v>
      </c>
      <c r="M82" s="482">
        <v>0.03</v>
      </c>
      <c r="N82" s="485">
        <v>55305</v>
      </c>
      <c r="O82" s="332">
        <v>70</v>
      </c>
      <c r="P82" s="482">
        <v>0</v>
      </c>
      <c r="Q82" s="485">
        <v>55235</v>
      </c>
      <c r="R82" s="332">
        <v>5230</v>
      </c>
      <c r="S82" s="482">
        <v>0.09</v>
      </c>
      <c r="T82" s="482">
        <v>0</v>
      </c>
      <c r="U82" s="485">
        <v>15705</v>
      </c>
      <c r="V82" s="332">
        <v>2655</v>
      </c>
      <c r="W82" s="482">
        <v>0.17</v>
      </c>
      <c r="X82" s="325"/>
      <c r="Y82" s="482">
        <v>0</v>
      </c>
      <c r="Z82" s="332">
        <v>5</v>
      </c>
      <c r="AA82" s="326">
        <v>31</v>
      </c>
      <c r="AB82" s="340">
        <v>1439</v>
      </c>
      <c r="AC82" s="485">
        <v>53355</v>
      </c>
      <c r="AD82" s="332">
        <v>12790</v>
      </c>
      <c r="AE82" s="482">
        <v>0.24</v>
      </c>
      <c r="AF82" s="325"/>
      <c r="AG82" s="482">
        <v>0</v>
      </c>
      <c r="AH82" s="332">
        <v>59</v>
      </c>
      <c r="AI82" s="326">
        <v>191</v>
      </c>
      <c r="AJ82" s="340">
        <v>1438</v>
      </c>
      <c r="AK82" s="332">
        <v>171</v>
      </c>
      <c r="AL82" s="326">
        <v>1368</v>
      </c>
      <c r="AM82" s="340">
        <v>1439</v>
      </c>
      <c r="AN82" s="332">
        <v>107</v>
      </c>
      <c r="AO82" s="326">
        <v>306</v>
      </c>
      <c r="AP82" s="340">
        <v>1434</v>
      </c>
      <c r="AQ82" s="485">
        <v>55235</v>
      </c>
      <c r="AR82" s="332">
        <v>0</v>
      </c>
      <c r="AS82" s="482">
        <v>0</v>
      </c>
      <c r="AT82" s="325"/>
      <c r="AU82" s="482">
        <v>0</v>
      </c>
      <c r="AV82" s="332">
        <v>123</v>
      </c>
      <c r="AW82" s="326">
        <v>411</v>
      </c>
      <c r="AX82" s="327">
        <v>1439</v>
      </c>
      <c r="AY82" s="97"/>
      <c r="AZ82" s="97"/>
      <c r="BA82" s="97"/>
    </row>
    <row r="83" spans="1:53" ht="22.5" customHeight="1" x14ac:dyDescent="0.4">
      <c r="A83" s="324" t="s">
        <v>301</v>
      </c>
      <c r="B83" s="335" t="s">
        <v>1139</v>
      </c>
      <c r="C83" s="332">
        <v>75935</v>
      </c>
      <c r="D83" s="326">
        <v>75932</v>
      </c>
      <c r="E83" s="479">
        <v>1</v>
      </c>
      <c r="F83" s="337" t="s">
        <v>1067</v>
      </c>
      <c r="G83" s="332">
        <v>75935</v>
      </c>
      <c r="H83" s="332">
        <v>3195</v>
      </c>
      <c r="I83" s="479">
        <v>0.04</v>
      </c>
      <c r="J83" s="482">
        <v>0.02</v>
      </c>
      <c r="K83" s="485">
        <v>72740</v>
      </c>
      <c r="L83" s="332">
        <v>1230</v>
      </c>
      <c r="M83" s="482">
        <v>0.02</v>
      </c>
      <c r="N83" s="485">
        <v>75935</v>
      </c>
      <c r="O83" s="332">
        <v>0</v>
      </c>
      <c r="P83" s="482">
        <v>0</v>
      </c>
      <c r="Q83" s="485">
        <v>75935</v>
      </c>
      <c r="R83" s="332">
        <v>5810</v>
      </c>
      <c r="S83" s="482">
        <v>0.08</v>
      </c>
      <c r="T83" s="482">
        <v>0</v>
      </c>
      <c r="U83" s="485">
        <v>19210</v>
      </c>
      <c r="V83" s="332">
        <v>0</v>
      </c>
      <c r="W83" s="482">
        <v>0</v>
      </c>
      <c r="X83" s="325"/>
      <c r="Y83" s="482">
        <v>0</v>
      </c>
      <c r="Z83" s="332">
        <v>1</v>
      </c>
      <c r="AA83" s="326">
        <v>19</v>
      </c>
      <c r="AB83" s="340">
        <v>1438</v>
      </c>
      <c r="AC83" s="485">
        <v>71400</v>
      </c>
      <c r="AD83" s="332">
        <v>28450</v>
      </c>
      <c r="AE83" s="482">
        <v>0.4</v>
      </c>
      <c r="AF83" s="325"/>
      <c r="AG83" s="482">
        <v>0</v>
      </c>
      <c r="AH83" s="332">
        <v>67</v>
      </c>
      <c r="AI83" s="326">
        <v>205</v>
      </c>
      <c r="AJ83" s="340">
        <v>1439</v>
      </c>
      <c r="AK83" s="332">
        <v>228</v>
      </c>
      <c r="AL83" s="326">
        <v>449</v>
      </c>
      <c r="AM83" s="340">
        <v>1436</v>
      </c>
      <c r="AN83" s="332">
        <v>135</v>
      </c>
      <c r="AO83" s="326">
        <v>240</v>
      </c>
      <c r="AP83" s="340">
        <v>1340</v>
      </c>
      <c r="AQ83" s="485">
        <v>75935</v>
      </c>
      <c r="AR83" s="332">
        <v>0</v>
      </c>
      <c r="AS83" s="482">
        <v>0</v>
      </c>
      <c r="AT83" s="325"/>
      <c r="AU83" s="482">
        <v>0</v>
      </c>
      <c r="AV83" s="332">
        <v>168</v>
      </c>
      <c r="AW83" s="326">
        <v>349</v>
      </c>
      <c r="AX83" s="327">
        <v>1436</v>
      </c>
      <c r="AY83" s="97"/>
      <c r="AZ83" s="97"/>
      <c r="BA83" s="97"/>
    </row>
    <row r="84" spans="1:53" ht="22.5" customHeight="1" x14ac:dyDescent="0.4">
      <c r="A84" s="324" t="s">
        <v>414</v>
      </c>
      <c r="B84" s="335" t="s">
        <v>1140</v>
      </c>
      <c r="C84" s="332">
        <v>105220</v>
      </c>
      <c r="D84" s="326">
        <v>150111</v>
      </c>
      <c r="E84" s="479">
        <v>0.7</v>
      </c>
      <c r="F84" s="337" t="s">
        <v>1093</v>
      </c>
      <c r="G84" s="332">
        <v>105220</v>
      </c>
      <c r="H84" s="332" t="s">
        <v>1274</v>
      </c>
      <c r="I84" s="479" t="s">
        <v>1274</v>
      </c>
      <c r="J84" s="482">
        <v>0</v>
      </c>
      <c r="K84" s="485">
        <v>105210</v>
      </c>
      <c r="L84" s="332">
        <v>1770</v>
      </c>
      <c r="M84" s="482">
        <v>0.02</v>
      </c>
      <c r="N84" s="485">
        <v>105220</v>
      </c>
      <c r="O84" s="332">
        <v>0</v>
      </c>
      <c r="P84" s="482">
        <v>0</v>
      </c>
      <c r="Q84" s="485">
        <v>105220</v>
      </c>
      <c r="R84" s="332">
        <v>6905</v>
      </c>
      <c r="S84" s="482">
        <v>7.0000000000000007E-2</v>
      </c>
      <c r="T84" s="482">
        <v>0</v>
      </c>
      <c r="U84" s="485">
        <v>31090</v>
      </c>
      <c r="V84" s="332">
        <v>105</v>
      </c>
      <c r="W84" s="482">
        <v>0</v>
      </c>
      <c r="X84" s="325"/>
      <c r="Y84" s="482">
        <v>0</v>
      </c>
      <c r="Z84" s="332">
        <v>8</v>
      </c>
      <c r="AA84" s="326">
        <v>42</v>
      </c>
      <c r="AB84" s="340">
        <v>226</v>
      </c>
      <c r="AC84" s="485">
        <v>103415</v>
      </c>
      <c r="AD84" s="332">
        <v>3615</v>
      </c>
      <c r="AE84" s="482">
        <v>0.03</v>
      </c>
      <c r="AF84" s="325"/>
      <c r="AG84" s="482">
        <v>0</v>
      </c>
      <c r="AH84" s="332">
        <v>76</v>
      </c>
      <c r="AI84" s="326">
        <v>714</v>
      </c>
      <c r="AJ84" s="340">
        <v>1439</v>
      </c>
      <c r="AK84" s="332">
        <v>229</v>
      </c>
      <c r="AL84" s="326">
        <v>278</v>
      </c>
      <c r="AM84" s="340">
        <v>1361</v>
      </c>
      <c r="AN84" s="332">
        <v>145</v>
      </c>
      <c r="AO84" s="326">
        <v>236</v>
      </c>
      <c r="AP84" s="340">
        <v>1257</v>
      </c>
      <c r="AQ84" s="485">
        <v>105220</v>
      </c>
      <c r="AR84" s="332">
        <v>0</v>
      </c>
      <c r="AS84" s="482">
        <v>0</v>
      </c>
      <c r="AT84" s="325"/>
      <c r="AU84" s="482">
        <v>0</v>
      </c>
      <c r="AV84" s="332">
        <v>168</v>
      </c>
      <c r="AW84" s="326">
        <v>239</v>
      </c>
      <c r="AX84" s="327">
        <v>1361</v>
      </c>
      <c r="AY84" s="97"/>
      <c r="AZ84" s="97"/>
      <c r="BA84" s="97"/>
    </row>
    <row r="85" spans="1:53" ht="22.5" customHeight="1" x14ac:dyDescent="0.4">
      <c r="A85" s="324" t="s">
        <v>570</v>
      </c>
      <c r="B85" s="335" t="s">
        <v>1141</v>
      </c>
      <c r="C85" s="332">
        <v>133340</v>
      </c>
      <c r="D85" s="326">
        <v>192078</v>
      </c>
      <c r="E85" s="479">
        <v>0.69</v>
      </c>
      <c r="F85" s="337" t="s">
        <v>1093</v>
      </c>
      <c r="G85" s="332">
        <v>133340</v>
      </c>
      <c r="H85" s="332">
        <v>35</v>
      </c>
      <c r="I85" s="479">
        <v>0</v>
      </c>
      <c r="J85" s="482">
        <v>0</v>
      </c>
      <c r="K85" s="485">
        <v>133305</v>
      </c>
      <c r="L85" s="332">
        <v>4205</v>
      </c>
      <c r="M85" s="482">
        <v>0.03</v>
      </c>
      <c r="N85" s="485">
        <v>133340</v>
      </c>
      <c r="O85" s="332">
        <v>0</v>
      </c>
      <c r="P85" s="482">
        <v>0</v>
      </c>
      <c r="Q85" s="485">
        <v>133340</v>
      </c>
      <c r="R85" s="332">
        <v>10690</v>
      </c>
      <c r="S85" s="482">
        <v>0.08</v>
      </c>
      <c r="T85" s="482">
        <v>0</v>
      </c>
      <c r="U85" s="485">
        <v>48540</v>
      </c>
      <c r="V85" s="332">
        <v>1110</v>
      </c>
      <c r="W85" s="482">
        <v>0.02</v>
      </c>
      <c r="X85" s="325"/>
      <c r="Y85" s="482">
        <v>0</v>
      </c>
      <c r="Z85" s="332">
        <v>10</v>
      </c>
      <c r="AA85" s="326">
        <v>102</v>
      </c>
      <c r="AB85" s="340">
        <v>1439</v>
      </c>
      <c r="AC85" s="485">
        <v>128790</v>
      </c>
      <c r="AD85" s="332">
        <v>21330</v>
      </c>
      <c r="AE85" s="482">
        <v>0.17</v>
      </c>
      <c r="AF85" s="325"/>
      <c r="AG85" s="482">
        <v>0</v>
      </c>
      <c r="AH85" s="332">
        <v>73</v>
      </c>
      <c r="AI85" s="326">
        <v>241</v>
      </c>
      <c r="AJ85" s="340">
        <v>945</v>
      </c>
      <c r="AK85" s="332">
        <v>233</v>
      </c>
      <c r="AL85" s="326">
        <v>636</v>
      </c>
      <c r="AM85" s="340">
        <v>1431</v>
      </c>
      <c r="AN85" s="332">
        <v>117</v>
      </c>
      <c r="AO85" s="326">
        <v>336</v>
      </c>
      <c r="AP85" s="340">
        <v>1433</v>
      </c>
      <c r="AQ85" s="485">
        <v>133340</v>
      </c>
      <c r="AR85" s="332">
        <v>0</v>
      </c>
      <c r="AS85" s="482">
        <v>0</v>
      </c>
      <c r="AT85" s="325"/>
      <c r="AU85" s="482">
        <v>0</v>
      </c>
      <c r="AV85" s="332">
        <v>156</v>
      </c>
      <c r="AW85" s="326">
        <v>465</v>
      </c>
      <c r="AX85" s="327">
        <v>1433</v>
      </c>
      <c r="AY85" s="97"/>
      <c r="AZ85" s="97"/>
      <c r="BA85" s="97"/>
    </row>
    <row r="86" spans="1:53" ht="22.5" customHeight="1" x14ac:dyDescent="0.4">
      <c r="A86" s="324" t="s">
        <v>377</v>
      </c>
      <c r="B86" s="335" t="s">
        <v>1142</v>
      </c>
      <c r="C86" s="332">
        <v>49485</v>
      </c>
      <c r="D86" s="326">
        <v>59647</v>
      </c>
      <c r="E86" s="479">
        <v>0.83</v>
      </c>
      <c r="F86" s="337" t="s">
        <v>1077</v>
      </c>
      <c r="G86" s="332">
        <v>49485</v>
      </c>
      <c r="H86" s="332">
        <v>0</v>
      </c>
      <c r="I86" s="479">
        <v>0</v>
      </c>
      <c r="J86" s="482">
        <v>0</v>
      </c>
      <c r="K86" s="485">
        <v>49485</v>
      </c>
      <c r="L86" s="332">
        <v>710</v>
      </c>
      <c r="M86" s="482">
        <v>0.01</v>
      </c>
      <c r="N86" s="485">
        <v>49485</v>
      </c>
      <c r="O86" s="332">
        <v>0</v>
      </c>
      <c r="P86" s="482">
        <v>0</v>
      </c>
      <c r="Q86" s="485">
        <v>49485</v>
      </c>
      <c r="R86" s="332">
        <v>3260</v>
      </c>
      <c r="S86" s="482">
        <v>7.0000000000000007E-2</v>
      </c>
      <c r="T86" s="482">
        <v>0</v>
      </c>
      <c r="U86" s="485">
        <v>13210</v>
      </c>
      <c r="V86" s="332">
        <v>60</v>
      </c>
      <c r="W86" s="482">
        <v>0</v>
      </c>
      <c r="X86" s="325"/>
      <c r="Y86" s="482">
        <v>0</v>
      </c>
      <c r="Z86" s="332">
        <v>1</v>
      </c>
      <c r="AA86" s="326">
        <v>24</v>
      </c>
      <c r="AB86" s="340">
        <v>182</v>
      </c>
      <c r="AC86" s="485">
        <v>48725</v>
      </c>
      <c r="AD86" s="332">
        <v>2730</v>
      </c>
      <c r="AE86" s="482">
        <v>0.06</v>
      </c>
      <c r="AF86" s="325"/>
      <c r="AG86" s="482">
        <v>0</v>
      </c>
      <c r="AH86" s="332">
        <v>49</v>
      </c>
      <c r="AI86" s="326">
        <v>154</v>
      </c>
      <c r="AJ86" s="340">
        <v>399</v>
      </c>
      <c r="AK86" s="332">
        <v>210</v>
      </c>
      <c r="AL86" s="326">
        <v>362</v>
      </c>
      <c r="AM86" s="340">
        <v>958</v>
      </c>
      <c r="AN86" s="332">
        <v>118</v>
      </c>
      <c r="AO86" s="326">
        <v>237</v>
      </c>
      <c r="AP86" s="340">
        <v>1145</v>
      </c>
      <c r="AQ86" s="485">
        <v>49485</v>
      </c>
      <c r="AR86" s="332">
        <v>0</v>
      </c>
      <c r="AS86" s="482">
        <v>0</v>
      </c>
      <c r="AT86" s="325"/>
      <c r="AU86" s="482">
        <v>0</v>
      </c>
      <c r="AV86" s="332">
        <v>140</v>
      </c>
      <c r="AW86" s="326">
        <v>266</v>
      </c>
      <c r="AX86" s="327">
        <v>1145</v>
      </c>
      <c r="AY86" s="97"/>
      <c r="AZ86" s="97"/>
      <c r="BA86" s="97"/>
    </row>
    <row r="87" spans="1:53" ht="22.5" customHeight="1" x14ac:dyDescent="0.4">
      <c r="A87" s="324" t="s">
        <v>288</v>
      </c>
      <c r="B87" s="335" t="s">
        <v>1143</v>
      </c>
      <c r="C87" s="332">
        <v>57485</v>
      </c>
      <c r="D87" s="326">
        <v>65560</v>
      </c>
      <c r="E87" s="479">
        <v>0.88</v>
      </c>
      <c r="F87" s="337" t="s">
        <v>1077</v>
      </c>
      <c r="G87" s="332">
        <v>57485</v>
      </c>
      <c r="H87" s="332">
        <v>25</v>
      </c>
      <c r="I87" s="479">
        <v>0</v>
      </c>
      <c r="J87" s="482">
        <v>7.0000000000000007E-2</v>
      </c>
      <c r="K87" s="485">
        <v>57460</v>
      </c>
      <c r="L87" s="332">
        <v>1040</v>
      </c>
      <c r="M87" s="482">
        <v>0.02</v>
      </c>
      <c r="N87" s="485">
        <v>57485</v>
      </c>
      <c r="O87" s="332">
        <v>0</v>
      </c>
      <c r="P87" s="482">
        <v>0</v>
      </c>
      <c r="Q87" s="485">
        <v>57485</v>
      </c>
      <c r="R87" s="332">
        <v>2895</v>
      </c>
      <c r="S87" s="482">
        <v>0.05</v>
      </c>
      <c r="T87" s="482">
        <v>0</v>
      </c>
      <c r="U87" s="485">
        <v>17060</v>
      </c>
      <c r="V87" s="332">
        <v>1365</v>
      </c>
      <c r="W87" s="482">
        <v>0.08</v>
      </c>
      <c r="X87" s="325"/>
      <c r="Y87" s="482">
        <v>0</v>
      </c>
      <c r="Z87" s="332">
        <v>16</v>
      </c>
      <c r="AA87" s="326">
        <v>60</v>
      </c>
      <c r="AB87" s="340">
        <v>604</v>
      </c>
      <c r="AC87" s="485">
        <v>56385</v>
      </c>
      <c r="AD87" s="332">
        <v>1785</v>
      </c>
      <c r="AE87" s="482">
        <v>0.03</v>
      </c>
      <c r="AF87" s="325"/>
      <c r="AG87" s="482">
        <v>0</v>
      </c>
      <c r="AH87" s="332">
        <v>73</v>
      </c>
      <c r="AI87" s="326">
        <v>200</v>
      </c>
      <c r="AJ87" s="340">
        <v>934</v>
      </c>
      <c r="AK87" s="332">
        <v>216</v>
      </c>
      <c r="AL87" s="326">
        <v>398</v>
      </c>
      <c r="AM87" s="340">
        <v>1226</v>
      </c>
      <c r="AN87" s="332">
        <v>141</v>
      </c>
      <c r="AO87" s="326">
        <v>252</v>
      </c>
      <c r="AP87" s="340">
        <v>1317</v>
      </c>
      <c r="AQ87" s="485">
        <v>57485</v>
      </c>
      <c r="AR87" s="332">
        <v>0</v>
      </c>
      <c r="AS87" s="482">
        <v>0</v>
      </c>
      <c r="AT87" s="325"/>
      <c r="AU87" s="482">
        <v>0</v>
      </c>
      <c r="AV87" s="332">
        <v>158</v>
      </c>
      <c r="AW87" s="326">
        <v>301</v>
      </c>
      <c r="AX87" s="327">
        <v>1317</v>
      </c>
      <c r="AY87" s="97"/>
      <c r="AZ87" s="97"/>
      <c r="BA87" s="97"/>
    </row>
    <row r="88" spans="1:53" ht="22.5" customHeight="1" x14ac:dyDescent="0.4">
      <c r="A88" s="324" t="s">
        <v>477</v>
      </c>
      <c r="B88" s="335" t="s">
        <v>1144</v>
      </c>
      <c r="C88" s="332">
        <v>36720</v>
      </c>
      <c r="D88" s="326">
        <v>56959</v>
      </c>
      <c r="E88" s="479">
        <v>0.64</v>
      </c>
      <c r="F88" s="337" t="s">
        <v>1093</v>
      </c>
      <c r="G88" s="332">
        <v>36720</v>
      </c>
      <c r="H88" s="332">
        <v>0</v>
      </c>
      <c r="I88" s="479">
        <v>0</v>
      </c>
      <c r="J88" s="482">
        <v>0</v>
      </c>
      <c r="K88" s="485">
        <v>36720</v>
      </c>
      <c r="L88" s="332">
        <v>225</v>
      </c>
      <c r="M88" s="482">
        <v>0.01</v>
      </c>
      <c r="N88" s="485">
        <v>36720</v>
      </c>
      <c r="O88" s="332">
        <v>0</v>
      </c>
      <c r="P88" s="482">
        <v>0</v>
      </c>
      <c r="Q88" s="485">
        <v>36720</v>
      </c>
      <c r="R88" s="332">
        <v>3015</v>
      </c>
      <c r="S88" s="482">
        <v>0.08</v>
      </c>
      <c r="T88" s="482">
        <v>0</v>
      </c>
      <c r="U88" s="485">
        <v>2715</v>
      </c>
      <c r="V88" s="332">
        <v>0</v>
      </c>
      <c r="W88" s="482">
        <v>0</v>
      </c>
      <c r="X88" s="325"/>
      <c r="Y88" s="482">
        <v>0</v>
      </c>
      <c r="Z88" s="332">
        <v>4</v>
      </c>
      <c r="AA88" s="326">
        <v>13</v>
      </c>
      <c r="AB88" s="340">
        <v>25</v>
      </c>
      <c r="AC88" s="485">
        <v>36460</v>
      </c>
      <c r="AD88" s="332">
        <v>75</v>
      </c>
      <c r="AE88" s="482">
        <v>0</v>
      </c>
      <c r="AF88" s="325"/>
      <c r="AG88" s="482">
        <v>0</v>
      </c>
      <c r="AH88" s="332">
        <v>38</v>
      </c>
      <c r="AI88" s="326">
        <v>121</v>
      </c>
      <c r="AJ88" s="340">
        <v>405</v>
      </c>
      <c r="AK88" s="332">
        <v>133</v>
      </c>
      <c r="AL88" s="326">
        <v>308</v>
      </c>
      <c r="AM88" s="340">
        <v>758</v>
      </c>
      <c r="AN88" s="332">
        <v>99</v>
      </c>
      <c r="AO88" s="326">
        <v>211</v>
      </c>
      <c r="AP88" s="340">
        <v>586</v>
      </c>
      <c r="AQ88" s="485">
        <v>36720</v>
      </c>
      <c r="AR88" s="332">
        <v>0</v>
      </c>
      <c r="AS88" s="482">
        <v>0</v>
      </c>
      <c r="AT88" s="325"/>
      <c r="AU88" s="482">
        <v>0</v>
      </c>
      <c r="AV88" s="332">
        <v>101</v>
      </c>
      <c r="AW88" s="326">
        <v>232</v>
      </c>
      <c r="AX88" s="327">
        <v>758</v>
      </c>
      <c r="AY88" s="97"/>
      <c r="AZ88" s="97"/>
      <c r="BA88" s="97"/>
    </row>
    <row r="89" spans="1:53" ht="22.5" customHeight="1" x14ac:dyDescent="0.4">
      <c r="A89" s="324" t="s">
        <v>522</v>
      </c>
      <c r="B89" s="335" t="s">
        <v>1145</v>
      </c>
      <c r="C89" s="332">
        <v>62280</v>
      </c>
      <c r="D89" s="326">
        <v>65003</v>
      </c>
      <c r="E89" s="479">
        <v>0.96</v>
      </c>
      <c r="F89" s="337" t="s">
        <v>1067</v>
      </c>
      <c r="G89" s="332">
        <v>62280</v>
      </c>
      <c r="H89" s="332">
        <v>0</v>
      </c>
      <c r="I89" s="479">
        <v>0</v>
      </c>
      <c r="J89" s="482">
        <v>0</v>
      </c>
      <c r="K89" s="485">
        <v>62280</v>
      </c>
      <c r="L89" s="332">
        <v>1025</v>
      </c>
      <c r="M89" s="482">
        <v>0.02</v>
      </c>
      <c r="N89" s="485">
        <v>62325</v>
      </c>
      <c r="O89" s="332">
        <v>45</v>
      </c>
      <c r="P89" s="482">
        <v>0</v>
      </c>
      <c r="Q89" s="485">
        <v>62280</v>
      </c>
      <c r="R89" s="332">
        <v>3520</v>
      </c>
      <c r="S89" s="482">
        <v>0.06</v>
      </c>
      <c r="T89" s="482">
        <v>0</v>
      </c>
      <c r="U89" s="485">
        <v>22590</v>
      </c>
      <c r="V89" s="332">
        <v>325</v>
      </c>
      <c r="W89" s="482">
        <v>0.01</v>
      </c>
      <c r="X89" s="325"/>
      <c r="Y89" s="482">
        <v>0</v>
      </c>
      <c r="Z89" s="332">
        <v>15</v>
      </c>
      <c r="AA89" s="326">
        <v>104</v>
      </c>
      <c r="AB89" s="340">
        <v>1010</v>
      </c>
      <c r="AC89" s="485">
        <v>60985</v>
      </c>
      <c r="AD89" s="332" t="s">
        <v>1274</v>
      </c>
      <c r="AE89" s="482" t="s">
        <v>1274</v>
      </c>
      <c r="AF89" s="325"/>
      <c r="AG89" s="482">
        <v>0</v>
      </c>
      <c r="AH89" s="332">
        <v>55</v>
      </c>
      <c r="AI89" s="326">
        <v>161</v>
      </c>
      <c r="AJ89" s="340">
        <v>755</v>
      </c>
      <c r="AK89" s="332">
        <v>234</v>
      </c>
      <c r="AL89" s="326">
        <v>612</v>
      </c>
      <c r="AM89" s="340">
        <v>1290</v>
      </c>
      <c r="AN89" s="332">
        <v>128</v>
      </c>
      <c r="AO89" s="326">
        <v>239</v>
      </c>
      <c r="AP89" s="340">
        <v>1409</v>
      </c>
      <c r="AQ89" s="485">
        <v>62280</v>
      </c>
      <c r="AR89" s="332">
        <v>0</v>
      </c>
      <c r="AS89" s="482">
        <v>0</v>
      </c>
      <c r="AT89" s="325"/>
      <c r="AU89" s="482">
        <v>0</v>
      </c>
      <c r="AV89" s="332">
        <v>171</v>
      </c>
      <c r="AW89" s="326">
        <v>450</v>
      </c>
      <c r="AX89" s="327">
        <v>1409</v>
      </c>
      <c r="AY89" s="97"/>
      <c r="AZ89" s="97"/>
      <c r="BA89" s="97"/>
    </row>
    <row r="90" spans="1:53" ht="22.5" customHeight="1" x14ac:dyDescent="0.4">
      <c r="A90" s="324" t="s">
        <v>469</v>
      </c>
      <c r="B90" s="335" t="s">
        <v>1146</v>
      </c>
      <c r="C90" s="332">
        <v>72320</v>
      </c>
      <c r="D90" s="326">
        <v>83597</v>
      </c>
      <c r="E90" s="479">
        <v>0.87</v>
      </c>
      <c r="F90" s="337" t="s">
        <v>1077</v>
      </c>
      <c r="G90" s="332">
        <v>72320</v>
      </c>
      <c r="H90" s="332">
        <v>35</v>
      </c>
      <c r="I90" s="479">
        <v>0</v>
      </c>
      <c r="J90" s="482">
        <v>0.01</v>
      </c>
      <c r="K90" s="485">
        <v>72285</v>
      </c>
      <c r="L90" s="332">
        <v>2325</v>
      </c>
      <c r="M90" s="482">
        <v>0.03</v>
      </c>
      <c r="N90" s="485">
        <v>72320</v>
      </c>
      <c r="O90" s="332">
        <v>0</v>
      </c>
      <c r="P90" s="482">
        <v>0</v>
      </c>
      <c r="Q90" s="485">
        <v>72320</v>
      </c>
      <c r="R90" s="332">
        <v>3600</v>
      </c>
      <c r="S90" s="482">
        <v>0.05</v>
      </c>
      <c r="T90" s="482">
        <v>0</v>
      </c>
      <c r="U90" s="485">
        <v>30685</v>
      </c>
      <c r="V90" s="332">
        <v>1850</v>
      </c>
      <c r="W90" s="482">
        <v>0.06</v>
      </c>
      <c r="X90" s="325"/>
      <c r="Y90" s="482">
        <v>0.01</v>
      </c>
      <c r="Z90" s="332">
        <v>6</v>
      </c>
      <c r="AA90" s="326">
        <v>102</v>
      </c>
      <c r="AB90" s="340">
        <v>1439</v>
      </c>
      <c r="AC90" s="485">
        <v>69880</v>
      </c>
      <c r="AD90" s="332">
        <v>895</v>
      </c>
      <c r="AE90" s="482">
        <v>0.01</v>
      </c>
      <c r="AF90" s="325"/>
      <c r="AG90" s="482">
        <v>0</v>
      </c>
      <c r="AH90" s="332">
        <v>56</v>
      </c>
      <c r="AI90" s="326">
        <v>193</v>
      </c>
      <c r="AJ90" s="340">
        <v>1439</v>
      </c>
      <c r="AK90" s="332">
        <v>236</v>
      </c>
      <c r="AL90" s="326">
        <v>731</v>
      </c>
      <c r="AM90" s="340">
        <v>1383</v>
      </c>
      <c r="AN90" s="332">
        <v>149</v>
      </c>
      <c r="AO90" s="326">
        <v>353</v>
      </c>
      <c r="AP90" s="340">
        <v>1409</v>
      </c>
      <c r="AQ90" s="485">
        <v>72320</v>
      </c>
      <c r="AR90" s="332">
        <v>30</v>
      </c>
      <c r="AS90" s="482">
        <v>0</v>
      </c>
      <c r="AT90" s="325"/>
      <c r="AU90" s="482">
        <v>0</v>
      </c>
      <c r="AV90" s="332">
        <v>190</v>
      </c>
      <c r="AW90" s="326">
        <v>550</v>
      </c>
      <c r="AX90" s="327">
        <v>1409</v>
      </c>
      <c r="AY90" s="97"/>
      <c r="AZ90" s="97"/>
      <c r="BA90" s="97"/>
    </row>
    <row r="91" spans="1:53" ht="22.5" customHeight="1" x14ac:dyDescent="0.4">
      <c r="A91" s="324" t="s">
        <v>454</v>
      </c>
      <c r="B91" s="335" t="s">
        <v>1147</v>
      </c>
      <c r="C91" s="332">
        <v>84900</v>
      </c>
      <c r="D91" s="326">
        <v>85229</v>
      </c>
      <c r="E91" s="479">
        <v>1</v>
      </c>
      <c r="F91" s="337" t="s">
        <v>1067</v>
      </c>
      <c r="G91" s="332">
        <v>84900</v>
      </c>
      <c r="H91" s="332">
        <v>650</v>
      </c>
      <c r="I91" s="479">
        <v>0.01</v>
      </c>
      <c r="J91" s="482">
        <v>0.03</v>
      </c>
      <c r="K91" s="485">
        <v>84250</v>
      </c>
      <c r="L91" s="332">
        <v>2125</v>
      </c>
      <c r="M91" s="482">
        <v>0.03</v>
      </c>
      <c r="N91" s="485">
        <v>84900</v>
      </c>
      <c r="O91" s="332" t="s">
        <v>1274</v>
      </c>
      <c r="P91" s="482" t="s">
        <v>1274</v>
      </c>
      <c r="Q91" s="485">
        <v>84900</v>
      </c>
      <c r="R91" s="332">
        <v>5540</v>
      </c>
      <c r="S91" s="482">
        <v>7.0000000000000007E-2</v>
      </c>
      <c r="T91" s="482">
        <v>0</v>
      </c>
      <c r="U91" s="485">
        <v>22825</v>
      </c>
      <c r="V91" s="332">
        <v>2375</v>
      </c>
      <c r="W91" s="482">
        <v>0.1</v>
      </c>
      <c r="X91" s="325"/>
      <c r="Y91" s="482">
        <v>0</v>
      </c>
      <c r="Z91" s="332">
        <v>0</v>
      </c>
      <c r="AA91" s="326">
        <v>1</v>
      </c>
      <c r="AB91" s="340">
        <v>1439</v>
      </c>
      <c r="AC91" s="485">
        <v>82070</v>
      </c>
      <c r="AD91" s="332">
        <v>6980</v>
      </c>
      <c r="AE91" s="482">
        <v>0.09</v>
      </c>
      <c r="AF91" s="325"/>
      <c r="AG91" s="482">
        <v>0</v>
      </c>
      <c r="AH91" s="332">
        <v>66</v>
      </c>
      <c r="AI91" s="326">
        <v>236</v>
      </c>
      <c r="AJ91" s="340">
        <v>1439</v>
      </c>
      <c r="AK91" s="332">
        <v>226</v>
      </c>
      <c r="AL91" s="326">
        <v>420</v>
      </c>
      <c r="AM91" s="340">
        <v>998</v>
      </c>
      <c r="AN91" s="332">
        <v>126</v>
      </c>
      <c r="AO91" s="326">
        <v>268</v>
      </c>
      <c r="AP91" s="340">
        <v>1360</v>
      </c>
      <c r="AQ91" s="485">
        <v>84900</v>
      </c>
      <c r="AR91" s="332">
        <v>0</v>
      </c>
      <c r="AS91" s="482">
        <v>0</v>
      </c>
      <c r="AT91" s="325"/>
      <c r="AU91" s="482">
        <v>0</v>
      </c>
      <c r="AV91" s="332">
        <v>150</v>
      </c>
      <c r="AW91" s="326">
        <v>320</v>
      </c>
      <c r="AX91" s="327">
        <v>1360</v>
      </c>
      <c r="AY91" s="97"/>
      <c r="AZ91" s="97"/>
      <c r="BA91" s="97"/>
    </row>
    <row r="92" spans="1:53" ht="22.5" customHeight="1" x14ac:dyDescent="0.4">
      <c r="A92" s="324" t="s">
        <v>423</v>
      </c>
      <c r="B92" s="335" t="s">
        <v>1148</v>
      </c>
      <c r="C92" s="332">
        <v>87095</v>
      </c>
      <c r="D92" s="326">
        <v>144630</v>
      </c>
      <c r="E92" s="479">
        <v>0.6</v>
      </c>
      <c r="F92" s="337" t="s">
        <v>1093</v>
      </c>
      <c r="G92" s="332">
        <v>87095</v>
      </c>
      <c r="H92" s="332" t="s">
        <v>1274</v>
      </c>
      <c r="I92" s="479" t="s">
        <v>1274</v>
      </c>
      <c r="J92" s="482">
        <v>0</v>
      </c>
      <c r="K92" s="485">
        <v>87095</v>
      </c>
      <c r="L92" s="332">
        <v>2990</v>
      </c>
      <c r="M92" s="482">
        <v>0.03</v>
      </c>
      <c r="N92" s="485">
        <v>87095</v>
      </c>
      <c r="O92" s="332">
        <v>0</v>
      </c>
      <c r="P92" s="482">
        <v>0</v>
      </c>
      <c r="Q92" s="485">
        <v>87095</v>
      </c>
      <c r="R92" s="332">
        <v>6175</v>
      </c>
      <c r="S92" s="482">
        <v>7.0000000000000007E-2</v>
      </c>
      <c r="T92" s="482">
        <v>0</v>
      </c>
      <c r="U92" s="485">
        <v>23855</v>
      </c>
      <c r="V92" s="332">
        <v>14980</v>
      </c>
      <c r="W92" s="482">
        <v>0.63</v>
      </c>
      <c r="X92" s="325"/>
      <c r="Y92" s="482">
        <v>0</v>
      </c>
      <c r="Z92" s="332">
        <v>24</v>
      </c>
      <c r="AA92" s="326">
        <v>187</v>
      </c>
      <c r="AB92" s="340">
        <v>1439</v>
      </c>
      <c r="AC92" s="485">
        <v>84100</v>
      </c>
      <c r="AD92" s="332">
        <v>6355</v>
      </c>
      <c r="AE92" s="482">
        <v>0.08</v>
      </c>
      <c r="AF92" s="325"/>
      <c r="AG92" s="482">
        <v>0</v>
      </c>
      <c r="AH92" s="332">
        <v>87</v>
      </c>
      <c r="AI92" s="326">
        <v>193</v>
      </c>
      <c r="AJ92" s="340">
        <v>1439</v>
      </c>
      <c r="AK92" s="332">
        <v>234</v>
      </c>
      <c r="AL92" s="326">
        <v>787</v>
      </c>
      <c r="AM92" s="340">
        <v>1439</v>
      </c>
      <c r="AN92" s="332">
        <v>157</v>
      </c>
      <c r="AO92" s="326">
        <v>317</v>
      </c>
      <c r="AP92" s="340">
        <v>1437</v>
      </c>
      <c r="AQ92" s="485">
        <v>87095</v>
      </c>
      <c r="AR92" s="332" t="s">
        <v>1274</v>
      </c>
      <c r="AS92" s="482" t="s">
        <v>1274</v>
      </c>
      <c r="AT92" s="325"/>
      <c r="AU92" s="482">
        <v>0</v>
      </c>
      <c r="AV92" s="332">
        <v>178</v>
      </c>
      <c r="AW92" s="326">
        <v>502</v>
      </c>
      <c r="AX92" s="327">
        <v>1439</v>
      </c>
      <c r="AY92" s="97"/>
      <c r="AZ92" s="97"/>
      <c r="BA92" s="97"/>
    </row>
    <row r="93" spans="1:53" ht="22.5" customHeight="1" x14ac:dyDescent="0.4">
      <c r="A93" s="324" t="s">
        <v>298</v>
      </c>
      <c r="B93" s="335" t="s">
        <v>1149</v>
      </c>
      <c r="C93" s="332">
        <v>123715</v>
      </c>
      <c r="D93" s="326">
        <v>143193</v>
      </c>
      <c r="E93" s="479">
        <v>0.86</v>
      </c>
      <c r="F93" s="337" t="s">
        <v>1077</v>
      </c>
      <c r="G93" s="332">
        <v>123715</v>
      </c>
      <c r="H93" s="332">
        <v>1790</v>
      </c>
      <c r="I93" s="479">
        <v>0.01</v>
      </c>
      <c r="J93" s="482">
        <v>0</v>
      </c>
      <c r="K93" s="485">
        <v>121920</v>
      </c>
      <c r="L93" s="332">
        <v>4510</v>
      </c>
      <c r="M93" s="482">
        <v>0.04</v>
      </c>
      <c r="N93" s="485">
        <v>123715</v>
      </c>
      <c r="O93" s="332">
        <v>0</v>
      </c>
      <c r="P93" s="482">
        <v>0</v>
      </c>
      <c r="Q93" s="485">
        <v>123715</v>
      </c>
      <c r="R93" s="332">
        <v>8385</v>
      </c>
      <c r="S93" s="482">
        <v>7.0000000000000007E-2</v>
      </c>
      <c r="T93" s="482">
        <v>0</v>
      </c>
      <c r="U93" s="485">
        <v>29030</v>
      </c>
      <c r="V93" s="332">
        <v>3610</v>
      </c>
      <c r="W93" s="482">
        <v>0.12</v>
      </c>
      <c r="X93" s="325"/>
      <c r="Y93" s="482">
        <v>0</v>
      </c>
      <c r="Z93" s="332">
        <v>22</v>
      </c>
      <c r="AA93" s="326">
        <v>73</v>
      </c>
      <c r="AB93" s="340">
        <v>335</v>
      </c>
      <c r="AC93" s="485">
        <v>116805</v>
      </c>
      <c r="AD93" s="332">
        <v>30</v>
      </c>
      <c r="AE93" s="482">
        <v>0</v>
      </c>
      <c r="AF93" s="325"/>
      <c r="AG93" s="482">
        <v>0</v>
      </c>
      <c r="AH93" s="332">
        <v>86</v>
      </c>
      <c r="AI93" s="326">
        <v>195</v>
      </c>
      <c r="AJ93" s="340">
        <v>1439</v>
      </c>
      <c r="AK93" s="332">
        <v>239</v>
      </c>
      <c r="AL93" s="326">
        <v>887</v>
      </c>
      <c r="AM93" s="340">
        <v>1433</v>
      </c>
      <c r="AN93" s="332">
        <v>182</v>
      </c>
      <c r="AO93" s="326">
        <v>304</v>
      </c>
      <c r="AP93" s="340">
        <v>1395</v>
      </c>
      <c r="AQ93" s="485">
        <v>123715</v>
      </c>
      <c r="AR93" s="332" t="s">
        <v>1274</v>
      </c>
      <c r="AS93" s="482" t="s">
        <v>1274</v>
      </c>
      <c r="AT93" s="325"/>
      <c r="AU93" s="482">
        <v>0</v>
      </c>
      <c r="AV93" s="332">
        <v>197</v>
      </c>
      <c r="AW93" s="326">
        <v>534</v>
      </c>
      <c r="AX93" s="327">
        <v>1433</v>
      </c>
      <c r="AY93" s="97"/>
      <c r="AZ93" s="97"/>
      <c r="BA93" s="97"/>
    </row>
    <row r="94" spans="1:53" ht="22.5" customHeight="1" x14ac:dyDescent="0.4">
      <c r="A94" s="324" t="s">
        <v>336</v>
      </c>
      <c r="B94" s="335" t="s">
        <v>1150</v>
      </c>
      <c r="C94" s="332">
        <v>91120</v>
      </c>
      <c r="D94" s="326">
        <v>145294</v>
      </c>
      <c r="E94" s="479">
        <v>0.63</v>
      </c>
      <c r="F94" s="337" t="s">
        <v>1093</v>
      </c>
      <c r="G94" s="332">
        <v>91120</v>
      </c>
      <c r="H94" s="332">
        <v>45670</v>
      </c>
      <c r="I94" s="479">
        <v>0.5</v>
      </c>
      <c r="J94" s="482">
        <v>0</v>
      </c>
      <c r="K94" s="485">
        <v>45450</v>
      </c>
      <c r="L94" s="332">
        <v>1615</v>
      </c>
      <c r="M94" s="482">
        <v>0.04</v>
      </c>
      <c r="N94" s="485">
        <v>91120</v>
      </c>
      <c r="O94" s="332">
        <v>0</v>
      </c>
      <c r="P94" s="482">
        <v>0</v>
      </c>
      <c r="Q94" s="485">
        <v>91120</v>
      </c>
      <c r="R94" s="332">
        <v>6015</v>
      </c>
      <c r="S94" s="482">
        <v>7.0000000000000007E-2</v>
      </c>
      <c r="T94" s="482">
        <v>0</v>
      </c>
      <c r="U94" s="485">
        <v>32600</v>
      </c>
      <c r="V94" s="332">
        <v>1045</v>
      </c>
      <c r="W94" s="482">
        <v>0.03</v>
      </c>
      <c r="X94" s="325"/>
      <c r="Y94" s="482">
        <v>0</v>
      </c>
      <c r="Z94" s="332">
        <v>4</v>
      </c>
      <c r="AA94" s="326">
        <v>28</v>
      </c>
      <c r="AB94" s="340">
        <v>414</v>
      </c>
      <c r="AC94" s="485">
        <v>43575</v>
      </c>
      <c r="AD94" s="332">
        <v>95</v>
      </c>
      <c r="AE94" s="482">
        <v>0</v>
      </c>
      <c r="AF94" s="325"/>
      <c r="AG94" s="482">
        <v>0</v>
      </c>
      <c r="AH94" s="332">
        <v>42</v>
      </c>
      <c r="AI94" s="326">
        <v>192</v>
      </c>
      <c r="AJ94" s="340">
        <v>859</v>
      </c>
      <c r="AK94" s="332">
        <v>239</v>
      </c>
      <c r="AL94" s="326">
        <v>713</v>
      </c>
      <c r="AM94" s="340">
        <v>1420</v>
      </c>
      <c r="AN94" s="332">
        <v>170</v>
      </c>
      <c r="AO94" s="326">
        <v>374</v>
      </c>
      <c r="AP94" s="340">
        <v>1437</v>
      </c>
      <c r="AQ94" s="485">
        <v>91120</v>
      </c>
      <c r="AR94" s="332">
        <v>0</v>
      </c>
      <c r="AS94" s="482">
        <v>0</v>
      </c>
      <c r="AT94" s="325"/>
      <c r="AU94" s="482">
        <v>0</v>
      </c>
      <c r="AV94" s="332">
        <v>192</v>
      </c>
      <c r="AW94" s="326">
        <v>492</v>
      </c>
      <c r="AX94" s="327">
        <v>1437</v>
      </c>
      <c r="AY94" s="97"/>
      <c r="AZ94" s="97"/>
      <c r="BA94" s="97"/>
    </row>
    <row r="95" spans="1:53" ht="22.5" customHeight="1" x14ac:dyDescent="0.4">
      <c r="A95" s="324" t="s">
        <v>508</v>
      </c>
      <c r="B95" s="335" t="s">
        <v>1151</v>
      </c>
      <c r="C95" s="332">
        <v>107405</v>
      </c>
      <c r="D95" s="326">
        <v>107606</v>
      </c>
      <c r="E95" s="479">
        <v>1</v>
      </c>
      <c r="F95" s="337" t="s">
        <v>1067</v>
      </c>
      <c r="G95" s="332">
        <v>107405</v>
      </c>
      <c r="H95" s="332">
        <v>0</v>
      </c>
      <c r="I95" s="479">
        <v>0</v>
      </c>
      <c r="J95" s="482">
        <v>0.09</v>
      </c>
      <c r="K95" s="485">
        <v>107405</v>
      </c>
      <c r="L95" s="332">
        <v>3485</v>
      </c>
      <c r="M95" s="482">
        <v>0.03</v>
      </c>
      <c r="N95" s="485">
        <v>107405</v>
      </c>
      <c r="O95" s="332">
        <v>0</v>
      </c>
      <c r="P95" s="482">
        <v>0</v>
      </c>
      <c r="Q95" s="485">
        <v>107405</v>
      </c>
      <c r="R95" s="332">
        <v>8530</v>
      </c>
      <c r="S95" s="482">
        <v>0.08</v>
      </c>
      <c r="T95" s="482">
        <v>0</v>
      </c>
      <c r="U95" s="485">
        <v>1005</v>
      </c>
      <c r="V95" s="332" t="s">
        <v>1274</v>
      </c>
      <c r="W95" s="482" t="s">
        <v>1274</v>
      </c>
      <c r="X95" s="325"/>
      <c r="Y95" s="482">
        <v>0</v>
      </c>
      <c r="Z95" s="332">
        <v>29</v>
      </c>
      <c r="AA95" s="326">
        <v>91</v>
      </c>
      <c r="AB95" s="340">
        <v>231</v>
      </c>
      <c r="AC95" s="485">
        <v>103885</v>
      </c>
      <c r="AD95" s="332">
        <v>35</v>
      </c>
      <c r="AE95" s="482">
        <v>0</v>
      </c>
      <c r="AF95" s="325"/>
      <c r="AG95" s="482">
        <v>0</v>
      </c>
      <c r="AH95" s="332">
        <v>15</v>
      </c>
      <c r="AI95" s="326">
        <v>95</v>
      </c>
      <c r="AJ95" s="340">
        <v>883</v>
      </c>
      <c r="AK95" s="332">
        <v>151</v>
      </c>
      <c r="AL95" s="326">
        <v>868</v>
      </c>
      <c r="AM95" s="340">
        <v>1436</v>
      </c>
      <c r="AN95" s="332">
        <v>88</v>
      </c>
      <c r="AO95" s="326">
        <v>224</v>
      </c>
      <c r="AP95" s="340">
        <v>1407</v>
      </c>
      <c r="AQ95" s="485">
        <v>107405</v>
      </c>
      <c r="AR95" s="332">
        <v>0</v>
      </c>
      <c r="AS95" s="482">
        <v>0</v>
      </c>
      <c r="AT95" s="325"/>
      <c r="AU95" s="482">
        <v>0</v>
      </c>
      <c r="AV95" s="332">
        <v>88</v>
      </c>
      <c r="AW95" s="326">
        <v>224</v>
      </c>
      <c r="AX95" s="327">
        <v>1436</v>
      </c>
      <c r="AY95" s="97"/>
      <c r="AZ95" s="97"/>
      <c r="BA95" s="97"/>
    </row>
    <row r="96" spans="1:53" ht="22.5" customHeight="1" x14ac:dyDescent="0.4">
      <c r="A96" s="324" t="s">
        <v>364</v>
      </c>
      <c r="B96" s="335" t="s">
        <v>1152</v>
      </c>
      <c r="C96" s="332">
        <v>238755</v>
      </c>
      <c r="D96" s="326">
        <v>238437</v>
      </c>
      <c r="E96" s="479">
        <v>1</v>
      </c>
      <c r="F96" s="337" t="s">
        <v>1067</v>
      </c>
      <c r="G96" s="332">
        <v>238755</v>
      </c>
      <c r="H96" s="332">
        <v>2075</v>
      </c>
      <c r="I96" s="479">
        <v>0.01</v>
      </c>
      <c r="J96" s="482">
        <v>0.01</v>
      </c>
      <c r="K96" s="485">
        <v>236680</v>
      </c>
      <c r="L96" s="332">
        <v>4855</v>
      </c>
      <c r="M96" s="482">
        <v>0.02</v>
      </c>
      <c r="N96" s="485">
        <v>238755</v>
      </c>
      <c r="O96" s="332">
        <v>0</v>
      </c>
      <c r="P96" s="482">
        <v>0</v>
      </c>
      <c r="Q96" s="485">
        <v>238755</v>
      </c>
      <c r="R96" s="332">
        <v>18835</v>
      </c>
      <c r="S96" s="482">
        <v>0.08</v>
      </c>
      <c r="T96" s="482">
        <v>0</v>
      </c>
      <c r="U96" s="485">
        <v>64950</v>
      </c>
      <c r="V96" s="332">
        <v>130</v>
      </c>
      <c r="W96" s="482">
        <v>0</v>
      </c>
      <c r="X96" s="325"/>
      <c r="Y96" s="482">
        <v>0</v>
      </c>
      <c r="Z96" s="332">
        <v>5</v>
      </c>
      <c r="AA96" s="326">
        <v>26</v>
      </c>
      <c r="AB96" s="340">
        <v>1439</v>
      </c>
      <c r="AC96" s="485">
        <v>231435</v>
      </c>
      <c r="AD96" s="332">
        <v>14565</v>
      </c>
      <c r="AE96" s="482">
        <v>0.06</v>
      </c>
      <c r="AF96" s="325"/>
      <c r="AG96" s="482">
        <v>0</v>
      </c>
      <c r="AH96" s="332">
        <v>93</v>
      </c>
      <c r="AI96" s="326">
        <v>214</v>
      </c>
      <c r="AJ96" s="340">
        <v>1439</v>
      </c>
      <c r="AK96" s="332">
        <v>233</v>
      </c>
      <c r="AL96" s="326">
        <v>610</v>
      </c>
      <c r="AM96" s="340">
        <v>1413</v>
      </c>
      <c r="AN96" s="332">
        <v>186</v>
      </c>
      <c r="AO96" s="326">
        <v>307</v>
      </c>
      <c r="AP96" s="340">
        <v>1421</v>
      </c>
      <c r="AQ96" s="485">
        <v>238755</v>
      </c>
      <c r="AR96" s="332" t="s">
        <v>1274</v>
      </c>
      <c r="AS96" s="482" t="s">
        <v>1274</v>
      </c>
      <c r="AT96" s="325"/>
      <c r="AU96" s="482">
        <v>0</v>
      </c>
      <c r="AV96" s="332">
        <v>201</v>
      </c>
      <c r="AW96" s="326">
        <v>417</v>
      </c>
      <c r="AX96" s="327">
        <v>1421</v>
      </c>
      <c r="AY96" s="97"/>
      <c r="AZ96" s="97"/>
      <c r="BA96" s="97"/>
    </row>
    <row r="97" spans="1:53" ht="22.5" customHeight="1" x14ac:dyDescent="0.4">
      <c r="A97" s="324" t="s">
        <v>525</v>
      </c>
      <c r="B97" s="335" t="s">
        <v>1153</v>
      </c>
      <c r="C97" s="332">
        <v>91070</v>
      </c>
      <c r="D97" s="326">
        <v>95147</v>
      </c>
      <c r="E97" s="479">
        <v>0.96</v>
      </c>
      <c r="F97" s="337" t="s">
        <v>1067</v>
      </c>
      <c r="G97" s="332">
        <v>91070</v>
      </c>
      <c r="H97" s="332">
        <v>15</v>
      </c>
      <c r="I97" s="479">
        <v>0</v>
      </c>
      <c r="J97" s="482" t="s">
        <v>1274</v>
      </c>
      <c r="K97" s="485">
        <v>91055</v>
      </c>
      <c r="L97" s="332">
        <v>1690</v>
      </c>
      <c r="M97" s="482">
        <v>0.02</v>
      </c>
      <c r="N97" s="485">
        <v>91070</v>
      </c>
      <c r="O97" s="332">
        <v>0</v>
      </c>
      <c r="P97" s="482">
        <v>0</v>
      </c>
      <c r="Q97" s="485">
        <v>91070</v>
      </c>
      <c r="R97" s="332">
        <v>5550</v>
      </c>
      <c r="S97" s="482">
        <v>0.06</v>
      </c>
      <c r="T97" s="482">
        <v>0</v>
      </c>
      <c r="U97" s="485">
        <v>22530</v>
      </c>
      <c r="V97" s="332">
        <v>9875</v>
      </c>
      <c r="W97" s="482">
        <v>0.44</v>
      </c>
      <c r="X97" s="325"/>
      <c r="Y97" s="482">
        <v>0</v>
      </c>
      <c r="Z97" s="332">
        <v>2</v>
      </c>
      <c r="AA97" s="326">
        <v>19</v>
      </c>
      <c r="AB97" s="340">
        <v>1439</v>
      </c>
      <c r="AC97" s="485">
        <v>89065</v>
      </c>
      <c r="AD97" s="332">
        <v>4870</v>
      </c>
      <c r="AE97" s="482">
        <v>0.05</v>
      </c>
      <c r="AF97" s="325"/>
      <c r="AG97" s="482">
        <v>0</v>
      </c>
      <c r="AH97" s="332">
        <v>64</v>
      </c>
      <c r="AI97" s="326">
        <v>216</v>
      </c>
      <c r="AJ97" s="340">
        <v>1437</v>
      </c>
      <c r="AK97" s="332">
        <v>249</v>
      </c>
      <c r="AL97" s="326">
        <v>703</v>
      </c>
      <c r="AM97" s="340">
        <v>1431</v>
      </c>
      <c r="AN97" s="332">
        <v>133</v>
      </c>
      <c r="AO97" s="326">
        <v>430</v>
      </c>
      <c r="AP97" s="340">
        <v>1439</v>
      </c>
      <c r="AQ97" s="485">
        <v>91070</v>
      </c>
      <c r="AR97" s="332" t="s">
        <v>1274</v>
      </c>
      <c r="AS97" s="482" t="s">
        <v>1274</v>
      </c>
      <c r="AT97" s="325"/>
      <c r="AU97" s="482">
        <v>0</v>
      </c>
      <c r="AV97" s="332">
        <v>156</v>
      </c>
      <c r="AW97" s="326">
        <v>523</v>
      </c>
      <c r="AX97" s="327">
        <v>1439</v>
      </c>
      <c r="AY97" s="97"/>
      <c r="AZ97" s="97"/>
      <c r="BA97" s="97"/>
    </row>
    <row r="98" spans="1:53" ht="22.5" customHeight="1" x14ac:dyDescent="0.4">
      <c r="A98" s="324" t="s">
        <v>491</v>
      </c>
      <c r="B98" s="335" t="s">
        <v>1154</v>
      </c>
      <c r="C98" s="332">
        <v>68145</v>
      </c>
      <c r="D98" s="326">
        <v>69626</v>
      </c>
      <c r="E98" s="479">
        <v>0.98</v>
      </c>
      <c r="F98" s="337" t="s">
        <v>1067</v>
      </c>
      <c r="G98" s="332">
        <v>68145</v>
      </c>
      <c r="H98" s="332">
        <v>15</v>
      </c>
      <c r="I98" s="479">
        <v>0</v>
      </c>
      <c r="J98" s="482" t="s">
        <v>1274</v>
      </c>
      <c r="K98" s="485">
        <v>68125</v>
      </c>
      <c r="L98" s="332">
        <v>1000</v>
      </c>
      <c r="M98" s="482">
        <v>0.01</v>
      </c>
      <c r="N98" s="485">
        <v>68145</v>
      </c>
      <c r="O98" s="332">
        <v>0</v>
      </c>
      <c r="P98" s="482">
        <v>0</v>
      </c>
      <c r="Q98" s="485">
        <v>68145</v>
      </c>
      <c r="R98" s="332">
        <v>5995</v>
      </c>
      <c r="S98" s="482">
        <v>0.09</v>
      </c>
      <c r="T98" s="482">
        <v>0</v>
      </c>
      <c r="U98" s="485">
        <v>14410</v>
      </c>
      <c r="V98" s="332">
        <v>70</v>
      </c>
      <c r="W98" s="482">
        <v>0</v>
      </c>
      <c r="X98" s="325"/>
      <c r="Y98" s="482">
        <v>0</v>
      </c>
      <c r="Z98" s="332">
        <v>10</v>
      </c>
      <c r="AA98" s="326">
        <v>44</v>
      </c>
      <c r="AB98" s="340">
        <v>260</v>
      </c>
      <c r="AC98" s="485">
        <v>66855</v>
      </c>
      <c r="AD98" s="332">
        <v>8430</v>
      </c>
      <c r="AE98" s="482">
        <v>0.13</v>
      </c>
      <c r="AF98" s="325"/>
      <c r="AG98" s="482">
        <v>0</v>
      </c>
      <c r="AH98" s="332">
        <v>62</v>
      </c>
      <c r="AI98" s="326">
        <v>171</v>
      </c>
      <c r="AJ98" s="340">
        <v>687</v>
      </c>
      <c r="AK98" s="332">
        <v>204</v>
      </c>
      <c r="AL98" s="326">
        <v>370</v>
      </c>
      <c r="AM98" s="340">
        <v>1184</v>
      </c>
      <c r="AN98" s="332">
        <v>111</v>
      </c>
      <c r="AO98" s="326">
        <v>236</v>
      </c>
      <c r="AP98" s="340">
        <v>1193</v>
      </c>
      <c r="AQ98" s="485">
        <v>68145</v>
      </c>
      <c r="AR98" s="332">
        <v>15</v>
      </c>
      <c r="AS98" s="482">
        <v>0</v>
      </c>
      <c r="AT98" s="325"/>
      <c r="AU98" s="482">
        <v>0</v>
      </c>
      <c r="AV98" s="332">
        <v>130</v>
      </c>
      <c r="AW98" s="326">
        <v>259</v>
      </c>
      <c r="AX98" s="327">
        <v>1193</v>
      </c>
      <c r="AY98" s="97"/>
      <c r="AZ98" s="97"/>
      <c r="BA98" s="97"/>
    </row>
    <row r="99" spans="1:53" ht="22.5" customHeight="1" x14ac:dyDescent="0.4">
      <c r="A99" s="324" t="s">
        <v>605</v>
      </c>
      <c r="B99" s="335" t="s">
        <v>1155</v>
      </c>
      <c r="C99" s="332">
        <v>165205</v>
      </c>
      <c r="D99" s="326">
        <v>175364</v>
      </c>
      <c r="E99" s="479">
        <v>0.94</v>
      </c>
      <c r="F99" s="337" t="s">
        <v>1067</v>
      </c>
      <c r="G99" s="332">
        <v>165205</v>
      </c>
      <c r="H99" s="332">
        <v>0</v>
      </c>
      <c r="I99" s="479">
        <v>0</v>
      </c>
      <c r="J99" s="482">
        <v>0</v>
      </c>
      <c r="K99" s="485">
        <v>165205</v>
      </c>
      <c r="L99" s="332">
        <v>4250</v>
      </c>
      <c r="M99" s="482">
        <v>0.03</v>
      </c>
      <c r="N99" s="485">
        <v>165205</v>
      </c>
      <c r="O99" s="332">
        <v>0</v>
      </c>
      <c r="P99" s="482">
        <v>0</v>
      </c>
      <c r="Q99" s="485">
        <v>165205</v>
      </c>
      <c r="R99" s="332">
        <v>12205</v>
      </c>
      <c r="S99" s="482">
        <v>7.0000000000000007E-2</v>
      </c>
      <c r="T99" s="482">
        <v>0</v>
      </c>
      <c r="U99" s="485">
        <v>36820</v>
      </c>
      <c r="V99" s="332">
        <v>0</v>
      </c>
      <c r="W99" s="482">
        <v>0</v>
      </c>
      <c r="X99" s="325"/>
      <c r="Y99" s="482">
        <v>0</v>
      </c>
      <c r="Z99" s="332">
        <v>8</v>
      </c>
      <c r="AA99" s="326">
        <v>38</v>
      </c>
      <c r="AB99" s="340">
        <v>1403</v>
      </c>
      <c r="AC99" s="485">
        <v>160740</v>
      </c>
      <c r="AD99" s="332">
        <v>0</v>
      </c>
      <c r="AE99" s="482">
        <v>0</v>
      </c>
      <c r="AF99" s="325"/>
      <c r="AG99" s="482">
        <v>0</v>
      </c>
      <c r="AH99" s="332">
        <v>43</v>
      </c>
      <c r="AI99" s="326">
        <v>193</v>
      </c>
      <c r="AJ99" s="340">
        <v>1435</v>
      </c>
      <c r="AK99" s="332">
        <v>239</v>
      </c>
      <c r="AL99" s="326">
        <v>757</v>
      </c>
      <c r="AM99" s="340">
        <v>1423</v>
      </c>
      <c r="AN99" s="332">
        <v>87</v>
      </c>
      <c r="AO99" s="326">
        <v>240</v>
      </c>
      <c r="AP99" s="340">
        <v>1345</v>
      </c>
      <c r="AQ99" s="485">
        <v>165205</v>
      </c>
      <c r="AR99" s="332">
        <v>0</v>
      </c>
      <c r="AS99" s="482">
        <v>0</v>
      </c>
      <c r="AT99" s="325"/>
      <c r="AU99" s="482">
        <v>0</v>
      </c>
      <c r="AV99" s="332">
        <v>108</v>
      </c>
      <c r="AW99" s="326">
        <v>465</v>
      </c>
      <c r="AX99" s="327">
        <v>1423</v>
      </c>
      <c r="AY99" s="97"/>
      <c r="AZ99" s="97"/>
      <c r="BA99" s="97"/>
    </row>
    <row r="100" spans="1:53" ht="22.5" customHeight="1" x14ac:dyDescent="0.4">
      <c r="A100" s="324" t="s">
        <v>286</v>
      </c>
      <c r="B100" s="335" t="s">
        <v>1156</v>
      </c>
      <c r="C100" s="332">
        <v>167270</v>
      </c>
      <c r="D100" s="326">
        <v>167939</v>
      </c>
      <c r="E100" s="479">
        <v>1</v>
      </c>
      <c r="F100" s="337" t="s">
        <v>1067</v>
      </c>
      <c r="G100" s="332">
        <v>167270</v>
      </c>
      <c r="H100" s="332">
        <v>0</v>
      </c>
      <c r="I100" s="479">
        <v>0</v>
      </c>
      <c r="J100" s="482">
        <v>0.01</v>
      </c>
      <c r="K100" s="485">
        <v>167270</v>
      </c>
      <c r="L100" s="332">
        <v>7095</v>
      </c>
      <c r="M100" s="482">
        <v>0.04</v>
      </c>
      <c r="N100" s="485">
        <v>167270</v>
      </c>
      <c r="O100" s="332">
        <v>0</v>
      </c>
      <c r="P100" s="482">
        <v>0</v>
      </c>
      <c r="Q100" s="485">
        <v>167270</v>
      </c>
      <c r="R100" s="332">
        <v>18380</v>
      </c>
      <c r="S100" s="482">
        <v>0.11</v>
      </c>
      <c r="T100" s="482">
        <v>0</v>
      </c>
      <c r="U100" s="485">
        <v>32040</v>
      </c>
      <c r="V100" s="332">
        <v>110</v>
      </c>
      <c r="W100" s="482">
        <v>0</v>
      </c>
      <c r="X100" s="325"/>
      <c r="Y100" s="482">
        <v>0</v>
      </c>
      <c r="Z100" s="332">
        <v>0</v>
      </c>
      <c r="AA100" s="326">
        <v>11</v>
      </c>
      <c r="AB100" s="340">
        <v>1200</v>
      </c>
      <c r="AC100" s="485">
        <v>160170</v>
      </c>
      <c r="AD100" s="332">
        <v>9040</v>
      </c>
      <c r="AE100" s="482">
        <v>0.06</v>
      </c>
      <c r="AF100" s="325"/>
      <c r="AG100" s="482">
        <v>0</v>
      </c>
      <c r="AH100" s="332">
        <v>56</v>
      </c>
      <c r="AI100" s="326">
        <v>220</v>
      </c>
      <c r="AJ100" s="340">
        <v>1439</v>
      </c>
      <c r="AK100" s="332">
        <v>236</v>
      </c>
      <c r="AL100" s="326">
        <v>819</v>
      </c>
      <c r="AM100" s="340">
        <v>1423</v>
      </c>
      <c r="AN100" s="332">
        <v>99</v>
      </c>
      <c r="AO100" s="326">
        <v>321</v>
      </c>
      <c r="AP100" s="340">
        <v>1431</v>
      </c>
      <c r="AQ100" s="485">
        <v>167270</v>
      </c>
      <c r="AR100" s="332" t="s">
        <v>1274</v>
      </c>
      <c r="AS100" s="482" t="s">
        <v>1274</v>
      </c>
      <c r="AT100" s="325"/>
      <c r="AU100" s="482">
        <v>0</v>
      </c>
      <c r="AV100" s="332">
        <v>119</v>
      </c>
      <c r="AW100" s="326">
        <v>530</v>
      </c>
      <c r="AX100" s="327">
        <v>1431</v>
      </c>
      <c r="AY100" s="97"/>
      <c r="AZ100" s="97"/>
      <c r="BA100" s="97"/>
    </row>
    <row r="101" spans="1:53" ht="22.5" customHeight="1" x14ac:dyDescent="0.4">
      <c r="A101" s="324" t="s">
        <v>412</v>
      </c>
      <c r="B101" s="335" t="s">
        <v>1157</v>
      </c>
      <c r="C101" s="332">
        <v>12555</v>
      </c>
      <c r="D101" s="326">
        <v>12555</v>
      </c>
      <c r="E101" s="479">
        <v>1</v>
      </c>
      <c r="F101" s="337" t="s">
        <v>1067</v>
      </c>
      <c r="G101" s="332">
        <v>12555</v>
      </c>
      <c r="H101" s="332">
        <v>5655</v>
      </c>
      <c r="I101" s="479">
        <v>0.45</v>
      </c>
      <c r="J101" s="482">
        <v>0</v>
      </c>
      <c r="K101" s="485">
        <v>6900</v>
      </c>
      <c r="L101" s="332">
        <v>180</v>
      </c>
      <c r="M101" s="482">
        <v>0.03</v>
      </c>
      <c r="N101" s="485">
        <v>12555</v>
      </c>
      <c r="O101" s="332">
        <v>0</v>
      </c>
      <c r="P101" s="482">
        <v>0</v>
      </c>
      <c r="Q101" s="485">
        <v>12555</v>
      </c>
      <c r="R101" s="332">
        <v>1415</v>
      </c>
      <c r="S101" s="482">
        <v>0.11</v>
      </c>
      <c r="T101" s="482">
        <v>0</v>
      </c>
      <c r="U101" s="485">
        <v>630</v>
      </c>
      <c r="V101" s="332">
        <v>0</v>
      </c>
      <c r="W101" s="482">
        <v>0</v>
      </c>
      <c r="X101" s="325"/>
      <c r="Y101" s="482">
        <v>0</v>
      </c>
      <c r="Z101" s="332">
        <v>4</v>
      </c>
      <c r="AA101" s="326">
        <v>13</v>
      </c>
      <c r="AB101" s="340">
        <v>44</v>
      </c>
      <c r="AC101" s="485">
        <v>6715</v>
      </c>
      <c r="AD101" s="332">
        <v>0</v>
      </c>
      <c r="AE101" s="482">
        <v>0</v>
      </c>
      <c r="AF101" s="325"/>
      <c r="AG101" s="482">
        <v>0</v>
      </c>
      <c r="AH101" s="332">
        <v>73</v>
      </c>
      <c r="AI101" s="326">
        <v>196</v>
      </c>
      <c r="AJ101" s="340">
        <v>403</v>
      </c>
      <c r="AK101" s="332">
        <v>129</v>
      </c>
      <c r="AL101" s="326">
        <v>234</v>
      </c>
      <c r="AM101" s="340">
        <v>388</v>
      </c>
      <c r="AN101" s="332">
        <v>105</v>
      </c>
      <c r="AO101" s="326">
        <v>225</v>
      </c>
      <c r="AP101" s="340">
        <v>424</v>
      </c>
      <c r="AQ101" s="485">
        <v>12555</v>
      </c>
      <c r="AR101" s="332">
        <v>10</v>
      </c>
      <c r="AS101" s="482">
        <v>0</v>
      </c>
      <c r="AT101" s="325"/>
      <c r="AU101" s="482">
        <v>0</v>
      </c>
      <c r="AV101" s="332">
        <v>109</v>
      </c>
      <c r="AW101" s="326">
        <v>227</v>
      </c>
      <c r="AX101" s="327">
        <v>809</v>
      </c>
      <c r="AY101" s="97"/>
      <c r="AZ101" s="97"/>
      <c r="BA101" s="97"/>
    </row>
    <row r="102" spans="1:53" ht="22.5" customHeight="1" x14ac:dyDescent="0.4">
      <c r="A102" s="324" t="s">
        <v>293</v>
      </c>
      <c r="B102" s="335" t="s">
        <v>1158</v>
      </c>
      <c r="C102" s="332">
        <v>250870</v>
      </c>
      <c r="D102" s="326">
        <v>289138</v>
      </c>
      <c r="E102" s="479">
        <v>0.87</v>
      </c>
      <c r="F102" s="337" t="s">
        <v>1077</v>
      </c>
      <c r="G102" s="332">
        <v>250870</v>
      </c>
      <c r="H102" s="332">
        <v>9090</v>
      </c>
      <c r="I102" s="479">
        <v>0.04</v>
      </c>
      <c r="J102" s="482">
        <v>0</v>
      </c>
      <c r="K102" s="485">
        <v>241780</v>
      </c>
      <c r="L102" s="332">
        <v>9715</v>
      </c>
      <c r="M102" s="482">
        <v>0.04</v>
      </c>
      <c r="N102" s="485">
        <v>255250</v>
      </c>
      <c r="O102" s="332">
        <v>4380</v>
      </c>
      <c r="P102" s="482">
        <v>0.02</v>
      </c>
      <c r="Q102" s="485">
        <v>250870</v>
      </c>
      <c r="R102" s="332">
        <v>28005</v>
      </c>
      <c r="S102" s="482">
        <v>0.11</v>
      </c>
      <c r="T102" s="482">
        <v>0</v>
      </c>
      <c r="U102" s="485">
        <v>34915</v>
      </c>
      <c r="V102" s="332">
        <v>15380</v>
      </c>
      <c r="W102" s="482">
        <v>0.44</v>
      </c>
      <c r="X102" s="325"/>
      <c r="Y102" s="482">
        <v>0</v>
      </c>
      <c r="Z102" s="332">
        <v>8</v>
      </c>
      <c r="AA102" s="326">
        <v>44</v>
      </c>
      <c r="AB102" s="340">
        <v>1417</v>
      </c>
      <c r="AC102" s="485">
        <v>231755</v>
      </c>
      <c r="AD102" s="332">
        <v>39900</v>
      </c>
      <c r="AE102" s="482">
        <v>0.17</v>
      </c>
      <c r="AF102" s="325"/>
      <c r="AG102" s="482">
        <v>0</v>
      </c>
      <c r="AH102" s="332">
        <v>96</v>
      </c>
      <c r="AI102" s="326">
        <v>228</v>
      </c>
      <c r="AJ102" s="340">
        <v>1433</v>
      </c>
      <c r="AK102" s="332">
        <v>237</v>
      </c>
      <c r="AL102" s="326">
        <v>895</v>
      </c>
      <c r="AM102" s="340">
        <v>1439</v>
      </c>
      <c r="AN102" s="332">
        <v>187</v>
      </c>
      <c r="AO102" s="326">
        <v>427</v>
      </c>
      <c r="AP102" s="340">
        <v>1436</v>
      </c>
      <c r="AQ102" s="485">
        <v>250870</v>
      </c>
      <c r="AR102" s="332">
        <v>0</v>
      </c>
      <c r="AS102" s="482">
        <v>0</v>
      </c>
      <c r="AT102" s="325"/>
      <c r="AU102" s="482">
        <v>0</v>
      </c>
      <c r="AV102" s="332">
        <v>195</v>
      </c>
      <c r="AW102" s="326">
        <v>541</v>
      </c>
      <c r="AX102" s="327">
        <v>1439</v>
      </c>
      <c r="AY102" s="97"/>
      <c r="AZ102" s="97"/>
      <c r="BA102" s="97"/>
    </row>
    <row r="103" spans="1:53" ht="22.5" customHeight="1" x14ac:dyDescent="0.4">
      <c r="A103" s="324" t="s">
        <v>295</v>
      </c>
      <c r="B103" s="335" t="s">
        <v>1159</v>
      </c>
      <c r="C103" s="332">
        <v>85365</v>
      </c>
      <c r="D103" s="326">
        <v>85578</v>
      </c>
      <c r="E103" s="479">
        <v>1</v>
      </c>
      <c r="F103" s="337" t="s">
        <v>1067</v>
      </c>
      <c r="G103" s="332">
        <v>85365</v>
      </c>
      <c r="H103" s="332">
        <v>280</v>
      </c>
      <c r="I103" s="479">
        <v>0</v>
      </c>
      <c r="J103" s="482">
        <v>0.02</v>
      </c>
      <c r="K103" s="485">
        <v>85085</v>
      </c>
      <c r="L103" s="332">
        <v>2970</v>
      </c>
      <c r="M103" s="482">
        <v>0.03</v>
      </c>
      <c r="N103" s="485">
        <v>85530</v>
      </c>
      <c r="O103" s="332">
        <v>165</v>
      </c>
      <c r="P103" s="482">
        <v>0</v>
      </c>
      <c r="Q103" s="485">
        <v>85365</v>
      </c>
      <c r="R103" s="332">
        <v>6100</v>
      </c>
      <c r="S103" s="482">
        <v>7.0000000000000007E-2</v>
      </c>
      <c r="T103" s="482">
        <v>0</v>
      </c>
      <c r="U103" s="485">
        <v>24890</v>
      </c>
      <c r="V103" s="332">
        <v>245</v>
      </c>
      <c r="W103" s="482">
        <v>0.01</v>
      </c>
      <c r="X103" s="325"/>
      <c r="Y103" s="482">
        <v>0</v>
      </c>
      <c r="Z103" s="332">
        <v>5</v>
      </c>
      <c r="AA103" s="326">
        <v>36</v>
      </c>
      <c r="AB103" s="340">
        <v>1439</v>
      </c>
      <c r="AC103" s="485">
        <v>81850</v>
      </c>
      <c r="AD103" s="332">
        <v>10580</v>
      </c>
      <c r="AE103" s="482">
        <v>0.13</v>
      </c>
      <c r="AF103" s="325"/>
      <c r="AG103" s="482">
        <v>0</v>
      </c>
      <c r="AH103" s="332">
        <v>82</v>
      </c>
      <c r="AI103" s="326">
        <v>216</v>
      </c>
      <c r="AJ103" s="340">
        <v>1410</v>
      </c>
      <c r="AK103" s="332">
        <v>230</v>
      </c>
      <c r="AL103" s="326">
        <v>501</v>
      </c>
      <c r="AM103" s="340">
        <v>1178</v>
      </c>
      <c r="AN103" s="332">
        <v>148</v>
      </c>
      <c r="AO103" s="326">
        <v>268</v>
      </c>
      <c r="AP103" s="340">
        <v>974</v>
      </c>
      <c r="AQ103" s="485">
        <v>85365</v>
      </c>
      <c r="AR103" s="332">
        <v>0</v>
      </c>
      <c r="AS103" s="482">
        <v>0</v>
      </c>
      <c r="AT103" s="325"/>
      <c r="AU103" s="482">
        <v>0</v>
      </c>
      <c r="AV103" s="332">
        <v>175</v>
      </c>
      <c r="AW103" s="326">
        <v>352</v>
      </c>
      <c r="AX103" s="327">
        <v>1178</v>
      </c>
      <c r="AY103" s="97"/>
      <c r="AZ103" s="97"/>
      <c r="BA103" s="97"/>
    </row>
    <row r="104" spans="1:53" ht="22.5" customHeight="1" x14ac:dyDescent="0.4">
      <c r="A104" s="324" t="s">
        <v>524</v>
      </c>
      <c r="B104" s="335" t="s">
        <v>1160</v>
      </c>
      <c r="C104" s="332">
        <v>89435</v>
      </c>
      <c r="D104" s="326">
        <v>103327</v>
      </c>
      <c r="E104" s="479">
        <v>0.87</v>
      </c>
      <c r="F104" s="337" t="s">
        <v>1077</v>
      </c>
      <c r="G104" s="332">
        <v>89435</v>
      </c>
      <c r="H104" s="332">
        <v>16485</v>
      </c>
      <c r="I104" s="479">
        <v>0.18</v>
      </c>
      <c r="J104" s="482" t="s">
        <v>1274</v>
      </c>
      <c r="K104" s="485">
        <v>72950</v>
      </c>
      <c r="L104" s="332">
        <v>5830</v>
      </c>
      <c r="M104" s="482">
        <v>0.08</v>
      </c>
      <c r="N104" s="485">
        <v>89850</v>
      </c>
      <c r="O104" s="332">
        <v>415</v>
      </c>
      <c r="P104" s="482">
        <v>0</v>
      </c>
      <c r="Q104" s="485">
        <v>89435</v>
      </c>
      <c r="R104" s="332">
        <v>5550</v>
      </c>
      <c r="S104" s="482">
        <v>0.06</v>
      </c>
      <c r="T104" s="482">
        <v>0</v>
      </c>
      <c r="U104" s="485">
        <v>23885</v>
      </c>
      <c r="V104" s="332">
        <v>1715</v>
      </c>
      <c r="W104" s="482">
        <v>7.0000000000000007E-2</v>
      </c>
      <c r="X104" s="325"/>
      <c r="Y104" s="482">
        <v>0</v>
      </c>
      <c r="Z104" s="332">
        <v>20</v>
      </c>
      <c r="AA104" s="326">
        <v>80</v>
      </c>
      <c r="AB104" s="340">
        <v>1439</v>
      </c>
      <c r="AC104" s="485">
        <v>66620</v>
      </c>
      <c r="AD104" s="332">
        <v>10770</v>
      </c>
      <c r="AE104" s="482">
        <v>0.16</v>
      </c>
      <c r="AF104" s="325"/>
      <c r="AG104" s="482">
        <v>0</v>
      </c>
      <c r="AH104" s="332">
        <v>87</v>
      </c>
      <c r="AI104" s="326">
        <v>247</v>
      </c>
      <c r="AJ104" s="340">
        <v>1220</v>
      </c>
      <c r="AK104" s="332">
        <v>240</v>
      </c>
      <c r="AL104" s="326">
        <v>707</v>
      </c>
      <c r="AM104" s="340">
        <v>1347</v>
      </c>
      <c r="AN104" s="332">
        <v>150</v>
      </c>
      <c r="AO104" s="326">
        <v>338</v>
      </c>
      <c r="AP104" s="340">
        <v>1439</v>
      </c>
      <c r="AQ104" s="485">
        <v>89435</v>
      </c>
      <c r="AR104" s="332">
        <v>35</v>
      </c>
      <c r="AS104" s="482">
        <v>0</v>
      </c>
      <c r="AT104" s="325"/>
      <c r="AU104" s="482">
        <v>0</v>
      </c>
      <c r="AV104" s="332">
        <v>174</v>
      </c>
      <c r="AW104" s="326">
        <v>459</v>
      </c>
      <c r="AX104" s="327">
        <v>1439</v>
      </c>
      <c r="AY104" s="97"/>
      <c r="AZ104" s="97"/>
      <c r="BA104" s="97"/>
    </row>
    <row r="105" spans="1:53" ht="22.5" customHeight="1" x14ac:dyDescent="0.4">
      <c r="A105" s="324" t="s">
        <v>330</v>
      </c>
      <c r="B105" s="335" t="s">
        <v>1161</v>
      </c>
      <c r="C105" s="332">
        <v>81280</v>
      </c>
      <c r="D105" s="326">
        <v>83806</v>
      </c>
      <c r="E105" s="479">
        <v>0.97</v>
      </c>
      <c r="F105" s="337" t="s">
        <v>1067</v>
      </c>
      <c r="G105" s="332">
        <v>81280</v>
      </c>
      <c r="H105" s="332">
        <v>0</v>
      </c>
      <c r="I105" s="479">
        <v>0</v>
      </c>
      <c r="J105" s="482">
        <v>0.03</v>
      </c>
      <c r="K105" s="485">
        <v>81280</v>
      </c>
      <c r="L105" s="332">
        <v>1395</v>
      </c>
      <c r="M105" s="482">
        <v>0.02</v>
      </c>
      <c r="N105" s="485">
        <v>81280</v>
      </c>
      <c r="O105" s="332">
        <v>0</v>
      </c>
      <c r="P105" s="482">
        <v>0</v>
      </c>
      <c r="Q105" s="485">
        <v>81280</v>
      </c>
      <c r="R105" s="332">
        <v>7030</v>
      </c>
      <c r="S105" s="482">
        <v>0.09</v>
      </c>
      <c r="T105" s="482">
        <v>0</v>
      </c>
      <c r="U105" s="485">
        <v>24805</v>
      </c>
      <c r="V105" s="332" t="s">
        <v>1274</v>
      </c>
      <c r="W105" s="482" t="s">
        <v>1274</v>
      </c>
      <c r="X105" s="325"/>
      <c r="Y105" s="482">
        <v>0</v>
      </c>
      <c r="Z105" s="332">
        <v>8</v>
      </c>
      <c r="AA105" s="326">
        <v>40</v>
      </c>
      <c r="AB105" s="340">
        <v>1232</v>
      </c>
      <c r="AC105" s="485">
        <v>79725</v>
      </c>
      <c r="AD105" s="332">
        <v>0</v>
      </c>
      <c r="AE105" s="482">
        <v>0</v>
      </c>
      <c r="AF105" s="325"/>
      <c r="AG105" s="482">
        <v>0</v>
      </c>
      <c r="AH105" s="332">
        <v>61</v>
      </c>
      <c r="AI105" s="326">
        <v>182</v>
      </c>
      <c r="AJ105" s="340">
        <v>1439</v>
      </c>
      <c r="AK105" s="332">
        <v>225</v>
      </c>
      <c r="AL105" s="326">
        <v>360</v>
      </c>
      <c r="AM105" s="340">
        <v>1259</v>
      </c>
      <c r="AN105" s="332">
        <v>123</v>
      </c>
      <c r="AO105" s="326">
        <v>239</v>
      </c>
      <c r="AP105" s="340">
        <v>1421</v>
      </c>
      <c r="AQ105" s="485">
        <v>81280</v>
      </c>
      <c r="AR105" s="332">
        <v>0</v>
      </c>
      <c r="AS105" s="482">
        <v>0</v>
      </c>
      <c r="AT105" s="325"/>
      <c r="AU105" s="482">
        <v>0</v>
      </c>
      <c r="AV105" s="332">
        <v>161</v>
      </c>
      <c r="AW105" s="326">
        <v>296</v>
      </c>
      <c r="AX105" s="327">
        <v>1421</v>
      </c>
      <c r="AY105" s="97"/>
      <c r="AZ105" s="97"/>
      <c r="BA105" s="97"/>
    </row>
    <row r="106" spans="1:53" ht="22.5" customHeight="1" x14ac:dyDescent="0.4">
      <c r="A106" s="324" t="s">
        <v>450</v>
      </c>
      <c r="B106" s="335" t="s">
        <v>1162</v>
      </c>
      <c r="C106" s="332">
        <v>149985</v>
      </c>
      <c r="D106" s="326">
        <v>149040</v>
      </c>
      <c r="E106" s="479">
        <v>1.01</v>
      </c>
      <c r="F106" s="337" t="s">
        <v>1067</v>
      </c>
      <c r="G106" s="332">
        <v>149985</v>
      </c>
      <c r="H106" s="332">
        <v>1375</v>
      </c>
      <c r="I106" s="479">
        <v>0.01</v>
      </c>
      <c r="J106" s="482">
        <v>0</v>
      </c>
      <c r="K106" s="485">
        <v>148610</v>
      </c>
      <c r="L106" s="332">
        <v>5215</v>
      </c>
      <c r="M106" s="482">
        <v>0.04</v>
      </c>
      <c r="N106" s="485">
        <v>149985</v>
      </c>
      <c r="O106" s="332" t="s">
        <v>1274</v>
      </c>
      <c r="P106" s="482" t="s">
        <v>1274</v>
      </c>
      <c r="Q106" s="485">
        <v>149985</v>
      </c>
      <c r="R106" s="332">
        <v>10895</v>
      </c>
      <c r="S106" s="482">
        <v>7.0000000000000007E-2</v>
      </c>
      <c r="T106" s="482">
        <v>0</v>
      </c>
      <c r="U106" s="485">
        <v>46380</v>
      </c>
      <c r="V106" s="332">
        <v>185</v>
      </c>
      <c r="W106" s="482">
        <v>0</v>
      </c>
      <c r="X106" s="325"/>
      <c r="Y106" s="482">
        <v>0</v>
      </c>
      <c r="Z106" s="332">
        <v>3</v>
      </c>
      <c r="AA106" s="326">
        <v>73</v>
      </c>
      <c r="AB106" s="340">
        <v>1439</v>
      </c>
      <c r="AC106" s="485">
        <v>142965</v>
      </c>
      <c r="AD106" s="332">
        <v>6705</v>
      </c>
      <c r="AE106" s="482">
        <v>0.05</v>
      </c>
      <c r="AF106" s="325"/>
      <c r="AG106" s="482">
        <v>0</v>
      </c>
      <c r="AH106" s="332">
        <v>83</v>
      </c>
      <c r="AI106" s="326">
        <v>278</v>
      </c>
      <c r="AJ106" s="340">
        <v>1438</v>
      </c>
      <c r="AK106" s="332">
        <v>238</v>
      </c>
      <c r="AL106" s="326">
        <v>694</v>
      </c>
      <c r="AM106" s="340">
        <v>1403</v>
      </c>
      <c r="AN106" s="332">
        <v>139</v>
      </c>
      <c r="AO106" s="326">
        <v>347</v>
      </c>
      <c r="AP106" s="340">
        <v>1416</v>
      </c>
      <c r="AQ106" s="485">
        <v>149985</v>
      </c>
      <c r="AR106" s="332">
        <v>0</v>
      </c>
      <c r="AS106" s="482">
        <v>0</v>
      </c>
      <c r="AT106" s="325"/>
      <c r="AU106" s="482">
        <v>0</v>
      </c>
      <c r="AV106" s="332">
        <v>174</v>
      </c>
      <c r="AW106" s="326">
        <v>480</v>
      </c>
      <c r="AX106" s="327">
        <v>1416</v>
      </c>
      <c r="AY106" s="97"/>
      <c r="AZ106" s="97"/>
      <c r="BA106" s="97"/>
    </row>
    <row r="107" spans="1:53" ht="22.5" customHeight="1" x14ac:dyDescent="0.4">
      <c r="A107" s="324" t="s">
        <v>394</v>
      </c>
      <c r="B107" s="335" t="s">
        <v>1163</v>
      </c>
      <c r="C107" s="332">
        <v>77355</v>
      </c>
      <c r="D107" s="326">
        <v>77881</v>
      </c>
      <c r="E107" s="479">
        <v>0.99</v>
      </c>
      <c r="F107" s="337" t="s">
        <v>1067</v>
      </c>
      <c r="G107" s="332">
        <v>77355</v>
      </c>
      <c r="H107" s="332">
        <v>50</v>
      </c>
      <c r="I107" s="479">
        <v>0</v>
      </c>
      <c r="J107" s="482">
        <v>0</v>
      </c>
      <c r="K107" s="485">
        <v>77305</v>
      </c>
      <c r="L107" s="332">
        <v>1355</v>
      </c>
      <c r="M107" s="482">
        <v>0.02</v>
      </c>
      <c r="N107" s="485">
        <v>77395</v>
      </c>
      <c r="O107" s="332">
        <v>40</v>
      </c>
      <c r="P107" s="482">
        <v>0</v>
      </c>
      <c r="Q107" s="485">
        <v>77355</v>
      </c>
      <c r="R107" s="332">
        <v>1585</v>
      </c>
      <c r="S107" s="482">
        <v>0.02</v>
      </c>
      <c r="T107" s="482">
        <v>0</v>
      </c>
      <c r="U107" s="485">
        <v>23425</v>
      </c>
      <c r="V107" s="332">
        <v>65</v>
      </c>
      <c r="W107" s="482">
        <v>0</v>
      </c>
      <c r="X107" s="325"/>
      <c r="Y107" s="482">
        <v>0</v>
      </c>
      <c r="Z107" s="332">
        <v>5</v>
      </c>
      <c r="AA107" s="326">
        <v>25</v>
      </c>
      <c r="AB107" s="340">
        <v>1400</v>
      </c>
      <c r="AC107" s="485">
        <v>75930</v>
      </c>
      <c r="AD107" s="332">
        <v>80</v>
      </c>
      <c r="AE107" s="482">
        <v>0</v>
      </c>
      <c r="AF107" s="325"/>
      <c r="AG107" s="482">
        <v>0</v>
      </c>
      <c r="AH107" s="332">
        <v>43</v>
      </c>
      <c r="AI107" s="326">
        <v>173</v>
      </c>
      <c r="AJ107" s="340">
        <v>1430</v>
      </c>
      <c r="AK107" s="332">
        <v>229</v>
      </c>
      <c r="AL107" s="326">
        <v>659</v>
      </c>
      <c r="AM107" s="340">
        <v>1438</v>
      </c>
      <c r="AN107" s="332">
        <v>127</v>
      </c>
      <c r="AO107" s="326">
        <v>266</v>
      </c>
      <c r="AP107" s="340">
        <v>1427</v>
      </c>
      <c r="AQ107" s="485">
        <v>77355</v>
      </c>
      <c r="AR107" s="332" t="s">
        <v>1274</v>
      </c>
      <c r="AS107" s="482" t="s">
        <v>1274</v>
      </c>
      <c r="AT107" s="325"/>
      <c r="AU107" s="482">
        <v>0</v>
      </c>
      <c r="AV107" s="332">
        <v>146</v>
      </c>
      <c r="AW107" s="326">
        <v>389</v>
      </c>
      <c r="AX107" s="327">
        <v>1438</v>
      </c>
      <c r="AY107" s="97"/>
      <c r="AZ107" s="97"/>
      <c r="BA107" s="97"/>
    </row>
    <row r="108" spans="1:53" ht="22.5" customHeight="1" x14ac:dyDescent="0.4">
      <c r="A108" s="324" t="s">
        <v>391</v>
      </c>
      <c r="B108" s="335" t="s">
        <v>1164</v>
      </c>
      <c r="C108" s="332">
        <v>92020</v>
      </c>
      <c r="D108" s="326">
        <v>94866</v>
      </c>
      <c r="E108" s="479">
        <v>0.97</v>
      </c>
      <c r="F108" s="337" t="s">
        <v>1067</v>
      </c>
      <c r="G108" s="332">
        <v>92020</v>
      </c>
      <c r="H108" s="332">
        <v>22420</v>
      </c>
      <c r="I108" s="479">
        <v>0.24</v>
      </c>
      <c r="J108" s="482">
        <v>0</v>
      </c>
      <c r="K108" s="485">
        <v>69600</v>
      </c>
      <c r="L108" s="332">
        <v>1615</v>
      </c>
      <c r="M108" s="482">
        <v>0.02</v>
      </c>
      <c r="N108" s="485">
        <v>92060</v>
      </c>
      <c r="O108" s="332">
        <v>40</v>
      </c>
      <c r="P108" s="482">
        <v>0</v>
      </c>
      <c r="Q108" s="485">
        <v>92020</v>
      </c>
      <c r="R108" s="332">
        <v>6420</v>
      </c>
      <c r="S108" s="482">
        <v>7.0000000000000007E-2</v>
      </c>
      <c r="T108" s="482">
        <v>0</v>
      </c>
      <c r="U108" s="485">
        <v>27620</v>
      </c>
      <c r="V108" s="332">
        <v>1390</v>
      </c>
      <c r="W108" s="482">
        <v>0.05</v>
      </c>
      <c r="X108" s="325"/>
      <c r="Y108" s="482">
        <v>0</v>
      </c>
      <c r="Z108" s="332">
        <v>6</v>
      </c>
      <c r="AA108" s="326">
        <v>43</v>
      </c>
      <c r="AB108" s="340">
        <v>313</v>
      </c>
      <c r="AC108" s="485">
        <v>67875</v>
      </c>
      <c r="AD108" s="332">
        <v>800</v>
      </c>
      <c r="AE108" s="482">
        <v>0.01</v>
      </c>
      <c r="AF108" s="325"/>
      <c r="AG108" s="482">
        <v>0</v>
      </c>
      <c r="AH108" s="332">
        <v>80</v>
      </c>
      <c r="AI108" s="326">
        <v>196</v>
      </c>
      <c r="AJ108" s="340">
        <v>1439</v>
      </c>
      <c r="AK108" s="332">
        <v>228</v>
      </c>
      <c r="AL108" s="326">
        <v>391</v>
      </c>
      <c r="AM108" s="340">
        <v>1324</v>
      </c>
      <c r="AN108" s="332">
        <v>132</v>
      </c>
      <c r="AO108" s="326">
        <v>240</v>
      </c>
      <c r="AP108" s="340">
        <v>1375</v>
      </c>
      <c r="AQ108" s="485">
        <v>92020</v>
      </c>
      <c r="AR108" s="332">
        <v>0</v>
      </c>
      <c r="AS108" s="482">
        <v>0</v>
      </c>
      <c r="AT108" s="325"/>
      <c r="AU108" s="482">
        <v>0</v>
      </c>
      <c r="AV108" s="332">
        <v>160</v>
      </c>
      <c r="AW108" s="326">
        <v>308</v>
      </c>
      <c r="AX108" s="327">
        <v>1375</v>
      </c>
      <c r="AY108" s="97"/>
      <c r="AZ108" s="97"/>
      <c r="BA108" s="97"/>
    </row>
    <row r="109" spans="1:53" ht="22.5" customHeight="1" x14ac:dyDescent="0.4">
      <c r="A109" s="324" t="s">
        <v>553</v>
      </c>
      <c r="B109" s="335" t="s">
        <v>1165</v>
      </c>
      <c r="C109" s="332">
        <v>70100</v>
      </c>
      <c r="D109" s="326">
        <v>71017</v>
      </c>
      <c r="E109" s="479">
        <v>0.99</v>
      </c>
      <c r="F109" s="337" t="s">
        <v>1067</v>
      </c>
      <c r="G109" s="332">
        <v>70100</v>
      </c>
      <c r="H109" s="332">
        <v>45</v>
      </c>
      <c r="I109" s="479">
        <v>0</v>
      </c>
      <c r="J109" s="482" t="s">
        <v>1274</v>
      </c>
      <c r="K109" s="485">
        <v>70055</v>
      </c>
      <c r="L109" s="332">
        <v>1685</v>
      </c>
      <c r="M109" s="482">
        <v>0.02</v>
      </c>
      <c r="N109" s="485">
        <v>70110</v>
      </c>
      <c r="O109" s="332">
        <v>10</v>
      </c>
      <c r="P109" s="482">
        <v>0</v>
      </c>
      <c r="Q109" s="485">
        <v>70100</v>
      </c>
      <c r="R109" s="332">
        <v>4100</v>
      </c>
      <c r="S109" s="482">
        <v>0.06</v>
      </c>
      <c r="T109" s="482">
        <v>0</v>
      </c>
      <c r="U109" s="485">
        <v>21795</v>
      </c>
      <c r="V109" s="332">
        <v>440</v>
      </c>
      <c r="W109" s="482">
        <v>0.02</v>
      </c>
      <c r="X109" s="325"/>
      <c r="Y109" s="482">
        <v>0</v>
      </c>
      <c r="Z109" s="332">
        <v>13</v>
      </c>
      <c r="AA109" s="326">
        <v>76</v>
      </c>
      <c r="AB109" s="340">
        <v>1439</v>
      </c>
      <c r="AC109" s="485">
        <v>68315</v>
      </c>
      <c r="AD109" s="332">
        <v>11355</v>
      </c>
      <c r="AE109" s="482">
        <v>0.17</v>
      </c>
      <c r="AF109" s="325"/>
      <c r="AG109" s="482">
        <v>0</v>
      </c>
      <c r="AH109" s="332">
        <v>58</v>
      </c>
      <c r="AI109" s="326">
        <v>198</v>
      </c>
      <c r="AJ109" s="340">
        <v>1437</v>
      </c>
      <c r="AK109" s="332">
        <v>227</v>
      </c>
      <c r="AL109" s="326">
        <v>422</v>
      </c>
      <c r="AM109" s="340">
        <v>1407</v>
      </c>
      <c r="AN109" s="332">
        <v>144</v>
      </c>
      <c r="AO109" s="326">
        <v>266</v>
      </c>
      <c r="AP109" s="340">
        <v>1376</v>
      </c>
      <c r="AQ109" s="485">
        <v>70100</v>
      </c>
      <c r="AR109" s="332">
        <v>0</v>
      </c>
      <c r="AS109" s="482">
        <v>0</v>
      </c>
      <c r="AT109" s="325"/>
      <c r="AU109" s="482">
        <v>0</v>
      </c>
      <c r="AV109" s="332">
        <v>173</v>
      </c>
      <c r="AW109" s="326">
        <v>346</v>
      </c>
      <c r="AX109" s="327">
        <v>1407</v>
      </c>
      <c r="AY109" s="97"/>
      <c r="AZ109" s="97"/>
      <c r="BA109" s="97"/>
    </row>
    <row r="110" spans="1:53" ht="22.5" customHeight="1" x14ac:dyDescent="0.4">
      <c r="A110" s="324" t="s">
        <v>324</v>
      </c>
      <c r="B110" s="335" t="s">
        <v>1166</v>
      </c>
      <c r="C110" s="332">
        <v>155235</v>
      </c>
      <c r="D110" s="326">
        <v>157084</v>
      </c>
      <c r="E110" s="479">
        <v>0.99</v>
      </c>
      <c r="F110" s="337" t="s">
        <v>1067</v>
      </c>
      <c r="G110" s="332">
        <v>155235</v>
      </c>
      <c r="H110" s="332">
        <v>19085</v>
      </c>
      <c r="I110" s="479">
        <v>0.12</v>
      </c>
      <c r="J110" s="482">
        <v>0.01</v>
      </c>
      <c r="K110" s="485">
        <v>136150</v>
      </c>
      <c r="L110" s="332">
        <v>1255</v>
      </c>
      <c r="M110" s="482">
        <v>0.01</v>
      </c>
      <c r="N110" s="485">
        <v>155925</v>
      </c>
      <c r="O110" s="332">
        <v>690</v>
      </c>
      <c r="P110" s="482">
        <v>0</v>
      </c>
      <c r="Q110" s="485">
        <v>155235</v>
      </c>
      <c r="R110" s="332">
        <v>12910</v>
      </c>
      <c r="S110" s="482">
        <v>0.08</v>
      </c>
      <c r="T110" s="482">
        <v>0</v>
      </c>
      <c r="U110" s="485">
        <v>33385</v>
      </c>
      <c r="V110" s="332">
        <v>135</v>
      </c>
      <c r="W110" s="482">
        <v>0</v>
      </c>
      <c r="X110" s="325"/>
      <c r="Y110" s="482">
        <v>0</v>
      </c>
      <c r="Z110" s="332">
        <v>2</v>
      </c>
      <c r="AA110" s="326">
        <v>21</v>
      </c>
      <c r="AB110" s="340">
        <v>1439</v>
      </c>
      <c r="AC110" s="485">
        <v>134790</v>
      </c>
      <c r="AD110" s="332">
        <v>31290</v>
      </c>
      <c r="AE110" s="482">
        <v>0.23</v>
      </c>
      <c r="AF110" s="325"/>
      <c r="AG110" s="482">
        <v>0</v>
      </c>
      <c r="AH110" s="332">
        <v>59</v>
      </c>
      <c r="AI110" s="326">
        <v>183</v>
      </c>
      <c r="AJ110" s="340">
        <v>1439</v>
      </c>
      <c r="AK110" s="332">
        <v>233</v>
      </c>
      <c r="AL110" s="326">
        <v>486</v>
      </c>
      <c r="AM110" s="340">
        <v>1433</v>
      </c>
      <c r="AN110" s="332">
        <v>138</v>
      </c>
      <c r="AO110" s="326">
        <v>270</v>
      </c>
      <c r="AP110" s="340">
        <v>1417</v>
      </c>
      <c r="AQ110" s="485">
        <v>155235</v>
      </c>
      <c r="AR110" s="332">
        <v>10</v>
      </c>
      <c r="AS110" s="482">
        <v>0</v>
      </c>
      <c r="AT110" s="325"/>
      <c r="AU110" s="482">
        <v>0</v>
      </c>
      <c r="AV110" s="332">
        <v>154</v>
      </c>
      <c r="AW110" s="326">
        <v>348</v>
      </c>
      <c r="AX110" s="327">
        <v>1433</v>
      </c>
      <c r="AY110" s="97"/>
      <c r="AZ110" s="97"/>
      <c r="BA110" s="97"/>
    </row>
    <row r="111" spans="1:53" ht="22.5" customHeight="1" x14ac:dyDescent="0.4">
      <c r="A111" s="324" t="s">
        <v>486</v>
      </c>
      <c r="B111" s="335" t="s">
        <v>1167</v>
      </c>
      <c r="C111" s="332">
        <v>76920</v>
      </c>
      <c r="D111" s="326">
        <v>85799</v>
      </c>
      <c r="E111" s="479">
        <v>0.9</v>
      </c>
      <c r="F111" s="337" t="s">
        <v>1077</v>
      </c>
      <c r="G111" s="332">
        <v>76920</v>
      </c>
      <c r="H111" s="332">
        <v>0</v>
      </c>
      <c r="I111" s="479">
        <v>0</v>
      </c>
      <c r="J111" s="482">
        <v>0.04</v>
      </c>
      <c r="K111" s="485">
        <v>76920</v>
      </c>
      <c r="L111" s="332">
        <v>1180</v>
      </c>
      <c r="M111" s="482">
        <v>0.02</v>
      </c>
      <c r="N111" s="485">
        <v>76920</v>
      </c>
      <c r="O111" s="332">
        <v>0</v>
      </c>
      <c r="P111" s="482">
        <v>0</v>
      </c>
      <c r="Q111" s="485">
        <v>76920</v>
      </c>
      <c r="R111" s="332">
        <v>4190</v>
      </c>
      <c r="S111" s="482">
        <v>0.05</v>
      </c>
      <c r="T111" s="482">
        <v>0</v>
      </c>
      <c r="U111" s="485">
        <v>200</v>
      </c>
      <c r="V111" s="332">
        <v>0</v>
      </c>
      <c r="W111" s="482" t="s">
        <v>1316</v>
      </c>
      <c r="X111" s="325"/>
      <c r="Y111" s="482" t="s">
        <v>1316</v>
      </c>
      <c r="Z111" s="332">
        <v>19</v>
      </c>
      <c r="AA111" s="326">
        <v>95</v>
      </c>
      <c r="AB111" s="340">
        <v>165</v>
      </c>
      <c r="AC111" s="485">
        <v>75730</v>
      </c>
      <c r="AD111" s="332">
        <v>0</v>
      </c>
      <c r="AE111" s="482">
        <v>0</v>
      </c>
      <c r="AF111" s="325"/>
      <c r="AG111" s="482">
        <v>0</v>
      </c>
      <c r="AH111" s="332">
        <v>26</v>
      </c>
      <c r="AI111" s="326">
        <v>113</v>
      </c>
      <c r="AJ111" s="340">
        <v>1430</v>
      </c>
      <c r="AK111" s="332">
        <v>171</v>
      </c>
      <c r="AL111" s="326">
        <v>493</v>
      </c>
      <c r="AM111" s="340">
        <v>493</v>
      </c>
      <c r="AN111" s="332">
        <v>57</v>
      </c>
      <c r="AO111" s="326">
        <v>161</v>
      </c>
      <c r="AP111" s="340">
        <v>1132</v>
      </c>
      <c r="AQ111" s="485">
        <v>76920</v>
      </c>
      <c r="AR111" s="332">
        <v>0</v>
      </c>
      <c r="AS111" s="482">
        <v>0</v>
      </c>
      <c r="AT111" s="325"/>
      <c r="AU111" s="482">
        <v>0</v>
      </c>
      <c r="AV111" s="332">
        <v>57</v>
      </c>
      <c r="AW111" s="326">
        <v>161</v>
      </c>
      <c r="AX111" s="327">
        <v>1132</v>
      </c>
      <c r="AY111" s="97"/>
      <c r="AZ111" s="97"/>
      <c r="BA111" s="97"/>
    </row>
    <row r="112" spans="1:53" ht="22.5" customHeight="1" x14ac:dyDescent="0.4">
      <c r="A112" s="324" t="s">
        <v>462</v>
      </c>
      <c r="B112" s="335" t="s">
        <v>1168</v>
      </c>
      <c r="C112" s="332">
        <v>110620</v>
      </c>
      <c r="D112" s="326">
        <v>111306</v>
      </c>
      <c r="E112" s="479">
        <v>0.99</v>
      </c>
      <c r="F112" s="337" t="s">
        <v>1067</v>
      </c>
      <c r="G112" s="332">
        <v>110620</v>
      </c>
      <c r="H112" s="332">
        <v>15</v>
      </c>
      <c r="I112" s="479">
        <v>0</v>
      </c>
      <c r="J112" s="482">
        <v>0.01</v>
      </c>
      <c r="K112" s="485">
        <v>110605</v>
      </c>
      <c r="L112" s="332">
        <v>3145</v>
      </c>
      <c r="M112" s="482">
        <v>0.03</v>
      </c>
      <c r="N112" s="485">
        <v>110620</v>
      </c>
      <c r="O112" s="332">
        <v>0</v>
      </c>
      <c r="P112" s="482">
        <v>0</v>
      </c>
      <c r="Q112" s="485">
        <v>110620</v>
      </c>
      <c r="R112" s="332">
        <v>7480</v>
      </c>
      <c r="S112" s="482">
        <v>7.0000000000000007E-2</v>
      </c>
      <c r="T112" s="482">
        <v>0</v>
      </c>
      <c r="U112" s="485">
        <v>27800</v>
      </c>
      <c r="V112" s="332">
        <v>0</v>
      </c>
      <c r="W112" s="482">
        <v>0</v>
      </c>
      <c r="X112" s="325"/>
      <c r="Y112" s="482">
        <v>0</v>
      </c>
      <c r="Z112" s="332">
        <v>3</v>
      </c>
      <c r="AA112" s="326">
        <v>15</v>
      </c>
      <c r="AB112" s="340">
        <v>1439</v>
      </c>
      <c r="AC112" s="485">
        <v>106970</v>
      </c>
      <c r="AD112" s="332">
        <v>14300</v>
      </c>
      <c r="AE112" s="482">
        <v>0.13</v>
      </c>
      <c r="AF112" s="325"/>
      <c r="AG112" s="482">
        <v>0</v>
      </c>
      <c r="AH112" s="332">
        <v>53</v>
      </c>
      <c r="AI112" s="326">
        <v>188</v>
      </c>
      <c r="AJ112" s="340">
        <v>1438</v>
      </c>
      <c r="AK112" s="332">
        <v>214</v>
      </c>
      <c r="AL112" s="326">
        <v>420</v>
      </c>
      <c r="AM112" s="340">
        <v>1437</v>
      </c>
      <c r="AN112" s="332">
        <v>104</v>
      </c>
      <c r="AO112" s="326">
        <v>274</v>
      </c>
      <c r="AP112" s="340">
        <v>1407</v>
      </c>
      <c r="AQ112" s="485">
        <v>110620</v>
      </c>
      <c r="AR112" s="332" t="s">
        <v>1274</v>
      </c>
      <c r="AS112" s="482" t="s">
        <v>1274</v>
      </c>
      <c r="AT112" s="325"/>
      <c r="AU112" s="482">
        <v>0</v>
      </c>
      <c r="AV112" s="332">
        <v>126</v>
      </c>
      <c r="AW112" s="326">
        <v>328</v>
      </c>
      <c r="AX112" s="327">
        <v>1437</v>
      </c>
      <c r="AY112" s="97"/>
      <c r="AZ112" s="97"/>
      <c r="BA112" s="97"/>
    </row>
    <row r="113" spans="1:53" ht="22.5" customHeight="1" x14ac:dyDescent="0.4">
      <c r="A113" s="324" t="s">
        <v>536</v>
      </c>
      <c r="B113" s="335" t="s">
        <v>1169</v>
      </c>
      <c r="C113" s="332">
        <v>134595</v>
      </c>
      <c r="D113" s="326">
        <v>135032</v>
      </c>
      <c r="E113" s="479">
        <v>1</v>
      </c>
      <c r="F113" s="337" t="s">
        <v>1067</v>
      </c>
      <c r="G113" s="332">
        <v>134595</v>
      </c>
      <c r="H113" s="332">
        <v>720</v>
      </c>
      <c r="I113" s="479">
        <v>0.01</v>
      </c>
      <c r="J113" s="482">
        <v>0</v>
      </c>
      <c r="K113" s="485">
        <v>133875</v>
      </c>
      <c r="L113" s="332">
        <v>5990</v>
      </c>
      <c r="M113" s="482">
        <v>0.04</v>
      </c>
      <c r="N113" s="485">
        <v>134595</v>
      </c>
      <c r="O113" s="332">
        <v>0</v>
      </c>
      <c r="P113" s="482">
        <v>0</v>
      </c>
      <c r="Q113" s="485">
        <v>134595</v>
      </c>
      <c r="R113" s="332">
        <v>9210</v>
      </c>
      <c r="S113" s="482">
        <v>7.0000000000000007E-2</v>
      </c>
      <c r="T113" s="482">
        <v>0</v>
      </c>
      <c r="U113" s="485">
        <v>41600</v>
      </c>
      <c r="V113" s="332">
        <v>665</v>
      </c>
      <c r="W113" s="482">
        <v>0.02</v>
      </c>
      <c r="X113" s="325"/>
      <c r="Y113" s="482">
        <v>0</v>
      </c>
      <c r="Z113" s="332">
        <v>19</v>
      </c>
      <c r="AA113" s="326">
        <v>90</v>
      </c>
      <c r="AB113" s="340">
        <v>414</v>
      </c>
      <c r="AC113" s="485">
        <v>127675</v>
      </c>
      <c r="AD113" s="332">
        <v>5710</v>
      </c>
      <c r="AE113" s="482">
        <v>0.04</v>
      </c>
      <c r="AF113" s="325"/>
      <c r="AG113" s="482">
        <v>0</v>
      </c>
      <c r="AH113" s="332">
        <v>78</v>
      </c>
      <c r="AI113" s="326">
        <v>219</v>
      </c>
      <c r="AJ113" s="340">
        <v>1410</v>
      </c>
      <c r="AK113" s="332">
        <v>233</v>
      </c>
      <c r="AL113" s="326">
        <v>507</v>
      </c>
      <c r="AM113" s="340">
        <v>1414</v>
      </c>
      <c r="AN113" s="332">
        <v>151</v>
      </c>
      <c r="AO113" s="326">
        <v>299</v>
      </c>
      <c r="AP113" s="340">
        <v>1434</v>
      </c>
      <c r="AQ113" s="485">
        <v>134595</v>
      </c>
      <c r="AR113" s="332">
        <v>65</v>
      </c>
      <c r="AS113" s="482">
        <v>0</v>
      </c>
      <c r="AT113" s="325"/>
      <c r="AU113" s="482">
        <v>0</v>
      </c>
      <c r="AV113" s="332">
        <v>172</v>
      </c>
      <c r="AW113" s="326">
        <v>368</v>
      </c>
      <c r="AX113" s="327">
        <v>1434</v>
      </c>
      <c r="AY113" s="97"/>
      <c r="AZ113" s="97"/>
      <c r="BA113" s="97"/>
    </row>
    <row r="114" spans="1:53" ht="22.5" customHeight="1" x14ac:dyDescent="0.4">
      <c r="A114" s="324" t="s">
        <v>479</v>
      </c>
      <c r="B114" s="335" t="s">
        <v>1170</v>
      </c>
      <c r="C114" s="332">
        <v>145445</v>
      </c>
      <c r="D114" s="326">
        <v>210319</v>
      </c>
      <c r="E114" s="479">
        <v>0.69</v>
      </c>
      <c r="F114" s="337" t="s">
        <v>1093</v>
      </c>
      <c r="G114" s="332">
        <v>145445</v>
      </c>
      <c r="H114" s="332" t="s">
        <v>1274</v>
      </c>
      <c r="I114" s="479" t="s">
        <v>1274</v>
      </c>
      <c r="J114" s="482">
        <v>0</v>
      </c>
      <c r="K114" s="485">
        <v>145440</v>
      </c>
      <c r="L114" s="332">
        <v>5770</v>
      </c>
      <c r="M114" s="482">
        <v>0.04</v>
      </c>
      <c r="N114" s="485">
        <v>145445</v>
      </c>
      <c r="O114" s="332" t="s">
        <v>1274</v>
      </c>
      <c r="P114" s="482" t="s">
        <v>1274</v>
      </c>
      <c r="Q114" s="485">
        <v>145445</v>
      </c>
      <c r="R114" s="332">
        <v>10195</v>
      </c>
      <c r="S114" s="482">
        <v>7.0000000000000007E-2</v>
      </c>
      <c r="T114" s="482">
        <v>0</v>
      </c>
      <c r="U114" s="485">
        <v>45940</v>
      </c>
      <c r="V114" s="332">
        <v>4065</v>
      </c>
      <c r="W114" s="482">
        <v>0.09</v>
      </c>
      <c r="X114" s="325"/>
      <c r="Y114" s="482">
        <v>0</v>
      </c>
      <c r="Z114" s="332">
        <v>7</v>
      </c>
      <c r="AA114" s="326">
        <v>43</v>
      </c>
      <c r="AB114" s="340">
        <v>885</v>
      </c>
      <c r="AC114" s="485">
        <v>139385</v>
      </c>
      <c r="AD114" s="332">
        <v>7355</v>
      </c>
      <c r="AE114" s="482">
        <v>0.05</v>
      </c>
      <c r="AF114" s="325"/>
      <c r="AG114" s="482">
        <v>0</v>
      </c>
      <c r="AH114" s="332">
        <v>83</v>
      </c>
      <c r="AI114" s="326">
        <v>229</v>
      </c>
      <c r="AJ114" s="340">
        <v>1439</v>
      </c>
      <c r="AK114" s="332">
        <v>239</v>
      </c>
      <c r="AL114" s="326">
        <v>612</v>
      </c>
      <c r="AM114" s="340">
        <v>1324</v>
      </c>
      <c r="AN114" s="332">
        <v>130</v>
      </c>
      <c r="AO114" s="326">
        <v>306</v>
      </c>
      <c r="AP114" s="340">
        <v>1435</v>
      </c>
      <c r="AQ114" s="485">
        <v>145445</v>
      </c>
      <c r="AR114" s="332" t="s">
        <v>1274</v>
      </c>
      <c r="AS114" s="482" t="s">
        <v>1274</v>
      </c>
      <c r="AT114" s="325"/>
      <c r="AU114" s="482">
        <v>0</v>
      </c>
      <c r="AV114" s="332">
        <v>162</v>
      </c>
      <c r="AW114" s="326">
        <v>427</v>
      </c>
      <c r="AX114" s="327">
        <v>1435</v>
      </c>
      <c r="AY114" s="97"/>
      <c r="AZ114" s="97"/>
      <c r="BA114" s="97"/>
    </row>
    <row r="115" spans="1:53" ht="22.5" customHeight="1" x14ac:dyDescent="0.4">
      <c r="A115" s="324" t="s">
        <v>456</v>
      </c>
      <c r="B115" s="335" t="s">
        <v>1171</v>
      </c>
      <c r="C115" s="332">
        <v>144675</v>
      </c>
      <c r="D115" s="326">
        <v>144716</v>
      </c>
      <c r="E115" s="479">
        <v>1</v>
      </c>
      <c r="F115" s="337" t="s">
        <v>1067</v>
      </c>
      <c r="G115" s="332">
        <v>144675</v>
      </c>
      <c r="H115" s="332">
        <v>0</v>
      </c>
      <c r="I115" s="479">
        <v>0</v>
      </c>
      <c r="J115" s="482">
        <v>0</v>
      </c>
      <c r="K115" s="485">
        <v>144675</v>
      </c>
      <c r="L115" s="332">
        <v>4295</v>
      </c>
      <c r="M115" s="482">
        <v>0.03</v>
      </c>
      <c r="N115" s="485">
        <v>144675</v>
      </c>
      <c r="O115" s="332">
        <v>0</v>
      </c>
      <c r="P115" s="482">
        <v>0</v>
      </c>
      <c r="Q115" s="485">
        <v>144675</v>
      </c>
      <c r="R115" s="332">
        <v>10840</v>
      </c>
      <c r="S115" s="482">
        <v>7.0000000000000007E-2</v>
      </c>
      <c r="T115" s="482">
        <v>0</v>
      </c>
      <c r="U115" s="485">
        <v>41345</v>
      </c>
      <c r="V115" s="332">
        <v>0</v>
      </c>
      <c r="W115" s="482">
        <v>0</v>
      </c>
      <c r="X115" s="325"/>
      <c r="Y115" s="482">
        <v>0</v>
      </c>
      <c r="Z115" s="332">
        <v>0</v>
      </c>
      <c r="AA115" s="326">
        <v>572</v>
      </c>
      <c r="AB115" s="340">
        <v>1438</v>
      </c>
      <c r="AC115" s="485">
        <v>140315</v>
      </c>
      <c r="AD115" s="332">
        <v>0</v>
      </c>
      <c r="AE115" s="482">
        <v>0</v>
      </c>
      <c r="AF115" s="325" t="s">
        <v>1062</v>
      </c>
      <c r="AG115" s="482">
        <v>0</v>
      </c>
      <c r="AH115" s="332" t="s">
        <v>1275</v>
      </c>
      <c r="AI115" s="326" t="s">
        <v>1275</v>
      </c>
      <c r="AJ115" s="340" t="s">
        <v>1275</v>
      </c>
      <c r="AK115" s="332">
        <v>363</v>
      </c>
      <c r="AL115" s="326">
        <v>943</v>
      </c>
      <c r="AM115" s="340">
        <v>1439</v>
      </c>
      <c r="AN115" s="332">
        <v>119</v>
      </c>
      <c r="AO115" s="326">
        <v>411</v>
      </c>
      <c r="AP115" s="340">
        <v>1438</v>
      </c>
      <c r="AQ115" s="485">
        <v>144675</v>
      </c>
      <c r="AR115" s="332" t="s">
        <v>1274</v>
      </c>
      <c r="AS115" s="482" t="s">
        <v>1274</v>
      </c>
      <c r="AT115" s="325"/>
      <c r="AU115" s="482">
        <v>0</v>
      </c>
      <c r="AV115" s="332">
        <v>150</v>
      </c>
      <c r="AW115" s="326">
        <v>723</v>
      </c>
      <c r="AX115" s="327">
        <v>1439</v>
      </c>
      <c r="AY115" s="97"/>
      <c r="AZ115" s="97"/>
      <c r="BA115" s="97"/>
    </row>
    <row r="116" spans="1:53" ht="22.5" customHeight="1" x14ac:dyDescent="0.4">
      <c r="A116" s="324" t="s">
        <v>460</v>
      </c>
      <c r="B116" s="335" t="s">
        <v>1172</v>
      </c>
      <c r="C116" s="332">
        <v>129070</v>
      </c>
      <c r="D116" s="326">
        <v>134540</v>
      </c>
      <c r="E116" s="479">
        <v>0.96</v>
      </c>
      <c r="F116" s="337" t="s">
        <v>1067</v>
      </c>
      <c r="G116" s="332">
        <v>129070</v>
      </c>
      <c r="H116" s="332">
        <v>15</v>
      </c>
      <c r="I116" s="479">
        <v>0</v>
      </c>
      <c r="J116" s="482">
        <v>0</v>
      </c>
      <c r="K116" s="485">
        <v>129050</v>
      </c>
      <c r="L116" s="332">
        <v>1920</v>
      </c>
      <c r="M116" s="482">
        <v>0.01</v>
      </c>
      <c r="N116" s="485">
        <v>129070</v>
      </c>
      <c r="O116" s="332">
        <v>0</v>
      </c>
      <c r="P116" s="482">
        <v>0</v>
      </c>
      <c r="Q116" s="485">
        <v>129070</v>
      </c>
      <c r="R116" s="332">
        <v>10755</v>
      </c>
      <c r="S116" s="482">
        <v>0.08</v>
      </c>
      <c r="T116" s="482">
        <v>0</v>
      </c>
      <c r="U116" s="485">
        <v>35705</v>
      </c>
      <c r="V116" s="332">
        <v>670</v>
      </c>
      <c r="W116" s="482">
        <v>0.02</v>
      </c>
      <c r="X116" s="325"/>
      <c r="Y116" s="482">
        <v>0</v>
      </c>
      <c r="Z116" s="332">
        <v>34</v>
      </c>
      <c r="AA116" s="326">
        <v>112</v>
      </c>
      <c r="AB116" s="340">
        <v>1423</v>
      </c>
      <c r="AC116" s="485">
        <v>127060</v>
      </c>
      <c r="AD116" s="332">
        <v>2945</v>
      </c>
      <c r="AE116" s="482">
        <v>0.02</v>
      </c>
      <c r="AF116" s="325"/>
      <c r="AG116" s="482">
        <v>0</v>
      </c>
      <c r="AH116" s="332">
        <v>65</v>
      </c>
      <c r="AI116" s="326">
        <v>181</v>
      </c>
      <c r="AJ116" s="340">
        <v>1438</v>
      </c>
      <c r="AK116" s="332">
        <v>227</v>
      </c>
      <c r="AL116" s="326">
        <v>508</v>
      </c>
      <c r="AM116" s="340">
        <v>1419</v>
      </c>
      <c r="AN116" s="332">
        <v>142</v>
      </c>
      <c r="AO116" s="326">
        <v>259</v>
      </c>
      <c r="AP116" s="340">
        <v>1433</v>
      </c>
      <c r="AQ116" s="485">
        <v>129070</v>
      </c>
      <c r="AR116" s="332">
        <v>0</v>
      </c>
      <c r="AS116" s="482">
        <v>0</v>
      </c>
      <c r="AT116" s="325"/>
      <c r="AU116" s="482">
        <v>0</v>
      </c>
      <c r="AV116" s="332">
        <v>169</v>
      </c>
      <c r="AW116" s="326">
        <v>359</v>
      </c>
      <c r="AX116" s="327">
        <v>1433</v>
      </c>
      <c r="AY116" s="97"/>
      <c r="AZ116" s="97"/>
      <c r="BA116" s="97"/>
    </row>
    <row r="117" spans="1:53" ht="22.5" customHeight="1" x14ac:dyDescent="0.4">
      <c r="A117" s="324" t="s">
        <v>586</v>
      </c>
      <c r="B117" s="335" t="s">
        <v>1173</v>
      </c>
      <c r="C117" s="332">
        <v>179880</v>
      </c>
      <c r="D117" s="326">
        <v>192753</v>
      </c>
      <c r="E117" s="479">
        <v>0.93</v>
      </c>
      <c r="F117" s="337" t="s">
        <v>1067</v>
      </c>
      <c r="G117" s="332">
        <v>179880</v>
      </c>
      <c r="H117" s="332">
        <v>1135</v>
      </c>
      <c r="I117" s="479">
        <v>0.01</v>
      </c>
      <c r="J117" s="482">
        <v>0.02</v>
      </c>
      <c r="K117" s="485">
        <v>178740</v>
      </c>
      <c r="L117" s="332">
        <v>5845</v>
      </c>
      <c r="M117" s="482">
        <v>0.03</v>
      </c>
      <c r="N117" s="485">
        <v>180100</v>
      </c>
      <c r="O117" s="332">
        <v>220</v>
      </c>
      <c r="P117" s="482">
        <v>0</v>
      </c>
      <c r="Q117" s="485">
        <v>179880</v>
      </c>
      <c r="R117" s="332">
        <v>13825</v>
      </c>
      <c r="S117" s="482">
        <v>0.08</v>
      </c>
      <c r="T117" s="482">
        <v>0</v>
      </c>
      <c r="U117" s="485">
        <v>27950</v>
      </c>
      <c r="V117" s="332">
        <v>640</v>
      </c>
      <c r="W117" s="482">
        <v>0.02</v>
      </c>
      <c r="X117" s="325"/>
      <c r="Y117" s="482">
        <v>0</v>
      </c>
      <c r="Z117" s="332">
        <v>5</v>
      </c>
      <c r="AA117" s="326">
        <v>1431</v>
      </c>
      <c r="AB117" s="340">
        <v>1439</v>
      </c>
      <c r="AC117" s="485">
        <v>172880</v>
      </c>
      <c r="AD117" s="332">
        <v>33725</v>
      </c>
      <c r="AE117" s="482">
        <v>0.2</v>
      </c>
      <c r="AF117" s="325"/>
      <c r="AG117" s="482">
        <v>0</v>
      </c>
      <c r="AH117" s="332">
        <v>77</v>
      </c>
      <c r="AI117" s="326">
        <v>222</v>
      </c>
      <c r="AJ117" s="340">
        <v>1439</v>
      </c>
      <c r="AK117" s="332">
        <v>235</v>
      </c>
      <c r="AL117" s="326">
        <v>445</v>
      </c>
      <c r="AM117" s="340">
        <v>1436</v>
      </c>
      <c r="AN117" s="332">
        <v>141</v>
      </c>
      <c r="AO117" s="326">
        <v>304</v>
      </c>
      <c r="AP117" s="340">
        <v>1438</v>
      </c>
      <c r="AQ117" s="485">
        <v>179880</v>
      </c>
      <c r="AR117" s="332" t="s">
        <v>1274</v>
      </c>
      <c r="AS117" s="482" t="s">
        <v>1274</v>
      </c>
      <c r="AT117" s="325"/>
      <c r="AU117" s="482">
        <v>0</v>
      </c>
      <c r="AV117" s="332">
        <v>159</v>
      </c>
      <c r="AW117" s="326">
        <v>344</v>
      </c>
      <c r="AX117" s="327">
        <v>1438</v>
      </c>
      <c r="AY117" s="97"/>
      <c r="AZ117" s="97"/>
      <c r="BA117" s="97"/>
    </row>
    <row r="118" spans="1:53" ht="22.5" customHeight="1" x14ac:dyDescent="0.4">
      <c r="A118" s="324" t="s">
        <v>406</v>
      </c>
      <c r="B118" s="335" t="s">
        <v>1174</v>
      </c>
      <c r="C118" s="332">
        <v>215120</v>
      </c>
      <c r="D118" s="326">
        <v>294452</v>
      </c>
      <c r="E118" s="479">
        <v>0.73</v>
      </c>
      <c r="F118" s="337" t="s">
        <v>1093</v>
      </c>
      <c r="G118" s="332">
        <v>215120</v>
      </c>
      <c r="H118" s="332">
        <v>60</v>
      </c>
      <c r="I118" s="479">
        <v>0</v>
      </c>
      <c r="J118" s="482">
        <v>0</v>
      </c>
      <c r="K118" s="485">
        <v>215060</v>
      </c>
      <c r="L118" s="332">
        <v>5800</v>
      </c>
      <c r="M118" s="482">
        <v>0.03</v>
      </c>
      <c r="N118" s="485">
        <v>215120</v>
      </c>
      <c r="O118" s="332">
        <v>0</v>
      </c>
      <c r="P118" s="482">
        <v>0</v>
      </c>
      <c r="Q118" s="485">
        <v>215120</v>
      </c>
      <c r="R118" s="332">
        <v>21655</v>
      </c>
      <c r="S118" s="482">
        <v>0.1</v>
      </c>
      <c r="T118" s="482">
        <v>0</v>
      </c>
      <c r="U118" s="485">
        <v>60575</v>
      </c>
      <c r="V118" s="332">
        <v>1035</v>
      </c>
      <c r="W118" s="482">
        <v>0.02</v>
      </c>
      <c r="X118" s="325"/>
      <c r="Y118" s="482">
        <v>0</v>
      </c>
      <c r="Z118" s="332">
        <v>16</v>
      </c>
      <c r="AA118" s="326">
        <v>54</v>
      </c>
      <c r="AB118" s="340">
        <v>1438</v>
      </c>
      <c r="AC118" s="485">
        <v>209265</v>
      </c>
      <c r="AD118" s="332">
        <v>1060</v>
      </c>
      <c r="AE118" s="482">
        <v>0.01</v>
      </c>
      <c r="AF118" s="325"/>
      <c r="AG118" s="482">
        <v>0</v>
      </c>
      <c r="AH118" s="332">
        <v>18</v>
      </c>
      <c r="AI118" s="326">
        <v>143</v>
      </c>
      <c r="AJ118" s="340">
        <v>1439</v>
      </c>
      <c r="AK118" s="332">
        <v>235</v>
      </c>
      <c r="AL118" s="326">
        <v>996</v>
      </c>
      <c r="AM118" s="340">
        <v>1439</v>
      </c>
      <c r="AN118" s="332">
        <v>195</v>
      </c>
      <c r="AO118" s="326">
        <v>469</v>
      </c>
      <c r="AP118" s="340">
        <v>1439</v>
      </c>
      <c r="AQ118" s="485">
        <v>215120</v>
      </c>
      <c r="AR118" s="332" t="s">
        <v>1274</v>
      </c>
      <c r="AS118" s="482" t="s">
        <v>1274</v>
      </c>
      <c r="AT118" s="325"/>
      <c r="AU118" s="482">
        <v>0</v>
      </c>
      <c r="AV118" s="332">
        <v>204</v>
      </c>
      <c r="AW118" s="326">
        <v>618</v>
      </c>
      <c r="AX118" s="327">
        <v>1439</v>
      </c>
      <c r="AY118" s="97"/>
      <c r="AZ118" s="97"/>
      <c r="BA118" s="97"/>
    </row>
    <row r="119" spans="1:53" ht="22.5" customHeight="1" x14ac:dyDescent="0.4">
      <c r="A119" s="324" t="s">
        <v>341</v>
      </c>
      <c r="B119" s="335" t="s">
        <v>1175</v>
      </c>
      <c r="C119" s="332">
        <v>176005</v>
      </c>
      <c r="D119" s="326">
        <v>187708</v>
      </c>
      <c r="E119" s="479">
        <v>0.94</v>
      </c>
      <c r="F119" s="337" t="s">
        <v>1067</v>
      </c>
      <c r="G119" s="332">
        <v>176005</v>
      </c>
      <c r="H119" s="332">
        <v>15</v>
      </c>
      <c r="I119" s="479">
        <v>0</v>
      </c>
      <c r="J119" s="482">
        <v>0.28999999999999998</v>
      </c>
      <c r="K119" s="485">
        <v>175990</v>
      </c>
      <c r="L119" s="332">
        <v>3050</v>
      </c>
      <c r="M119" s="482">
        <v>0.02</v>
      </c>
      <c r="N119" s="485">
        <v>176005</v>
      </c>
      <c r="O119" s="332">
        <v>0</v>
      </c>
      <c r="P119" s="482">
        <v>0</v>
      </c>
      <c r="Q119" s="485">
        <v>176005</v>
      </c>
      <c r="R119" s="332">
        <v>17600</v>
      </c>
      <c r="S119" s="482">
        <v>0.1</v>
      </c>
      <c r="T119" s="482">
        <v>0</v>
      </c>
      <c r="U119" s="485">
        <v>33080</v>
      </c>
      <c r="V119" s="332">
        <v>95</v>
      </c>
      <c r="W119" s="482">
        <v>0</v>
      </c>
      <c r="X119" s="325"/>
      <c r="Y119" s="482">
        <v>0</v>
      </c>
      <c r="Z119" s="332">
        <v>9</v>
      </c>
      <c r="AA119" s="326">
        <v>72</v>
      </c>
      <c r="AB119" s="340">
        <v>1437</v>
      </c>
      <c r="AC119" s="485">
        <v>172930</v>
      </c>
      <c r="AD119" s="332">
        <v>1545</v>
      </c>
      <c r="AE119" s="482">
        <v>0.01</v>
      </c>
      <c r="AF119" s="325"/>
      <c r="AG119" s="482">
        <v>0</v>
      </c>
      <c r="AH119" s="332">
        <v>42</v>
      </c>
      <c r="AI119" s="326">
        <v>180</v>
      </c>
      <c r="AJ119" s="340">
        <v>1437</v>
      </c>
      <c r="AK119" s="332">
        <v>236</v>
      </c>
      <c r="AL119" s="326">
        <v>707</v>
      </c>
      <c r="AM119" s="340">
        <v>1419</v>
      </c>
      <c r="AN119" s="332">
        <v>109</v>
      </c>
      <c r="AO119" s="326">
        <v>301</v>
      </c>
      <c r="AP119" s="340">
        <v>1439</v>
      </c>
      <c r="AQ119" s="485">
        <v>176005</v>
      </c>
      <c r="AR119" s="332">
        <v>70</v>
      </c>
      <c r="AS119" s="482">
        <v>0</v>
      </c>
      <c r="AT119" s="325"/>
      <c r="AU119" s="482">
        <v>0</v>
      </c>
      <c r="AV119" s="332">
        <v>132</v>
      </c>
      <c r="AW119" s="326">
        <v>399</v>
      </c>
      <c r="AX119" s="327">
        <v>1439</v>
      </c>
      <c r="AY119" s="97"/>
      <c r="AZ119" s="97"/>
      <c r="BA119" s="97"/>
    </row>
    <row r="120" spans="1:53" ht="22.5" customHeight="1" x14ac:dyDescent="0.4">
      <c r="A120" s="324" t="s">
        <v>501</v>
      </c>
      <c r="B120" s="335" t="s">
        <v>1176</v>
      </c>
      <c r="C120" s="332">
        <v>162555</v>
      </c>
      <c r="D120" s="326">
        <v>171781</v>
      </c>
      <c r="E120" s="479">
        <v>0.95</v>
      </c>
      <c r="F120" s="337" t="s">
        <v>1067</v>
      </c>
      <c r="G120" s="332">
        <v>162555</v>
      </c>
      <c r="H120" s="332">
        <v>260</v>
      </c>
      <c r="I120" s="479">
        <v>0</v>
      </c>
      <c r="J120" s="482">
        <v>0.01</v>
      </c>
      <c r="K120" s="485">
        <v>162295</v>
      </c>
      <c r="L120" s="332">
        <v>5060</v>
      </c>
      <c r="M120" s="482">
        <v>0.03</v>
      </c>
      <c r="N120" s="485">
        <v>162760</v>
      </c>
      <c r="O120" s="332">
        <v>205</v>
      </c>
      <c r="P120" s="482">
        <v>0</v>
      </c>
      <c r="Q120" s="485">
        <v>162555</v>
      </c>
      <c r="R120" s="332">
        <v>11230</v>
      </c>
      <c r="S120" s="482">
        <v>7.0000000000000007E-2</v>
      </c>
      <c r="T120" s="482">
        <v>0</v>
      </c>
      <c r="U120" s="485">
        <v>39190</v>
      </c>
      <c r="V120" s="332">
        <v>0</v>
      </c>
      <c r="W120" s="482">
        <v>0</v>
      </c>
      <c r="X120" s="325"/>
      <c r="Y120" s="482">
        <v>0.87</v>
      </c>
      <c r="Z120" s="332">
        <v>501</v>
      </c>
      <c r="AA120" s="326">
        <v>1353</v>
      </c>
      <c r="AB120" s="340">
        <v>1439</v>
      </c>
      <c r="AC120" s="485">
        <v>156990</v>
      </c>
      <c r="AD120" s="332">
        <v>275</v>
      </c>
      <c r="AE120" s="482">
        <v>0</v>
      </c>
      <c r="AF120" s="325"/>
      <c r="AG120" s="482">
        <v>0.19</v>
      </c>
      <c r="AH120" s="332">
        <v>97</v>
      </c>
      <c r="AI120" s="326">
        <v>830</v>
      </c>
      <c r="AJ120" s="340">
        <v>1439</v>
      </c>
      <c r="AK120" s="332">
        <v>232</v>
      </c>
      <c r="AL120" s="326">
        <v>542</v>
      </c>
      <c r="AM120" s="340">
        <v>1433</v>
      </c>
      <c r="AN120" s="332">
        <v>184</v>
      </c>
      <c r="AO120" s="326">
        <v>457</v>
      </c>
      <c r="AP120" s="340">
        <v>1439</v>
      </c>
      <c r="AQ120" s="485">
        <v>162555</v>
      </c>
      <c r="AR120" s="332">
        <v>275</v>
      </c>
      <c r="AS120" s="482">
        <v>0</v>
      </c>
      <c r="AT120" s="325"/>
      <c r="AU120" s="482">
        <v>0</v>
      </c>
      <c r="AV120" s="332">
        <v>197</v>
      </c>
      <c r="AW120" s="326">
        <v>488</v>
      </c>
      <c r="AX120" s="327">
        <v>1439</v>
      </c>
      <c r="AY120" s="97"/>
      <c r="AZ120" s="97"/>
      <c r="BA120" s="97"/>
    </row>
    <row r="121" spans="1:53" ht="22.5" customHeight="1" x14ac:dyDescent="0.4">
      <c r="A121" s="324" t="s">
        <v>678</v>
      </c>
      <c r="B121" s="335" t="s">
        <v>1177</v>
      </c>
      <c r="C121" s="332">
        <v>27405</v>
      </c>
      <c r="D121" s="326">
        <v>29586</v>
      </c>
      <c r="E121" s="479">
        <v>0.93</v>
      </c>
      <c r="F121" s="337" t="s">
        <v>1067</v>
      </c>
      <c r="G121" s="332">
        <v>27405</v>
      </c>
      <c r="H121" s="332">
        <v>0</v>
      </c>
      <c r="I121" s="479">
        <v>0</v>
      </c>
      <c r="J121" s="482">
        <v>0</v>
      </c>
      <c r="K121" s="485">
        <v>27405</v>
      </c>
      <c r="L121" s="332">
        <v>505</v>
      </c>
      <c r="M121" s="482">
        <v>0.02</v>
      </c>
      <c r="N121" s="485">
        <v>27405</v>
      </c>
      <c r="O121" s="332">
        <v>0</v>
      </c>
      <c r="P121" s="482">
        <v>0</v>
      </c>
      <c r="Q121" s="485">
        <v>27405</v>
      </c>
      <c r="R121" s="332">
        <v>1740</v>
      </c>
      <c r="S121" s="482">
        <v>0.06</v>
      </c>
      <c r="T121" s="482">
        <v>0</v>
      </c>
      <c r="U121" s="485">
        <v>75</v>
      </c>
      <c r="V121" s="332">
        <v>0</v>
      </c>
      <c r="W121" s="482" t="s">
        <v>1316</v>
      </c>
      <c r="X121" s="325"/>
      <c r="Y121" s="482" t="s">
        <v>1316</v>
      </c>
      <c r="Z121" s="332">
        <v>0</v>
      </c>
      <c r="AA121" s="326">
        <v>8</v>
      </c>
      <c r="AB121" s="340">
        <v>20</v>
      </c>
      <c r="AC121" s="485">
        <v>26885</v>
      </c>
      <c r="AD121" s="332">
        <v>0</v>
      </c>
      <c r="AE121" s="482">
        <v>0</v>
      </c>
      <c r="AF121" s="325"/>
      <c r="AG121" s="482">
        <v>0</v>
      </c>
      <c r="AH121" s="332">
        <v>23</v>
      </c>
      <c r="AI121" s="326">
        <v>107</v>
      </c>
      <c r="AJ121" s="340">
        <v>1312</v>
      </c>
      <c r="AK121" s="332">
        <v>78</v>
      </c>
      <c r="AL121" s="326">
        <v>170</v>
      </c>
      <c r="AM121" s="340">
        <v>323</v>
      </c>
      <c r="AN121" s="332">
        <v>58</v>
      </c>
      <c r="AO121" s="326">
        <v>162</v>
      </c>
      <c r="AP121" s="340">
        <v>808</v>
      </c>
      <c r="AQ121" s="485">
        <v>27405</v>
      </c>
      <c r="AR121" s="332">
        <v>0</v>
      </c>
      <c r="AS121" s="482">
        <v>0</v>
      </c>
      <c r="AT121" s="325"/>
      <c r="AU121" s="482">
        <v>0</v>
      </c>
      <c r="AV121" s="332">
        <v>59</v>
      </c>
      <c r="AW121" s="326">
        <v>162</v>
      </c>
      <c r="AX121" s="327">
        <v>808</v>
      </c>
      <c r="AY121" s="97"/>
      <c r="AZ121" s="97"/>
      <c r="BA121" s="97"/>
    </row>
    <row r="122" spans="1:53" ht="22.5" customHeight="1" x14ac:dyDescent="0.4">
      <c r="A122" s="324" t="s">
        <v>493</v>
      </c>
      <c r="B122" s="335" t="s">
        <v>1178</v>
      </c>
      <c r="C122" s="332">
        <v>74250</v>
      </c>
      <c r="D122" s="326">
        <v>75039</v>
      </c>
      <c r="E122" s="479">
        <v>0.99</v>
      </c>
      <c r="F122" s="337" t="s">
        <v>1067</v>
      </c>
      <c r="G122" s="332">
        <v>74250</v>
      </c>
      <c r="H122" s="332" t="s">
        <v>1274</v>
      </c>
      <c r="I122" s="479" t="s">
        <v>1274</v>
      </c>
      <c r="J122" s="482">
        <v>0.02</v>
      </c>
      <c r="K122" s="485">
        <v>74250</v>
      </c>
      <c r="L122" s="332">
        <v>965</v>
      </c>
      <c r="M122" s="482">
        <v>0.01</v>
      </c>
      <c r="N122" s="485">
        <v>74250</v>
      </c>
      <c r="O122" s="332">
        <v>0</v>
      </c>
      <c r="P122" s="482">
        <v>0</v>
      </c>
      <c r="Q122" s="485">
        <v>74250</v>
      </c>
      <c r="R122" s="332">
        <v>5110</v>
      </c>
      <c r="S122" s="482">
        <v>7.0000000000000007E-2</v>
      </c>
      <c r="T122" s="482">
        <v>0</v>
      </c>
      <c r="U122" s="485">
        <v>19650</v>
      </c>
      <c r="V122" s="332">
        <v>1970</v>
      </c>
      <c r="W122" s="482">
        <v>0.1</v>
      </c>
      <c r="X122" s="325"/>
      <c r="Y122" s="482">
        <v>0</v>
      </c>
      <c r="Z122" s="332">
        <v>7</v>
      </c>
      <c r="AA122" s="326">
        <v>30</v>
      </c>
      <c r="AB122" s="340">
        <v>201</v>
      </c>
      <c r="AC122" s="485">
        <v>73200</v>
      </c>
      <c r="AD122" s="332">
        <v>6165</v>
      </c>
      <c r="AE122" s="482">
        <v>0.08</v>
      </c>
      <c r="AF122" s="325"/>
      <c r="AG122" s="482">
        <v>0</v>
      </c>
      <c r="AH122" s="332">
        <v>42</v>
      </c>
      <c r="AI122" s="326">
        <v>146</v>
      </c>
      <c r="AJ122" s="340">
        <v>826</v>
      </c>
      <c r="AK122" s="332">
        <v>231</v>
      </c>
      <c r="AL122" s="326">
        <v>554</v>
      </c>
      <c r="AM122" s="340">
        <v>1398</v>
      </c>
      <c r="AN122" s="332">
        <v>105</v>
      </c>
      <c r="AO122" s="326">
        <v>238</v>
      </c>
      <c r="AP122" s="340">
        <v>1413</v>
      </c>
      <c r="AQ122" s="485">
        <v>74250</v>
      </c>
      <c r="AR122" s="332">
        <v>0</v>
      </c>
      <c r="AS122" s="482">
        <v>0</v>
      </c>
      <c r="AT122" s="325"/>
      <c r="AU122" s="482">
        <v>0</v>
      </c>
      <c r="AV122" s="332">
        <v>139</v>
      </c>
      <c r="AW122" s="326">
        <v>352</v>
      </c>
      <c r="AX122" s="327">
        <v>1413</v>
      </c>
      <c r="AY122" s="97"/>
      <c r="AZ122" s="97"/>
      <c r="BA122" s="97"/>
    </row>
    <row r="123" spans="1:53" ht="22.5" customHeight="1" x14ac:dyDescent="0.4">
      <c r="A123" s="324" t="s">
        <v>546</v>
      </c>
      <c r="B123" s="335" t="s">
        <v>1179</v>
      </c>
      <c r="C123" s="332">
        <v>169915</v>
      </c>
      <c r="D123" s="326">
        <v>244782</v>
      </c>
      <c r="E123" s="479">
        <v>0.69</v>
      </c>
      <c r="F123" s="337" t="s">
        <v>1093</v>
      </c>
      <c r="G123" s="332">
        <v>169915</v>
      </c>
      <c r="H123" s="332">
        <v>10</v>
      </c>
      <c r="I123" s="479">
        <v>0</v>
      </c>
      <c r="J123" s="482">
        <v>0.01</v>
      </c>
      <c r="K123" s="485">
        <v>169905</v>
      </c>
      <c r="L123" s="332">
        <v>4400</v>
      </c>
      <c r="M123" s="482">
        <v>0.03</v>
      </c>
      <c r="N123" s="485">
        <v>169915</v>
      </c>
      <c r="O123" s="332" t="s">
        <v>1274</v>
      </c>
      <c r="P123" s="482" t="s">
        <v>1274</v>
      </c>
      <c r="Q123" s="485">
        <v>169915</v>
      </c>
      <c r="R123" s="332">
        <v>12720</v>
      </c>
      <c r="S123" s="482">
        <v>7.0000000000000007E-2</v>
      </c>
      <c r="T123" s="482">
        <v>0</v>
      </c>
      <c r="U123" s="485">
        <v>66995</v>
      </c>
      <c r="V123" s="332">
        <v>730</v>
      </c>
      <c r="W123" s="482">
        <v>0.01</v>
      </c>
      <c r="X123" s="325"/>
      <c r="Y123" s="482">
        <v>0</v>
      </c>
      <c r="Z123" s="332">
        <v>8</v>
      </c>
      <c r="AA123" s="326">
        <v>49</v>
      </c>
      <c r="AB123" s="340">
        <v>1050</v>
      </c>
      <c r="AC123" s="485">
        <v>164995</v>
      </c>
      <c r="AD123" s="332">
        <v>12205</v>
      </c>
      <c r="AE123" s="482">
        <v>7.0000000000000007E-2</v>
      </c>
      <c r="AF123" s="325"/>
      <c r="AG123" s="482">
        <v>0</v>
      </c>
      <c r="AH123" s="332">
        <v>66</v>
      </c>
      <c r="AI123" s="326">
        <v>266</v>
      </c>
      <c r="AJ123" s="340">
        <v>1428</v>
      </c>
      <c r="AK123" s="332">
        <v>354</v>
      </c>
      <c r="AL123" s="326">
        <v>1070</v>
      </c>
      <c r="AM123" s="340">
        <v>1439</v>
      </c>
      <c r="AN123" s="332">
        <v>165</v>
      </c>
      <c r="AO123" s="326">
        <v>714</v>
      </c>
      <c r="AP123" s="340">
        <v>1439</v>
      </c>
      <c r="AQ123" s="485">
        <v>169915</v>
      </c>
      <c r="AR123" s="332">
        <v>10</v>
      </c>
      <c r="AS123" s="482">
        <v>0</v>
      </c>
      <c r="AT123" s="325"/>
      <c r="AU123" s="482">
        <v>0</v>
      </c>
      <c r="AV123" s="332">
        <v>188</v>
      </c>
      <c r="AW123" s="326">
        <v>885</v>
      </c>
      <c r="AX123" s="327">
        <v>1439</v>
      </c>
      <c r="AY123" s="97"/>
      <c r="AZ123" s="97"/>
      <c r="BA123" s="97"/>
    </row>
    <row r="124" spans="1:53" ht="22.5" customHeight="1" x14ac:dyDescent="0.4">
      <c r="A124" s="324" t="s">
        <v>321</v>
      </c>
      <c r="B124" s="335" t="s">
        <v>1180</v>
      </c>
      <c r="C124" s="332">
        <v>118040</v>
      </c>
      <c r="D124" s="326">
        <v>118033</v>
      </c>
      <c r="E124" s="479">
        <v>1</v>
      </c>
      <c r="F124" s="337" t="s">
        <v>1067</v>
      </c>
      <c r="G124" s="332">
        <v>118040</v>
      </c>
      <c r="H124" s="332">
        <v>0</v>
      </c>
      <c r="I124" s="479">
        <v>0</v>
      </c>
      <c r="J124" s="482">
        <v>0</v>
      </c>
      <c r="K124" s="485">
        <v>118040</v>
      </c>
      <c r="L124" s="332">
        <v>1030</v>
      </c>
      <c r="M124" s="482">
        <v>0.01</v>
      </c>
      <c r="N124" s="485">
        <v>118040</v>
      </c>
      <c r="O124" s="332">
        <v>0</v>
      </c>
      <c r="P124" s="482">
        <v>0</v>
      </c>
      <c r="Q124" s="485">
        <v>118040</v>
      </c>
      <c r="R124" s="332">
        <v>6785</v>
      </c>
      <c r="S124" s="482">
        <v>0.06</v>
      </c>
      <c r="T124" s="482">
        <v>0</v>
      </c>
      <c r="U124" s="485">
        <v>16305</v>
      </c>
      <c r="V124" s="332">
        <v>140</v>
      </c>
      <c r="W124" s="482">
        <v>0.01</v>
      </c>
      <c r="X124" s="325"/>
      <c r="Y124" s="482">
        <v>0</v>
      </c>
      <c r="Z124" s="332">
        <v>3</v>
      </c>
      <c r="AA124" s="326">
        <v>21</v>
      </c>
      <c r="AB124" s="340">
        <v>1439</v>
      </c>
      <c r="AC124" s="485">
        <v>116905</v>
      </c>
      <c r="AD124" s="332">
        <v>9900</v>
      </c>
      <c r="AE124" s="482">
        <v>0.08</v>
      </c>
      <c r="AF124" s="325"/>
      <c r="AG124" s="482">
        <v>0</v>
      </c>
      <c r="AH124" s="332">
        <v>42</v>
      </c>
      <c r="AI124" s="326">
        <v>169</v>
      </c>
      <c r="AJ124" s="340">
        <v>1437</v>
      </c>
      <c r="AK124" s="332">
        <v>220</v>
      </c>
      <c r="AL124" s="326">
        <v>557</v>
      </c>
      <c r="AM124" s="340">
        <v>1415</v>
      </c>
      <c r="AN124" s="332">
        <v>76</v>
      </c>
      <c r="AO124" s="326">
        <v>239</v>
      </c>
      <c r="AP124" s="340">
        <v>1418</v>
      </c>
      <c r="AQ124" s="485">
        <v>118040</v>
      </c>
      <c r="AR124" s="332">
        <v>0</v>
      </c>
      <c r="AS124" s="482">
        <v>0</v>
      </c>
      <c r="AT124" s="325"/>
      <c r="AU124" s="482">
        <v>0</v>
      </c>
      <c r="AV124" s="332">
        <v>93</v>
      </c>
      <c r="AW124" s="326">
        <v>344</v>
      </c>
      <c r="AX124" s="327">
        <v>1418</v>
      </c>
      <c r="AY124" s="97"/>
      <c r="AZ124" s="97"/>
      <c r="BA124" s="97"/>
    </row>
    <row r="125" spans="1:53" ht="22.5" customHeight="1" x14ac:dyDescent="0.4">
      <c r="A125" s="324" t="s">
        <v>599</v>
      </c>
      <c r="B125" s="335" t="s">
        <v>1181</v>
      </c>
      <c r="C125" s="332">
        <v>150455</v>
      </c>
      <c r="D125" s="326">
        <v>150383</v>
      </c>
      <c r="E125" s="479">
        <v>1</v>
      </c>
      <c r="F125" s="337" t="s">
        <v>1067</v>
      </c>
      <c r="G125" s="332">
        <v>150455</v>
      </c>
      <c r="H125" s="332" t="s">
        <v>1274</v>
      </c>
      <c r="I125" s="479" t="s">
        <v>1274</v>
      </c>
      <c r="J125" s="482" t="s">
        <v>1274</v>
      </c>
      <c r="K125" s="485">
        <v>150450</v>
      </c>
      <c r="L125" s="332">
        <v>2420</v>
      </c>
      <c r="M125" s="482">
        <v>0.02</v>
      </c>
      <c r="N125" s="485">
        <v>150455</v>
      </c>
      <c r="O125" s="332">
        <v>0</v>
      </c>
      <c r="P125" s="482">
        <v>0</v>
      </c>
      <c r="Q125" s="485">
        <v>150455</v>
      </c>
      <c r="R125" s="332">
        <v>13660</v>
      </c>
      <c r="S125" s="482">
        <v>0.09</v>
      </c>
      <c r="T125" s="482">
        <v>0</v>
      </c>
      <c r="U125" s="485">
        <v>39490</v>
      </c>
      <c r="V125" s="332">
        <v>820</v>
      </c>
      <c r="W125" s="482">
        <v>0.02</v>
      </c>
      <c r="X125" s="325"/>
      <c r="Y125" s="482">
        <v>0</v>
      </c>
      <c r="Z125" s="332">
        <v>19</v>
      </c>
      <c r="AA125" s="326">
        <v>179</v>
      </c>
      <c r="AB125" s="340">
        <v>1414</v>
      </c>
      <c r="AC125" s="485">
        <v>147495</v>
      </c>
      <c r="AD125" s="332">
        <v>15525</v>
      </c>
      <c r="AE125" s="482">
        <v>0.11</v>
      </c>
      <c r="AF125" s="325"/>
      <c r="AG125" s="482">
        <v>0</v>
      </c>
      <c r="AH125" s="332">
        <v>60</v>
      </c>
      <c r="AI125" s="326">
        <v>194</v>
      </c>
      <c r="AJ125" s="340">
        <v>1439</v>
      </c>
      <c r="AK125" s="332">
        <v>229</v>
      </c>
      <c r="AL125" s="326">
        <v>520</v>
      </c>
      <c r="AM125" s="340">
        <v>1201</v>
      </c>
      <c r="AN125" s="332">
        <v>121</v>
      </c>
      <c r="AO125" s="326">
        <v>302</v>
      </c>
      <c r="AP125" s="340">
        <v>1295</v>
      </c>
      <c r="AQ125" s="485">
        <v>150455</v>
      </c>
      <c r="AR125" s="332">
        <v>25</v>
      </c>
      <c r="AS125" s="482">
        <v>0</v>
      </c>
      <c r="AT125" s="325"/>
      <c r="AU125" s="482">
        <v>0</v>
      </c>
      <c r="AV125" s="332">
        <v>143</v>
      </c>
      <c r="AW125" s="326">
        <v>381</v>
      </c>
      <c r="AX125" s="327">
        <v>1295</v>
      </c>
      <c r="AY125" s="97"/>
      <c r="AZ125" s="97"/>
      <c r="BA125" s="97"/>
    </row>
    <row r="126" spans="1:53" ht="22.5" customHeight="1" x14ac:dyDescent="0.4">
      <c r="A126" s="324" t="s">
        <v>354</v>
      </c>
      <c r="B126" s="335" t="s">
        <v>1182</v>
      </c>
      <c r="C126" s="332">
        <v>50415</v>
      </c>
      <c r="D126" s="326">
        <v>50444</v>
      </c>
      <c r="E126" s="479">
        <v>1</v>
      </c>
      <c r="F126" s="337" t="s">
        <v>1067</v>
      </c>
      <c r="G126" s="332">
        <v>50415</v>
      </c>
      <c r="H126" s="332">
        <v>0</v>
      </c>
      <c r="I126" s="479">
        <v>0</v>
      </c>
      <c r="J126" s="482">
        <v>0.01</v>
      </c>
      <c r="K126" s="485">
        <v>50415</v>
      </c>
      <c r="L126" s="332">
        <v>1100</v>
      </c>
      <c r="M126" s="482">
        <v>0.02</v>
      </c>
      <c r="N126" s="485">
        <v>50415</v>
      </c>
      <c r="O126" s="332">
        <v>0</v>
      </c>
      <c r="P126" s="482">
        <v>0</v>
      </c>
      <c r="Q126" s="485">
        <v>50415</v>
      </c>
      <c r="R126" s="332">
        <v>3465</v>
      </c>
      <c r="S126" s="482">
        <v>7.0000000000000007E-2</v>
      </c>
      <c r="T126" s="482">
        <v>0</v>
      </c>
      <c r="U126" s="485">
        <v>14440</v>
      </c>
      <c r="V126" s="332">
        <v>25</v>
      </c>
      <c r="W126" s="482">
        <v>0</v>
      </c>
      <c r="X126" s="325"/>
      <c r="Y126" s="482">
        <v>0</v>
      </c>
      <c r="Z126" s="332">
        <v>5</v>
      </c>
      <c r="AA126" s="326">
        <v>25</v>
      </c>
      <c r="AB126" s="340">
        <v>1439</v>
      </c>
      <c r="AC126" s="485">
        <v>48965</v>
      </c>
      <c r="AD126" s="332">
        <v>640</v>
      </c>
      <c r="AE126" s="482">
        <v>0.01</v>
      </c>
      <c r="AF126" s="325"/>
      <c r="AG126" s="482">
        <v>0</v>
      </c>
      <c r="AH126" s="332">
        <v>60</v>
      </c>
      <c r="AI126" s="326">
        <v>220</v>
      </c>
      <c r="AJ126" s="340">
        <v>1430</v>
      </c>
      <c r="AK126" s="332">
        <v>239</v>
      </c>
      <c r="AL126" s="326">
        <v>900</v>
      </c>
      <c r="AM126" s="340">
        <v>1430</v>
      </c>
      <c r="AN126" s="332">
        <v>128</v>
      </c>
      <c r="AO126" s="326">
        <v>355</v>
      </c>
      <c r="AP126" s="340">
        <v>1412</v>
      </c>
      <c r="AQ126" s="485">
        <v>50415</v>
      </c>
      <c r="AR126" s="332">
        <v>0</v>
      </c>
      <c r="AS126" s="482">
        <v>0</v>
      </c>
      <c r="AT126" s="325"/>
      <c r="AU126" s="482">
        <v>0</v>
      </c>
      <c r="AV126" s="332">
        <v>155</v>
      </c>
      <c r="AW126" s="326">
        <v>515</v>
      </c>
      <c r="AX126" s="327">
        <v>1430</v>
      </c>
      <c r="AY126" s="97"/>
      <c r="AZ126" s="97"/>
      <c r="BA126" s="97"/>
    </row>
    <row r="127" spans="1:53" ht="22.5" customHeight="1" x14ac:dyDescent="0.4">
      <c r="A127" s="324" t="s">
        <v>338</v>
      </c>
      <c r="B127" s="335" t="s">
        <v>1183</v>
      </c>
      <c r="C127" s="332">
        <v>78595</v>
      </c>
      <c r="D127" s="326">
        <v>78853</v>
      </c>
      <c r="E127" s="479">
        <v>1</v>
      </c>
      <c r="F127" s="337" t="s">
        <v>1067</v>
      </c>
      <c r="G127" s="332">
        <v>78595</v>
      </c>
      <c r="H127" s="332">
        <v>5175</v>
      </c>
      <c r="I127" s="479">
        <v>7.0000000000000007E-2</v>
      </c>
      <c r="J127" s="482">
        <v>0</v>
      </c>
      <c r="K127" s="485">
        <v>73420</v>
      </c>
      <c r="L127" s="332">
        <v>1715</v>
      </c>
      <c r="M127" s="482">
        <v>0.02</v>
      </c>
      <c r="N127" s="485">
        <v>82725</v>
      </c>
      <c r="O127" s="332">
        <v>4130</v>
      </c>
      <c r="P127" s="482">
        <v>0.05</v>
      </c>
      <c r="Q127" s="485">
        <v>78595</v>
      </c>
      <c r="R127" s="332">
        <v>5780</v>
      </c>
      <c r="S127" s="482">
        <v>7.0000000000000007E-2</v>
      </c>
      <c r="T127" s="482">
        <v>0</v>
      </c>
      <c r="U127" s="485">
        <v>31420</v>
      </c>
      <c r="V127" s="332">
        <v>18565</v>
      </c>
      <c r="W127" s="482">
        <v>0.59</v>
      </c>
      <c r="X127" s="325"/>
      <c r="Y127" s="482">
        <v>0</v>
      </c>
      <c r="Z127" s="332">
        <v>0</v>
      </c>
      <c r="AA127" s="326">
        <v>0</v>
      </c>
      <c r="AB127" s="340">
        <v>321</v>
      </c>
      <c r="AC127" s="485">
        <v>68220</v>
      </c>
      <c r="AD127" s="332">
        <v>1520</v>
      </c>
      <c r="AE127" s="482">
        <v>0.02</v>
      </c>
      <c r="AF127" s="325"/>
      <c r="AG127" s="482">
        <v>0</v>
      </c>
      <c r="AH127" s="332">
        <v>38</v>
      </c>
      <c r="AI127" s="326">
        <v>227</v>
      </c>
      <c r="AJ127" s="340">
        <v>1439</v>
      </c>
      <c r="AK127" s="332">
        <v>236</v>
      </c>
      <c r="AL127" s="326">
        <v>535</v>
      </c>
      <c r="AM127" s="340">
        <v>1432</v>
      </c>
      <c r="AN127" s="332">
        <v>155</v>
      </c>
      <c r="AO127" s="326">
        <v>336</v>
      </c>
      <c r="AP127" s="340">
        <v>1436</v>
      </c>
      <c r="AQ127" s="485">
        <v>78595</v>
      </c>
      <c r="AR127" s="332" t="s">
        <v>1274</v>
      </c>
      <c r="AS127" s="482" t="s">
        <v>1274</v>
      </c>
      <c r="AT127" s="325"/>
      <c r="AU127" s="482">
        <v>0</v>
      </c>
      <c r="AV127" s="332">
        <v>177</v>
      </c>
      <c r="AW127" s="326">
        <v>413</v>
      </c>
      <c r="AX127" s="327">
        <v>1436</v>
      </c>
      <c r="AY127" s="97"/>
      <c r="AZ127" s="97"/>
      <c r="BA127" s="97"/>
    </row>
    <row r="128" spans="1:53" ht="22.5" customHeight="1" x14ac:dyDescent="0.4">
      <c r="A128" s="324" t="s">
        <v>399</v>
      </c>
      <c r="B128" s="335" t="s">
        <v>1184</v>
      </c>
      <c r="C128" s="332">
        <v>228395</v>
      </c>
      <c r="D128" s="326">
        <v>286318</v>
      </c>
      <c r="E128" s="479">
        <v>0.8</v>
      </c>
      <c r="F128" s="337" t="s">
        <v>1093</v>
      </c>
      <c r="G128" s="332">
        <v>228395</v>
      </c>
      <c r="H128" s="332">
        <v>104545</v>
      </c>
      <c r="I128" s="479">
        <v>0.46</v>
      </c>
      <c r="J128" s="482">
        <v>0</v>
      </c>
      <c r="K128" s="485">
        <v>123845</v>
      </c>
      <c r="L128" s="332">
        <v>5435</v>
      </c>
      <c r="M128" s="482">
        <v>0.04</v>
      </c>
      <c r="N128" s="485">
        <v>228395</v>
      </c>
      <c r="O128" s="332">
        <v>0</v>
      </c>
      <c r="P128" s="482">
        <v>0</v>
      </c>
      <c r="Q128" s="485">
        <v>228395</v>
      </c>
      <c r="R128" s="332">
        <v>21170</v>
      </c>
      <c r="S128" s="482">
        <v>0.09</v>
      </c>
      <c r="T128" s="482">
        <v>0</v>
      </c>
      <c r="U128" s="485">
        <v>64205</v>
      </c>
      <c r="V128" s="332">
        <v>6690</v>
      </c>
      <c r="W128" s="482">
        <v>0.1</v>
      </c>
      <c r="X128" s="325"/>
      <c r="Y128" s="482">
        <v>0</v>
      </c>
      <c r="Z128" s="332">
        <v>0</v>
      </c>
      <c r="AA128" s="326">
        <v>21</v>
      </c>
      <c r="AB128" s="340">
        <v>1438</v>
      </c>
      <c r="AC128" s="485">
        <v>117840</v>
      </c>
      <c r="AD128" s="332">
        <v>5150</v>
      </c>
      <c r="AE128" s="482">
        <v>0.04</v>
      </c>
      <c r="AF128" s="325"/>
      <c r="AG128" s="482">
        <v>0</v>
      </c>
      <c r="AH128" s="332">
        <v>80</v>
      </c>
      <c r="AI128" s="326">
        <v>232</v>
      </c>
      <c r="AJ128" s="340">
        <v>1439</v>
      </c>
      <c r="AK128" s="332">
        <v>289</v>
      </c>
      <c r="AL128" s="326">
        <v>905</v>
      </c>
      <c r="AM128" s="340">
        <v>1439</v>
      </c>
      <c r="AN128" s="332">
        <v>177</v>
      </c>
      <c r="AO128" s="326">
        <v>377</v>
      </c>
      <c r="AP128" s="340">
        <v>1437</v>
      </c>
      <c r="AQ128" s="485">
        <v>228395</v>
      </c>
      <c r="AR128" s="332">
        <v>30</v>
      </c>
      <c r="AS128" s="482">
        <v>0</v>
      </c>
      <c r="AT128" s="325"/>
      <c r="AU128" s="482">
        <v>0</v>
      </c>
      <c r="AV128" s="332">
        <v>197</v>
      </c>
      <c r="AW128" s="326">
        <v>572</v>
      </c>
      <c r="AX128" s="327">
        <v>1439</v>
      </c>
      <c r="AY128" s="97"/>
      <c r="AZ128" s="97"/>
      <c r="BA128" s="97"/>
    </row>
    <row r="129" spans="1:53" ht="22.5" customHeight="1" x14ac:dyDescent="0.4">
      <c r="A129" s="324" t="s">
        <v>481</v>
      </c>
      <c r="B129" s="335" t="s">
        <v>1185</v>
      </c>
      <c r="C129" s="332">
        <v>122370</v>
      </c>
      <c r="D129" s="326">
        <v>150761</v>
      </c>
      <c r="E129" s="479">
        <v>0.81</v>
      </c>
      <c r="F129" s="337" t="s">
        <v>1077</v>
      </c>
      <c r="G129" s="332">
        <v>122370</v>
      </c>
      <c r="H129" s="332">
        <v>795</v>
      </c>
      <c r="I129" s="479">
        <v>0.01</v>
      </c>
      <c r="J129" s="482">
        <v>0.02</v>
      </c>
      <c r="K129" s="485">
        <v>121580</v>
      </c>
      <c r="L129" s="332">
        <v>2525</v>
      </c>
      <c r="M129" s="482">
        <v>0.02</v>
      </c>
      <c r="N129" s="485">
        <v>122370</v>
      </c>
      <c r="O129" s="332">
        <v>0</v>
      </c>
      <c r="P129" s="482">
        <v>0</v>
      </c>
      <c r="Q129" s="485">
        <v>122370</v>
      </c>
      <c r="R129" s="332">
        <v>8935</v>
      </c>
      <c r="S129" s="482">
        <v>7.0000000000000007E-2</v>
      </c>
      <c r="T129" s="482">
        <v>0</v>
      </c>
      <c r="U129" s="485">
        <v>31900</v>
      </c>
      <c r="V129" s="332">
        <v>1200</v>
      </c>
      <c r="W129" s="482">
        <v>0.04</v>
      </c>
      <c r="X129" s="325"/>
      <c r="Y129" s="482">
        <v>0</v>
      </c>
      <c r="Z129" s="332">
        <v>5</v>
      </c>
      <c r="AA129" s="326">
        <v>54</v>
      </c>
      <c r="AB129" s="340">
        <v>1435</v>
      </c>
      <c r="AC129" s="485">
        <v>118690</v>
      </c>
      <c r="AD129" s="332">
        <v>115</v>
      </c>
      <c r="AE129" s="482">
        <v>0</v>
      </c>
      <c r="AF129" s="325"/>
      <c r="AG129" s="482">
        <v>0</v>
      </c>
      <c r="AH129" s="332">
        <v>46</v>
      </c>
      <c r="AI129" s="326">
        <v>168</v>
      </c>
      <c r="AJ129" s="340">
        <v>485</v>
      </c>
      <c r="AK129" s="332">
        <v>222</v>
      </c>
      <c r="AL129" s="326">
        <v>446</v>
      </c>
      <c r="AM129" s="340">
        <v>1011</v>
      </c>
      <c r="AN129" s="332">
        <v>136</v>
      </c>
      <c r="AO129" s="326">
        <v>240</v>
      </c>
      <c r="AP129" s="340">
        <v>1104</v>
      </c>
      <c r="AQ129" s="485">
        <v>122370</v>
      </c>
      <c r="AR129" s="332" t="s">
        <v>1274</v>
      </c>
      <c r="AS129" s="482" t="s">
        <v>1274</v>
      </c>
      <c r="AT129" s="325"/>
      <c r="AU129" s="482">
        <v>0</v>
      </c>
      <c r="AV129" s="332">
        <v>159</v>
      </c>
      <c r="AW129" s="326">
        <v>324</v>
      </c>
      <c r="AX129" s="327">
        <v>1104</v>
      </c>
      <c r="AY129" s="97"/>
      <c r="AZ129" s="97"/>
      <c r="BA129" s="97"/>
    </row>
    <row r="130" spans="1:53" ht="22.5" customHeight="1" x14ac:dyDescent="0.4">
      <c r="A130" s="324" t="s">
        <v>452</v>
      </c>
      <c r="B130" s="335" t="s">
        <v>1186</v>
      </c>
      <c r="C130" s="332">
        <v>129000</v>
      </c>
      <c r="D130" s="326">
        <v>133431</v>
      </c>
      <c r="E130" s="479">
        <v>0.97</v>
      </c>
      <c r="F130" s="337" t="s">
        <v>1067</v>
      </c>
      <c r="G130" s="332">
        <v>129000</v>
      </c>
      <c r="H130" s="332">
        <v>0</v>
      </c>
      <c r="I130" s="479">
        <v>0</v>
      </c>
      <c r="J130" s="482">
        <v>0.04</v>
      </c>
      <c r="K130" s="485">
        <v>129000</v>
      </c>
      <c r="L130" s="332">
        <v>2575</v>
      </c>
      <c r="M130" s="482">
        <v>0.02</v>
      </c>
      <c r="N130" s="485">
        <v>129015</v>
      </c>
      <c r="O130" s="332">
        <v>10</v>
      </c>
      <c r="P130" s="482">
        <v>0</v>
      </c>
      <c r="Q130" s="485">
        <v>129000</v>
      </c>
      <c r="R130" s="332">
        <v>9910</v>
      </c>
      <c r="S130" s="482">
        <v>0.08</v>
      </c>
      <c r="T130" s="482">
        <v>0</v>
      </c>
      <c r="U130" s="485">
        <v>37325</v>
      </c>
      <c r="V130" s="332">
        <v>3150</v>
      </c>
      <c r="W130" s="482">
        <v>0.08</v>
      </c>
      <c r="X130" s="325"/>
      <c r="Y130" s="482">
        <v>0</v>
      </c>
      <c r="Z130" s="332">
        <v>1</v>
      </c>
      <c r="AA130" s="326">
        <v>25</v>
      </c>
      <c r="AB130" s="340">
        <v>1439</v>
      </c>
      <c r="AC130" s="485">
        <v>126075</v>
      </c>
      <c r="AD130" s="332">
        <v>240</v>
      </c>
      <c r="AE130" s="482">
        <v>0</v>
      </c>
      <c r="AF130" s="325"/>
      <c r="AG130" s="482">
        <v>0</v>
      </c>
      <c r="AH130" s="332">
        <v>60</v>
      </c>
      <c r="AI130" s="326">
        <v>204</v>
      </c>
      <c r="AJ130" s="340">
        <v>782</v>
      </c>
      <c r="AK130" s="332">
        <v>229</v>
      </c>
      <c r="AL130" s="326">
        <v>481</v>
      </c>
      <c r="AM130" s="340">
        <v>1160</v>
      </c>
      <c r="AN130" s="332">
        <v>128</v>
      </c>
      <c r="AO130" s="326">
        <v>284</v>
      </c>
      <c r="AP130" s="340">
        <v>1259</v>
      </c>
      <c r="AQ130" s="485">
        <v>129000</v>
      </c>
      <c r="AR130" s="332">
        <v>0</v>
      </c>
      <c r="AS130" s="482">
        <v>0</v>
      </c>
      <c r="AT130" s="325"/>
      <c r="AU130" s="482">
        <v>0</v>
      </c>
      <c r="AV130" s="332">
        <v>160</v>
      </c>
      <c r="AW130" s="326">
        <v>373</v>
      </c>
      <c r="AX130" s="327">
        <v>1259</v>
      </c>
      <c r="AY130" s="97"/>
      <c r="AZ130" s="97"/>
      <c r="BA130" s="97"/>
    </row>
    <row r="131" spans="1:53" ht="22.5" customHeight="1" x14ac:dyDescent="0.4">
      <c r="A131" s="324" t="s">
        <v>540</v>
      </c>
      <c r="B131" s="335" t="s">
        <v>1187</v>
      </c>
      <c r="C131" s="332">
        <v>187760</v>
      </c>
      <c r="D131" s="326">
        <v>212739</v>
      </c>
      <c r="E131" s="479">
        <v>0.88</v>
      </c>
      <c r="F131" s="337" t="s">
        <v>1077</v>
      </c>
      <c r="G131" s="332">
        <v>187760</v>
      </c>
      <c r="H131" s="332">
        <v>0</v>
      </c>
      <c r="I131" s="479">
        <v>0</v>
      </c>
      <c r="J131" s="482">
        <v>0.01</v>
      </c>
      <c r="K131" s="485">
        <v>187760</v>
      </c>
      <c r="L131" s="332">
        <v>8115</v>
      </c>
      <c r="M131" s="482">
        <v>0.04</v>
      </c>
      <c r="N131" s="485">
        <v>187760</v>
      </c>
      <c r="O131" s="332">
        <v>0</v>
      </c>
      <c r="P131" s="482">
        <v>0</v>
      </c>
      <c r="Q131" s="485">
        <v>187760</v>
      </c>
      <c r="R131" s="332">
        <v>18220</v>
      </c>
      <c r="S131" s="482">
        <v>0.1</v>
      </c>
      <c r="T131" s="482">
        <v>0</v>
      </c>
      <c r="U131" s="485">
        <v>51030</v>
      </c>
      <c r="V131" s="332">
        <v>10</v>
      </c>
      <c r="W131" s="482">
        <v>0</v>
      </c>
      <c r="X131" s="325"/>
      <c r="Y131" s="482">
        <v>0</v>
      </c>
      <c r="Z131" s="332">
        <v>7</v>
      </c>
      <c r="AA131" s="326">
        <v>45</v>
      </c>
      <c r="AB131" s="340">
        <v>1426</v>
      </c>
      <c r="AC131" s="485">
        <v>179005</v>
      </c>
      <c r="AD131" s="332">
        <v>2645</v>
      </c>
      <c r="AE131" s="482">
        <v>0.01</v>
      </c>
      <c r="AF131" s="325"/>
      <c r="AG131" s="482">
        <v>0</v>
      </c>
      <c r="AH131" s="332">
        <v>72</v>
      </c>
      <c r="AI131" s="326">
        <v>254</v>
      </c>
      <c r="AJ131" s="340">
        <v>1417</v>
      </c>
      <c r="AK131" s="332">
        <v>232</v>
      </c>
      <c r="AL131" s="326">
        <v>796</v>
      </c>
      <c r="AM131" s="340">
        <v>1414</v>
      </c>
      <c r="AN131" s="332">
        <v>121</v>
      </c>
      <c r="AO131" s="326">
        <v>372</v>
      </c>
      <c r="AP131" s="340">
        <v>1439</v>
      </c>
      <c r="AQ131" s="485">
        <v>187760</v>
      </c>
      <c r="AR131" s="332">
        <v>110</v>
      </c>
      <c r="AS131" s="482">
        <v>0</v>
      </c>
      <c r="AT131" s="325"/>
      <c r="AU131" s="482">
        <v>0</v>
      </c>
      <c r="AV131" s="332">
        <v>147</v>
      </c>
      <c r="AW131" s="326">
        <v>536</v>
      </c>
      <c r="AX131" s="327">
        <v>1439</v>
      </c>
      <c r="AY131" s="97"/>
      <c r="AZ131" s="97"/>
      <c r="BA131" s="97"/>
    </row>
    <row r="132" spans="1:53" ht="22.5" customHeight="1" x14ac:dyDescent="0.4">
      <c r="A132" s="324" t="s">
        <v>528</v>
      </c>
      <c r="B132" s="335" t="s">
        <v>1188</v>
      </c>
      <c r="C132" s="332">
        <v>101805</v>
      </c>
      <c r="D132" s="326">
        <v>101815</v>
      </c>
      <c r="E132" s="479">
        <v>1</v>
      </c>
      <c r="F132" s="337" t="s">
        <v>1067</v>
      </c>
      <c r="G132" s="332">
        <v>101805</v>
      </c>
      <c r="H132" s="332">
        <v>935</v>
      </c>
      <c r="I132" s="479">
        <v>0.01</v>
      </c>
      <c r="J132" s="482">
        <v>0.02</v>
      </c>
      <c r="K132" s="485">
        <v>100870</v>
      </c>
      <c r="L132" s="332">
        <v>6290</v>
      </c>
      <c r="M132" s="482">
        <v>0.06</v>
      </c>
      <c r="N132" s="485">
        <v>101805</v>
      </c>
      <c r="O132" s="332">
        <v>0</v>
      </c>
      <c r="P132" s="482">
        <v>0</v>
      </c>
      <c r="Q132" s="485">
        <v>101805</v>
      </c>
      <c r="R132" s="332">
        <v>9740</v>
      </c>
      <c r="S132" s="482">
        <v>0.1</v>
      </c>
      <c r="T132" s="482">
        <v>0</v>
      </c>
      <c r="U132" s="485">
        <v>20540</v>
      </c>
      <c r="V132" s="332">
        <v>60</v>
      </c>
      <c r="W132" s="482">
        <v>0</v>
      </c>
      <c r="X132" s="325"/>
      <c r="Y132" s="482">
        <v>0</v>
      </c>
      <c r="Z132" s="332">
        <v>4</v>
      </c>
      <c r="AA132" s="326">
        <v>24</v>
      </c>
      <c r="AB132" s="340">
        <v>850</v>
      </c>
      <c r="AC132" s="485">
        <v>94325</v>
      </c>
      <c r="AD132" s="332">
        <v>925</v>
      </c>
      <c r="AE132" s="482">
        <v>0.01</v>
      </c>
      <c r="AF132" s="325"/>
      <c r="AG132" s="482">
        <v>0</v>
      </c>
      <c r="AH132" s="332">
        <v>73</v>
      </c>
      <c r="AI132" s="326">
        <v>201</v>
      </c>
      <c r="AJ132" s="340">
        <v>1336</v>
      </c>
      <c r="AK132" s="332">
        <v>237</v>
      </c>
      <c r="AL132" s="326">
        <v>801</v>
      </c>
      <c r="AM132" s="340">
        <v>1435</v>
      </c>
      <c r="AN132" s="332">
        <v>152</v>
      </c>
      <c r="AO132" s="326">
        <v>321</v>
      </c>
      <c r="AP132" s="340">
        <v>1434</v>
      </c>
      <c r="AQ132" s="485">
        <v>101805</v>
      </c>
      <c r="AR132" s="332">
        <v>0</v>
      </c>
      <c r="AS132" s="482">
        <v>0</v>
      </c>
      <c r="AT132" s="325"/>
      <c r="AU132" s="482">
        <v>0</v>
      </c>
      <c r="AV132" s="332">
        <v>169</v>
      </c>
      <c r="AW132" s="326">
        <v>450</v>
      </c>
      <c r="AX132" s="327">
        <v>1435</v>
      </c>
      <c r="AY132" s="97"/>
      <c r="AZ132" s="97"/>
      <c r="BA132" s="97"/>
    </row>
    <row r="133" spans="1:53" ht="22.5" customHeight="1" x14ac:dyDescent="0.4">
      <c r="A133" s="324" t="s">
        <v>527</v>
      </c>
      <c r="B133" s="335" t="s">
        <v>1189</v>
      </c>
      <c r="C133" s="332">
        <v>181775</v>
      </c>
      <c r="D133" s="326">
        <v>237549</v>
      </c>
      <c r="E133" s="479">
        <v>0.77</v>
      </c>
      <c r="F133" s="337" t="s">
        <v>1093</v>
      </c>
      <c r="G133" s="332">
        <v>181775</v>
      </c>
      <c r="H133" s="332">
        <v>43465</v>
      </c>
      <c r="I133" s="479">
        <v>0.24</v>
      </c>
      <c r="J133" s="482">
        <v>0.03</v>
      </c>
      <c r="K133" s="485">
        <v>138310</v>
      </c>
      <c r="L133" s="332">
        <v>3030</v>
      </c>
      <c r="M133" s="482">
        <v>0.02</v>
      </c>
      <c r="N133" s="485">
        <v>181775</v>
      </c>
      <c r="O133" s="332">
        <v>0</v>
      </c>
      <c r="P133" s="482">
        <v>0</v>
      </c>
      <c r="Q133" s="485">
        <v>181775</v>
      </c>
      <c r="R133" s="332">
        <v>17290</v>
      </c>
      <c r="S133" s="482">
        <v>0.1</v>
      </c>
      <c r="T133" s="482">
        <v>0</v>
      </c>
      <c r="U133" s="485">
        <v>42735</v>
      </c>
      <c r="V133" s="332">
        <v>0</v>
      </c>
      <c r="W133" s="482">
        <v>0</v>
      </c>
      <c r="X133" s="325"/>
      <c r="Y133" s="482">
        <v>0</v>
      </c>
      <c r="Z133" s="332">
        <v>2</v>
      </c>
      <c r="AA133" s="326">
        <v>31</v>
      </c>
      <c r="AB133" s="340">
        <v>1258</v>
      </c>
      <c r="AC133" s="485">
        <v>135280</v>
      </c>
      <c r="AD133" s="332">
        <v>3320</v>
      </c>
      <c r="AE133" s="482">
        <v>0.02</v>
      </c>
      <c r="AF133" s="325"/>
      <c r="AG133" s="482">
        <v>0</v>
      </c>
      <c r="AH133" s="332">
        <v>50</v>
      </c>
      <c r="AI133" s="326">
        <v>160</v>
      </c>
      <c r="AJ133" s="340">
        <v>1436</v>
      </c>
      <c r="AK133" s="332">
        <v>229</v>
      </c>
      <c r="AL133" s="326">
        <v>451</v>
      </c>
      <c r="AM133" s="340">
        <v>1316</v>
      </c>
      <c r="AN133" s="332">
        <v>106</v>
      </c>
      <c r="AO133" s="326">
        <v>239</v>
      </c>
      <c r="AP133" s="340">
        <v>1394</v>
      </c>
      <c r="AQ133" s="485">
        <v>181775</v>
      </c>
      <c r="AR133" s="332">
        <v>10</v>
      </c>
      <c r="AS133" s="482">
        <v>0</v>
      </c>
      <c r="AT133" s="325"/>
      <c r="AU133" s="482">
        <v>0</v>
      </c>
      <c r="AV133" s="332">
        <v>142</v>
      </c>
      <c r="AW133" s="326">
        <v>365</v>
      </c>
      <c r="AX133" s="327">
        <v>1439</v>
      </c>
      <c r="AY133" s="97"/>
      <c r="AZ133" s="97"/>
      <c r="BA133" s="97"/>
    </row>
    <row r="134" spans="1:53" ht="22.5" customHeight="1" x14ac:dyDescent="0.4">
      <c r="A134" s="324" t="s">
        <v>332</v>
      </c>
      <c r="B134" s="335" t="s">
        <v>1190</v>
      </c>
      <c r="C134" s="332">
        <v>157560</v>
      </c>
      <c r="D134" s="326">
        <v>156546</v>
      </c>
      <c r="E134" s="479">
        <v>1.01</v>
      </c>
      <c r="F134" s="337" t="s">
        <v>1067</v>
      </c>
      <c r="G134" s="332">
        <v>157560</v>
      </c>
      <c r="H134" s="332">
        <v>0</v>
      </c>
      <c r="I134" s="479">
        <v>0</v>
      </c>
      <c r="J134" s="482">
        <v>0</v>
      </c>
      <c r="K134" s="485">
        <v>157560</v>
      </c>
      <c r="L134" s="332">
        <v>1365</v>
      </c>
      <c r="M134" s="482">
        <v>0.01</v>
      </c>
      <c r="N134" s="485">
        <v>157560</v>
      </c>
      <c r="O134" s="332">
        <v>0</v>
      </c>
      <c r="P134" s="482">
        <v>0</v>
      </c>
      <c r="Q134" s="485">
        <v>157560</v>
      </c>
      <c r="R134" s="332">
        <v>22625</v>
      </c>
      <c r="S134" s="482">
        <v>0.14000000000000001</v>
      </c>
      <c r="T134" s="482">
        <v>0</v>
      </c>
      <c r="U134" s="485">
        <v>31130</v>
      </c>
      <c r="V134" s="332">
        <v>245</v>
      </c>
      <c r="W134" s="482">
        <v>0.01</v>
      </c>
      <c r="X134" s="325"/>
      <c r="Y134" s="482">
        <v>0</v>
      </c>
      <c r="Z134" s="332">
        <v>12</v>
      </c>
      <c r="AA134" s="326">
        <v>43</v>
      </c>
      <c r="AB134" s="340">
        <v>1410</v>
      </c>
      <c r="AC134" s="485">
        <v>155460</v>
      </c>
      <c r="AD134" s="332">
        <v>15300</v>
      </c>
      <c r="AE134" s="482">
        <v>0.1</v>
      </c>
      <c r="AF134" s="325"/>
      <c r="AG134" s="482">
        <v>0</v>
      </c>
      <c r="AH134" s="332">
        <v>54</v>
      </c>
      <c r="AI134" s="326">
        <v>170</v>
      </c>
      <c r="AJ134" s="340">
        <v>1439</v>
      </c>
      <c r="AK134" s="332">
        <v>196</v>
      </c>
      <c r="AL134" s="326">
        <v>346</v>
      </c>
      <c r="AM134" s="340">
        <v>972</v>
      </c>
      <c r="AN134" s="332">
        <v>108</v>
      </c>
      <c r="AO134" s="326">
        <v>298</v>
      </c>
      <c r="AP134" s="340">
        <v>1233</v>
      </c>
      <c r="AQ134" s="485">
        <v>157560</v>
      </c>
      <c r="AR134" s="332">
        <v>35</v>
      </c>
      <c r="AS134" s="482">
        <v>0</v>
      </c>
      <c r="AT134" s="325"/>
      <c r="AU134" s="482">
        <v>0</v>
      </c>
      <c r="AV134" s="332">
        <v>116</v>
      </c>
      <c r="AW134" s="326">
        <v>307</v>
      </c>
      <c r="AX134" s="327">
        <v>1233</v>
      </c>
      <c r="AY134" s="97"/>
      <c r="AZ134" s="97"/>
      <c r="BA134" s="97"/>
    </row>
    <row r="135" spans="1:53" ht="22.5" customHeight="1" x14ac:dyDescent="0.4">
      <c r="A135" s="324" t="s">
        <v>564</v>
      </c>
      <c r="B135" s="335" t="s">
        <v>1191</v>
      </c>
      <c r="C135" s="332">
        <v>59395</v>
      </c>
      <c r="D135" s="326">
        <v>69260</v>
      </c>
      <c r="E135" s="479">
        <v>0.86</v>
      </c>
      <c r="F135" s="337" t="s">
        <v>1077</v>
      </c>
      <c r="G135" s="332">
        <v>59395</v>
      </c>
      <c r="H135" s="332">
        <v>185</v>
      </c>
      <c r="I135" s="479">
        <v>0</v>
      </c>
      <c r="J135" s="482">
        <v>0</v>
      </c>
      <c r="K135" s="485">
        <v>59205</v>
      </c>
      <c r="L135" s="332">
        <v>2890</v>
      </c>
      <c r="M135" s="482">
        <v>0.05</v>
      </c>
      <c r="N135" s="485">
        <v>59395</v>
      </c>
      <c r="O135" s="332">
        <v>0</v>
      </c>
      <c r="P135" s="482">
        <v>0</v>
      </c>
      <c r="Q135" s="485">
        <v>59395</v>
      </c>
      <c r="R135" s="332">
        <v>5170</v>
      </c>
      <c r="S135" s="482">
        <v>0.09</v>
      </c>
      <c r="T135" s="482">
        <v>0</v>
      </c>
      <c r="U135" s="485">
        <v>20040</v>
      </c>
      <c r="V135" s="332">
        <v>820</v>
      </c>
      <c r="W135" s="482">
        <v>0.04</v>
      </c>
      <c r="X135" s="325"/>
      <c r="Y135" s="482">
        <v>0</v>
      </c>
      <c r="Z135" s="332">
        <v>20</v>
      </c>
      <c r="AA135" s="326">
        <v>84</v>
      </c>
      <c r="AB135" s="340">
        <v>453</v>
      </c>
      <c r="AC135" s="485">
        <v>56300</v>
      </c>
      <c r="AD135" s="332">
        <v>135</v>
      </c>
      <c r="AE135" s="482">
        <v>0</v>
      </c>
      <c r="AF135" s="325"/>
      <c r="AG135" s="482">
        <v>0</v>
      </c>
      <c r="AH135" s="332">
        <v>75</v>
      </c>
      <c r="AI135" s="326">
        <v>287</v>
      </c>
      <c r="AJ135" s="340">
        <v>1424</v>
      </c>
      <c r="AK135" s="332">
        <v>270</v>
      </c>
      <c r="AL135" s="326">
        <v>788</v>
      </c>
      <c r="AM135" s="340">
        <v>1439</v>
      </c>
      <c r="AN135" s="332">
        <v>142</v>
      </c>
      <c r="AO135" s="326">
        <v>440</v>
      </c>
      <c r="AP135" s="340">
        <v>1411</v>
      </c>
      <c r="AQ135" s="485">
        <v>59395</v>
      </c>
      <c r="AR135" s="332">
        <v>0</v>
      </c>
      <c r="AS135" s="482">
        <v>0</v>
      </c>
      <c r="AT135" s="325"/>
      <c r="AU135" s="482">
        <v>0</v>
      </c>
      <c r="AV135" s="332">
        <v>180</v>
      </c>
      <c r="AW135" s="326">
        <v>581</v>
      </c>
      <c r="AX135" s="327">
        <v>1439</v>
      </c>
      <c r="AY135" s="97"/>
      <c r="AZ135" s="97"/>
      <c r="BA135" s="97"/>
    </row>
    <row r="136" spans="1:53" ht="22.5" customHeight="1" x14ac:dyDescent="0.4">
      <c r="A136" s="324" t="s">
        <v>369</v>
      </c>
      <c r="B136" s="335" t="s">
        <v>1192</v>
      </c>
      <c r="C136" s="332">
        <v>79215</v>
      </c>
      <c r="D136" s="326">
        <v>80785</v>
      </c>
      <c r="E136" s="479">
        <v>0.98</v>
      </c>
      <c r="F136" s="337" t="s">
        <v>1067</v>
      </c>
      <c r="G136" s="332">
        <v>79215</v>
      </c>
      <c r="H136" s="332">
        <v>35</v>
      </c>
      <c r="I136" s="479">
        <v>0</v>
      </c>
      <c r="J136" s="482">
        <v>0.01</v>
      </c>
      <c r="K136" s="485">
        <v>79180</v>
      </c>
      <c r="L136" s="332">
        <v>1155</v>
      </c>
      <c r="M136" s="482">
        <v>0.01</v>
      </c>
      <c r="N136" s="485">
        <v>80585</v>
      </c>
      <c r="O136" s="332">
        <v>1370</v>
      </c>
      <c r="P136" s="482">
        <v>0.02</v>
      </c>
      <c r="Q136" s="485">
        <v>79215</v>
      </c>
      <c r="R136" s="332">
        <v>4465</v>
      </c>
      <c r="S136" s="482">
        <v>0.06</v>
      </c>
      <c r="T136" s="482">
        <v>0</v>
      </c>
      <c r="U136" s="485">
        <v>16435</v>
      </c>
      <c r="V136" s="332" t="s">
        <v>1274</v>
      </c>
      <c r="W136" s="482" t="s">
        <v>1274</v>
      </c>
      <c r="X136" s="325"/>
      <c r="Y136" s="482">
        <v>0</v>
      </c>
      <c r="Z136" s="332">
        <v>0</v>
      </c>
      <c r="AA136" s="326">
        <v>4</v>
      </c>
      <c r="AB136" s="340">
        <v>726</v>
      </c>
      <c r="AC136" s="485">
        <v>77910</v>
      </c>
      <c r="AD136" s="332" t="s">
        <v>1274</v>
      </c>
      <c r="AE136" s="482" t="s">
        <v>1274</v>
      </c>
      <c r="AF136" s="325"/>
      <c r="AG136" s="482">
        <v>0</v>
      </c>
      <c r="AH136" s="332">
        <v>30</v>
      </c>
      <c r="AI136" s="326">
        <v>107</v>
      </c>
      <c r="AJ136" s="340">
        <v>1435</v>
      </c>
      <c r="AK136" s="332">
        <v>237</v>
      </c>
      <c r="AL136" s="326">
        <v>929</v>
      </c>
      <c r="AM136" s="340">
        <v>1439</v>
      </c>
      <c r="AN136" s="332">
        <v>96</v>
      </c>
      <c r="AO136" s="326">
        <v>283</v>
      </c>
      <c r="AP136" s="340">
        <v>1432</v>
      </c>
      <c r="AQ136" s="485">
        <v>79215</v>
      </c>
      <c r="AR136" s="332" t="s">
        <v>1274</v>
      </c>
      <c r="AS136" s="482" t="s">
        <v>1274</v>
      </c>
      <c r="AT136" s="325"/>
      <c r="AU136" s="482">
        <v>0</v>
      </c>
      <c r="AV136" s="332">
        <v>116</v>
      </c>
      <c r="AW136" s="326">
        <v>465</v>
      </c>
      <c r="AX136" s="327">
        <v>1439</v>
      </c>
      <c r="AY136" s="97"/>
      <c r="AZ136" s="97"/>
      <c r="BA136" s="97"/>
    </row>
    <row r="137" spans="1:53" ht="22.5" customHeight="1" x14ac:dyDescent="0.4">
      <c r="A137" s="324" t="s">
        <v>426</v>
      </c>
      <c r="B137" s="335" t="s">
        <v>1193</v>
      </c>
      <c r="C137" s="332">
        <v>131225</v>
      </c>
      <c r="D137" s="326">
        <v>131243</v>
      </c>
      <c r="E137" s="479">
        <v>1</v>
      </c>
      <c r="F137" s="337" t="s">
        <v>1067</v>
      </c>
      <c r="G137" s="332">
        <v>131225</v>
      </c>
      <c r="H137" s="332">
        <v>60</v>
      </c>
      <c r="I137" s="479">
        <v>0</v>
      </c>
      <c r="J137" s="482">
        <v>0</v>
      </c>
      <c r="K137" s="485">
        <v>131165</v>
      </c>
      <c r="L137" s="332">
        <v>1345</v>
      </c>
      <c r="M137" s="482">
        <v>0.01</v>
      </c>
      <c r="N137" s="485">
        <v>131225</v>
      </c>
      <c r="O137" s="332">
        <v>0</v>
      </c>
      <c r="P137" s="482">
        <v>0</v>
      </c>
      <c r="Q137" s="485">
        <v>131225</v>
      </c>
      <c r="R137" s="332">
        <v>7230</v>
      </c>
      <c r="S137" s="482">
        <v>0.06</v>
      </c>
      <c r="T137" s="482">
        <v>0</v>
      </c>
      <c r="U137" s="485">
        <v>46100</v>
      </c>
      <c r="V137" s="332" t="s">
        <v>1274</v>
      </c>
      <c r="W137" s="482" t="s">
        <v>1274</v>
      </c>
      <c r="X137" s="325"/>
      <c r="Y137" s="482">
        <v>0</v>
      </c>
      <c r="Z137" s="332">
        <v>5</v>
      </c>
      <c r="AA137" s="326">
        <v>30</v>
      </c>
      <c r="AB137" s="340">
        <v>1439</v>
      </c>
      <c r="AC137" s="485">
        <v>129790</v>
      </c>
      <c r="AD137" s="332">
        <v>135</v>
      </c>
      <c r="AE137" s="482">
        <v>0</v>
      </c>
      <c r="AF137" s="325"/>
      <c r="AG137" s="482">
        <v>0</v>
      </c>
      <c r="AH137" s="332">
        <v>95</v>
      </c>
      <c r="AI137" s="326">
        <v>249</v>
      </c>
      <c r="AJ137" s="340">
        <v>1420</v>
      </c>
      <c r="AK137" s="332">
        <v>234</v>
      </c>
      <c r="AL137" s="326">
        <v>661</v>
      </c>
      <c r="AM137" s="340">
        <v>1401</v>
      </c>
      <c r="AN137" s="332">
        <v>157</v>
      </c>
      <c r="AO137" s="326">
        <v>386</v>
      </c>
      <c r="AP137" s="340">
        <v>1385</v>
      </c>
      <c r="AQ137" s="485">
        <v>131225</v>
      </c>
      <c r="AR137" s="332">
        <v>0</v>
      </c>
      <c r="AS137" s="482">
        <v>0</v>
      </c>
      <c r="AT137" s="325"/>
      <c r="AU137" s="482">
        <v>0</v>
      </c>
      <c r="AV137" s="332">
        <v>179</v>
      </c>
      <c r="AW137" s="326">
        <v>502</v>
      </c>
      <c r="AX137" s="327">
        <v>1401</v>
      </c>
      <c r="AY137" s="97"/>
      <c r="AZ137" s="97"/>
      <c r="BA137" s="97"/>
    </row>
    <row r="138" spans="1:53" ht="22.5" customHeight="1" x14ac:dyDescent="0.4">
      <c r="A138" s="324" t="s">
        <v>471</v>
      </c>
      <c r="B138" s="335" t="s">
        <v>1194</v>
      </c>
      <c r="C138" s="332">
        <v>100470</v>
      </c>
      <c r="D138" s="326">
        <v>104212</v>
      </c>
      <c r="E138" s="479">
        <v>0.96</v>
      </c>
      <c r="F138" s="337" t="s">
        <v>1067</v>
      </c>
      <c r="G138" s="332">
        <v>100470</v>
      </c>
      <c r="H138" s="332">
        <v>60</v>
      </c>
      <c r="I138" s="479">
        <v>0</v>
      </c>
      <c r="J138" s="482">
        <v>0</v>
      </c>
      <c r="K138" s="485">
        <v>100410</v>
      </c>
      <c r="L138" s="332">
        <v>3455</v>
      </c>
      <c r="M138" s="482">
        <v>0.03</v>
      </c>
      <c r="N138" s="485">
        <v>100470</v>
      </c>
      <c r="O138" s="332">
        <v>0</v>
      </c>
      <c r="P138" s="482">
        <v>0</v>
      </c>
      <c r="Q138" s="485">
        <v>100470</v>
      </c>
      <c r="R138" s="332">
        <v>7985</v>
      </c>
      <c r="S138" s="482">
        <v>0.08</v>
      </c>
      <c r="T138" s="482">
        <v>0</v>
      </c>
      <c r="U138" s="485">
        <v>31530</v>
      </c>
      <c r="V138" s="332">
        <v>25</v>
      </c>
      <c r="W138" s="482">
        <v>0</v>
      </c>
      <c r="X138" s="325"/>
      <c r="Y138" s="482">
        <v>0</v>
      </c>
      <c r="Z138" s="332">
        <v>9</v>
      </c>
      <c r="AA138" s="326">
        <v>40</v>
      </c>
      <c r="AB138" s="340">
        <v>1439</v>
      </c>
      <c r="AC138" s="485">
        <v>96880</v>
      </c>
      <c r="AD138" s="332">
        <v>455</v>
      </c>
      <c r="AE138" s="482">
        <v>0</v>
      </c>
      <c r="AF138" s="325"/>
      <c r="AG138" s="482">
        <v>0</v>
      </c>
      <c r="AH138" s="332">
        <v>70</v>
      </c>
      <c r="AI138" s="326">
        <v>227</v>
      </c>
      <c r="AJ138" s="340">
        <v>1369</v>
      </c>
      <c r="AK138" s="332">
        <v>230</v>
      </c>
      <c r="AL138" s="326">
        <v>527</v>
      </c>
      <c r="AM138" s="340">
        <v>1236</v>
      </c>
      <c r="AN138" s="332">
        <v>150</v>
      </c>
      <c r="AO138" s="326">
        <v>313</v>
      </c>
      <c r="AP138" s="340">
        <v>1401</v>
      </c>
      <c r="AQ138" s="485">
        <v>100470</v>
      </c>
      <c r="AR138" s="332">
        <v>15</v>
      </c>
      <c r="AS138" s="482">
        <v>0</v>
      </c>
      <c r="AT138" s="325"/>
      <c r="AU138" s="482">
        <v>0</v>
      </c>
      <c r="AV138" s="332">
        <v>186</v>
      </c>
      <c r="AW138" s="326">
        <v>416</v>
      </c>
      <c r="AX138" s="327">
        <v>1401</v>
      </c>
      <c r="AY138" s="97"/>
      <c r="AZ138" s="97"/>
      <c r="BA138" s="97"/>
    </row>
    <row r="139" spans="1:53" ht="22.5" customHeight="1" x14ac:dyDescent="0.4">
      <c r="A139" s="324" t="s">
        <v>308</v>
      </c>
      <c r="B139" s="335" t="s">
        <v>1195</v>
      </c>
      <c r="C139" s="332">
        <v>113160</v>
      </c>
      <c r="D139" s="326">
        <v>116053</v>
      </c>
      <c r="E139" s="479">
        <v>0.98</v>
      </c>
      <c r="F139" s="337" t="s">
        <v>1067</v>
      </c>
      <c r="G139" s="332">
        <v>113160</v>
      </c>
      <c r="H139" s="332">
        <v>25</v>
      </c>
      <c r="I139" s="479">
        <v>0</v>
      </c>
      <c r="J139" s="482">
        <v>0</v>
      </c>
      <c r="K139" s="485">
        <v>113135</v>
      </c>
      <c r="L139" s="332">
        <v>3645</v>
      </c>
      <c r="M139" s="482">
        <v>0.03</v>
      </c>
      <c r="N139" s="485">
        <v>113160</v>
      </c>
      <c r="O139" s="332">
        <v>0</v>
      </c>
      <c r="P139" s="482">
        <v>0</v>
      </c>
      <c r="Q139" s="485">
        <v>113160</v>
      </c>
      <c r="R139" s="332">
        <v>7430</v>
      </c>
      <c r="S139" s="482">
        <v>7.0000000000000007E-2</v>
      </c>
      <c r="T139" s="482">
        <v>0</v>
      </c>
      <c r="U139" s="485">
        <v>31680</v>
      </c>
      <c r="V139" s="332">
        <v>30</v>
      </c>
      <c r="W139" s="482">
        <v>0</v>
      </c>
      <c r="X139" s="325"/>
      <c r="Y139" s="482">
        <v>0</v>
      </c>
      <c r="Z139" s="332">
        <v>9</v>
      </c>
      <c r="AA139" s="326">
        <v>44</v>
      </c>
      <c r="AB139" s="340">
        <v>245</v>
      </c>
      <c r="AC139" s="485">
        <v>109115</v>
      </c>
      <c r="AD139" s="332">
        <v>4170</v>
      </c>
      <c r="AE139" s="482">
        <v>0.04</v>
      </c>
      <c r="AF139" s="325"/>
      <c r="AG139" s="482">
        <v>0</v>
      </c>
      <c r="AH139" s="332">
        <v>67</v>
      </c>
      <c r="AI139" s="326">
        <v>197</v>
      </c>
      <c r="AJ139" s="340">
        <v>583</v>
      </c>
      <c r="AK139" s="332">
        <v>236</v>
      </c>
      <c r="AL139" s="326">
        <v>596</v>
      </c>
      <c r="AM139" s="340">
        <v>1385</v>
      </c>
      <c r="AN139" s="332">
        <v>133</v>
      </c>
      <c r="AO139" s="326">
        <v>319</v>
      </c>
      <c r="AP139" s="340">
        <v>1173</v>
      </c>
      <c r="AQ139" s="485">
        <v>113160</v>
      </c>
      <c r="AR139" s="332" t="s">
        <v>1274</v>
      </c>
      <c r="AS139" s="482" t="s">
        <v>1274</v>
      </c>
      <c r="AT139" s="325"/>
      <c r="AU139" s="482">
        <v>0</v>
      </c>
      <c r="AV139" s="332">
        <v>157</v>
      </c>
      <c r="AW139" s="326">
        <v>429</v>
      </c>
      <c r="AX139" s="327">
        <v>1385</v>
      </c>
      <c r="AY139" s="97"/>
      <c r="AZ139" s="97"/>
      <c r="BA139" s="97"/>
    </row>
    <row r="140" spans="1:53" ht="22.5" customHeight="1" x14ac:dyDescent="0.4">
      <c r="A140" s="324" t="s">
        <v>509</v>
      </c>
      <c r="B140" s="335" t="s">
        <v>1196</v>
      </c>
      <c r="C140" s="332">
        <v>87590</v>
      </c>
      <c r="D140" s="326">
        <v>131025</v>
      </c>
      <c r="E140" s="479">
        <v>0.67</v>
      </c>
      <c r="F140" s="337" t="s">
        <v>1093</v>
      </c>
      <c r="G140" s="332">
        <v>87590</v>
      </c>
      <c r="H140" s="332">
        <v>350</v>
      </c>
      <c r="I140" s="479">
        <v>0</v>
      </c>
      <c r="J140" s="482">
        <v>0</v>
      </c>
      <c r="K140" s="485">
        <v>87240</v>
      </c>
      <c r="L140" s="332">
        <v>3625</v>
      </c>
      <c r="M140" s="482">
        <v>0.04</v>
      </c>
      <c r="N140" s="485">
        <v>87680</v>
      </c>
      <c r="O140" s="332">
        <v>90</v>
      </c>
      <c r="P140" s="482">
        <v>0</v>
      </c>
      <c r="Q140" s="485">
        <v>87590</v>
      </c>
      <c r="R140" s="332">
        <v>6880</v>
      </c>
      <c r="S140" s="482">
        <v>0.08</v>
      </c>
      <c r="T140" s="482">
        <v>0</v>
      </c>
      <c r="U140" s="485">
        <v>27315</v>
      </c>
      <c r="V140" s="332">
        <v>190</v>
      </c>
      <c r="W140" s="482">
        <v>0.01</v>
      </c>
      <c r="X140" s="325"/>
      <c r="Y140" s="482">
        <v>0</v>
      </c>
      <c r="Z140" s="332">
        <v>9</v>
      </c>
      <c r="AA140" s="326">
        <v>46</v>
      </c>
      <c r="AB140" s="340">
        <v>1394</v>
      </c>
      <c r="AC140" s="485">
        <v>83440</v>
      </c>
      <c r="AD140" s="332">
        <v>9235</v>
      </c>
      <c r="AE140" s="482">
        <v>0.11</v>
      </c>
      <c r="AF140" s="325"/>
      <c r="AG140" s="482">
        <v>0</v>
      </c>
      <c r="AH140" s="332">
        <v>97</v>
      </c>
      <c r="AI140" s="326">
        <v>223</v>
      </c>
      <c r="AJ140" s="340">
        <v>1430</v>
      </c>
      <c r="AK140" s="332">
        <v>236</v>
      </c>
      <c r="AL140" s="326">
        <v>521</v>
      </c>
      <c r="AM140" s="340">
        <v>1395</v>
      </c>
      <c r="AN140" s="332">
        <v>192</v>
      </c>
      <c r="AO140" s="326">
        <v>438</v>
      </c>
      <c r="AP140" s="340">
        <v>1343</v>
      </c>
      <c r="AQ140" s="485">
        <v>87590</v>
      </c>
      <c r="AR140" s="332" t="s">
        <v>1274</v>
      </c>
      <c r="AS140" s="482" t="s">
        <v>1274</v>
      </c>
      <c r="AT140" s="325"/>
      <c r="AU140" s="482">
        <v>0</v>
      </c>
      <c r="AV140" s="332">
        <v>202</v>
      </c>
      <c r="AW140" s="326">
        <v>455</v>
      </c>
      <c r="AX140" s="327">
        <v>1395</v>
      </c>
      <c r="AY140" s="97"/>
      <c r="AZ140" s="97"/>
      <c r="BA140" s="97"/>
    </row>
    <row r="141" spans="1:53" ht="22.5" customHeight="1" x14ac:dyDescent="0.4">
      <c r="A141" s="324" t="s">
        <v>375</v>
      </c>
      <c r="B141" s="335" t="s">
        <v>1197</v>
      </c>
      <c r="C141" s="332">
        <v>115665</v>
      </c>
      <c r="D141" s="326">
        <v>160120</v>
      </c>
      <c r="E141" s="479">
        <v>0.72</v>
      </c>
      <c r="F141" s="337" t="s">
        <v>1093</v>
      </c>
      <c r="G141" s="332">
        <v>115665</v>
      </c>
      <c r="H141" s="332">
        <v>0</v>
      </c>
      <c r="I141" s="479">
        <v>0</v>
      </c>
      <c r="J141" s="482" t="s">
        <v>1274</v>
      </c>
      <c r="K141" s="485">
        <v>115665</v>
      </c>
      <c r="L141" s="332">
        <v>2755</v>
      </c>
      <c r="M141" s="482">
        <v>0.02</v>
      </c>
      <c r="N141" s="485">
        <v>115665</v>
      </c>
      <c r="O141" s="332">
        <v>0</v>
      </c>
      <c r="P141" s="482">
        <v>0</v>
      </c>
      <c r="Q141" s="485">
        <v>115665</v>
      </c>
      <c r="R141" s="332">
        <v>7825</v>
      </c>
      <c r="S141" s="482">
        <v>7.0000000000000007E-2</v>
      </c>
      <c r="T141" s="482">
        <v>0</v>
      </c>
      <c r="U141" s="485">
        <v>24460</v>
      </c>
      <c r="V141" s="332">
        <v>2885</v>
      </c>
      <c r="W141" s="482">
        <v>0.12</v>
      </c>
      <c r="X141" s="325"/>
      <c r="Y141" s="482">
        <v>0</v>
      </c>
      <c r="Z141" s="332">
        <v>13</v>
      </c>
      <c r="AA141" s="326">
        <v>84</v>
      </c>
      <c r="AB141" s="340">
        <v>1427</v>
      </c>
      <c r="AC141" s="485">
        <v>112500</v>
      </c>
      <c r="AD141" s="332">
        <v>2945</v>
      </c>
      <c r="AE141" s="482">
        <v>0.03</v>
      </c>
      <c r="AF141" s="325"/>
      <c r="AG141" s="482">
        <v>0</v>
      </c>
      <c r="AH141" s="332">
        <v>65</v>
      </c>
      <c r="AI141" s="326">
        <v>215</v>
      </c>
      <c r="AJ141" s="340">
        <v>1004</v>
      </c>
      <c r="AK141" s="332">
        <v>238</v>
      </c>
      <c r="AL141" s="326">
        <v>888</v>
      </c>
      <c r="AM141" s="340">
        <v>1429</v>
      </c>
      <c r="AN141" s="332">
        <v>117</v>
      </c>
      <c r="AO141" s="326">
        <v>429</v>
      </c>
      <c r="AP141" s="340">
        <v>1438</v>
      </c>
      <c r="AQ141" s="485">
        <v>115665</v>
      </c>
      <c r="AR141" s="332">
        <v>0</v>
      </c>
      <c r="AS141" s="482">
        <v>0</v>
      </c>
      <c r="AT141" s="325"/>
      <c r="AU141" s="482">
        <v>0</v>
      </c>
      <c r="AV141" s="332">
        <v>132</v>
      </c>
      <c r="AW141" s="326">
        <v>548</v>
      </c>
      <c r="AX141" s="327">
        <v>1438</v>
      </c>
      <c r="AY141" s="97"/>
      <c r="AZ141" s="97"/>
      <c r="BA141" s="97"/>
    </row>
    <row r="142" spans="1:53" ht="22.5" customHeight="1" x14ac:dyDescent="0.4">
      <c r="A142" s="324" t="s">
        <v>587</v>
      </c>
      <c r="B142" s="335" t="s">
        <v>1198</v>
      </c>
      <c r="C142" s="332">
        <v>123815</v>
      </c>
      <c r="D142" s="326">
        <v>123813</v>
      </c>
      <c r="E142" s="479">
        <v>1</v>
      </c>
      <c r="F142" s="337" t="s">
        <v>1067</v>
      </c>
      <c r="G142" s="332">
        <v>123815</v>
      </c>
      <c r="H142" s="332">
        <v>57315</v>
      </c>
      <c r="I142" s="479">
        <v>0.46</v>
      </c>
      <c r="J142" s="482">
        <v>0.01</v>
      </c>
      <c r="K142" s="485">
        <v>66500</v>
      </c>
      <c r="L142" s="332">
        <v>1475</v>
      </c>
      <c r="M142" s="482">
        <v>0.02</v>
      </c>
      <c r="N142" s="485">
        <v>123820</v>
      </c>
      <c r="O142" s="332" t="s">
        <v>1274</v>
      </c>
      <c r="P142" s="482" t="s">
        <v>1274</v>
      </c>
      <c r="Q142" s="485">
        <v>123815</v>
      </c>
      <c r="R142" s="332">
        <v>8675</v>
      </c>
      <c r="S142" s="482">
        <v>7.0000000000000007E-2</v>
      </c>
      <c r="T142" s="482">
        <v>0</v>
      </c>
      <c r="U142" s="485">
        <v>31070</v>
      </c>
      <c r="V142" s="332">
        <v>0</v>
      </c>
      <c r="W142" s="482">
        <v>0</v>
      </c>
      <c r="X142" s="325"/>
      <c r="Y142" s="482">
        <v>0</v>
      </c>
      <c r="Z142" s="332">
        <v>1</v>
      </c>
      <c r="AA142" s="326">
        <v>33</v>
      </c>
      <c r="AB142" s="340">
        <v>1439</v>
      </c>
      <c r="AC142" s="485">
        <v>65025</v>
      </c>
      <c r="AD142" s="332" t="s">
        <v>1274</v>
      </c>
      <c r="AE142" s="482" t="s">
        <v>1274</v>
      </c>
      <c r="AF142" s="325"/>
      <c r="AG142" s="482">
        <v>0</v>
      </c>
      <c r="AH142" s="332">
        <v>63</v>
      </c>
      <c r="AI142" s="326">
        <v>186</v>
      </c>
      <c r="AJ142" s="340">
        <v>1438</v>
      </c>
      <c r="AK142" s="332">
        <v>224</v>
      </c>
      <c r="AL142" s="326">
        <v>460</v>
      </c>
      <c r="AM142" s="340">
        <v>1173</v>
      </c>
      <c r="AN142" s="332">
        <v>131</v>
      </c>
      <c r="AO142" s="326">
        <v>240</v>
      </c>
      <c r="AP142" s="340">
        <v>1418</v>
      </c>
      <c r="AQ142" s="485">
        <v>123815</v>
      </c>
      <c r="AR142" s="332">
        <v>0</v>
      </c>
      <c r="AS142" s="482">
        <v>0</v>
      </c>
      <c r="AT142" s="325"/>
      <c r="AU142" s="482">
        <v>0</v>
      </c>
      <c r="AV142" s="332">
        <v>156</v>
      </c>
      <c r="AW142" s="326">
        <v>404</v>
      </c>
      <c r="AX142" s="327">
        <v>1439</v>
      </c>
      <c r="AY142" s="97"/>
      <c r="AZ142" s="97"/>
      <c r="BA142" s="97"/>
    </row>
    <row r="143" spans="1:53" ht="22.5" customHeight="1" x14ac:dyDescent="0.4">
      <c r="A143" s="324" t="s">
        <v>582</v>
      </c>
      <c r="B143" s="335" t="s">
        <v>1199</v>
      </c>
      <c r="C143" s="332">
        <v>125700</v>
      </c>
      <c r="D143" s="326">
        <v>125944</v>
      </c>
      <c r="E143" s="479">
        <v>1</v>
      </c>
      <c r="F143" s="337" t="s">
        <v>1067</v>
      </c>
      <c r="G143" s="332">
        <v>125700</v>
      </c>
      <c r="H143" s="332">
        <v>2780</v>
      </c>
      <c r="I143" s="479">
        <v>0.02</v>
      </c>
      <c r="J143" s="482">
        <v>0.02</v>
      </c>
      <c r="K143" s="485">
        <v>122920</v>
      </c>
      <c r="L143" s="332">
        <v>4480</v>
      </c>
      <c r="M143" s="482">
        <v>0.04</v>
      </c>
      <c r="N143" s="485">
        <v>125700</v>
      </c>
      <c r="O143" s="332">
        <v>0</v>
      </c>
      <c r="P143" s="482">
        <v>0</v>
      </c>
      <c r="Q143" s="485">
        <v>125700</v>
      </c>
      <c r="R143" s="332">
        <v>13910</v>
      </c>
      <c r="S143" s="482">
        <v>0.11</v>
      </c>
      <c r="T143" s="482">
        <v>0</v>
      </c>
      <c r="U143" s="485">
        <v>27050</v>
      </c>
      <c r="V143" s="332">
        <v>110</v>
      </c>
      <c r="W143" s="482">
        <v>0</v>
      </c>
      <c r="X143" s="325"/>
      <c r="Y143" s="482">
        <v>0</v>
      </c>
      <c r="Z143" s="332">
        <v>6</v>
      </c>
      <c r="AA143" s="326">
        <v>30</v>
      </c>
      <c r="AB143" s="340">
        <v>1439</v>
      </c>
      <c r="AC143" s="485">
        <v>117985</v>
      </c>
      <c r="AD143" s="332">
        <v>11000</v>
      </c>
      <c r="AE143" s="482">
        <v>0.09</v>
      </c>
      <c r="AF143" s="325"/>
      <c r="AG143" s="482">
        <v>0</v>
      </c>
      <c r="AH143" s="332">
        <v>70</v>
      </c>
      <c r="AI143" s="326">
        <v>207</v>
      </c>
      <c r="AJ143" s="340">
        <v>1427</v>
      </c>
      <c r="AK143" s="332">
        <v>235</v>
      </c>
      <c r="AL143" s="326">
        <v>845</v>
      </c>
      <c r="AM143" s="340">
        <v>1439</v>
      </c>
      <c r="AN143" s="332">
        <v>141</v>
      </c>
      <c r="AO143" s="326">
        <v>308</v>
      </c>
      <c r="AP143" s="340">
        <v>1435</v>
      </c>
      <c r="AQ143" s="485">
        <v>125700</v>
      </c>
      <c r="AR143" s="332">
        <v>0</v>
      </c>
      <c r="AS143" s="482">
        <v>0</v>
      </c>
      <c r="AT143" s="325"/>
      <c r="AU143" s="482">
        <v>0</v>
      </c>
      <c r="AV143" s="332">
        <v>160</v>
      </c>
      <c r="AW143" s="326">
        <v>485</v>
      </c>
      <c r="AX143" s="327">
        <v>1439</v>
      </c>
      <c r="AY143" s="97"/>
      <c r="AZ143" s="97"/>
      <c r="BA143" s="97"/>
    </row>
    <row r="144" spans="1:53" ht="22.5" customHeight="1" x14ac:dyDescent="0.4">
      <c r="A144" s="324" t="s">
        <v>514</v>
      </c>
      <c r="B144" s="335" t="s">
        <v>1200</v>
      </c>
      <c r="C144" s="332">
        <v>103455</v>
      </c>
      <c r="D144" s="326">
        <v>169423</v>
      </c>
      <c r="E144" s="479">
        <v>0.61</v>
      </c>
      <c r="F144" s="337" t="s">
        <v>1093</v>
      </c>
      <c r="G144" s="332">
        <v>103455</v>
      </c>
      <c r="H144" s="332">
        <v>0</v>
      </c>
      <c r="I144" s="479">
        <v>0</v>
      </c>
      <c r="J144" s="482">
        <v>0</v>
      </c>
      <c r="K144" s="485">
        <v>103455</v>
      </c>
      <c r="L144" s="332">
        <v>2765</v>
      </c>
      <c r="M144" s="482">
        <v>0.03</v>
      </c>
      <c r="N144" s="485">
        <v>103455</v>
      </c>
      <c r="O144" s="332">
        <v>0</v>
      </c>
      <c r="P144" s="482">
        <v>0</v>
      </c>
      <c r="Q144" s="485">
        <v>103455</v>
      </c>
      <c r="R144" s="332">
        <v>6530</v>
      </c>
      <c r="S144" s="482">
        <v>0.06</v>
      </c>
      <c r="T144" s="482">
        <v>0</v>
      </c>
      <c r="U144" s="485">
        <v>38945</v>
      </c>
      <c r="V144" s="332">
        <v>8215</v>
      </c>
      <c r="W144" s="482">
        <v>0.21</v>
      </c>
      <c r="X144" s="325"/>
      <c r="Y144" s="482">
        <v>0</v>
      </c>
      <c r="Z144" s="332">
        <v>6</v>
      </c>
      <c r="AA144" s="326">
        <v>40</v>
      </c>
      <c r="AB144" s="340">
        <v>578</v>
      </c>
      <c r="AC144" s="485">
        <v>99300</v>
      </c>
      <c r="AD144" s="332">
        <v>2560</v>
      </c>
      <c r="AE144" s="482">
        <v>0.03</v>
      </c>
      <c r="AF144" s="325"/>
      <c r="AG144" s="482">
        <v>0</v>
      </c>
      <c r="AH144" s="332">
        <v>74</v>
      </c>
      <c r="AI144" s="326">
        <v>219</v>
      </c>
      <c r="AJ144" s="340">
        <v>1019</v>
      </c>
      <c r="AK144" s="332">
        <v>235</v>
      </c>
      <c r="AL144" s="326">
        <v>771</v>
      </c>
      <c r="AM144" s="340">
        <v>1394</v>
      </c>
      <c r="AN144" s="332">
        <v>139</v>
      </c>
      <c r="AO144" s="326">
        <v>364</v>
      </c>
      <c r="AP144" s="340">
        <v>1415</v>
      </c>
      <c r="AQ144" s="485">
        <v>103455</v>
      </c>
      <c r="AR144" s="332">
        <v>0</v>
      </c>
      <c r="AS144" s="482">
        <v>0</v>
      </c>
      <c r="AT144" s="325"/>
      <c r="AU144" s="482">
        <v>0</v>
      </c>
      <c r="AV144" s="332">
        <v>170</v>
      </c>
      <c r="AW144" s="326">
        <v>560</v>
      </c>
      <c r="AX144" s="327">
        <v>1415</v>
      </c>
      <c r="AY144" s="97"/>
      <c r="AZ144" s="97"/>
      <c r="BA144" s="97"/>
    </row>
    <row r="145" spans="1:53" ht="22.5" customHeight="1" x14ac:dyDescent="0.4">
      <c r="A145" s="324" t="s">
        <v>429</v>
      </c>
      <c r="B145" s="335" t="s">
        <v>1201</v>
      </c>
      <c r="C145" s="332">
        <v>92500</v>
      </c>
      <c r="D145" s="326">
        <v>102774</v>
      </c>
      <c r="E145" s="479">
        <v>0.9</v>
      </c>
      <c r="F145" s="337" t="s">
        <v>1067</v>
      </c>
      <c r="G145" s="332">
        <v>92500</v>
      </c>
      <c r="H145" s="332">
        <v>0</v>
      </c>
      <c r="I145" s="479">
        <v>0</v>
      </c>
      <c r="J145" s="482">
        <v>0</v>
      </c>
      <c r="K145" s="485">
        <v>92500</v>
      </c>
      <c r="L145" s="332">
        <v>2385</v>
      </c>
      <c r="M145" s="482">
        <v>0.03</v>
      </c>
      <c r="N145" s="485">
        <v>92500</v>
      </c>
      <c r="O145" s="332">
        <v>0</v>
      </c>
      <c r="P145" s="482">
        <v>0</v>
      </c>
      <c r="Q145" s="485">
        <v>92500</v>
      </c>
      <c r="R145" s="332">
        <v>7225</v>
      </c>
      <c r="S145" s="482">
        <v>0.08</v>
      </c>
      <c r="T145" s="482">
        <v>0</v>
      </c>
      <c r="U145" s="485">
        <v>33720</v>
      </c>
      <c r="V145" s="332">
        <v>1100</v>
      </c>
      <c r="W145" s="482">
        <v>0.03</v>
      </c>
      <c r="X145" s="325"/>
      <c r="Y145" s="482">
        <v>0</v>
      </c>
      <c r="Z145" s="332">
        <v>11</v>
      </c>
      <c r="AA145" s="326">
        <v>53</v>
      </c>
      <c r="AB145" s="340">
        <v>1420</v>
      </c>
      <c r="AC145" s="485">
        <v>90010</v>
      </c>
      <c r="AD145" s="332">
        <v>35</v>
      </c>
      <c r="AE145" s="482">
        <v>0</v>
      </c>
      <c r="AF145" s="325"/>
      <c r="AG145" s="482">
        <v>0</v>
      </c>
      <c r="AH145" s="332">
        <v>12</v>
      </c>
      <c r="AI145" s="326">
        <v>548</v>
      </c>
      <c r="AJ145" s="340">
        <v>1439</v>
      </c>
      <c r="AK145" s="332">
        <v>221</v>
      </c>
      <c r="AL145" s="326">
        <v>604</v>
      </c>
      <c r="AM145" s="340">
        <v>1388</v>
      </c>
      <c r="AN145" s="332">
        <v>112</v>
      </c>
      <c r="AO145" s="326">
        <v>262</v>
      </c>
      <c r="AP145" s="340">
        <v>1422</v>
      </c>
      <c r="AQ145" s="485">
        <v>92500</v>
      </c>
      <c r="AR145" s="332">
        <v>0</v>
      </c>
      <c r="AS145" s="482">
        <v>0</v>
      </c>
      <c r="AT145" s="325"/>
      <c r="AU145" s="482">
        <v>0</v>
      </c>
      <c r="AV145" s="332">
        <v>136</v>
      </c>
      <c r="AW145" s="326">
        <v>393</v>
      </c>
      <c r="AX145" s="327">
        <v>1422</v>
      </c>
      <c r="AY145" s="97"/>
      <c r="AZ145" s="97"/>
      <c r="BA145" s="97"/>
    </row>
    <row r="146" spans="1:53" ht="22.5" customHeight="1" x14ac:dyDescent="0.4">
      <c r="A146" s="324" t="s">
        <v>345</v>
      </c>
      <c r="B146" s="335" t="s">
        <v>1202</v>
      </c>
      <c r="C146" s="332">
        <v>45005</v>
      </c>
      <c r="D146" s="326">
        <v>11304</v>
      </c>
      <c r="E146" s="479">
        <v>3.98</v>
      </c>
      <c r="F146" s="337" t="s">
        <v>1093</v>
      </c>
      <c r="G146" s="332">
        <v>45005</v>
      </c>
      <c r="H146" s="332">
        <v>0</v>
      </c>
      <c r="I146" s="479">
        <v>0</v>
      </c>
      <c r="J146" s="482">
        <v>0.14000000000000001</v>
      </c>
      <c r="K146" s="485">
        <v>45005</v>
      </c>
      <c r="L146" s="332">
        <v>450</v>
      </c>
      <c r="M146" s="482">
        <v>0.01</v>
      </c>
      <c r="N146" s="485">
        <v>45005</v>
      </c>
      <c r="O146" s="332">
        <v>0</v>
      </c>
      <c r="P146" s="482">
        <v>0</v>
      </c>
      <c r="Q146" s="485">
        <v>45005</v>
      </c>
      <c r="R146" s="332">
        <v>7705</v>
      </c>
      <c r="S146" s="482">
        <v>0.17</v>
      </c>
      <c r="T146" s="482">
        <v>0</v>
      </c>
      <c r="U146" s="485">
        <v>1160</v>
      </c>
      <c r="V146" s="332">
        <v>0</v>
      </c>
      <c r="W146" s="482">
        <v>0</v>
      </c>
      <c r="X146" s="325"/>
      <c r="Y146" s="482">
        <v>0</v>
      </c>
      <c r="Z146" s="332">
        <v>9</v>
      </c>
      <c r="AA146" s="326">
        <v>59</v>
      </c>
      <c r="AB146" s="340">
        <v>1407</v>
      </c>
      <c r="AC146" s="485">
        <v>44535</v>
      </c>
      <c r="AD146" s="332">
        <v>0</v>
      </c>
      <c r="AE146" s="482">
        <v>0</v>
      </c>
      <c r="AF146" s="325"/>
      <c r="AG146" s="482">
        <v>0</v>
      </c>
      <c r="AH146" s="332">
        <v>65</v>
      </c>
      <c r="AI146" s="326">
        <v>234</v>
      </c>
      <c r="AJ146" s="340">
        <v>1439</v>
      </c>
      <c r="AK146" s="332">
        <v>265</v>
      </c>
      <c r="AL146" s="326">
        <v>647</v>
      </c>
      <c r="AM146" s="340">
        <v>1428</v>
      </c>
      <c r="AN146" s="332">
        <v>76</v>
      </c>
      <c r="AO146" s="326">
        <v>263</v>
      </c>
      <c r="AP146" s="340">
        <v>1439</v>
      </c>
      <c r="AQ146" s="485">
        <v>45005</v>
      </c>
      <c r="AR146" s="332">
        <v>0</v>
      </c>
      <c r="AS146" s="482">
        <v>0</v>
      </c>
      <c r="AT146" s="325"/>
      <c r="AU146" s="482">
        <v>0</v>
      </c>
      <c r="AV146" s="332">
        <v>77</v>
      </c>
      <c r="AW146" s="326">
        <v>272</v>
      </c>
      <c r="AX146" s="327">
        <v>1439</v>
      </c>
      <c r="AY146" s="97"/>
      <c r="AZ146" s="97"/>
      <c r="BA146" s="97"/>
    </row>
    <row r="147" spans="1:53" ht="22.5" customHeight="1" x14ac:dyDescent="0.4">
      <c r="A147" s="324" t="s">
        <v>397</v>
      </c>
      <c r="B147" s="335" t="s">
        <v>1203</v>
      </c>
      <c r="C147" s="332">
        <v>86890</v>
      </c>
      <c r="D147" s="326">
        <v>87497</v>
      </c>
      <c r="E147" s="479">
        <v>0.99</v>
      </c>
      <c r="F147" s="337" t="s">
        <v>1067</v>
      </c>
      <c r="G147" s="332">
        <v>86890</v>
      </c>
      <c r="H147" s="332">
        <v>10</v>
      </c>
      <c r="I147" s="479">
        <v>0</v>
      </c>
      <c r="J147" s="482">
        <v>0</v>
      </c>
      <c r="K147" s="485">
        <v>86875</v>
      </c>
      <c r="L147" s="332">
        <v>1065</v>
      </c>
      <c r="M147" s="482">
        <v>0.01</v>
      </c>
      <c r="N147" s="485">
        <v>86890</v>
      </c>
      <c r="O147" s="332">
        <v>0</v>
      </c>
      <c r="P147" s="482">
        <v>0</v>
      </c>
      <c r="Q147" s="485">
        <v>86890</v>
      </c>
      <c r="R147" s="332">
        <v>6530</v>
      </c>
      <c r="S147" s="482">
        <v>0.08</v>
      </c>
      <c r="T147" s="482">
        <v>0</v>
      </c>
      <c r="U147" s="485">
        <v>29250</v>
      </c>
      <c r="V147" s="332">
        <v>20810</v>
      </c>
      <c r="W147" s="482">
        <v>0.71</v>
      </c>
      <c r="X147" s="325"/>
      <c r="Y147" s="482">
        <v>0</v>
      </c>
      <c r="Z147" s="332">
        <v>10</v>
      </c>
      <c r="AA147" s="326">
        <v>51</v>
      </c>
      <c r="AB147" s="340">
        <v>568</v>
      </c>
      <c r="AC147" s="485">
        <v>85600</v>
      </c>
      <c r="AD147" s="332">
        <v>35</v>
      </c>
      <c r="AE147" s="482">
        <v>0</v>
      </c>
      <c r="AF147" s="325"/>
      <c r="AG147" s="482">
        <v>0</v>
      </c>
      <c r="AH147" s="332">
        <v>65</v>
      </c>
      <c r="AI147" s="326">
        <v>187</v>
      </c>
      <c r="AJ147" s="340">
        <v>1439</v>
      </c>
      <c r="AK147" s="332">
        <v>239</v>
      </c>
      <c r="AL147" s="326">
        <v>820</v>
      </c>
      <c r="AM147" s="340">
        <v>1404</v>
      </c>
      <c r="AN147" s="332">
        <v>129</v>
      </c>
      <c r="AO147" s="326">
        <v>330</v>
      </c>
      <c r="AP147" s="340">
        <v>1344</v>
      </c>
      <c r="AQ147" s="485">
        <v>86890</v>
      </c>
      <c r="AR147" s="332">
        <v>0</v>
      </c>
      <c r="AS147" s="482">
        <v>0</v>
      </c>
      <c r="AT147" s="325"/>
      <c r="AU147" s="482">
        <v>0</v>
      </c>
      <c r="AV147" s="332">
        <v>173</v>
      </c>
      <c r="AW147" s="326">
        <v>625</v>
      </c>
      <c r="AX147" s="327">
        <v>1404</v>
      </c>
      <c r="AY147" s="97"/>
      <c r="AZ147" s="97"/>
      <c r="BA147" s="97"/>
    </row>
    <row r="148" spans="1:53" ht="22.5" customHeight="1" x14ac:dyDescent="0.4">
      <c r="A148" s="324" t="s">
        <v>437</v>
      </c>
      <c r="B148" s="335" t="s">
        <v>1204</v>
      </c>
      <c r="C148" s="332">
        <v>122570</v>
      </c>
      <c r="D148" s="326">
        <v>122390</v>
      </c>
      <c r="E148" s="479">
        <v>1</v>
      </c>
      <c r="F148" s="337" t="s">
        <v>1067</v>
      </c>
      <c r="G148" s="332">
        <v>122570</v>
      </c>
      <c r="H148" s="332">
        <v>40</v>
      </c>
      <c r="I148" s="479">
        <v>0</v>
      </c>
      <c r="J148" s="482">
        <v>0.03</v>
      </c>
      <c r="K148" s="485">
        <v>122530</v>
      </c>
      <c r="L148" s="332">
        <v>3125</v>
      </c>
      <c r="M148" s="482">
        <v>0.03</v>
      </c>
      <c r="N148" s="485">
        <v>122575</v>
      </c>
      <c r="O148" s="332" t="s">
        <v>1274</v>
      </c>
      <c r="P148" s="482" t="s">
        <v>1274</v>
      </c>
      <c r="Q148" s="485">
        <v>122570</v>
      </c>
      <c r="R148" s="332">
        <v>12025</v>
      </c>
      <c r="S148" s="482">
        <v>0.1</v>
      </c>
      <c r="T148" s="482">
        <v>0</v>
      </c>
      <c r="U148" s="485">
        <v>31445</v>
      </c>
      <c r="V148" s="332">
        <v>545</v>
      </c>
      <c r="W148" s="482">
        <v>0.02</v>
      </c>
      <c r="X148" s="325"/>
      <c r="Y148" s="482">
        <v>0</v>
      </c>
      <c r="Z148" s="332">
        <v>10</v>
      </c>
      <c r="AA148" s="326">
        <v>60</v>
      </c>
      <c r="AB148" s="340">
        <v>1415</v>
      </c>
      <c r="AC148" s="485">
        <v>118855</v>
      </c>
      <c r="AD148" s="332">
        <v>7565</v>
      </c>
      <c r="AE148" s="482">
        <v>0.06</v>
      </c>
      <c r="AF148" s="325"/>
      <c r="AG148" s="482">
        <v>0</v>
      </c>
      <c r="AH148" s="332">
        <v>87</v>
      </c>
      <c r="AI148" s="326">
        <v>802</v>
      </c>
      <c r="AJ148" s="340">
        <v>1439</v>
      </c>
      <c r="AK148" s="332">
        <v>239</v>
      </c>
      <c r="AL148" s="326">
        <v>968</v>
      </c>
      <c r="AM148" s="340">
        <v>1438</v>
      </c>
      <c r="AN148" s="332">
        <v>116</v>
      </c>
      <c r="AO148" s="326">
        <v>283</v>
      </c>
      <c r="AP148" s="340">
        <v>1418</v>
      </c>
      <c r="AQ148" s="485">
        <v>122570</v>
      </c>
      <c r="AR148" s="332">
        <v>0</v>
      </c>
      <c r="AS148" s="482">
        <v>0</v>
      </c>
      <c r="AT148" s="325"/>
      <c r="AU148" s="482">
        <v>0</v>
      </c>
      <c r="AV148" s="332">
        <v>146</v>
      </c>
      <c r="AW148" s="326">
        <v>592</v>
      </c>
      <c r="AX148" s="327">
        <v>1438</v>
      </c>
      <c r="AY148" s="97"/>
      <c r="AZ148" s="97"/>
      <c r="BA148" s="97"/>
    </row>
    <row r="149" spans="1:53" ht="22.5" customHeight="1" x14ac:dyDescent="0.4">
      <c r="A149" s="324" t="s">
        <v>445</v>
      </c>
      <c r="B149" s="335" t="s">
        <v>1205</v>
      </c>
      <c r="C149" s="332">
        <v>36290</v>
      </c>
      <c r="D149" s="326">
        <v>32783</v>
      </c>
      <c r="E149" s="479">
        <v>1.1100000000000001</v>
      </c>
      <c r="F149" s="337" t="s">
        <v>1077</v>
      </c>
      <c r="G149" s="332">
        <v>36290</v>
      </c>
      <c r="H149" s="332">
        <v>0</v>
      </c>
      <c r="I149" s="479">
        <v>0</v>
      </c>
      <c r="J149" s="482">
        <v>0.15</v>
      </c>
      <c r="K149" s="485">
        <v>36290</v>
      </c>
      <c r="L149" s="332">
        <v>0</v>
      </c>
      <c r="M149" s="482">
        <v>0</v>
      </c>
      <c r="N149" s="485">
        <v>36340</v>
      </c>
      <c r="O149" s="332">
        <v>50</v>
      </c>
      <c r="P149" s="482">
        <v>0</v>
      </c>
      <c r="Q149" s="485">
        <v>36290</v>
      </c>
      <c r="R149" s="332">
        <v>1790</v>
      </c>
      <c r="S149" s="482">
        <v>0.05</v>
      </c>
      <c r="T149" s="482">
        <v>0</v>
      </c>
      <c r="U149" s="485" t="s">
        <v>1060</v>
      </c>
      <c r="V149" s="332" t="s">
        <v>1060</v>
      </c>
      <c r="W149" s="482" t="s">
        <v>1060</v>
      </c>
      <c r="X149" s="325"/>
      <c r="Y149" s="482" t="s">
        <v>1060</v>
      </c>
      <c r="Z149" s="332" t="s">
        <v>1060</v>
      </c>
      <c r="AA149" s="326" t="s">
        <v>1060</v>
      </c>
      <c r="AB149" s="340" t="s">
        <v>1060</v>
      </c>
      <c r="AC149" s="485">
        <v>35740</v>
      </c>
      <c r="AD149" s="332" t="s">
        <v>1274</v>
      </c>
      <c r="AE149" s="482" t="s">
        <v>1274</v>
      </c>
      <c r="AF149" s="325"/>
      <c r="AG149" s="482">
        <v>0</v>
      </c>
      <c r="AH149" s="332">
        <v>56</v>
      </c>
      <c r="AI149" s="326">
        <v>184</v>
      </c>
      <c r="AJ149" s="340">
        <v>1439</v>
      </c>
      <c r="AK149" s="332">
        <v>72</v>
      </c>
      <c r="AL149" s="326">
        <v>202</v>
      </c>
      <c r="AM149" s="340">
        <v>261</v>
      </c>
      <c r="AN149" s="332">
        <v>86</v>
      </c>
      <c r="AO149" s="326">
        <v>216</v>
      </c>
      <c r="AP149" s="340">
        <v>1437</v>
      </c>
      <c r="AQ149" s="485">
        <v>36290</v>
      </c>
      <c r="AR149" s="332">
        <v>0</v>
      </c>
      <c r="AS149" s="482">
        <v>0</v>
      </c>
      <c r="AT149" s="325"/>
      <c r="AU149" s="482">
        <v>0</v>
      </c>
      <c r="AV149" s="332">
        <v>86</v>
      </c>
      <c r="AW149" s="326">
        <v>216</v>
      </c>
      <c r="AX149" s="327">
        <v>1437</v>
      </c>
      <c r="AY149" s="97"/>
      <c r="AZ149" s="97"/>
      <c r="BA149" s="97"/>
    </row>
    <row r="150" spans="1:53" ht="22.5" customHeight="1" x14ac:dyDescent="0.4">
      <c r="A150" s="324" t="s">
        <v>473</v>
      </c>
      <c r="B150" s="335" t="s">
        <v>1206</v>
      </c>
      <c r="C150" s="332">
        <v>46235</v>
      </c>
      <c r="D150" s="326">
        <v>49873</v>
      </c>
      <c r="E150" s="479">
        <v>0.93</v>
      </c>
      <c r="F150" s="337" t="s">
        <v>1067</v>
      </c>
      <c r="G150" s="332">
        <v>46235</v>
      </c>
      <c r="H150" s="332">
        <v>895</v>
      </c>
      <c r="I150" s="479">
        <v>0.02</v>
      </c>
      <c r="J150" s="482">
        <v>0.02</v>
      </c>
      <c r="K150" s="485">
        <v>45335</v>
      </c>
      <c r="L150" s="332">
        <v>640</v>
      </c>
      <c r="M150" s="482">
        <v>0.01</v>
      </c>
      <c r="N150" s="485">
        <v>46235</v>
      </c>
      <c r="O150" s="332">
        <v>0</v>
      </c>
      <c r="P150" s="482">
        <v>0</v>
      </c>
      <c r="Q150" s="485">
        <v>46235</v>
      </c>
      <c r="R150" s="332">
        <v>2260</v>
      </c>
      <c r="S150" s="482">
        <v>0.05</v>
      </c>
      <c r="T150" s="482">
        <v>0</v>
      </c>
      <c r="U150" s="485">
        <v>13595</v>
      </c>
      <c r="V150" s="332">
        <v>20</v>
      </c>
      <c r="W150" s="482">
        <v>0</v>
      </c>
      <c r="X150" s="325"/>
      <c r="Y150" s="482">
        <v>0</v>
      </c>
      <c r="Z150" s="332">
        <v>8</v>
      </c>
      <c r="AA150" s="326">
        <v>30</v>
      </c>
      <c r="AB150" s="340">
        <v>1439</v>
      </c>
      <c r="AC150" s="485">
        <v>44610</v>
      </c>
      <c r="AD150" s="332">
        <v>4365</v>
      </c>
      <c r="AE150" s="482">
        <v>0.1</v>
      </c>
      <c r="AF150" s="325"/>
      <c r="AG150" s="482">
        <v>0</v>
      </c>
      <c r="AH150" s="332">
        <v>59</v>
      </c>
      <c r="AI150" s="326">
        <v>168</v>
      </c>
      <c r="AJ150" s="340">
        <v>1439</v>
      </c>
      <c r="AK150" s="332">
        <v>229</v>
      </c>
      <c r="AL150" s="326">
        <v>460</v>
      </c>
      <c r="AM150" s="340">
        <v>1046</v>
      </c>
      <c r="AN150" s="332">
        <v>123</v>
      </c>
      <c r="AO150" s="326">
        <v>237</v>
      </c>
      <c r="AP150" s="340">
        <v>993</v>
      </c>
      <c r="AQ150" s="485">
        <v>46235</v>
      </c>
      <c r="AR150" s="332">
        <v>0</v>
      </c>
      <c r="AS150" s="482">
        <v>0</v>
      </c>
      <c r="AT150" s="325"/>
      <c r="AU150" s="482">
        <v>0</v>
      </c>
      <c r="AV150" s="332">
        <v>152</v>
      </c>
      <c r="AW150" s="326">
        <v>327</v>
      </c>
      <c r="AX150" s="327">
        <v>1046</v>
      </c>
      <c r="AY150" s="97"/>
      <c r="AZ150" s="97"/>
      <c r="BA150" s="97"/>
    </row>
    <row r="151" spans="1:53" ht="22.5" customHeight="1" x14ac:dyDescent="0.4">
      <c r="A151" s="324" t="s">
        <v>349</v>
      </c>
      <c r="B151" s="335" t="s">
        <v>1207</v>
      </c>
      <c r="C151" s="332">
        <v>159630</v>
      </c>
      <c r="D151" s="326">
        <v>165380</v>
      </c>
      <c r="E151" s="479">
        <v>0.97</v>
      </c>
      <c r="F151" s="337" t="s">
        <v>1067</v>
      </c>
      <c r="G151" s="332">
        <v>159630</v>
      </c>
      <c r="H151" s="332">
        <v>25</v>
      </c>
      <c r="I151" s="479">
        <v>0</v>
      </c>
      <c r="J151" s="482">
        <v>0.02</v>
      </c>
      <c r="K151" s="485">
        <v>159610</v>
      </c>
      <c r="L151" s="332">
        <v>3135</v>
      </c>
      <c r="M151" s="482">
        <v>0.02</v>
      </c>
      <c r="N151" s="485">
        <v>159635</v>
      </c>
      <c r="O151" s="332" t="s">
        <v>1274</v>
      </c>
      <c r="P151" s="482" t="s">
        <v>1274</v>
      </c>
      <c r="Q151" s="485">
        <v>159630</v>
      </c>
      <c r="R151" s="332">
        <v>12595</v>
      </c>
      <c r="S151" s="482">
        <v>0.08</v>
      </c>
      <c r="T151" s="482">
        <v>0</v>
      </c>
      <c r="U151" s="485">
        <v>43725</v>
      </c>
      <c r="V151" s="332">
        <v>3315</v>
      </c>
      <c r="W151" s="482">
        <v>0.08</v>
      </c>
      <c r="X151" s="325"/>
      <c r="Y151" s="482">
        <v>0</v>
      </c>
      <c r="Z151" s="332">
        <v>5</v>
      </c>
      <c r="AA151" s="326">
        <v>28</v>
      </c>
      <c r="AB151" s="340">
        <v>1382</v>
      </c>
      <c r="AC151" s="485">
        <v>156180</v>
      </c>
      <c r="AD151" s="332">
        <v>12290</v>
      </c>
      <c r="AE151" s="482">
        <v>0.08</v>
      </c>
      <c r="AF151" s="325"/>
      <c r="AG151" s="482">
        <v>0</v>
      </c>
      <c r="AH151" s="332">
        <v>57</v>
      </c>
      <c r="AI151" s="326">
        <v>172</v>
      </c>
      <c r="AJ151" s="340">
        <v>1432</v>
      </c>
      <c r="AK151" s="332">
        <v>225</v>
      </c>
      <c r="AL151" s="326">
        <v>474</v>
      </c>
      <c r="AM151" s="340">
        <v>1291</v>
      </c>
      <c r="AN151" s="332">
        <v>137</v>
      </c>
      <c r="AO151" s="326">
        <v>240</v>
      </c>
      <c r="AP151" s="340">
        <v>1238</v>
      </c>
      <c r="AQ151" s="485">
        <v>159630</v>
      </c>
      <c r="AR151" s="332" t="s">
        <v>1274</v>
      </c>
      <c r="AS151" s="482" t="s">
        <v>1274</v>
      </c>
      <c r="AT151" s="325"/>
      <c r="AU151" s="482">
        <v>0</v>
      </c>
      <c r="AV151" s="332">
        <v>154</v>
      </c>
      <c r="AW151" s="326">
        <v>329</v>
      </c>
      <c r="AX151" s="327">
        <v>1291</v>
      </c>
      <c r="AY151" s="97"/>
      <c r="AZ151" s="97"/>
      <c r="BA151" s="97"/>
    </row>
    <row r="152" spans="1:53" ht="22.5" customHeight="1" x14ac:dyDescent="0.4">
      <c r="A152" s="324" t="s">
        <v>425</v>
      </c>
      <c r="B152" s="335" t="s">
        <v>1208</v>
      </c>
      <c r="C152" s="332">
        <v>95015</v>
      </c>
      <c r="D152" s="326">
        <v>95029</v>
      </c>
      <c r="E152" s="479">
        <v>1</v>
      </c>
      <c r="F152" s="337" t="s">
        <v>1067</v>
      </c>
      <c r="G152" s="332">
        <v>95015</v>
      </c>
      <c r="H152" s="332">
        <v>0</v>
      </c>
      <c r="I152" s="479">
        <v>0</v>
      </c>
      <c r="J152" s="482">
        <v>0</v>
      </c>
      <c r="K152" s="485">
        <v>95015</v>
      </c>
      <c r="L152" s="332">
        <v>1760</v>
      </c>
      <c r="M152" s="482">
        <v>0.02</v>
      </c>
      <c r="N152" s="485">
        <v>95015</v>
      </c>
      <c r="O152" s="332">
        <v>0</v>
      </c>
      <c r="P152" s="482">
        <v>0</v>
      </c>
      <c r="Q152" s="485">
        <v>95015</v>
      </c>
      <c r="R152" s="332">
        <v>5085</v>
      </c>
      <c r="S152" s="482">
        <v>0.05</v>
      </c>
      <c r="T152" s="482">
        <v>0</v>
      </c>
      <c r="U152" s="485">
        <v>90</v>
      </c>
      <c r="V152" s="332">
        <v>80</v>
      </c>
      <c r="W152" s="482" t="s">
        <v>1316</v>
      </c>
      <c r="X152" s="325"/>
      <c r="Y152" s="482" t="s">
        <v>1316</v>
      </c>
      <c r="Z152" s="332">
        <v>9</v>
      </c>
      <c r="AA152" s="326">
        <v>34</v>
      </c>
      <c r="AB152" s="340">
        <v>34</v>
      </c>
      <c r="AC152" s="485">
        <v>93245</v>
      </c>
      <c r="AD152" s="332">
        <v>5460</v>
      </c>
      <c r="AE152" s="482">
        <v>0.06</v>
      </c>
      <c r="AF152" s="325"/>
      <c r="AG152" s="482">
        <v>0</v>
      </c>
      <c r="AH152" s="332">
        <v>108</v>
      </c>
      <c r="AI152" s="326">
        <v>213</v>
      </c>
      <c r="AJ152" s="340">
        <v>1435</v>
      </c>
      <c r="AK152" s="332">
        <v>120</v>
      </c>
      <c r="AL152" s="326">
        <v>228</v>
      </c>
      <c r="AM152" s="340">
        <v>238</v>
      </c>
      <c r="AN152" s="332">
        <v>122</v>
      </c>
      <c r="AO152" s="326">
        <v>227</v>
      </c>
      <c r="AP152" s="340">
        <v>1170</v>
      </c>
      <c r="AQ152" s="485">
        <v>95015</v>
      </c>
      <c r="AR152" s="332">
        <v>0</v>
      </c>
      <c r="AS152" s="482">
        <v>0</v>
      </c>
      <c r="AT152" s="325"/>
      <c r="AU152" s="482">
        <v>0</v>
      </c>
      <c r="AV152" s="332">
        <v>122</v>
      </c>
      <c r="AW152" s="326">
        <v>227</v>
      </c>
      <c r="AX152" s="327">
        <v>1170</v>
      </c>
      <c r="AY152" s="97"/>
      <c r="AZ152" s="97"/>
      <c r="BA152" s="97"/>
    </row>
    <row r="153" spans="1:53" ht="22.5" customHeight="1" x14ac:dyDescent="0.4">
      <c r="A153" s="324" t="s">
        <v>417</v>
      </c>
      <c r="B153" s="335" t="s">
        <v>1209</v>
      </c>
      <c r="C153" s="332">
        <v>121535</v>
      </c>
      <c r="D153" s="326">
        <v>130680</v>
      </c>
      <c r="E153" s="479">
        <v>0.93</v>
      </c>
      <c r="F153" s="337" t="s">
        <v>1067</v>
      </c>
      <c r="G153" s="332">
        <v>121535</v>
      </c>
      <c r="H153" s="332">
        <v>3685</v>
      </c>
      <c r="I153" s="479">
        <v>0.03</v>
      </c>
      <c r="J153" s="482">
        <v>0</v>
      </c>
      <c r="K153" s="485">
        <v>117845</v>
      </c>
      <c r="L153" s="332">
        <v>3180</v>
      </c>
      <c r="M153" s="482">
        <v>0.03</v>
      </c>
      <c r="N153" s="485">
        <v>121535</v>
      </c>
      <c r="O153" s="332">
        <v>0</v>
      </c>
      <c r="P153" s="482">
        <v>0</v>
      </c>
      <c r="Q153" s="485">
        <v>121535</v>
      </c>
      <c r="R153" s="332">
        <v>11715</v>
      </c>
      <c r="S153" s="482">
        <v>0.1</v>
      </c>
      <c r="T153" s="482">
        <v>0</v>
      </c>
      <c r="U153" s="485">
        <v>18040</v>
      </c>
      <c r="V153" s="332">
        <v>2805</v>
      </c>
      <c r="W153" s="482">
        <v>0.16</v>
      </c>
      <c r="X153" s="325"/>
      <c r="Y153" s="482">
        <v>0</v>
      </c>
      <c r="Z153" s="332">
        <v>7</v>
      </c>
      <c r="AA153" s="326">
        <v>27</v>
      </c>
      <c r="AB153" s="340">
        <v>1433</v>
      </c>
      <c r="AC153" s="485">
        <v>114645</v>
      </c>
      <c r="AD153" s="332">
        <v>25515</v>
      </c>
      <c r="AE153" s="482">
        <v>0.22</v>
      </c>
      <c r="AF153" s="325"/>
      <c r="AG153" s="482">
        <v>0</v>
      </c>
      <c r="AH153" s="332">
        <v>55</v>
      </c>
      <c r="AI153" s="326">
        <v>206</v>
      </c>
      <c r="AJ153" s="340">
        <v>1435</v>
      </c>
      <c r="AK153" s="332">
        <v>239</v>
      </c>
      <c r="AL153" s="326">
        <v>979</v>
      </c>
      <c r="AM153" s="340">
        <v>1437</v>
      </c>
      <c r="AN153" s="332">
        <v>104</v>
      </c>
      <c r="AO153" s="326">
        <v>387</v>
      </c>
      <c r="AP153" s="340">
        <v>1439</v>
      </c>
      <c r="AQ153" s="485">
        <v>121535</v>
      </c>
      <c r="AR153" s="332">
        <v>0</v>
      </c>
      <c r="AS153" s="482">
        <v>0</v>
      </c>
      <c r="AT153" s="325"/>
      <c r="AU153" s="482">
        <v>0</v>
      </c>
      <c r="AV153" s="332">
        <v>128</v>
      </c>
      <c r="AW153" s="326">
        <v>643</v>
      </c>
      <c r="AX153" s="327">
        <v>1439</v>
      </c>
      <c r="AY153" s="97"/>
      <c r="AZ153" s="97"/>
      <c r="BA153" s="97"/>
    </row>
    <row r="154" spans="1:53" ht="22.5" customHeight="1" x14ac:dyDescent="0.4">
      <c r="A154" s="324" t="s">
        <v>458</v>
      </c>
      <c r="B154" s="335" t="s">
        <v>1210</v>
      </c>
      <c r="C154" s="332">
        <v>10950</v>
      </c>
      <c r="D154" s="326">
        <v>10956</v>
      </c>
      <c r="E154" s="479">
        <v>1</v>
      </c>
      <c r="F154" s="337" t="s">
        <v>1067</v>
      </c>
      <c r="G154" s="332">
        <v>10950</v>
      </c>
      <c r="H154" s="332">
        <v>0</v>
      </c>
      <c r="I154" s="479">
        <v>0</v>
      </c>
      <c r="J154" s="482">
        <v>0.14000000000000001</v>
      </c>
      <c r="K154" s="485">
        <v>10950</v>
      </c>
      <c r="L154" s="332">
        <v>140</v>
      </c>
      <c r="M154" s="482">
        <v>0.01</v>
      </c>
      <c r="N154" s="485">
        <v>10950</v>
      </c>
      <c r="O154" s="332">
        <v>0</v>
      </c>
      <c r="P154" s="482">
        <v>0</v>
      </c>
      <c r="Q154" s="485">
        <v>10950</v>
      </c>
      <c r="R154" s="332">
        <v>120</v>
      </c>
      <c r="S154" s="482">
        <v>0.01</v>
      </c>
      <c r="T154" s="482">
        <v>0</v>
      </c>
      <c r="U154" s="485">
        <v>25</v>
      </c>
      <c r="V154" s="332" t="s">
        <v>1274</v>
      </c>
      <c r="W154" s="482" t="s">
        <v>1316</v>
      </c>
      <c r="X154" s="325"/>
      <c r="Y154" s="482" t="s">
        <v>1316</v>
      </c>
      <c r="Z154" s="332">
        <v>0</v>
      </c>
      <c r="AA154" s="326">
        <v>266</v>
      </c>
      <c r="AB154" s="340">
        <v>266</v>
      </c>
      <c r="AC154" s="485">
        <v>10805</v>
      </c>
      <c r="AD154" s="332">
        <v>310</v>
      </c>
      <c r="AE154" s="482">
        <v>0.03</v>
      </c>
      <c r="AF154" s="325"/>
      <c r="AG154" s="482">
        <v>0</v>
      </c>
      <c r="AH154" s="332">
        <v>26</v>
      </c>
      <c r="AI154" s="326">
        <v>102</v>
      </c>
      <c r="AJ154" s="340">
        <v>1439</v>
      </c>
      <c r="AK154" s="332">
        <v>102</v>
      </c>
      <c r="AL154" s="326">
        <v>213</v>
      </c>
      <c r="AM154" s="340">
        <v>279</v>
      </c>
      <c r="AN154" s="332">
        <v>63</v>
      </c>
      <c r="AO154" s="326">
        <v>160</v>
      </c>
      <c r="AP154" s="340">
        <v>537</v>
      </c>
      <c r="AQ154" s="485">
        <v>10950</v>
      </c>
      <c r="AR154" s="332">
        <v>0</v>
      </c>
      <c r="AS154" s="482">
        <v>0</v>
      </c>
      <c r="AT154" s="325"/>
      <c r="AU154" s="482">
        <v>0</v>
      </c>
      <c r="AV154" s="332">
        <v>63</v>
      </c>
      <c r="AW154" s="326">
        <v>161</v>
      </c>
      <c r="AX154" s="327">
        <v>537</v>
      </c>
      <c r="AY154" s="97"/>
      <c r="AZ154" s="97"/>
      <c r="BA154" s="97"/>
    </row>
    <row r="155" spans="1:53" ht="22.5" customHeight="1" x14ac:dyDescent="0.4">
      <c r="A155" s="324" t="s">
        <v>304</v>
      </c>
      <c r="B155" s="335" t="s">
        <v>1211</v>
      </c>
      <c r="C155" s="332">
        <v>54480</v>
      </c>
      <c r="D155" s="326">
        <v>59575</v>
      </c>
      <c r="E155" s="479">
        <v>0.91</v>
      </c>
      <c r="F155" s="337" t="s">
        <v>1067</v>
      </c>
      <c r="G155" s="332">
        <v>54480</v>
      </c>
      <c r="H155" s="332">
        <v>20</v>
      </c>
      <c r="I155" s="479">
        <v>0</v>
      </c>
      <c r="J155" s="482">
        <v>0.01</v>
      </c>
      <c r="K155" s="485">
        <v>54460</v>
      </c>
      <c r="L155" s="332">
        <v>1985</v>
      </c>
      <c r="M155" s="482">
        <v>0.04</v>
      </c>
      <c r="N155" s="485">
        <v>59560</v>
      </c>
      <c r="O155" s="332">
        <v>5080</v>
      </c>
      <c r="P155" s="482">
        <v>0.09</v>
      </c>
      <c r="Q155" s="485">
        <v>54480</v>
      </c>
      <c r="R155" s="332">
        <v>4210</v>
      </c>
      <c r="S155" s="482">
        <v>0.08</v>
      </c>
      <c r="T155" s="482">
        <v>0</v>
      </c>
      <c r="U155" s="485">
        <v>2025</v>
      </c>
      <c r="V155" s="332">
        <v>0</v>
      </c>
      <c r="W155" s="482">
        <v>0</v>
      </c>
      <c r="X155" s="325"/>
      <c r="Y155" s="482">
        <v>0</v>
      </c>
      <c r="Z155" s="332">
        <v>3</v>
      </c>
      <c r="AA155" s="326">
        <v>16</v>
      </c>
      <c r="AB155" s="340">
        <v>122</v>
      </c>
      <c r="AC155" s="485">
        <v>52475</v>
      </c>
      <c r="AD155" s="332">
        <v>0</v>
      </c>
      <c r="AE155" s="482">
        <v>0</v>
      </c>
      <c r="AF155" s="325"/>
      <c r="AG155" s="482">
        <v>0</v>
      </c>
      <c r="AH155" s="332">
        <v>71</v>
      </c>
      <c r="AI155" s="326">
        <v>217</v>
      </c>
      <c r="AJ155" s="340">
        <v>1437</v>
      </c>
      <c r="AK155" s="332">
        <v>222</v>
      </c>
      <c r="AL155" s="326">
        <v>411</v>
      </c>
      <c r="AM155" s="340">
        <v>1130</v>
      </c>
      <c r="AN155" s="332">
        <v>140</v>
      </c>
      <c r="AO155" s="326">
        <v>268</v>
      </c>
      <c r="AP155" s="340">
        <v>1426</v>
      </c>
      <c r="AQ155" s="485">
        <v>54480</v>
      </c>
      <c r="AR155" s="332">
        <v>0</v>
      </c>
      <c r="AS155" s="482">
        <v>0</v>
      </c>
      <c r="AT155" s="325"/>
      <c r="AU155" s="482">
        <v>0</v>
      </c>
      <c r="AV155" s="332">
        <v>148</v>
      </c>
      <c r="AW155" s="326">
        <v>291</v>
      </c>
      <c r="AX155" s="327">
        <v>1426</v>
      </c>
      <c r="AY155" s="97"/>
      <c r="AZ155" s="97"/>
      <c r="BA155" s="97"/>
    </row>
    <row r="156" spans="1:53" ht="22.5" customHeight="1" x14ac:dyDescent="0.4">
      <c r="A156" s="324" t="s">
        <v>465</v>
      </c>
      <c r="B156" s="335" t="s">
        <v>1212</v>
      </c>
      <c r="C156" s="332">
        <v>109180</v>
      </c>
      <c r="D156" s="326">
        <v>236675</v>
      </c>
      <c r="E156" s="479">
        <v>0.46</v>
      </c>
      <c r="F156" s="337" t="s">
        <v>1093</v>
      </c>
      <c r="G156" s="332">
        <v>109180</v>
      </c>
      <c r="H156" s="332">
        <v>60</v>
      </c>
      <c r="I156" s="479">
        <v>0</v>
      </c>
      <c r="J156" s="482">
        <v>0.03</v>
      </c>
      <c r="K156" s="485">
        <v>109115</v>
      </c>
      <c r="L156" s="332">
        <v>7955</v>
      </c>
      <c r="M156" s="482">
        <v>7.0000000000000007E-2</v>
      </c>
      <c r="N156" s="485">
        <v>109180</v>
      </c>
      <c r="O156" s="332">
        <v>0</v>
      </c>
      <c r="P156" s="482">
        <v>0</v>
      </c>
      <c r="Q156" s="485">
        <v>109180</v>
      </c>
      <c r="R156" s="332">
        <v>10420</v>
      </c>
      <c r="S156" s="482">
        <v>0.1</v>
      </c>
      <c r="T156" s="482">
        <v>0</v>
      </c>
      <c r="U156" s="485">
        <v>35455</v>
      </c>
      <c r="V156" s="332" t="s">
        <v>1274</v>
      </c>
      <c r="W156" s="482" t="s">
        <v>1274</v>
      </c>
      <c r="X156" s="325"/>
      <c r="Y156" s="482">
        <v>0</v>
      </c>
      <c r="Z156" s="332">
        <v>2</v>
      </c>
      <c r="AA156" s="326">
        <v>24</v>
      </c>
      <c r="AB156" s="340">
        <v>1034</v>
      </c>
      <c r="AC156" s="485">
        <v>99865</v>
      </c>
      <c r="AD156" s="332">
        <v>545</v>
      </c>
      <c r="AE156" s="482">
        <v>0.01</v>
      </c>
      <c r="AF156" s="325"/>
      <c r="AG156" s="482">
        <v>0</v>
      </c>
      <c r="AH156" s="332">
        <v>79</v>
      </c>
      <c r="AI156" s="326">
        <v>254</v>
      </c>
      <c r="AJ156" s="340">
        <v>1434</v>
      </c>
      <c r="AK156" s="332">
        <v>335</v>
      </c>
      <c r="AL156" s="326">
        <v>1120</v>
      </c>
      <c r="AM156" s="340">
        <v>1439</v>
      </c>
      <c r="AN156" s="332">
        <v>128</v>
      </c>
      <c r="AO156" s="326">
        <v>414</v>
      </c>
      <c r="AP156" s="340">
        <v>1434</v>
      </c>
      <c r="AQ156" s="485">
        <v>109180</v>
      </c>
      <c r="AR156" s="332">
        <v>0</v>
      </c>
      <c r="AS156" s="482">
        <v>0</v>
      </c>
      <c r="AT156" s="325"/>
      <c r="AU156" s="482">
        <v>0</v>
      </c>
      <c r="AV156" s="332">
        <v>170</v>
      </c>
      <c r="AW156" s="326">
        <v>858</v>
      </c>
      <c r="AX156" s="327">
        <v>1439</v>
      </c>
      <c r="AY156" s="97"/>
      <c r="AZ156" s="97"/>
      <c r="BA156" s="97"/>
    </row>
    <row r="157" spans="1:53" ht="22.5" customHeight="1" x14ac:dyDescent="0.4">
      <c r="A157" s="324" t="s">
        <v>421</v>
      </c>
      <c r="B157" s="335" t="s">
        <v>1213</v>
      </c>
      <c r="C157" s="332">
        <v>100030</v>
      </c>
      <c r="D157" s="326">
        <v>100342</v>
      </c>
      <c r="E157" s="479">
        <v>1</v>
      </c>
      <c r="F157" s="337" t="s">
        <v>1067</v>
      </c>
      <c r="G157" s="332">
        <v>100030</v>
      </c>
      <c r="H157" s="332">
        <v>39335</v>
      </c>
      <c r="I157" s="479">
        <v>0.39</v>
      </c>
      <c r="J157" s="482">
        <v>0.01</v>
      </c>
      <c r="K157" s="485">
        <v>60695</v>
      </c>
      <c r="L157" s="332">
        <v>1745</v>
      </c>
      <c r="M157" s="482">
        <v>0.03</v>
      </c>
      <c r="N157" s="485">
        <v>100750</v>
      </c>
      <c r="O157" s="332">
        <v>720</v>
      </c>
      <c r="P157" s="482">
        <v>0.01</v>
      </c>
      <c r="Q157" s="485">
        <v>100030</v>
      </c>
      <c r="R157" s="332">
        <v>5635</v>
      </c>
      <c r="S157" s="482">
        <v>0.06</v>
      </c>
      <c r="T157" s="482">
        <v>0</v>
      </c>
      <c r="U157" s="485">
        <v>29635</v>
      </c>
      <c r="V157" s="332">
        <v>910</v>
      </c>
      <c r="W157" s="482">
        <v>0.03</v>
      </c>
      <c r="X157" s="325"/>
      <c r="Y157" s="482">
        <v>0</v>
      </c>
      <c r="Z157" s="332">
        <v>7</v>
      </c>
      <c r="AA157" s="326">
        <v>42</v>
      </c>
      <c r="AB157" s="340">
        <v>595</v>
      </c>
      <c r="AC157" s="485">
        <v>58775</v>
      </c>
      <c r="AD157" s="332">
        <v>8060</v>
      </c>
      <c r="AE157" s="482">
        <v>0.14000000000000001</v>
      </c>
      <c r="AF157" s="325"/>
      <c r="AG157" s="482">
        <v>0</v>
      </c>
      <c r="AH157" s="332">
        <v>80</v>
      </c>
      <c r="AI157" s="326">
        <v>190</v>
      </c>
      <c r="AJ157" s="340">
        <v>1263</v>
      </c>
      <c r="AK157" s="332">
        <v>227</v>
      </c>
      <c r="AL157" s="326">
        <v>582</v>
      </c>
      <c r="AM157" s="340">
        <v>1425</v>
      </c>
      <c r="AN157" s="332">
        <v>162</v>
      </c>
      <c r="AO157" s="326">
        <v>319</v>
      </c>
      <c r="AP157" s="340">
        <v>1432</v>
      </c>
      <c r="AQ157" s="485">
        <v>100030</v>
      </c>
      <c r="AR157" s="332" t="s">
        <v>1274</v>
      </c>
      <c r="AS157" s="482" t="s">
        <v>1274</v>
      </c>
      <c r="AT157" s="325"/>
      <c r="AU157" s="482">
        <v>0</v>
      </c>
      <c r="AV157" s="332">
        <v>182</v>
      </c>
      <c r="AW157" s="326">
        <v>493</v>
      </c>
      <c r="AX157" s="327">
        <v>1438</v>
      </c>
      <c r="AY157" s="97"/>
      <c r="AZ157" s="97"/>
      <c r="BA157" s="97"/>
    </row>
    <row r="158" spans="1:53" ht="22.5" customHeight="1" x14ac:dyDescent="0.4">
      <c r="A158" s="324" t="s">
        <v>328</v>
      </c>
      <c r="B158" s="335" t="s">
        <v>1214</v>
      </c>
      <c r="C158" s="332">
        <v>206310</v>
      </c>
      <c r="D158" s="326">
        <v>305184</v>
      </c>
      <c r="E158" s="479">
        <v>0.68</v>
      </c>
      <c r="F158" s="337" t="s">
        <v>1093</v>
      </c>
      <c r="G158" s="332">
        <v>206310</v>
      </c>
      <c r="H158" s="332" t="s">
        <v>1274</v>
      </c>
      <c r="I158" s="479" t="s">
        <v>1274</v>
      </c>
      <c r="J158" s="482">
        <v>0</v>
      </c>
      <c r="K158" s="485">
        <v>206310</v>
      </c>
      <c r="L158" s="332">
        <v>6670</v>
      </c>
      <c r="M158" s="482">
        <v>0.03</v>
      </c>
      <c r="N158" s="485">
        <v>206310</v>
      </c>
      <c r="O158" s="332">
        <v>0</v>
      </c>
      <c r="P158" s="482">
        <v>0</v>
      </c>
      <c r="Q158" s="485">
        <v>206310</v>
      </c>
      <c r="R158" s="332">
        <v>15235</v>
      </c>
      <c r="S158" s="482">
        <v>7.0000000000000007E-2</v>
      </c>
      <c r="T158" s="482">
        <v>0</v>
      </c>
      <c r="U158" s="485">
        <v>80170</v>
      </c>
      <c r="V158" s="332">
        <v>6905</v>
      </c>
      <c r="W158" s="482">
        <v>0.09</v>
      </c>
      <c r="X158" s="325"/>
      <c r="Y158" s="482">
        <v>0</v>
      </c>
      <c r="Z158" s="332">
        <v>13</v>
      </c>
      <c r="AA158" s="326">
        <v>99</v>
      </c>
      <c r="AB158" s="340">
        <v>1439</v>
      </c>
      <c r="AC158" s="485">
        <v>198875</v>
      </c>
      <c r="AD158" s="332">
        <v>5290</v>
      </c>
      <c r="AE158" s="482">
        <v>0.03</v>
      </c>
      <c r="AF158" s="325"/>
      <c r="AG158" s="482">
        <v>0</v>
      </c>
      <c r="AH158" s="332">
        <v>60</v>
      </c>
      <c r="AI158" s="326">
        <v>180</v>
      </c>
      <c r="AJ158" s="340">
        <v>1439</v>
      </c>
      <c r="AK158" s="332">
        <v>234</v>
      </c>
      <c r="AL158" s="326">
        <v>509</v>
      </c>
      <c r="AM158" s="340">
        <v>1385</v>
      </c>
      <c r="AN158" s="332">
        <v>174</v>
      </c>
      <c r="AO158" s="326">
        <v>290</v>
      </c>
      <c r="AP158" s="340">
        <v>1439</v>
      </c>
      <c r="AQ158" s="485">
        <v>206310</v>
      </c>
      <c r="AR158" s="332" t="s">
        <v>1274</v>
      </c>
      <c r="AS158" s="482" t="s">
        <v>1274</v>
      </c>
      <c r="AT158" s="325"/>
      <c r="AU158" s="482">
        <v>0</v>
      </c>
      <c r="AV158" s="332">
        <v>195</v>
      </c>
      <c r="AW158" s="326">
        <v>361</v>
      </c>
      <c r="AX158" s="327">
        <v>1439</v>
      </c>
      <c r="AY158" s="97"/>
      <c r="AZ158" s="97"/>
      <c r="BA158" s="97"/>
    </row>
    <row r="159" spans="1:53" ht="22.5" customHeight="1" x14ac:dyDescent="0.4">
      <c r="A159" s="324" t="s">
        <v>520</v>
      </c>
      <c r="B159" s="335" t="s">
        <v>1215</v>
      </c>
      <c r="C159" s="332">
        <v>68410</v>
      </c>
      <c r="D159" s="326">
        <v>101288</v>
      </c>
      <c r="E159" s="479">
        <v>0.68</v>
      </c>
      <c r="F159" s="337" t="s">
        <v>1093</v>
      </c>
      <c r="G159" s="332">
        <v>68410</v>
      </c>
      <c r="H159" s="332">
        <v>15</v>
      </c>
      <c r="I159" s="479">
        <v>0</v>
      </c>
      <c r="J159" s="482" t="s">
        <v>1274</v>
      </c>
      <c r="K159" s="485">
        <v>68390</v>
      </c>
      <c r="L159" s="332">
        <v>840</v>
      </c>
      <c r="M159" s="482">
        <v>0.01</v>
      </c>
      <c r="N159" s="485">
        <v>100990</v>
      </c>
      <c r="O159" s="332">
        <v>32585</v>
      </c>
      <c r="P159" s="482">
        <v>0.32</v>
      </c>
      <c r="Q159" s="485">
        <v>68410</v>
      </c>
      <c r="R159" s="332">
        <v>4980</v>
      </c>
      <c r="S159" s="482">
        <v>7.0000000000000007E-2</v>
      </c>
      <c r="T159" s="482">
        <v>0</v>
      </c>
      <c r="U159" s="485">
        <v>14190</v>
      </c>
      <c r="V159" s="332">
        <v>105</v>
      </c>
      <c r="W159" s="482">
        <v>0.01</v>
      </c>
      <c r="X159" s="325"/>
      <c r="Y159" s="482">
        <v>0</v>
      </c>
      <c r="Z159" s="332">
        <v>14</v>
      </c>
      <c r="AA159" s="326">
        <v>88</v>
      </c>
      <c r="AB159" s="340">
        <v>1439</v>
      </c>
      <c r="AC159" s="485">
        <v>65680</v>
      </c>
      <c r="AD159" s="332">
        <v>7375</v>
      </c>
      <c r="AE159" s="482">
        <v>0.11</v>
      </c>
      <c r="AF159" s="325"/>
      <c r="AG159" s="482">
        <v>0</v>
      </c>
      <c r="AH159" s="332">
        <v>73</v>
      </c>
      <c r="AI159" s="326">
        <v>217</v>
      </c>
      <c r="AJ159" s="340">
        <v>1439</v>
      </c>
      <c r="AK159" s="332">
        <v>429</v>
      </c>
      <c r="AL159" s="326">
        <v>1079</v>
      </c>
      <c r="AM159" s="340">
        <v>1438</v>
      </c>
      <c r="AN159" s="332">
        <v>137</v>
      </c>
      <c r="AO159" s="326">
        <v>427</v>
      </c>
      <c r="AP159" s="340">
        <v>1438</v>
      </c>
      <c r="AQ159" s="485">
        <v>68410</v>
      </c>
      <c r="AR159" s="332">
        <v>0</v>
      </c>
      <c r="AS159" s="482">
        <v>0</v>
      </c>
      <c r="AT159" s="325"/>
      <c r="AU159" s="482">
        <v>0</v>
      </c>
      <c r="AV159" s="332">
        <v>171</v>
      </c>
      <c r="AW159" s="326">
        <v>740</v>
      </c>
      <c r="AX159" s="327">
        <v>1438</v>
      </c>
      <c r="AY159" s="97"/>
      <c r="AZ159" s="97"/>
      <c r="BA159" s="97"/>
    </row>
    <row r="160" spans="1:53" ht="22.5" customHeight="1" x14ac:dyDescent="0.4">
      <c r="A160" s="324" t="s">
        <v>384</v>
      </c>
      <c r="B160" s="335" t="s">
        <v>1216</v>
      </c>
      <c r="C160" s="332">
        <v>121915</v>
      </c>
      <c r="D160" s="326">
        <v>123611</v>
      </c>
      <c r="E160" s="479">
        <v>0.99</v>
      </c>
      <c r="F160" s="337" t="s">
        <v>1067</v>
      </c>
      <c r="G160" s="332">
        <v>121915</v>
      </c>
      <c r="H160" s="332">
        <v>20</v>
      </c>
      <c r="I160" s="479">
        <v>0</v>
      </c>
      <c r="J160" s="482">
        <v>0.15</v>
      </c>
      <c r="K160" s="485">
        <v>121900</v>
      </c>
      <c r="L160" s="332">
        <v>3760</v>
      </c>
      <c r="M160" s="482">
        <v>0.03</v>
      </c>
      <c r="N160" s="485">
        <v>121950</v>
      </c>
      <c r="O160" s="332">
        <v>35</v>
      </c>
      <c r="P160" s="482">
        <v>0</v>
      </c>
      <c r="Q160" s="485">
        <v>121915</v>
      </c>
      <c r="R160" s="332">
        <v>12135</v>
      </c>
      <c r="S160" s="482">
        <v>0.1</v>
      </c>
      <c r="T160" s="482">
        <v>0</v>
      </c>
      <c r="U160" s="485">
        <v>18440</v>
      </c>
      <c r="V160" s="332">
        <v>0</v>
      </c>
      <c r="W160" s="482">
        <v>0</v>
      </c>
      <c r="X160" s="325"/>
      <c r="Y160" s="482">
        <v>0</v>
      </c>
      <c r="Z160" s="332">
        <v>5</v>
      </c>
      <c r="AA160" s="326">
        <v>22</v>
      </c>
      <c r="AB160" s="340">
        <v>1438</v>
      </c>
      <c r="AC160" s="485">
        <v>118055</v>
      </c>
      <c r="AD160" s="332">
        <v>0</v>
      </c>
      <c r="AE160" s="482">
        <v>0</v>
      </c>
      <c r="AF160" s="325"/>
      <c r="AG160" s="482">
        <v>0</v>
      </c>
      <c r="AH160" s="332">
        <v>83</v>
      </c>
      <c r="AI160" s="326">
        <v>198</v>
      </c>
      <c r="AJ160" s="340">
        <v>1439</v>
      </c>
      <c r="AK160" s="332">
        <v>237</v>
      </c>
      <c r="AL160" s="326">
        <v>1112</v>
      </c>
      <c r="AM160" s="340">
        <v>1439</v>
      </c>
      <c r="AN160" s="332">
        <v>172</v>
      </c>
      <c r="AO160" s="326">
        <v>507</v>
      </c>
      <c r="AP160" s="340">
        <v>1439</v>
      </c>
      <c r="AQ160" s="485">
        <v>121915</v>
      </c>
      <c r="AR160" s="332">
        <v>0</v>
      </c>
      <c r="AS160" s="482">
        <v>0</v>
      </c>
      <c r="AT160" s="325"/>
      <c r="AU160" s="482">
        <v>0</v>
      </c>
      <c r="AV160" s="332">
        <v>184</v>
      </c>
      <c r="AW160" s="326">
        <v>582</v>
      </c>
      <c r="AX160" s="327">
        <v>1439</v>
      </c>
      <c r="AY160" s="97"/>
      <c r="AZ160" s="97"/>
      <c r="BA160" s="97"/>
    </row>
    <row r="161" spans="1:53" ht="22.5" customHeight="1" x14ac:dyDescent="0.4">
      <c r="A161" s="324" t="s">
        <v>590</v>
      </c>
      <c r="B161" s="335"/>
      <c r="C161" s="332">
        <v>272360</v>
      </c>
      <c r="D161" s="326">
        <v>272213</v>
      </c>
      <c r="E161" s="479">
        <v>1</v>
      </c>
      <c r="F161" s="337" t="s">
        <v>1067</v>
      </c>
      <c r="G161" s="332">
        <v>272360</v>
      </c>
      <c r="H161" s="332" t="s">
        <v>1274</v>
      </c>
      <c r="I161" s="479" t="s">
        <v>1274</v>
      </c>
      <c r="J161" s="482">
        <v>0</v>
      </c>
      <c r="K161" s="485">
        <v>272355</v>
      </c>
      <c r="L161" s="332">
        <v>6395</v>
      </c>
      <c r="M161" s="482">
        <v>0.02</v>
      </c>
      <c r="N161" s="485">
        <v>272360</v>
      </c>
      <c r="O161" s="332">
        <v>0</v>
      </c>
      <c r="P161" s="482">
        <v>0</v>
      </c>
      <c r="Q161" s="485">
        <v>272360</v>
      </c>
      <c r="R161" s="332">
        <v>20785</v>
      </c>
      <c r="S161" s="482">
        <v>0.08</v>
      </c>
      <c r="T161" s="482">
        <v>0</v>
      </c>
      <c r="U161" s="485">
        <v>69445</v>
      </c>
      <c r="V161" s="332" t="s">
        <v>1274</v>
      </c>
      <c r="W161" s="482" t="s">
        <v>1274</v>
      </c>
      <c r="X161" s="325"/>
      <c r="Y161" s="482">
        <v>0</v>
      </c>
      <c r="Z161" s="332">
        <v>19</v>
      </c>
      <c r="AA161" s="326">
        <v>101</v>
      </c>
      <c r="AB161" s="340">
        <v>1439</v>
      </c>
      <c r="AC161" s="485">
        <v>264875</v>
      </c>
      <c r="AD161" s="332">
        <v>6590</v>
      </c>
      <c r="AE161" s="482">
        <v>0.02</v>
      </c>
      <c r="AF161" s="325"/>
      <c r="AG161" s="482">
        <v>0</v>
      </c>
      <c r="AH161" s="332">
        <v>66</v>
      </c>
      <c r="AI161" s="326">
        <v>207</v>
      </c>
      <c r="AJ161" s="340">
        <v>1397</v>
      </c>
      <c r="AK161" s="332">
        <v>235</v>
      </c>
      <c r="AL161" s="326">
        <v>786</v>
      </c>
      <c r="AM161" s="340">
        <v>1439</v>
      </c>
      <c r="AN161" s="332">
        <v>144</v>
      </c>
      <c r="AO161" s="326">
        <v>351</v>
      </c>
      <c r="AP161" s="340">
        <v>1425</v>
      </c>
      <c r="AQ161" s="485">
        <v>272360</v>
      </c>
      <c r="AR161" s="332">
        <v>210</v>
      </c>
      <c r="AS161" s="482">
        <v>0</v>
      </c>
      <c r="AT161" s="325"/>
      <c r="AU161" s="482">
        <v>0</v>
      </c>
      <c r="AV161" s="332">
        <v>164</v>
      </c>
      <c r="AW161" s="326">
        <v>568</v>
      </c>
      <c r="AX161" s="327">
        <v>1439</v>
      </c>
      <c r="AY161" s="97"/>
      <c r="AZ161" s="97"/>
      <c r="BA161" s="97"/>
    </row>
    <row r="162" spans="1:53" ht="22.5" customHeight="1" x14ac:dyDescent="0.4">
      <c r="A162" s="324" t="s">
        <v>585</v>
      </c>
      <c r="B162" s="335" t="s">
        <v>1217</v>
      </c>
      <c r="C162" s="332">
        <v>115670</v>
      </c>
      <c r="D162" s="326">
        <v>117633</v>
      </c>
      <c r="E162" s="479">
        <v>0.98</v>
      </c>
      <c r="F162" s="337" t="s">
        <v>1067</v>
      </c>
      <c r="G162" s="332">
        <v>115670</v>
      </c>
      <c r="H162" s="332" t="s">
        <v>1274</v>
      </c>
      <c r="I162" s="479" t="s">
        <v>1274</v>
      </c>
      <c r="J162" s="482">
        <v>0.02</v>
      </c>
      <c r="K162" s="485">
        <v>115665</v>
      </c>
      <c r="L162" s="332">
        <v>2210</v>
      </c>
      <c r="M162" s="482">
        <v>0.02</v>
      </c>
      <c r="N162" s="485">
        <v>115670</v>
      </c>
      <c r="O162" s="332">
        <v>0</v>
      </c>
      <c r="P162" s="482">
        <v>0</v>
      </c>
      <c r="Q162" s="485">
        <v>115670</v>
      </c>
      <c r="R162" s="332">
        <v>8705</v>
      </c>
      <c r="S162" s="482">
        <v>0.08</v>
      </c>
      <c r="T162" s="482">
        <v>0</v>
      </c>
      <c r="U162" s="485">
        <v>21730</v>
      </c>
      <c r="V162" s="332">
        <v>50</v>
      </c>
      <c r="W162" s="482">
        <v>0</v>
      </c>
      <c r="X162" s="325"/>
      <c r="Y162" s="482">
        <v>0</v>
      </c>
      <c r="Z162" s="332">
        <v>4</v>
      </c>
      <c r="AA162" s="326">
        <v>21</v>
      </c>
      <c r="AB162" s="340">
        <v>252</v>
      </c>
      <c r="AC162" s="485">
        <v>113350</v>
      </c>
      <c r="AD162" s="332">
        <v>265</v>
      </c>
      <c r="AE162" s="482">
        <v>0</v>
      </c>
      <c r="AF162" s="325"/>
      <c r="AG162" s="482">
        <v>0</v>
      </c>
      <c r="AH162" s="332">
        <v>61</v>
      </c>
      <c r="AI162" s="326">
        <v>164</v>
      </c>
      <c r="AJ162" s="340">
        <v>476</v>
      </c>
      <c r="AK162" s="332">
        <v>231</v>
      </c>
      <c r="AL162" s="326">
        <v>449</v>
      </c>
      <c r="AM162" s="340">
        <v>871</v>
      </c>
      <c r="AN162" s="332">
        <v>123</v>
      </c>
      <c r="AO162" s="326">
        <v>235</v>
      </c>
      <c r="AP162" s="340">
        <v>1157</v>
      </c>
      <c r="AQ162" s="485">
        <v>115670</v>
      </c>
      <c r="AR162" s="332">
        <v>0</v>
      </c>
      <c r="AS162" s="482">
        <v>0</v>
      </c>
      <c r="AT162" s="325"/>
      <c r="AU162" s="482">
        <v>0</v>
      </c>
      <c r="AV162" s="332">
        <v>139</v>
      </c>
      <c r="AW162" s="326">
        <v>284</v>
      </c>
      <c r="AX162" s="327">
        <v>1157</v>
      </c>
      <c r="AY162" s="97"/>
      <c r="AZ162" s="97"/>
      <c r="BA162" s="97"/>
    </row>
    <row r="163" spans="1:53" ht="22.5" customHeight="1" x14ac:dyDescent="0.4">
      <c r="A163" s="324" t="s">
        <v>405</v>
      </c>
      <c r="B163" s="335" t="s">
        <v>1218</v>
      </c>
      <c r="C163" s="332">
        <v>212850</v>
      </c>
      <c r="D163" s="326">
        <v>238850</v>
      </c>
      <c r="E163" s="479">
        <v>0.89</v>
      </c>
      <c r="F163" s="337" t="s">
        <v>1077</v>
      </c>
      <c r="G163" s="332">
        <v>212850</v>
      </c>
      <c r="H163" s="332">
        <v>15595</v>
      </c>
      <c r="I163" s="479">
        <v>7.0000000000000007E-2</v>
      </c>
      <c r="J163" s="482">
        <v>0</v>
      </c>
      <c r="K163" s="485">
        <v>197255</v>
      </c>
      <c r="L163" s="332">
        <v>9490</v>
      </c>
      <c r="M163" s="482">
        <v>0.05</v>
      </c>
      <c r="N163" s="485">
        <v>212855</v>
      </c>
      <c r="O163" s="332" t="s">
        <v>1274</v>
      </c>
      <c r="P163" s="482" t="s">
        <v>1274</v>
      </c>
      <c r="Q163" s="485">
        <v>212850</v>
      </c>
      <c r="R163" s="332">
        <v>18030</v>
      </c>
      <c r="S163" s="482">
        <v>0.08</v>
      </c>
      <c r="T163" s="482">
        <v>0</v>
      </c>
      <c r="U163" s="485">
        <v>67870</v>
      </c>
      <c r="V163" s="332">
        <v>330</v>
      </c>
      <c r="W163" s="482">
        <v>0</v>
      </c>
      <c r="X163" s="325"/>
      <c r="Y163" s="482">
        <v>0</v>
      </c>
      <c r="Z163" s="332">
        <v>5</v>
      </c>
      <c r="AA163" s="326">
        <v>20</v>
      </c>
      <c r="AB163" s="340">
        <v>1427</v>
      </c>
      <c r="AC163" s="485">
        <v>186295</v>
      </c>
      <c r="AD163" s="332">
        <v>30</v>
      </c>
      <c r="AE163" s="482">
        <v>0</v>
      </c>
      <c r="AF163" s="325"/>
      <c r="AG163" s="482">
        <v>0</v>
      </c>
      <c r="AH163" s="332">
        <v>108</v>
      </c>
      <c r="AI163" s="326">
        <v>404</v>
      </c>
      <c r="AJ163" s="340">
        <v>1434</v>
      </c>
      <c r="AK163" s="332">
        <v>235</v>
      </c>
      <c r="AL163" s="326">
        <v>773</v>
      </c>
      <c r="AM163" s="340">
        <v>1439</v>
      </c>
      <c r="AN163" s="332">
        <v>159</v>
      </c>
      <c r="AO163" s="326">
        <v>338</v>
      </c>
      <c r="AP163" s="340">
        <v>1433</v>
      </c>
      <c r="AQ163" s="485">
        <v>212850</v>
      </c>
      <c r="AR163" s="332">
        <v>0</v>
      </c>
      <c r="AS163" s="482">
        <v>0</v>
      </c>
      <c r="AT163" s="325"/>
      <c r="AU163" s="482">
        <v>0</v>
      </c>
      <c r="AV163" s="332">
        <v>190</v>
      </c>
      <c r="AW163" s="326">
        <v>551</v>
      </c>
      <c r="AX163" s="327">
        <v>1439</v>
      </c>
      <c r="AY163" s="97"/>
      <c r="AZ163" s="97"/>
      <c r="BA163" s="97"/>
    </row>
    <row r="164" spans="1:53" ht="22.5" customHeight="1" x14ac:dyDescent="0.4">
      <c r="A164" s="324" t="s">
        <v>562</v>
      </c>
      <c r="B164" s="335" t="s">
        <v>1219</v>
      </c>
      <c r="C164" s="332">
        <v>88720</v>
      </c>
      <c r="D164" s="326">
        <v>88807</v>
      </c>
      <c r="E164" s="479">
        <v>1</v>
      </c>
      <c r="F164" s="337" t="s">
        <v>1067</v>
      </c>
      <c r="G164" s="332">
        <v>88720</v>
      </c>
      <c r="H164" s="332">
        <v>9055</v>
      </c>
      <c r="I164" s="479">
        <v>0.1</v>
      </c>
      <c r="J164" s="482">
        <v>0</v>
      </c>
      <c r="K164" s="485">
        <v>79665</v>
      </c>
      <c r="L164" s="332">
        <v>3405</v>
      </c>
      <c r="M164" s="482">
        <v>0.04</v>
      </c>
      <c r="N164" s="485">
        <v>88720</v>
      </c>
      <c r="O164" s="332">
        <v>0</v>
      </c>
      <c r="P164" s="482">
        <v>0</v>
      </c>
      <c r="Q164" s="485">
        <v>88720</v>
      </c>
      <c r="R164" s="332">
        <v>6975</v>
      </c>
      <c r="S164" s="482">
        <v>0.08</v>
      </c>
      <c r="T164" s="482">
        <v>0</v>
      </c>
      <c r="U164" s="485">
        <v>28250</v>
      </c>
      <c r="V164" s="332">
        <v>85</v>
      </c>
      <c r="W164" s="482">
        <v>0</v>
      </c>
      <c r="X164" s="325"/>
      <c r="Y164" s="482">
        <v>0</v>
      </c>
      <c r="Z164" s="332">
        <v>6</v>
      </c>
      <c r="AA164" s="326">
        <v>31</v>
      </c>
      <c r="AB164" s="340">
        <v>1438</v>
      </c>
      <c r="AC164" s="485">
        <v>76005</v>
      </c>
      <c r="AD164" s="332">
        <v>2700</v>
      </c>
      <c r="AE164" s="482">
        <v>0.04</v>
      </c>
      <c r="AF164" s="325"/>
      <c r="AG164" s="482">
        <v>0</v>
      </c>
      <c r="AH164" s="332">
        <v>72</v>
      </c>
      <c r="AI164" s="326">
        <v>234</v>
      </c>
      <c r="AJ164" s="340">
        <v>1155</v>
      </c>
      <c r="AK164" s="332">
        <v>236</v>
      </c>
      <c r="AL164" s="326">
        <v>628</v>
      </c>
      <c r="AM164" s="340">
        <v>1294</v>
      </c>
      <c r="AN164" s="332">
        <v>138</v>
      </c>
      <c r="AO164" s="326">
        <v>331</v>
      </c>
      <c r="AP164" s="340">
        <v>1178</v>
      </c>
      <c r="AQ164" s="485">
        <v>88720</v>
      </c>
      <c r="AR164" s="332" t="s">
        <v>1274</v>
      </c>
      <c r="AS164" s="482" t="s">
        <v>1274</v>
      </c>
      <c r="AT164" s="325"/>
      <c r="AU164" s="482">
        <v>0</v>
      </c>
      <c r="AV164" s="332">
        <v>181</v>
      </c>
      <c r="AW164" s="326">
        <v>472</v>
      </c>
      <c r="AX164" s="327">
        <v>1338</v>
      </c>
      <c r="AY164" s="97"/>
      <c r="AZ164" s="97"/>
      <c r="BA164" s="97"/>
    </row>
    <row r="165" spans="1:53" ht="22.5" customHeight="1" x14ac:dyDescent="0.4">
      <c r="A165" s="324" t="s">
        <v>610</v>
      </c>
      <c r="B165" s="335" t="s">
        <v>1220</v>
      </c>
      <c r="C165" s="332">
        <v>117460</v>
      </c>
      <c r="D165" s="326">
        <v>117499</v>
      </c>
      <c r="E165" s="479">
        <v>1</v>
      </c>
      <c r="F165" s="337" t="s">
        <v>1067</v>
      </c>
      <c r="G165" s="332">
        <v>117460</v>
      </c>
      <c r="H165" s="332">
        <v>0</v>
      </c>
      <c r="I165" s="479">
        <v>0</v>
      </c>
      <c r="J165" s="482">
        <v>0</v>
      </c>
      <c r="K165" s="485">
        <v>117460</v>
      </c>
      <c r="L165" s="332">
        <v>5185</v>
      </c>
      <c r="M165" s="482">
        <v>0.04</v>
      </c>
      <c r="N165" s="485">
        <v>117460</v>
      </c>
      <c r="O165" s="332">
        <v>0</v>
      </c>
      <c r="P165" s="482">
        <v>0</v>
      </c>
      <c r="Q165" s="485">
        <v>117460</v>
      </c>
      <c r="R165" s="332">
        <v>8445</v>
      </c>
      <c r="S165" s="482">
        <v>7.0000000000000007E-2</v>
      </c>
      <c r="T165" s="482">
        <v>0</v>
      </c>
      <c r="U165" s="485">
        <v>40730</v>
      </c>
      <c r="V165" s="332">
        <v>0</v>
      </c>
      <c r="W165" s="482">
        <v>0</v>
      </c>
      <c r="X165" s="325"/>
      <c r="Y165" s="482">
        <v>0</v>
      </c>
      <c r="Z165" s="332">
        <v>1</v>
      </c>
      <c r="AA165" s="326">
        <v>16</v>
      </c>
      <c r="AB165" s="340">
        <v>1433</v>
      </c>
      <c r="AC165" s="485">
        <v>112275</v>
      </c>
      <c r="AD165" s="332">
        <v>0</v>
      </c>
      <c r="AE165" s="482">
        <v>0</v>
      </c>
      <c r="AF165" s="325"/>
      <c r="AG165" s="482">
        <v>0</v>
      </c>
      <c r="AH165" s="332">
        <v>73</v>
      </c>
      <c r="AI165" s="326">
        <v>187</v>
      </c>
      <c r="AJ165" s="340">
        <v>1196</v>
      </c>
      <c r="AK165" s="332">
        <v>232</v>
      </c>
      <c r="AL165" s="326">
        <v>630</v>
      </c>
      <c r="AM165" s="340">
        <v>1335</v>
      </c>
      <c r="AN165" s="332">
        <v>157</v>
      </c>
      <c r="AO165" s="326">
        <v>314</v>
      </c>
      <c r="AP165" s="340">
        <v>1436</v>
      </c>
      <c r="AQ165" s="485">
        <v>117460</v>
      </c>
      <c r="AR165" s="332">
        <v>0</v>
      </c>
      <c r="AS165" s="482">
        <v>0</v>
      </c>
      <c r="AT165" s="325"/>
      <c r="AU165" s="482">
        <v>0</v>
      </c>
      <c r="AV165" s="332">
        <v>181</v>
      </c>
      <c r="AW165" s="326">
        <v>451</v>
      </c>
      <c r="AX165" s="327">
        <v>1436</v>
      </c>
      <c r="AY165" s="97"/>
      <c r="AZ165" s="97"/>
      <c r="BA165" s="97"/>
    </row>
    <row r="166" spans="1:53" ht="22.5" customHeight="1" x14ac:dyDescent="0.4">
      <c r="A166" s="324" t="s">
        <v>532</v>
      </c>
      <c r="B166" s="335" t="s">
        <v>1221</v>
      </c>
      <c r="C166" s="332">
        <v>137595</v>
      </c>
      <c r="D166" s="326">
        <v>137439</v>
      </c>
      <c r="E166" s="479">
        <v>1</v>
      </c>
      <c r="F166" s="337" t="s">
        <v>1067</v>
      </c>
      <c r="G166" s="332">
        <v>137595</v>
      </c>
      <c r="H166" s="332">
        <v>180</v>
      </c>
      <c r="I166" s="479">
        <v>0</v>
      </c>
      <c r="J166" s="482">
        <v>0.02</v>
      </c>
      <c r="K166" s="485">
        <v>137415</v>
      </c>
      <c r="L166" s="332">
        <v>4675</v>
      </c>
      <c r="M166" s="482">
        <v>0.03</v>
      </c>
      <c r="N166" s="485">
        <v>137595</v>
      </c>
      <c r="O166" s="332">
        <v>0</v>
      </c>
      <c r="P166" s="482">
        <v>0</v>
      </c>
      <c r="Q166" s="485">
        <v>137595</v>
      </c>
      <c r="R166" s="332">
        <v>10740</v>
      </c>
      <c r="S166" s="482">
        <v>0.08</v>
      </c>
      <c r="T166" s="482">
        <v>0</v>
      </c>
      <c r="U166" s="485">
        <v>27390</v>
      </c>
      <c r="V166" s="332">
        <v>4840</v>
      </c>
      <c r="W166" s="482">
        <v>0.18</v>
      </c>
      <c r="X166" s="325"/>
      <c r="Y166" s="482">
        <v>0</v>
      </c>
      <c r="Z166" s="332">
        <v>10</v>
      </c>
      <c r="AA166" s="326">
        <v>68</v>
      </c>
      <c r="AB166" s="340">
        <v>1439</v>
      </c>
      <c r="AC166" s="485">
        <v>131085</v>
      </c>
      <c r="AD166" s="332">
        <v>30080</v>
      </c>
      <c r="AE166" s="482">
        <v>0.23</v>
      </c>
      <c r="AF166" s="325"/>
      <c r="AG166" s="482">
        <v>0</v>
      </c>
      <c r="AH166" s="332">
        <v>81</v>
      </c>
      <c r="AI166" s="326">
        <v>189</v>
      </c>
      <c r="AJ166" s="340">
        <v>807</v>
      </c>
      <c r="AK166" s="332">
        <v>237</v>
      </c>
      <c r="AL166" s="326">
        <v>678</v>
      </c>
      <c r="AM166" s="340">
        <v>1419</v>
      </c>
      <c r="AN166" s="332">
        <v>153</v>
      </c>
      <c r="AO166" s="326">
        <v>282</v>
      </c>
      <c r="AP166" s="340">
        <v>1439</v>
      </c>
      <c r="AQ166" s="485">
        <v>137595</v>
      </c>
      <c r="AR166" s="332">
        <v>65</v>
      </c>
      <c r="AS166" s="482">
        <v>0</v>
      </c>
      <c r="AT166" s="325"/>
      <c r="AU166" s="482">
        <v>0</v>
      </c>
      <c r="AV166" s="332">
        <v>169</v>
      </c>
      <c r="AW166" s="326">
        <v>431</v>
      </c>
      <c r="AX166" s="327">
        <v>1439</v>
      </c>
      <c r="AY166" s="97"/>
      <c r="AZ166" s="97"/>
      <c r="BA166" s="97"/>
    </row>
    <row r="167" spans="1:53" ht="22.5" customHeight="1" x14ac:dyDescent="0.4">
      <c r="A167" s="324" t="s">
        <v>518</v>
      </c>
      <c r="B167" s="335" t="s">
        <v>1222</v>
      </c>
      <c r="C167" s="332">
        <v>196650</v>
      </c>
      <c r="D167" s="326">
        <v>201107</v>
      </c>
      <c r="E167" s="479">
        <v>0.98</v>
      </c>
      <c r="F167" s="337" t="s">
        <v>1067</v>
      </c>
      <c r="G167" s="332">
        <v>196650</v>
      </c>
      <c r="H167" s="332">
        <v>15</v>
      </c>
      <c r="I167" s="479">
        <v>0</v>
      </c>
      <c r="J167" s="482">
        <v>0.01</v>
      </c>
      <c r="K167" s="485">
        <v>196635</v>
      </c>
      <c r="L167" s="332">
        <v>4235</v>
      </c>
      <c r="M167" s="482">
        <v>0.02</v>
      </c>
      <c r="N167" s="485">
        <v>196650</v>
      </c>
      <c r="O167" s="332">
        <v>0</v>
      </c>
      <c r="P167" s="482">
        <v>0</v>
      </c>
      <c r="Q167" s="485">
        <v>196650</v>
      </c>
      <c r="R167" s="332">
        <v>19980</v>
      </c>
      <c r="S167" s="482">
        <v>0.1</v>
      </c>
      <c r="T167" s="482">
        <v>0</v>
      </c>
      <c r="U167" s="485">
        <v>32005</v>
      </c>
      <c r="V167" s="332">
        <v>1405</v>
      </c>
      <c r="W167" s="482">
        <v>0.04</v>
      </c>
      <c r="X167" s="325"/>
      <c r="Y167" s="482">
        <v>0</v>
      </c>
      <c r="Z167" s="332">
        <v>38</v>
      </c>
      <c r="AA167" s="326">
        <v>192</v>
      </c>
      <c r="AB167" s="340">
        <v>1439</v>
      </c>
      <c r="AC167" s="485">
        <v>191865</v>
      </c>
      <c r="AD167" s="332">
        <v>9385</v>
      </c>
      <c r="AE167" s="482">
        <v>0.05</v>
      </c>
      <c r="AF167" s="325"/>
      <c r="AG167" s="482">
        <v>0</v>
      </c>
      <c r="AH167" s="332">
        <v>48</v>
      </c>
      <c r="AI167" s="326">
        <v>183</v>
      </c>
      <c r="AJ167" s="340">
        <v>1392</v>
      </c>
      <c r="AK167" s="332">
        <v>217</v>
      </c>
      <c r="AL167" s="326">
        <v>416</v>
      </c>
      <c r="AM167" s="340">
        <v>1354</v>
      </c>
      <c r="AN167" s="332">
        <v>98</v>
      </c>
      <c r="AO167" s="326">
        <v>238</v>
      </c>
      <c r="AP167" s="340">
        <v>1300</v>
      </c>
      <c r="AQ167" s="485">
        <v>196650</v>
      </c>
      <c r="AR167" s="332" t="s">
        <v>1274</v>
      </c>
      <c r="AS167" s="482" t="s">
        <v>1274</v>
      </c>
      <c r="AT167" s="325"/>
      <c r="AU167" s="482">
        <v>0</v>
      </c>
      <c r="AV167" s="332">
        <v>112</v>
      </c>
      <c r="AW167" s="326">
        <v>282</v>
      </c>
      <c r="AX167" s="327">
        <v>1354</v>
      </c>
      <c r="AY167" s="97"/>
      <c r="AZ167" s="97"/>
      <c r="BA167" s="97"/>
    </row>
    <row r="168" spans="1:53" ht="22.5" customHeight="1" x14ac:dyDescent="0.4">
      <c r="A168" s="324" t="s">
        <v>373</v>
      </c>
      <c r="B168" s="335" t="s">
        <v>1223</v>
      </c>
      <c r="C168" s="332">
        <v>141250</v>
      </c>
      <c r="D168" s="326">
        <v>141324</v>
      </c>
      <c r="E168" s="479">
        <v>1</v>
      </c>
      <c r="F168" s="337" t="s">
        <v>1067</v>
      </c>
      <c r="G168" s="332">
        <v>141250</v>
      </c>
      <c r="H168" s="332">
        <v>30</v>
      </c>
      <c r="I168" s="479">
        <v>0</v>
      </c>
      <c r="J168" s="482">
        <v>0.02</v>
      </c>
      <c r="K168" s="485">
        <v>141220</v>
      </c>
      <c r="L168" s="332">
        <v>4225</v>
      </c>
      <c r="M168" s="482">
        <v>0.03</v>
      </c>
      <c r="N168" s="485">
        <v>141250</v>
      </c>
      <c r="O168" s="332">
        <v>0</v>
      </c>
      <c r="P168" s="482">
        <v>0</v>
      </c>
      <c r="Q168" s="485">
        <v>141250</v>
      </c>
      <c r="R168" s="332">
        <v>11005</v>
      </c>
      <c r="S168" s="482">
        <v>0.08</v>
      </c>
      <c r="T168" s="482">
        <v>0</v>
      </c>
      <c r="U168" s="485">
        <v>44955</v>
      </c>
      <c r="V168" s="332">
        <v>70</v>
      </c>
      <c r="W168" s="482">
        <v>0</v>
      </c>
      <c r="X168" s="325"/>
      <c r="Y168" s="482">
        <v>0</v>
      </c>
      <c r="Z168" s="332">
        <v>6</v>
      </c>
      <c r="AA168" s="326">
        <v>20</v>
      </c>
      <c r="AB168" s="340">
        <v>170</v>
      </c>
      <c r="AC168" s="485">
        <v>136515</v>
      </c>
      <c r="AD168" s="332">
        <v>22675</v>
      </c>
      <c r="AE168" s="482">
        <v>0.17</v>
      </c>
      <c r="AF168" s="325"/>
      <c r="AG168" s="482">
        <v>0</v>
      </c>
      <c r="AH168" s="332">
        <v>71</v>
      </c>
      <c r="AI168" s="326">
        <v>206</v>
      </c>
      <c r="AJ168" s="340">
        <v>1423</v>
      </c>
      <c r="AK168" s="332">
        <v>215</v>
      </c>
      <c r="AL168" s="326">
        <v>452</v>
      </c>
      <c r="AM168" s="340">
        <v>1358</v>
      </c>
      <c r="AN168" s="332">
        <v>136</v>
      </c>
      <c r="AO168" s="326">
        <v>296</v>
      </c>
      <c r="AP168" s="340">
        <v>1371</v>
      </c>
      <c r="AQ168" s="485">
        <v>141250</v>
      </c>
      <c r="AR168" s="332">
        <v>0</v>
      </c>
      <c r="AS168" s="482">
        <v>0</v>
      </c>
      <c r="AT168" s="325"/>
      <c r="AU168" s="482">
        <v>0</v>
      </c>
      <c r="AV168" s="332">
        <v>166</v>
      </c>
      <c r="AW168" s="326">
        <v>363</v>
      </c>
      <c r="AX168" s="327">
        <v>1371</v>
      </c>
      <c r="AY168" s="97"/>
      <c r="AZ168" s="97"/>
      <c r="BA168" s="97"/>
    </row>
    <row r="169" spans="1:53" ht="22.5" customHeight="1" x14ac:dyDescent="0.4">
      <c r="A169" s="324" t="s">
        <v>441</v>
      </c>
      <c r="B169" s="335" t="s">
        <v>1224</v>
      </c>
      <c r="C169" s="332">
        <v>193175</v>
      </c>
      <c r="D169" s="326">
        <v>197149</v>
      </c>
      <c r="E169" s="479">
        <v>0.98</v>
      </c>
      <c r="F169" s="337" t="s">
        <v>1067</v>
      </c>
      <c r="G169" s="332">
        <v>193175</v>
      </c>
      <c r="H169" s="332">
        <v>0</v>
      </c>
      <c r="I169" s="479">
        <v>0</v>
      </c>
      <c r="J169" s="482">
        <v>0</v>
      </c>
      <c r="K169" s="485">
        <v>193175</v>
      </c>
      <c r="L169" s="332">
        <v>3860</v>
      </c>
      <c r="M169" s="482">
        <v>0.02</v>
      </c>
      <c r="N169" s="485">
        <v>193175</v>
      </c>
      <c r="O169" s="332">
        <v>0</v>
      </c>
      <c r="P169" s="482">
        <v>0</v>
      </c>
      <c r="Q169" s="485">
        <v>193175</v>
      </c>
      <c r="R169" s="332">
        <v>18520</v>
      </c>
      <c r="S169" s="482">
        <v>0.1</v>
      </c>
      <c r="T169" s="482">
        <v>0</v>
      </c>
      <c r="U169" s="485">
        <v>44130</v>
      </c>
      <c r="V169" s="332">
        <v>175</v>
      </c>
      <c r="W169" s="482">
        <v>0</v>
      </c>
      <c r="X169" s="325"/>
      <c r="Y169" s="482">
        <v>0</v>
      </c>
      <c r="Z169" s="332">
        <v>2</v>
      </c>
      <c r="AA169" s="326">
        <v>31</v>
      </c>
      <c r="AB169" s="340">
        <v>646</v>
      </c>
      <c r="AC169" s="485">
        <v>188915</v>
      </c>
      <c r="AD169" s="332">
        <v>4335</v>
      </c>
      <c r="AE169" s="482">
        <v>0.02</v>
      </c>
      <c r="AF169" s="325"/>
      <c r="AG169" s="482">
        <v>0</v>
      </c>
      <c r="AH169" s="332">
        <v>47</v>
      </c>
      <c r="AI169" s="326">
        <v>234</v>
      </c>
      <c r="AJ169" s="340">
        <v>706</v>
      </c>
      <c r="AK169" s="332">
        <v>206</v>
      </c>
      <c r="AL169" s="326">
        <v>368</v>
      </c>
      <c r="AM169" s="340">
        <v>714</v>
      </c>
      <c r="AN169" s="332">
        <v>86</v>
      </c>
      <c r="AO169" s="326">
        <v>264</v>
      </c>
      <c r="AP169" s="340">
        <v>716</v>
      </c>
      <c r="AQ169" s="485">
        <v>193175</v>
      </c>
      <c r="AR169" s="332">
        <v>0</v>
      </c>
      <c r="AS169" s="482">
        <v>0</v>
      </c>
      <c r="AT169" s="325"/>
      <c r="AU169" s="482">
        <v>0</v>
      </c>
      <c r="AV169" s="332">
        <v>102</v>
      </c>
      <c r="AW169" s="326">
        <v>294</v>
      </c>
      <c r="AX169" s="327">
        <v>716</v>
      </c>
      <c r="AY169" s="97"/>
      <c r="AZ169" s="97"/>
      <c r="BA169" s="97"/>
    </row>
    <row r="170" spans="1:53" ht="22.5" customHeight="1" x14ac:dyDescent="0.4">
      <c r="A170" s="324" t="s">
        <v>346</v>
      </c>
      <c r="B170" s="335" t="s">
        <v>1225</v>
      </c>
      <c r="C170" s="332">
        <v>133240</v>
      </c>
      <c r="D170" s="326">
        <v>188143</v>
      </c>
      <c r="E170" s="479">
        <v>0.71</v>
      </c>
      <c r="F170" s="337" t="s">
        <v>1093</v>
      </c>
      <c r="G170" s="332">
        <v>133240</v>
      </c>
      <c r="H170" s="332">
        <v>30</v>
      </c>
      <c r="I170" s="479">
        <v>0</v>
      </c>
      <c r="J170" s="482">
        <v>0</v>
      </c>
      <c r="K170" s="485">
        <v>133210</v>
      </c>
      <c r="L170" s="332">
        <v>2045</v>
      </c>
      <c r="M170" s="482">
        <v>0.02</v>
      </c>
      <c r="N170" s="485">
        <v>133240</v>
      </c>
      <c r="O170" s="332">
        <v>0</v>
      </c>
      <c r="P170" s="482">
        <v>0</v>
      </c>
      <c r="Q170" s="485">
        <v>133240</v>
      </c>
      <c r="R170" s="332">
        <v>9430</v>
      </c>
      <c r="S170" s="482">
        <v>7.0000000000000007E-2</v>
      </c>
      <c r="T170" s="482">
        <v>0</v>
      </c>
      <c r="U170" s="485">
        <v>46800</v>
      </c>
      <c r="V170" s="332">
        <v>620</v>
      </c>
      <c r="W170" s="482">
        <v>0.01</v>
      </c>
      <c r="X170" s="325"/>
      <c r="Y170" s="482">
        <v>0</v>
      </c>
      <c r="Z170" s="332">
        <v>5</v>
      </c>
      <c r="AA170" s="326">
        <v>14</v>
      </c>
      <c r="AB170" s="340">
        <v>1385</v>
      </c>
      <c r="AC170" s="485">
        <v>129940</v>
      </c>
      <c r="AD170" s="332">
        <v>945</v>
      </c>
      <c r="AE170" s="482">
        <v>0.01</v>
      </c>
      <c r="AF170" s="325"/>
      <c r="AG170" s="482">
        <v>0</v>
      </c>
      <c r="AH170" s="332">
        <v>53</v>
      </c>
      <c r="AI170" s="326">
        <v>184</v>
      </c>
      <c r="AJ170" s="340">
        <v>1439</v>
      </c>
      <c r="AK170" s="332">
        <v>235</v>
      </c>
      <c r="AL170" s="326">
        <v>431</v>
      </c>
      <c r="AM170" s="340">
        <v>1198</v>
      </c>
      <c r="AN170" s="332">
        <v>148</v>
      </c>
      <c r="AO170" s="326">
        <v>309</v>
      </c>
      <c r="AP170" s="340">
        <v>1405</v>
      </c>
      <c r="AQ170" s="485">
        <v>133240</v>
      </c>
      <c r="AR170" s="332">
        <v>0</v>
      </c>
      <c r="AS170" s="482">
        <v>0</v>
      </c>
      <c r="AT170" s="325"/>
      <c r="AU170" s="482">
        <v>0</v>
      </c>
      <c r="AV170" s="332">
        <v>180</v>
      </c>
      <c r="AW170" s="326">
        <v>364</v>
      </c>
      <c r="AX170" s="327">
        <v>1405</v>
      </c>
      <c r="AY170" s="97"/>
      <c r="AZ170" s="97"/>
      <c r="BA170" s="97"/>
    </row>
    <row r="171" spans="1:53" ht="22.5" customHeight="1" x14ac:dyDescent="0.4">
      <c r="A171" s="324" t="s">
        <v>446</v>
      </c>
      <c r="B171" s="335" t="s">
        <v>1226</v>
      </c>
      <c r="C171" s="332">
        <v>135995</v>
      </c>
      <c r="D171" s="326">
        <v>155352</v>
      </c>
      <c r="E171" s="479">
        <v>0.88</v>
      </c>
      <c r="F171" s="337" t="s">
        <v>1077</v>
      </c>
      <c r="G171" s="332">
        <v>135995</v>
      </c>
      <c r="H171" s="332">
        <v>30</v>
      </c>
      <c r="I171" s="479">
        <v>0</v>
      </c>
      <c r="J171" s="482">
        <v>0</v>
      </c>
      <c r="K171" s="485">
        <v>135965</v>
      </c>
      <c r="L171" s="332">
        <v>3995</v>
      </c>
      <c r="M171" s="482">
        <v>0.03</v>
      </c>
      <c r="N171" s="485">
        <v>136005</v>
      </c>
      <c r="O171" s="332">
        <v>10</v>
      </c>
      <c r="P171" s="482">
        <v>0</v>
      </c>
      <c r="Q171" s="485">
        <v>135995</v>
      </c>
      <c r="R171" s="332">
        <v>8365</v>
      </c>
      <c r="S171" s="482">
        <v>0.06</v>
      </c>
      <c r="T171" s="482">
        <v>0</v>
      </c>
      <c r="U171" s="485">
        <v>42745</v>
      </c>
      <c r="V171" s="332">
        <v>1435</v>
      </c>
      <c r="W171" s="482">
        <v>0.03</v>
      </c>
      <c r="X171" s="325"/>
      <c r="Y171" s="482">
        <v>0</v>
      </c>
      <c r="Z171" s="332">
        <v>32</v>
      </c>
      <c r="AA171" s="326">
        <v>128</v>
      </c>
      <c r="AB171" s="340">
        <v>1439</v>
      </c>
      <c r="AC171" s="485">
        <v>131745</v>
      </c>
      <c r="AD171" s="332">
        <v>4090</v>
      </c>
      <c r="AE171" s="482">
        <v>0.03</v>
      </c>
      <c r="AF171" s="325"/>
      <c r="AG171" s="482">
        <v>0</v>
      </c>
      <c r="AH171" s="332">
        <v>58</v>
      </c>
      <c r="AI171" s="326">
        <v>198</v>
      </c>
      <c r="AJ171" s="340">
        <v>1434</v>
      </c>
      <c r="AK171" s="332">
        <v>237</v>
      </c>
      <c r="AL171" s="326">
        <v>915</v>
      </c>
      <c r="AM171" s="340">
        <v>1434</v>
      </c>
      <c r="AN171" s="332">
        <v>155</v>
      </c>
      <c r="AO171" s="326">
        <v>351</v>
      </c>
      <c r="AP171" s="340">
        <v>1438</v>
      </c>
      <c r="AQ171" s="485">
        <v>135995</v>
      </c>
      <c r="AR171" s="332">
        <v>35</v>
      </c>
      <c r="AS171" s="482">
        <v>0</v>
      </c>
      <c r="AT171" s="325"/>
      <c r="AU171" s="482">
        <v>0</v>
      </c>
      <c r="AV171" s="332">
        <v>179</v>
      </c>
      <c r="AW171" s="326">
        <v>626</v>
      </c>
      <c r="AX171" s="327">
        <v>1438</v>
      </c>
      <c r="AY171" s="97"/>
      <c r="AZ171" s="97"/>
      <c r="BA171" s="97"/>
    </row>
    <row r="172" spans="1:53" ht="22.5" customHeight="1" x14ac:dyDescent="0.4">
      <c r="A172" s="324" t="s">
        <v>291</v>
      </c>
      <c r="B172" s="335" t="s">
        <v>1227</v>
      </c>
      <c r="C172" s="332">
        <v>101150</v>
      </c>
      <c r="D172" s="326">
        <v>109390</v>
      </c>
      <c r="E172" s="479">
        <v>0.92</v>
      </c>
      <c r="F172" s="337" t="s">
        <v>1067</v>
      </c>
      <c r="G172" s="332">
        <v>101150</v>
      </c>
      <c r="H172" s="332">
        <v>17170</v>
      </c>
      <c r="I172" s="479">
        <v>0.17</v>
      </c>
      <c r="J172" s="482" t="s">
        <v>1274</v>
      </c>
      <c r="K172" s="485">
        <v>83980</v>
      </c>
      <c r="L172" s="332">
        <v>1455</v>
      </c>
      <c r="M172" s="482">
        <v>0.02</v>
      </c>
      <c r="N172" s="485">
        <v>101150</v>
      </c>
      <c r="O172" s="332">
        <v>0</v>
      </c>
      <c r="P172" s="482">
        <v>0</v>
      </c>
      <c r="Q172" s="485">
        <v>101150</v>
      </c>
      <c r="R172" s="332">
        <v>7530</v>
      </c>
      <c r="S172" s="482">
        <v>7.0000000000000007E-2</v>
      </c>
      <c r="T172" s="482">
        <v>0</v>
      </c>
      <c r="U172" s="485">
        <v>29985</v>
      </c>
      <c r="V172" s="332">
        <v>2275</v>
      </c>
      <c r="W172" s="482">
        <v>0.08</v>
      </c>
      <c r="X172" s="325"/>
      <c r="Y172" s="482">
        <v>0</v>
      </c>
      <c r="Z172" s="332">
        <v>13</v>
      </c>
      <c r="AA172" s="326">
        <v>82</v>
      </c>
      <c r="AB172" s="340">
        <v>1439</v>
      </c>
      <c r="AC172" s="485">
        <v>81205</v>
      </c>
      <c r="AD172" s="332">
        <v>5030</v>
      </c>
      <c r="AE172" s="482">
        <v>0.06</v>
      </c>
      <c r="AF172" s="325"/>
      <c r="AG172" s="482">
        <v>0</v>
      </c>
      <c r="AH172" s="332">
        <v>66</v>
      </c>
      <c r="AI172" s="326">
        <v>202</v>
      </c>
      <c r="AJ172" s="340">
        <v>1439</v>
      </c>
      <c r="AK172" s="332">
        <v>233</v>
      </c>
      <c r="AL172" s="326">
        <v>873</v>
      </c>
      <c r="AM172" s="340">
        <v>1439</v>
      </c>
      <c r="AN172" s="332">
        <v>144</v>
      </c>
      <c r="AO172" s="326">
        <v>332</v>
      </c>
      <c r="AP172" s="340">
        <v>1437</v>
      </c>
      <c r="AQ172" s="485">
        <v>101150</v>
      </c>
      <c r="AR172" s="332">
        <v>30</v>
      </c>
      <c r="AS172" s="482">
        <v>0</v>
      </c>
      <c r="AT172" s="325"/>
      <c r="AU172" s="482">
        <v>0</v>
      </c>
      <c r="AV172" s="332">
        <v>175</v>
      </c>
      <c r="AW172" s="326">
        <v>547</v>
      </c>
      <c r="AX172" s="327">
        <v>1439</v>
      </c>
      <c r="AY172" s="97"/>
      <c r="AZ172" s="97"/>
      <c r="BA172" s="97"/>
    </row>
    <row r="173" spans="1:53" ht="22.5" customHeight="1" x14ac:dyDescent="0.4">
      <c r="A173" s="324" t="s">
        <v>507</v>
      </c>
      <c r="B173" s="335" t="s">
        <v>1228</v>
      </c>
      <c r="C173" s="332">
        <v>98765</v>
      </c>
      <c r="D173" s="326">
        <v>101359</v>
      </c>
      <c r="E173" s="479">
        <v>0.97</v>
      </c>
      <c r="F173" s="337" t="s">
        <v>1067</v>
      </c>
      <c r="G173" s="332">
        <v>98765</v>
      </c>
      <c r="H173" s="332">
        <v>950</v>
      </c>
      <c r="I173" s="479">
        <v>0.01</v>
      </c>
      <c r="J173" s="482">
        <v>0</v>
      </c>
      <c r="K173" s="485">
        <v>97815</v>
      </c>
      <c r="L173" s="332">
        <v>715</v>
      </c>
      <c r="M173" s="482">
        <v>0.01</v>
      </c>
      <c r="N173" s="485">
        <v>98770</v>
      </c>
      <c r="O173" s="332" t="s">
        <v>1274</v>
      </c>
      <c r="P173" s="482" t="s">
        <v>1274</v>
      </c>
      <c r="Q173" s="485">
        <v>98765</v>
      </c>
      <c r="R173" s="332">
        <v>6210</v>
      </c>
      <c r="S173" s="482">
        <v>0.06</v>
      </c>
      <c r="T173" s="482">
        <v>0</v>
      </c>
      <c r="U173" s="485">
        <v>33920</v>
      </c>
      <c r="V173" s="332">
        <v>2710</v>
      </c>
      <c r="W173" s="482">
        <v>0.08</v>
      </c>
      <c r="X173" s="325"/>
      <c r="Y173" s="482">
        <v>0</v>
      </c>
      <c r="Z173" s="332">
        <v>22</v>
      </c>
      <c r="AA173" s="326">
        <v>112</v>
      </c>
      <c r="AB173" s="340">
        <v>1439</v>
      </c>
      <c r="AC173" s="485">
        <v>97065</v>
      </c>
      <c r="AD173" s="332">
        <v>165</v>
      </c>
      <c r="AE173" s="482">
        <v>0</v>
      </c>
      <c r="AF173" s="325"/>
      <c r="AG173" s="482">
        <v>0</v>
      </c>
      <c r="AH173" s="332">
        <v>26</v>
      </c>
      <c r="AI173" s="326">
        <v>108</v>
      </c>
      <c r="AJ173" s="340">
        <v>1436</v>
      </c>
      <c r="AK173" s="332">
        <v>238</v>
      </c>
      <c r="AL173" s="326">
        <v>915</v>
      </c>
      <c r="AM173" s="340">
        <v>1435</v>
      </c>
      <c r="AN173" s="332">
        <v>159</v>
      </c>
      <c r="AO173" s="326">
        <v>240</v>
      </c>
      <c r="AP173" s="340">
        <v>1418</v>
      </c>
      <c r="AQ173" s="485">
        <v>98765</v>
      </c>
      <c r="AR173" s="332">
        <v>110</v>
      </c>
      <c r="AS173" s="482">
        <v>0</v>
      </c>
      <c r="AT173" s="325"/>
      <c r="AU173" s="482">
        <v>0</v>
      </c>
      <c r="AV173" s="332">
        <v>194</v>
      </c>
      <c r="AW173" s="326">
        <v>539</v>
      </c>
      <c r="AX173" s="327">
        <v>1435</v>
      </c>
      <c r="AY173" s="97"/>
      <c r="AZ173" s="97"/>
      <c r="BA173" s="97"/>
    </row>
    <row r="174" spans="1:53" ht="22.5" customHeight="1" x14ac:dyDescent="0.4">
      <c r="A174" s="324" t="s">
        <v>489</v>
      </c>
      <c r="B174" s="335" t="s">
        <v>1229</v>
      </c>
      <c r="C174" s="332">
        <v>128830</v>
      </c>
      <c r="D174" s="326">
        <v>149226</v>
      </c>
      <c r="E174" s="479">
        <v>0.86</v>
      </c>
      <c r="F174" s="337" t="s">
        <v>1077</v>
      </c>
      <c r="G174" s="332">
        <v>128830</v>
      </c>
      <c r="H174" s="332">
        <v>0</v>
      </c>
      <c r="I174" s="479">
        <v>0</v>
      </c>
      <c r="J174" s="482">
        <v>0.05</v>
      </c>
      <c r="K174" s="485">
        <v>128830</v>
      </c>
      <c r="L174" s="332">
        <v>905</v>
      </c>
      <c r="M174" s="482">
        <v>0.01</v>
      </c>
      <c r="N174" s="485">
        <v>128830</v>
      </c>
      <c r="O174" s="332">
        <v>0</v>
      </c>
      <c r="P174" s="482">
        <v>0</v>
      </c>
      <c r="Q174" s="485">
        <v>128830</v>
      </c>
      <c r="R174" s="332">
        <v>9320</v>
      </c>
      <c r="S174" s="482">
        <v>7.0000000000000007E-2</v>
      </c>
      <c r="T174" s="482">
        <v>0</v>
      </c>
      <c r="U174" s="485">
        <v>29720</v>
      </c>
      <c r="V174" s="332">
        <v>60</v>
      </c>
      <c r="W174" s="482">
        <v>0</v>
      </c>
      <c r="X174" s="325"/>
      <c r="Y174" s="482">
        <v>0</v>
      </c>
      <c r="Z174" s="332">
        <v>4</v>
      </c>
      <c r="AA174" s="326">
        <v>12</v>
      </c>
      <c r="AB174" s="340">
        <v>223</v>
      </c>
      <c r="AC174" s="485">
        <v>127530</v>
      </c>
      <c r="AD174" s="332">
        <v>3905</v>
      </c>
      <c r="AE174" s="482">
        <v>0.03</v>
      </c>
      <c r="AF174" s="325"/>
      <c r="AG174" s="482">
        <v>0</v>
      </c>
      <c r="AH174" s="332">
        <v>36</v>
      </c>
      <c r="AI174" s="326">
        <v>151</v>
      </c>
      <c r="AJ174" s="340">
        <v>445</v>
      </c>
      <c r="AK174" s="332">
        <v>210</v>
      </c>
      <c r="AL174" s="326">
        <v>351</v>
      </c>
      <c r="AM174" s="340">
        <v>1115</v>
      </c>
      <c r="AN174" s="332">
        <v>104</v>
      </c>
      <c r="AO174" s="326">
        <v>234</v>
      </c>
      <c r="AP174" s="340">
        <v>1046</v>
      </c>
      <c r="AQ174" s="485">
        <v>128830</v>
      </c>
      <c r="AR174" s="332">
        <v>0</v>
      </c>
      <c r="AS174" s="482">
        <v>0</v>
      </c>
      <c r="AT174" s="325"/>
      <c r="AU174" s="482">
        <v>0</v>
      </c>
      <c r="AV174" s="332">
        <v>124</v>
      </c>
      <c r="AW174" s="326">
        <v>241</v>
      </c>
      <c r="AX174" s="327">
        <v>1115</v>
      </c>
      <c r="AY174" s="97"/>
      <c r="AZ174" s="97"/>
      <c r="BA174" s="97"/>
    </row>
    <row r="175" spans="1:53" ht="22.5" customHeight="1" x14ac:dyDescent="0.4">
      <c r="A175" s="324" t="s">
        <v>284</v>
      </c>
      <c r="B175" s="335" t="s">
        <v>1230</v>
      </c>
      <c r="C175" s="332">
        <v>22170</v>
      </c>
      <c r="D175" s="326">
        <v>22597</v>
      </c>
      <c r="E175" s="479">
        <v>0.98</v>
      </c>
      <c r="F175" s="337" t="s">
        <v>1067</v>
      </c>
      <c r="G175" s="332">
        <v>22170</v>
      </c>
      <c r="H175" s="332">
        <v>0</v>
      </c>
      <c r="I175" s="479">
        <v>0</v>
      </c>
      <c r="J175" s="482" t="s">
        <v>1274</v>
      </c>
      <c r="K175" s="485">
        <v>22170</v>
      </c>
      <c r="L175" s="332">
        <v>595</v>
      </c>
      <c r="M175" s="482">
        <v>0.03</v>
      </c>
      <c r="N175" s="485">
        <v>22170</v>
      </c>
      <c r="O175" s="332">
        <v>0</v>
      </c>
      <c r="P175" s="482">
        <v>0</v>
      </c>
      <c r="Q175" s="485">
        <v>22170</v>
      </c>
      <c r="R175" s="332">
        <v>1800</v>
      </c>
      <c r="S175" s="482">
        <v>0.08</v>
      </c>
      <c r="T175" s="482">
        <v>0</v>
      </c>
      <c r="U175" s="485">
        <v>10</v>
      </c>
      <c r="V175" s="332">
        <v>0</v>
      </c>
      <c r="W175" s="482" t="s">
        <v>1316</v>
      </c>
      <c r="X175" s="325"/>
      <c r="Y175" s="482" t="s">
        <v>1316</v>
      </c>
      <c r="Z175" s="332">
        <v>11</v>
      </c>
      <c r="AA175" s="326">
        <v>43</v>
      </c>
      <c r="AB175" s="340">
        <v>43</v>
      </c>
      <c r="AC175" s="485">
        <v>21570</v>
      </c>
      <c r="AD175" s="332">
        <v>0</v>
      </c>
      <c r="AE175" s="482">
        <v>0</v>
      </c>
      <c r="AF175" s="325"/>
      <c r="AG175" s="482">
        <v>0</v>
      </c>
      <c r="AH175" s="332">
        <v>17</v>
      </c>
      <c r="AI175" s="326">
        <v>83</v>
      </c>
      <c r="AJ175" s="340">
        <v>1438</v>
      </c>
      <c r="AK175" s="332">
        <v>64</v>
      </c>
      <c r="AL175" s="326">
        <v>159</v>
      </c>
      <c r="AM175" s="340">
        <v>223</v>
      </c>
      <c r="AN175" s="332">
        <v>50</v>
      </c>
      <c r="AO175" s="326">
        <v>152</v>
      </c>
      <c r="AP175" s="340">
        <v>1343</v>
      </c>
      <c r="AQ175" s="485">
        <v>22170</v>
      </c>
      <c r="AR175" s="332">
        <v>0</v>
      </c>
      <c r="AS175" s="482">
        <v>0</v>
      </c>
      <c r="AT175" s="325"/>
      <c r="AU175" s="482">
        <v>0</v>
      </c>
      <c r="AV175" s="332">
        <v>50</v>
      </c>
      <c r="AW175" s="326">
        <v>152</v>
      </c>
      <c r="AX175" s="327">
        <v>1343</v>
      </c>
      <c r="AY175" s="97"/>
      <c r="AZ175" s="97"/>
      <c r="BA175" s="97"/>
    </row>
    <row r="176" spans="1:53" ht="22.5" customHeight="1" x14ac:dyDescent="0.4">
      <c r="A176" s="324" t="s">
        <v>544</v>
      </c>
      <c r="B176" s="335" t="s">
        <v>1231</v>
      </c>
      <c r="C176" s="332">
        <v>88235</v>
      </c>
      <c r="D176" s="326">
        <v>112567</v>
      </c>
      <c r="E176" s="479">
        <v>0.78</v>
      </c>
      <c r="F176" s="337" t="s">
        <v>1093</v>
      </c>
      <c r="G176" s="332">
        <v>88235</v>
      </c>
      <c r="H176" s="332">
        <v>115</v>
      </c>
      <c r="I176" s="479">
        <v>0</v>
      </c>
      <c r="J176" s="482">
        <v>0</v>
      </c>
      <c r="K176" s="485">
        <v>88120</v>
      </c>
      <c r="L176" s="332">
        <v>1945</v>
      </c>
      <c r="M176" s="482">
        <v>0.02</v>
      </c>
      <c r="N176" s="485">
        <v>88235</v>
      </c>
      <c r="O176" s="332">
        <v>0</v>
      </c>
      <c r="P176" s="482">
        <v>0</v>
      </c>
      <c r="Q176" s="485">
        <v>88235</v>
      </c>
      <c r="R176" s="332">
        <v>5585</v>
      </c>
      <c r="S176" s="482">
        <v>0.06</v>
      </c>
      <c r="T176" s="482">
        <v>0</v>
      </c>
      <c r="U176" s="485">
        <v>31545</v>
      </c>
      <c r="V176" s="332">
        <v>2275</v>
      </c>
      <c r="W176" s="482">
        <v>7.0000000000000007E-2</v>
      </c>
      <c r="X176" s="325"/>
      <c r="Y176" s="482">
        <v>0</v>
      </c>
      <c r="Z176" s="332">
        <v>11</v>
      </c>
      <c r="AA176" s="326">
        <v>68</v>
      </c>
      <c r="AB176" s="340">
        <v>659</v>
      </c>
      <c r="AC176" s="485">
        <v>86055</v>
      </c>
      <c r="AD176" s="332">
        <v>7975</v>
      </c>
      <c r="AE176" s="482">
        <v>0.09</v>
      </c>
      <c r="AF176" s="325"/>
      <c r="AG176" s="482">
        <v>0</v>
      </c>
      <c r="AH176" s="332">
        <v>56</v>
      </c>
      <c r="AI176" s="326">
        <v>189</v>
      </c>
      <c r="AJ176" s="340">
        <v>1421</v>
      </c>
      <c r="AK176" s="332">
        <v>235</v>
      </c>
      <c r="AL176" s="326">
        <v>562</v>
      </c>
      <c r="AM176" s="340">
        <v>1428</v>
      </c>
      <c r="AN176" s="332">
        <v>136</v>
      </c>
      <c r="AO176" s="326">
        <v>324</v>
      </c>
      <c r="AP176" s="340">
        <v>1439</v>
      </c>
      <c r="AQ176" s="485">
        <v>88235</v>
      </c>
      <c r="AR176" s="332">
        <v>0</v>
      </c>
      <c r="AS176" s="482">
        <v>0</v>
      </c>
      <c r="AT176" s="325"/>
      <c r="AU176" s="482">
        <v>0</v>
      </c>
      <c r="AV176" s="332">
        <v>162</v>
      </c>
      <c r="AW176" s="326">
        <v>419</v>
      </c>
      <c r="AX176" s="327">
        <v>1439</v>
      </c>
      <c r="AY176" s="97"/>
      <c r="AZ176" s="97"/>
      <c r="BA176" s="97"/>
    </row>
    <row r="177" spans="1:53" ht="22.5" customHeight="1" x14ac:dyDescent="0.4">
      <c r="A177" s="324" t="s">
        <v>591</v>
      </c>
      <c r="B177" s="335" t="s">
        <v>1232</v>
      </c>
      <c r="C177" s="332">
        <v>7695</v>
      </c>
      <c r="D177" s="326">
        <v>7623</v>
      </c>
      <c r="E177" s="479">
        <v>1.01</v>
      </c>
      <c r="F177" s="337" t="s">
        <v>1067</v>
      </c>
      <c r="G177" s="332">
        <v>7695</v>
      </c>
      <c r="H177" s="332">
        <v>0</v>
      </c>
      <c r="I177" s="479">
        <v>0</v>
      </c>
      <c r="J177" s="482">
        <v>0.33</v>
      </c>
      <c r="K177" s="485">
        <v>7695</v>
      </c>
      <c r="L177" s="332">
        <v>40</v>
      </c>
      <c r="M177" s="482">
        <v>0.01</v>
      </c>
      <c r="N177" s="485">
        <v>7695</v>
      </c>
      <c r="O177" s="332">
        <v>0</v>
      </c>
      <c r="P177" s="482">
        <v>0</v>
      </c>
      <c r="Q177" s="485">
        <v>7695</v>
      </c>
      <c r="R177" s="332">
        <v>475</v>
      </c>
      <c r="S177" s="482">
        <v>0.06</v>
      </c>
      <c r="T177" s="482">
        <v>0</v>
      </c>
      <c r="U177" s="485">
        <v>55</v>
      </c>
      <c r="V177" s="332">
        <v>55</v>
      </c>
      <c r="W177" s="482" t="s">
        <v>1316</v>
      </c>
      <c r="X177" s="325"/>
      <c r="Y177" s="482" t="s">
        <v>1316</v>
      </c>
      <c r="Z177" s="332" t="s">
        <v>1276</v>
      </c>
      <c r="AA177" s="326" t="s">
        <v>1276</v>
      </c>
      <c r="AB177" s="340" t="s">
        <v>1276</v>
      </c>
      <c r="AC177" s="485">
        <v>7645</v>
      </c>
      <c r="AD177" s="332" t="s">
        <v>1274</v>
      </c>
      <c r="AE177" s="482" t="s">
        <v>1274</v>
      </c>
      <c r="AF177" s="325"/>
      <c r="AG177" s="482">
        <v>0</v>
      </c>
      <c r="AH177" s="332">
        <v>12</v>
      </c>
      <c r="AI177" s="326">
        <v>79</v>
      </c>
      <c r="AJ177" s="340">
        <v>374</v>
      </c>
      <c r="AK177" s="332" t="s">
        <v>1060</v>
      </c>
      <c r="AL177" s="326" t="s">
        <v>1060</v>
      </c>
      <c r="AM177" s="340" t="s">
        <v>1060</v>
      </c>
      <c r="AN177" s="332">
        <v>61</v>
      </c>
      <c r="AO177" s="326">
        <v>165</v>
      </c>
      <c r="AP177" s="340">
        <v>522</v>
      </c>
      <c r="AQ177" s="485">
        <v>7695</v>
      </c>
      <c r="AR177" s="332">
        <v>0</v>
      </c>
      <c r="AS177" s="482">
        <v>0</v>
      </c>
      <c r="AT177" s="325"/>
      <c r="AU177" s="482">
        <v>0</v>
      </c>
      <c r="AV177" s="332">
        <v>61</v>
      </c>
      <c r="AW177" s="326">
        <v>165</v>
      </c>
      <c r="AX177" s="327">
        <v>522</v>
      </c>
      <c r="AY177" s="97"/>
      <c r="AZ177" s="97"/>
      <c r="BA177" s="97"/>
    </row>
    <row r="178" spans="1:53" ht="22.5" customHeight="1" x14ac:dyDescent="0.4">
      <c r="A178" s="324" t="s">
        <v>598</v>
      </c>
      <c r="B178" s="335" t="s">
        <v>1233</v>
      </c>
      <c r="C178" s="332">
        <v>87360</v>
      </c>
      <c r="D178" s="326">
        <v>87636</v>
      </c>
      <c r="E178" s="479">
        <v>1</v>
      </c>
      <c r="F178" s="337" t="s">
        <v>1067</v>
      </c>
      <c r="G178" s="332">
        <v>87360</v>
      </c>
      <c r="H178" s="332">
        <v>80</v>
      </c>
      <c r="I178" s="479">
        <v>0</v>
      </c>
      <c r="J178" s="482">
        <v>0</v>
      </c>
      <c r="K178" s="485">
        <v>87280</v>
      </c>
      <c r="L178" s="332">
        <v>2625</v>
      </c>
      <c r="M178" s="482">
        <v>0.03</v>
      </c>
      <c r="N178" s="485">
        <v>87365</v>
      </c>
      <c r="O178" s="332" t="s">
        <v>1274</v>
      </c>
      <c r="P178" s="482" t="s">
        <v>1274</v>
      </c>
      <c r="Q178" s="485">
        <v>87360</v>
      </c>
      <c r="R178" s="332">
        <v>4140</v>
      </c>
      <c r="S178" s="482">
        <v>0.05</v>
      </c>
      <c r="T178" s="482">
        <v>0</v>
      </c>
      <c r="U178" s="485">
        <v>29540</v>
      </c>
      <c r="V178" s="332">
        <v>2465</v>
      </c>
      <c r="W178" s="482">
        <v>0.08</v>
      </c>
      <c r="X178" s="325"/>
      <c r="Y178" s="482">
        <v>0</v>
      </c>
      <c r="Z178" s="332">
        <v>15</v>
      </c>
      <c r="AA178" s="326">
        <v>106</v>
      </c>
      <c r="AB178" s="340">
        <v>1433</v>
      </c>
      <c r="AC178" s="485">
        <v>84470</v>
      </c>
      <c r="AD178" s="332">
        <v>7320</v>
      </c>
      <c r="AE178" s="482">
        <v>0.09</v>
      </c>
      <c r="AF178" s="325"/>
      <c r="AG178" s="482">
        <v>0</v>
      </c>
      <c r="AH178" s="332">
        <v>93</v>
      </c>
      <c r="AI178" s="326">
        <v>266</v>
      </c>
      <c r="AJ178" s="340">
        <v>1090</v>
      </c>
      <c r="AK178" s="332">
        <v>239</v>
      </c>
      <c r="AL178" s="326">
        <v>814</v>
      </c>
      <c r="AM178" s="340">
        <v>1438</v>
      </c>
      <c r="AN178" s="332">
        <v>175</v>
      </c>
      <c r="AO178" s="326">
        <v>389</v>
      </c>
      <c r="AP178" s="340">
        <v>1426</v>
      </c>
      <c r="AQ178" s="485">
        <v>87360</v>
      </c>
      <c r="AR178" s="332">
        <v>0</v>
      </c>
      <c r="AS178" s="482">
        <v>0</v>
      </c>
      <c r="AT178" s="325"/>
      <c r="AU178" s="482">
        <v>0</v>
      </c>
      <c r="AV178" s="332">
        <v>203</v>
      </c>
      <c r="AW178" s="326">
        <v>652</v>
      </c>
      <c r="AX178" s="327">
        <v>1438</v>
      </c>
      <c r="AY178" s="97"/>
      <c r="AZ178" s="97"/>
      <c r="BA178" s="97"/>
    </row>
    <row r="179" spans="1:53" ht="22.5" customHeight="1" x14ac:dyDescent="0.4">
      <c r="A179" s="324" t="s">
        <v>584</v>
      </c>
      <c r="B179" s="335" t="s">
        <v>1234</v>
      </c>
      <c r="C179" s="332">
        <v>154140</v>
      </c>
      <c r="D179" s="326">
        <v>160548</v>
      </c>
      <c r="E179" s="479">
        <v>0.96</v>
      </c>
      <c r="F179" s="337" t="s">
        <v>1067</v>
      </c>
      <c r="G179" s="332">
        <v>154140</v>
      </c>
      <c r="H179" s="332">
        <v>4230</v>
      </c>
      <c r="I179" s="479">
        <v>0.03</v>
      </c>
      <c r="J179" s="482">
        <v>0.03</v>
      </c>
      <c r="K179" s="485">
        <v>149910</v>
      </c>
      <c r="L179" s="332">
        <v>8105</v>
      </c>
      <c r="M179" s="482">
        <v>0.05</v>
      </c>
      <c r="N179" s="485">
        <v>154140</v>
      </c>
      <c r="O179" s="332">
        <v>0</v>
      </c>
      <c r="P179" s="482">
        <v>0</v>
      </c>
      <c r="Q179" s="485">
        <v>154140</v>
      </c>
      <c r="R179" s="332">
        <v>12625</v>
      </c>
      <c r="S179" s="482">
        <v>0.08</v>
      </c>
      <c r="T179" s="482">
        <v>0</v>
      </c>
      <c r="U179" s="485">
        <v>32825</v>
      </c>
      <c r="V179" s="332">
        <v>10</v>
      </c>
      <c r="W179" s="482">
        <v>0</v>
      </c>
      <c r="X179" s="325"/>
      <c r="Y179" s="482">
        <v>0</v>
      </c>
      <c r="Z179" s="332">
        <v>1</v>
      </c>
      <c r="AA179" s="326">
        <v>1417</v>
      </c>
      <c r="AB179" s="340">
        <v>1439</v>
      </c>
      <c r="AC179" s="485">
        <v>141720</v>
      </c>
      <c r="AD179" s="332">
        <v>75560</v>
      </c>
      <c r="AE179" s="482">
        <v>0.53</v>
      </c>
      <c r="AF179" s="325"/>
      <c r="AG179" s="482">
        <v>0</v>
      </c>
      <c r="AH179" s="332">
        <v>87</v>
      </c>
      <c r="AI179" s="326">
        <v>222</v>
      </c>
      <c r="AJ179" s="340">
        <v>1439</v>
      </c>
      <c r="AK179" s="332">
        <v>234</v>
      </c>
      <c r="AL179" s="326">
        <v>576</v>
      </c>
      <c r="AM179" s="340">
        <v>1416</v>
      </c>
      <c r="AN179" s="332">
        <v>144</v>
      </c>
      <c r="AO179" s="326">
        <v>239</v>
      </c>
      <c r="AP179" s="340">
        <v>1382</v>
      </c>
      <c r="AQ179" s="485">
        <v>154140</v>
      </c>
      <c r="AR179" s="332" t="s">
        <v>1274</v>
      </c>
      <c r="AS179" s="482" t="s">
        <v>1274</v>
      </c>
      <c r="AT179" s="325"/>
      <c r="AU179" s="482">
        <v>0</v>
      </c>
      <c r="AV179" s="332">
        <v>172</v>
      </c>
      <c r="AW179" s="326">
        <v>361</v>
      </c>
      <c r="AX179" s="327">
        <v>1434</v>
      </c>
      <c r="AY179" s="97"/>
      <c r="AZ179" s="97"/>
      <c r="BA179" s="97"/>
    </row>
    <row r="180" spans="1:53" ht="22.5" customHeight="1" x14ac:dyDescent="0.4">
      <c r="A180" s="324" t="s">
        <v>356</v>
      </c>
      <c r="B180" s="335" t="s">
        <v>1235</v>
      </c>
      <c r="C180" s="332">
        <v>195285</v>
      </c>
      <c r="D180" s="326">
        <v>216635</v>
      </c>
      <c r="E180" s="479">
        <v>0.9</v>
      </c>
      <c r="F180" s="337" t="s">
        <v>1067</v>
      </c>
      <c r="G180" s="332">
        <v>195285</v>
      </c>
      <c r="H180" s="332">
        <v>32330</v>
      </c>
      <c r="I180" s="479">
        <v>0.17</v>
      </c>
      <c r="J180" s="482">
        <v>0</v>
      </c>
      <c r="K180" s="485">
        <v>162955</v>
      </c>
      <c r="L180" s="332">
        <v>6780</v>
      </c>
      <c r="M180" s="482">
        <v>0.04</v>
      </c>
      <c r="N180" s="485">
        <v>195585</v>
      </c>
      <c r="O180" s="332">
        <v>300</v>
      </c>
      <c r="P180" s="482">
        <v>0</v>
      </c>
      <c r="Q180" s="485">
        <v>195285</v>
      </c>
      <c r="R180" s="332">
        <v>10560</v>
      </c>
      <c r="S180" s="482">
        <v>0.05</v>
      </c>
      <c r="T180" s="482">
        <v>0</v>
      </c>
      <c r="U180" s="485">
        <v>63840</v>
      </c>
      <c r="V180" s="332">
        <v>5320</v>
      </c>
      <c r="W180" s="482">
        <v>0.08</v>
      </c>
      <c r="X180" s="325"/>
      <c r="Y180" s="482">
        <v>0</v>
      </c>
      <c r="Z180" s="332">
        <v>2</v>
      </c>
      <c r="AA180" s="326">
        <v>26</v>
      </c>
      <c r="AB180" s="340">
        <v>1432</v>
      </c>
      <c r="AC180" s="485">
        <v>155145</v>
      </c>
      <c r="AD180" s="332">
        <v>9535</v>
      </c>
      <c r="AE180" s="482">
        <v>0.06</v>
      </c>
      <c r="AF180" s="325"/>
      <c r="AG180" s="482">
        <v>0</v>
      </c>
      <c r="AH180" s="332">
        <v>68</v>
      </c>
      <c r="AI180" s="326">
        <v>274</v>
      </c>
      <c r="AJ180" s="340">
        <v>1398</v>
      </c>
      <c r="AK180" s="332">
        <v>239</v>
      </c>
      <c r="AL180" s="326">
        <v>885</v>
      </c>
      <c r="AM180" s="340">
        <v>1428</v>
      </c>
      <c r="AN180" s="332">
        <v>136</v>
      </c>
      <c r="AO180" s="326">
        <v>491</v>
      </c>
      <c r="AP180" s="340">
        <v>1439</v>
      </c>
      <c r="AQ180" s="485">
        <v>195285</v>
      </c>
      <c r="AR180" s="332" t="s">
        <v>1274</v>
      </c>
      <c r="AS180" s="482" t="s">
        <v>1274</v>
      </c>
      <c r="AT180" s="325"/>
      <c r="AU180" s="482">
        <v>0</v>
      </c>
      <c r="AV180" s="332">
        <v>157</v>
      </c>
      <c r="AW180" s="326">
        <v>723</v>
      </c>
      <c r="AX180" s="327">
        <v>1439</v>
      </c>
      <c r="AY180" s="97"/>
      <c r="AZ180" s="97"/>
      <c r="BA180" s="97"/>
    </row>
    <row r="181" spans="1:53" ht="22.5" customHeight="1" x14ac:dyDescent="0.4">
      <c r="A181" s="324" t="s">
        <v>435</v>
      </c>
      <c r="B181" s="335" t="s">
        <v>1236</v>
      </c>
      <c r="C181" s="332">
        <v>45245</v>
      </c>
      <c r="D181" s="326">
        <v>161123</v>
      </c>
      <c r="E181" s="479">
        <v>0.28000000000000003</v>
      </c>
      <c r="F181" s="337" t="s">
        <v>1093</v>
      </c>
      <c r="G181" s="332">
        <v>45245</v>
      </c>
      <c r="H181" s="332">
        <v>0</v>
      </c>
      <c r="I181" s="479">
        <v>0</v>
      </c>
      <c r="J181" s="482">
        <v>0.01</v>
      </c>
      <c r="K181" s="485">
        <v>45245</v>
      </c>
      <c r="L181" s="332">
        <v>870</v>
      </c>
      <c r="M181" s="482">
        <v>0.02</v>
      </c>
      <c r="N181" s="485">
        <v>164515</v>
      </c>
      <c r="O181" s="332">
        <v>119270</v>
      </c>
      <c r="P181" s="482">
        <v>0.72</v>
      </c>
      <c r="Q181" s="485">
        <v>45245</v>
      </c>
      <c r="R181" s="332">
        <v>2720</v>
      </c>
      <c r="S181" s="482">
        <v>0.06</v>
      </c>
      <c r="T181" s="482">
        <v>0</v>
      </c>
      <c r="U181" s="485">
        <v>21710</v>
      </c>
      <c r="V181" s="332">
        <v>5845</v>
      </c>
      <c r="W181" s="482">
        <v>0.27</v>
      </c>
      <c r="X181" s="325"/>
      <c r="Y181" s="482">
        <v>0</v>
      </c>
      <c r="Z181" s="332">
        <v>7</v>
      </c>
      <c r="AA181" s="326">
        <v>62</v>
      </c>
      <c r="AB181" s="340">
        <v>1436</v>
      </c>
      <c r="AC181" s="485">
        <v>43995</v>
      </c>
      <c r="AD181" s="332">
        <v>2745</v>
      </c>
      <c r="AE181" s="482">
        <v>0.06</v>
      </c>
      <c r="AF181" s="325"/>
      <c r="AG181" s="482">
        <v>0</v>
      </c>
      <c r="AH181" s="332">
        <v>56</v>
      </c>
      <c r="AI181" s="326">
        <v>189</v>
      </c>
      <c r="AJ181" s="340">
        <v>1439</v>
      </c>
      <c r="AK181" s="332">
        <v>224</v>
      </c>
      <c r="AL181" s="326">
        <v>370</v>
      </c>
      <c r="AM181" s="340">
        <v>1408</v>
      </c>
      <c r="AN181" s="332">
        <v>160</v>
      </c>
      <c r="AO181" s="326">
        <v>258</v>
      </c>
      <c r="AP181" s="340">
        <v>1151</v>
      </c>
      <c r="AQ181" s="485">
        <v>45245</v>
      </c>
      <c r="AR181" s="332">
        <v>95</v>
      </c>
      <c r="AS181" s="482">
        <v>0</v>
      </c>
      <c r="AT181" s="325"/>
      <c r="AU181" s="482">
        <v>0</v>
      </c>
      <c r="AV181" s="332">
        <v>190</v>
      </c>
      <c r="AW181" s="326">
        <v>323</v>
      </c>
      <c r="AX181" s="327">
        <v>1408</v>
      </c>
      <c r="AY181" s="97"/>
      <c r="AZ181" s="97"/>
      <c r="BA181" s="97"/>
    </row>
    <row r="182" spans="1:53" ht="22.5" customHeight="1" x14ac:dyDescent="0.4">
      <c r="A182" s="324" t="s">
        <v>500</v>
      </c>
      <c r="B182" s="335" t="s">
        <v>1237</v>
      </c>
      <c r="C182" s="332">
        <v>81450</v>
      </c>
      <c r="D182" s="326">
        <v>118810</v>
      </c>
      <c r="E182" s="479">
        <v>0.69</v>
      </c>
      <c r="F182" s="337" t="s">
        <v>1093</v>
      </c>
      <c r="G182" s="332">
        <v>81450</v>
      </c>
      <c r="H182" s="332">
        <v>285</v>
      </c>
      <c r="I182" s="479">
        <v>0</v>
      </c>
      <c r="J182" s="482">
        <v>0</v>
      </c>
      <c r="K182" s="485">
        <v>81165</v>
      </c>
      <c r="L182" s="332">
        <v>1445</v>
      </c>
      <c r="M182" s="482">
        <v>0.02</v>
      </c>
      <c r="N182" s="485">
        <v>81530</v>
      </c>
      <c r="O182" s="332">
        <v>80</v>
      </c>
      <c r="P182" s="482">
        <v>0</v>
      </c>
      <c r="Q182" s="485">
        <v>81450</v>
      </c>
      <c r="R182" s="332">
        <v>6760</v>
      </c>
      <c r="S182" s="482">
        <v>0.08</v>
      </c>
      <c r="T182" s="482">
        <v>0</v>
      </c>
      <c r="U182" s="485">
        <v>19820</v>
      </c>
      <c r="V182" s="332">
        <v>80</v>
      </c>
      <c r="W182" s="482">
        <v>0</v>
      </c>
      <c r="X182" s="325"/>
      <c r="Y182" s="482">
        <v>0</v>
      </c>
      <c r="Z182" s="332">
        <v>0</v>
      </c>
      <c r="AA182" s="326">
        <v>12</v>
      </c>
      <c r="AB182" s="340">
        <v>1437</v>
      </c>
      <c r="AC182" s="485">
        <v>79560</v>
      </c>
      <c r="AD182" s="332">
        <v>205</v>
      </c>
      <c r="AE182" s="482">
        <v>0</v>
      </c>
      <c r="AF182" s="325"/>
      <c r="AG182" s="482">
        <v>0</v>
      </c>
      <c r="AH182" s="332">
        <v>65</v>
      </c>
      <c r="AI182" s="326">
        <v>229</v>
      </c>
      <c r="AJ182" s="340">
        <v>1259</v>
      </c>
      <c r="AK182" s="332">
        <v>258</v>
      </c>
      <c r="AL182" s="326">
        <v>928</v>
      </c>
      <c r="AM182" s="340">
        <v>1433</v>
      </c>
      <c r="AN182" s="332">
        <v>133</v>
      </c>
      <c r="AO182" s="326">
        <v>355</v>
      </c>
      <c r="AP182" s="340">
        <v>1429</v>
      </c>
      <c r="AQ182" s="485">
        <v>81450</v>
      </c>
      <c r="AR182" s="332">
        <v>10</v>
      </c>
      <c r="AS182" s="482">
        <v>0</v>
      </c>
      <c r="AT182" s="325"/>
      <c r="AU182" s="482">
        <v>0</v>
      </c>
      <c r="AV182" s="332">
        <v>160</v>
      </c>
      <c r="AW182" s="326">
        <v>580</v>
      </c>
      <c r="AX182" s="327">
        <v>1433</v>
      </c>
      <c r="AY182" s="97"/>
      <c r="AZ182" s="97"/>
      <c r="BA182" s="97"/>
    </row>
    <row r="183" spans="1:53" ht="22.5" customHeight="1" x14ac:dyDescent="0.4">
      <c r="A183" s="324" t="s">
        <v>499</v>
      </c>
      <c r="B183" s="335" t="s">
        <v>1238</v>
      </c>
      <c r="C183" s="332">
        <v>15280</v>
      </c>
      <c r="D183" s="326">
        <v>14496</v>
      </c>
      <c r="E183" s="479">
        <v>1.05</v>
      </c>
      <c r="F183" s="337" t="s">
        <v>1067</v>
      </c>
      <c r="G183" s="332">
        <v>15280</v>
      </c>
      <c r="H183" s="332" t="s">
        <v>1274</v>
      </c>
      <c r="I183" s="479" t="s">
        <v>1274</v>
      </c>
      <c r="J183" s="482" t="s">
        <v>1274</v>
      </c>
      <c r="K183" s="485">
        <v>15280</v>
      </c>
      <c r="L183" s="332">
        <v>130</v>
      </c>
      <c r="M183" s="482">
        <v>0.01</v>
      </c>
      <c r="N183" s="485">
        <v>15280</v>
      </c>
      <c r="O183" s="332">
        <v>0</v>
      </c>
      <c r="P183" s="482">
        <v>0</v>
      </c>
      <c r="Q183" s="485">
        <v>15280</v>
      </c>
      <c r="R183" s="332">
        <v>630</v>
      </c>
      <c r="S183" s="482">
        <v>0.04</v>
      </c>
      <c r="T183" s="482">
        <v>0</v>
      </c>
      <c r="U183" s="485">
        <v>35</v>
      </c>
      <c r="V183" s="332">
        <v>0</v>
      </c>
      <c r="W183" s="482" t="s">
        <v>1316</v>
      </c>
      <c r="X183" s="325"/>
      <c r="Y183" s="482" t="s">
        <v>1316</v>
      </c>
      <c r="Z183" s="332">
        <v>12</v>
      </c>
      <c r="AA183" s="326">
        <v>140</v>
      </c>
      <c r="AB183" s="340">
        <v>141</v>
      </c>
      <c r="AC183" s="485">
        <v>15135</v>
      </c>
      <c r="AD183" s="332">
        <v>130</v>
      </c>
      <c r="AE183" s="482">
        <v>0.01</v>
      </c>
      <c r="AF183" s="325"/>
      <c r="AG183" s="482">
        <v>0</v>
      </c>
      <c r="AH183" s="332">
        <v>18</v>
      </c>
      <c r="AI183" s="326">
        <v>108</v>
      </c>
      <c r="AJ183" s="340">
        <v>1347</v>
      </c>
      <c r="AK183" s="332">
        <v>77</v>
      </c>
      <c r="AL183" s="326">
        <v>207</v>
      </c>
      <c r="AM183" s="340">
        <v>237</v>
      </c>
      <c r="AN183" s="332">
        <v>43</v>
      </c>
      <c r="AO183" s="326">
        <v>157</v>
      </c>
      <c r="AP183" s="340">
        <v>1403</v>
      </c>
      <c r="AQ183" s="485">
        <v>15280</v>
      </c>
      <c r="AR183" s="332" t="s">
        <v>1274</v>
      </c>
      <c r="AS183" s="482" t="s">
        <v>1274</v>
      </c>
      <c r="AT183" s="325"/>
      <c r="AU183" s="482">
        <v>0</v>
      </c>
      <c r="AV183" s="332">
        <v>44</v>
      </c>
      <c r="AW183" s="326">
        <v>158</v>
      </c>
      <c r="AX183" s="327">
        <v>1403</v>
      </c>
      <c r="AY183" s="97"/>
      <c r="AZ183" s="97"/>
      <c r="BA183" s="97"/>
    </row>
    <row r="184" spans="1:53" ht="22.5" customHeight="1" x14ac:dyDescent="0.4">
      <c r="A184" s="324" t="s">
        <v>449</v>
      </c>
      <c r="B184" s="335" t="s">
        <v>1239</v>
      </c>
      <c r="C184" s="332">
        <v>328955</v>
      </c>
      <c r="D184" s="326">
        <v>356787</v>
      </c>
      <c r="E184" s="479">
        <v>0.92</v>
      </c>
      <c r="F184" s="337" t="s">
        <v>1067</v>
      </c>
      <c r="G184" s="332">
        <v>328955</v>
      </c>
      <c r="H184" s="332">
        <v>0</v>
      </c>
      <c r="I184" s="479">
        <v>0</v>
      </c>
      <c r="J184" s="482">
        <v>0</v>
      </c>
      <c r="K184" s="485">
        <v>328955</v>
      </c>
      <c r="L184" s="332">
        <v>11850</v>
      </c>
      <c r="M184" s="482">
        <v>0.04</v>
      </c>
      <c r="N184" s="485">
        <v>328955</v>
      </c>
      <c r="O184" s="332">
        <v>0</v>
      </c>
      <c r="P184" s="482">
        <v>0</v>
      </c>
      <c r="Q184" s="485">
        <v>328955</v>
      </c>
      <c r="R184" s="332">
        <v>32805</v>
      </c>
      <c r="S184" s="482">
        <v>0.1</v>
      </c>
      <c r="T184" s="482">
        <v>0</v>
      </c>
      <c r="U184" s="485">
        <v>81600</v>
      </c>
      <c r="V184" s="332">
        <v>2260</v>
      </c>
      <c r="W184" s="482">
        <v>0.03</v>
      </c>
      <c r="X184" s="325"/>
      <c r="Y184" s="482">
        <v>0</v>
      </c>
      <c r="Z184" s="332">
        <v>8</v>
      </c>
      <c r="AA184" s="326">
        <v>36</v>
      </c>
      <c r="AB184" s="340">
        <v>1397</v>
      </c>
      <c r="AC184" s="485">
        <v>314900</v>
      </c>
      <c r="AD184" s="332">
        <v>80</v>
      </c>
      <c r="AE184" s="482">
        <v>0</v>
      </c>
      <c r="AF184" s="325"/>
      <c r="AG184" s="482">
        <v>0</v>
      </c>
      <c r="AH184" s="332">
        <v>68</v>
      </c>
      <c r="AI184" s="326">
        <v>237</v>
      </c>
      <c r="AJ184" s="340">
        <v>1435</v>
      </c>
      <c r="AK184" s="332">
        <v>237</v>
      </c>
      <c r="AL184" s="326">
        <v>801</v>
      </c>
      <c r="AM184" s="340">
        <v>1439</v>
      </c>
      <c r="AN184" s="332">
        <v>144</v>
      </c>
      <c r="AO184" s="326">
        <v>339</v>
      </c>
      <c r="AP184" s="340">
        <v>1438</v>
      </c>
      <c r="AQ184" s="485">
        <v>328955</v>
      </c>
      <c r="AR184" s="332">
        <v>0</v>
      </c>
      <c r="AS184" s="482">
        <v>0</v>
      </c>
      <c r="AT184" s="325"/>
      <c r="AU184" s="482">
        <v>0</v>
      </c>
      <c r="AV184" s="332">
        <v>163</v>
      </c>
      <c r="AW184" s="326">
        <v>488</v>
      </c>
      <c r="AX184" s="327">
        <v>1439</v>
      </c>
      <c r="AY184" s="97"/>
      <c r="AZ184" s="97"/>
      <c r="BA184" s="97"/>
    </row>
    <row r="185" spans="1:53" ht="22.5" customHeight="1" x14ac:dyDescent="0.4">
      <c r="A185" s="324" t="s">
        <v>386</v>
      </c>
      <c r="B185" s="335" t="s">
        <v>1240</v>
      </c>
      <c r="C185" s="332">
        <v>146760</v>
      </c>
      <c r="D185" s="326">
        <v>147175</v>
      </c>
      <c r="E185" s="479">
        <v>1</v>
      </c>
      <c r="F185" s="337" t="s">
        <v>1067</v>
      </c>
      <c r="G185" s="332">
        <v>146760</v>
      </c>
      <c r="H185" s="332">
        <v>0</v>
      </c>
      <c r="I185" s="479">
        <v>0</v>
      </c>
      <c r="J185" s="482">
        <v>0</v>
      </c>
      <c r="K185" s="485">
        <v>146760</v>
      </c>
      <c r="L185" s="332">
        <v>5000</v>
      </c>
      <c r="M185" s="482">
        <v>0.03</v>
      </c>
      <c r="N185" s="485">
        <v>146780</v>
      </c>
      <c r="O185" s="332">
        <v>20</v>
      </c>
      <c r="P185" s="482">
        <v>0</v>
      </c>
      <c r="Q185" s="485">
        <v>146760</v>
      </c>
      <c r="R185" s="332">
        <v>11835</v>
      </c>
      <c r="S185" s="482">
        <v>0.08</v>
      </c>
      <c r="T185" s="482">
        <v>0</v>
      </c>
      <c r="U185" s="485">
        <v>48645</v>
      </c>
      <c r="V185" s="332">
        <v>26620</v>
      </c>
      <c r="W185" s="482">
        <v>0.55000000000000004</v>
      </c>
      <c r="X185" s="325"/>
      <c r="Y185" s="482">
        <v>0</v>
      </c>
      <c r="Z185" s="332">
        <v>12</v>
      </c>
      <c r="AA185" s="326">
        <v>87</v>
      </c>
      <c r="AB185" s="340">
        <v>887</v>
      </c>
      <c r="AC185" s="485">
        <v>141405</v>
      </c>
      <c r="AD185" s="332">
        <v>5735</v>
      </c>
      <c r="AE185" s="482">
        <v>0.04</v>
      </c>
      <c r="AF185" s="325"/>
      <c r="AG185" s="482">
        <v>0</v>
      </c>
      <c r="AH185" s="332">
        <v>65</v>
      </c>
      <c r="AI185" s="326">
        <v>190</v>
      </c>
      <c r="AJ185" s="340">
        <v>1438</v>
      </c>
      <c r="AK185" s="332">
        <v>235</v>
      </c>
      <c r="AL185" s="326">
        <v>552</v>
      </c>
      <c r="AM185" s="340">
        <v>1126</v>
      </c>
      <c r="AN185" s="332">
        <v>130</v>
      </c>
      <c r="AO185" s="326">
        <v>303</v>
      </c>
      <c r="AP185" s="340">
        <v>1402</v>
      </c>
      <c r="AQ185" s="485">
        <v>146760</v>
      </c>
      <c r="AR185" s="332">
        <v>0</v>
      </c>
      <c r="AS185" s="482">
        <v>0</v>
      </c>
      <c r="AT185" s="325"/>
      <c r="AU185" s="482">
        <v>0</v>
      </c>
      <c r="AV185" s="332">
        <v>157</v>
      </c>
      <c r="AW185" s="326">
        <v>396</v>
      </c>
      <c r="AX185" s="327">
        <v>1402</v>
      </c>
      <c r="AY185" s="97"/>
      <c r="AZ185" s="97"/>
      <c r="BA185" s="97"/>
    </row>
    <row r="186" spans="1:53" ht="22.5" customHeight="1" x14ac:dyDescent="0.4">
      <c r="A186" s="324" t="s">
        <v>530</v>
      </c>
      <c r="B186" s="335" t="s">
        <v>1241</v>
      </c>
      <c r="C186" s="332">
        <v>147815</v>
      </c>
      <c r="D186" s="326">
        <v>155099</v>
      </c>
      <c r="E186" s="479">
        <v>0.95</v>
      </c>
      <c r="F186" s="337" t="s">
        <v>1067</v>
      </c>
      <c r="G186" s="332">
        <v>147815</v>
      </c>
      <c r="H186" s="332">
        <v>20</v>
      </c>
      <c r="I186" s="479">
        <v>0</v>
      </c>
      <c r="J186" s="482">
        <v>0</v>
      </c>
      <c r="K186" s="485">
        <v>147795</v>
      </c>
      <c r="L186" s="332">
        <v>3005</v>
      </c>
      <c r="M186" s="482">
        <v>0.02</v>
      </c>
      <c r="N186" s="485">
        <v>147815</v>
      </c>
      <c r="O186" s="332">
        <v>0</v>
      </c>
      <c r="P186" s="482">
        <v>0</v>
      </c>
      <c r="Q186" s="485">
        <v>147815</v>
      </c>
      <c r="R186" s="332">
        <v>9855</v>
      </c>
      <c r="S186" s="482">
        <v>7.0000000000000007E-2</v>
      </c>
      <c r="T186" s="482">
        <v>0</v>
      </c>
      <c r="U186" s="485">
        <v>49455</v>
      </c>
      <c r="V186" s="332">
        <v>22520</v>
      </c>
      <c r="W186" s="482">
        <v>0.46</v>
      </c>
      <c r="X186" s="325"/>
      <c r="Y186" s="482">
        <v>0</v>
      </c>
      <c r="Z186" s="332">
        <v>10</v>
      </c>
      <c r="AA186" s="326">
        <v>91</v>
      </c>
      <c r="AB186" s="340">
        <v>1097</v>
      </c>
      <c r="AC186" s="485">
        <v>144710</v>
      </c>
      <c r="AD186" s="332">
        <v>890</v>
      </c>
      <c r="AE186" s="482">
        <v>0.01</v>
      </c>
      <c r="AF186" s="325"/>
      <c r="AG186" s="482">
        <v>0</v>
      </c>
      <c r="AH186" s="332">
        <v>73</v>
      </c>
      <c r="AI186" s="326">
        <v>229</v>
      </c>
      <c r="AJ186" s="340">
        <v>1136</v>
      </c>
      <c r="AK186" s="332">
        <v>243</v>
      </c>
      <c r="AL186" s="326">
        <v>782</v>
      </c>
      <c r="AM186" s="340">
        <v>1353</v>
      </c>
      <c r="AN186" s="332">
        <v>155</v>
      </c>
      <c r="AO186" s="326">
        <v>390</v>
      </c>
      <c r="AP186" s="340">
        <v>1431</v>
      </c>
      <c r="AQ186" s="485">
        <v>147815</v>
      </c>
      <c r="AR186" s="332">
        <v>0</v>
      </c>
      <c r="AS186" s="482">
        <v>0</v>
      </c>
      <c r="AT186" s="325"/>
      <c r="AU186" s="482">
        <v>0</v>
      </c>
      <c r="AV186" s="332">
        <v>183</v>
      </c>
      <c r="AW186" s="326">
        <v>570</v>
      </c>
      <c r="AX186" s="327">
        <v>1431</v>
      </c>
      <c r="AY186" s="97"/>
      <c r="AZ186" s="97"/>
      <c r="BA186" s="97"/>
    </row>
    <row r="187" spans="1:53" ht="22.5" customHeight="1" x14ac:dyDescent="0.4">
      <c r="A187" s="324" t="s">
        <v>542</v>
      </c>
      <c r="B187" s="335" t="s">
        <v>1242</v>
      </c>
      <c r="C187" s="332">
        <v>230280</v>
      </c>
      <c r="D187" s="326">
        <v>234856</v>
      </c>
      <c r="E187" s="479">
        <v>0.98</v>
      </c>
      <c r="F187" s="337" t="s">
        <v>1067</v>
      </c>
      <c r="G187" s="332">
        <v>230280</v>
      </c>
      <c r="H187" s="332">
        <v>0</v>
      </c>
      <c r="I187" s="479">
        <v>0</v>
      </c>
      <c r="J187" s="482">
        <v>0</v>
      </c>
      <c r="K187" s="485">
        <v>230280</v>
      </c>
      <c r="L187" s="332">
        <v>2695</v>
      </c>
      <c r="M187" s="482">
        <v>0.01</v>
      </c>
      <c r="N187" s="485">
        <v>231485</v>
      </c>
      <c r="O187" s="332">
        <v>1210</v>
      </c>
      <c r="P187" s="482">
        <v>0.01</v>
      </c>
      <c r="Q187" s="485">
        <v>230280</v>
      </c>
      <c r="R187" s="332">
        <v>17490</v>
      </c>
      <c r="S187" s="482">
        <v>0.08</v>
      </c>
      <c r="T187" s="482">
        <v>0</v>
      </c>
      <c r="U187" s="485">
        <v>36620</v>
      </c>
      <c r="V187" s="332">
        <v>0</v>
      </c>
      <c r="W187" s="482">
        <v>0</v>
      </c>
      <c r="X187" s="325"/>
      <c r="Y187" s="482">
        <v>0</v>
      </c>
      <c r="Z187" s="332">
        <v>6</v>
      </c>
      <c r="AA187" s="326">
        <v>56</v>
      </c>
      <c r="AB187" s="340">
        <v>1439</v>
      </c>
      <c r="AC187" s="485">
        <v>227570</v>
      </c>
      <c r="AD187" s="332">
        <v>370</v>
      </c>
      <c r="AE187" s="482">
        <v>0</v>
      </c>
      <c r="AF187" s="325"/>
      <c r="AG187" s="482">
        <v>0</v>
      </c>
      <c r="AH187" s="332">
        <v>45</v>
      </c>
      <c r="AI187" s="326">
        <v>236</v>
      </c>
      <c r="AJ187" s="340">
        <v>1439</v>
      </c>
      <c r="AK187" s="332">
        <v>224</v>
      </c>
      <c r="AL187" s="326">
        <v>544</v>
      </c>
      <c r="AM187" s="340">
        <v>1416</v>
      </c>
      <c r="AN187" s="332">
        <v>139</v>
      </c>
      <c r="AO187" s="326">
        <v>473</v>
      </c>
      <c r="AP187" s="340">
        <v>1439</v>
      </c>
      <c r="AQ187" s="485">
        <v>230280</v>
      </c>
      <c r="AR187" s="332">
        <v>0</v>
      </c>
      <c r="AS187" s="482">
        <v>0</v>
      </c>
      <c r="AT187" s="325"/>
      <c r="AU187" s="482">
        <v>0</v>
      </c>
      <c r="AV187" s="332">
        <v>149</v>
      </c>
      <c r="AW187" s="326">
        <v>487</v>
      </c>
      <c r="AX187" s="327">
        <v>1439</v>
      </c>
      <c r="AY187" s="97"/>
      <c r="AZ187" s="97"/>
      <c r="BA187" s="97"/>
    </row>
    <row r="188" spans="1:53" ht="22.5" customHeight="1" x14ac:dyDescent="0.4">
      <c r="A188" s="324" t="s">
        <v>415</v>
      </c>
      <c r="B188" s="335" t="s">
        <v>1243</v>
      </c>
      <c r="C188" s="332">
        <v>170205</v>
      </c>
      <c r="D188" s="326">
        <v>170155</v>
      </c>
      <c r="E188" s="479">
        <v>1</v>
      </c>
      <c r="F188" s="337" t="s">
        <v>1067</v>
      </c>
      <c r="G188" s="332">
        <v>170205</v>
      </c>
      <c r="H188" s="332" t="s">
        <v>1274</v>
      </c>
      <c r="I188" s="479" t="s">
        <v>1274</v>
      </c>
      <c r="J188" s="482">
        <v>0.01</v>
      </c>
      <c r="K188" s="485">
        <v>170205</v>
      </c>
      <c r="L188" s="332">
        <v>4745</v>
      </c>
      <c r="M188" s="482">
        <v>0.03</v>
      </c>
      <c r="N188" s="485">
        <v>170205</v>
      </c>
      <c r="O188" s="332">
        <v>0</v>
      </c>
      <c r="P188" s="482">
        <v>0</v>
      </c>
      <c r="Q188" s="485">
        <v>170205</v>
      </c>
      <c r="R188" s="332">
        <v>17605</v>
      </c>
      <c r="S188" s="482">
        <v>0.1</v>
      </c>
      <c r="T188" s="482">
        <v>0</v>
      </c>
      <c r="U188" s="485">
        <v>40225</v>
      </c>
      <c r="V188" s="332">
        <v>6595</v>
      </c>
      <c r="W188" s="482">
        <v>0.16</v>
      </c>
      <c r="X188" s="325"/>
      <c r="Y188" s="482">
        <v>0</v>
      </c>
      <c r="Z188" s="332">
        <v>0</v>
      </c>
      <c r="AA188" s="326">
        <v>13</v>
      </c>
      <c r="AB188" s="340">
        <v>852</v>
      </c>
      <c r="AC188" s="485">
        <v>164920</v>
      </c>
      <c r="AD188" s="332">
        <v>20</v>
      </c>
      <c r="AE188" s="482">
        <v>0</v>
      </c>
      <c r="AF188" s="325"/>
      <c r="AG188" s="482">
        <v>0</v>
      </c>
      <c r="AH188" s="332">
        <v>46</v>
      </c>
      <c r="AI188" s="326">
        <v>191</v>
      </c>
      <c r="AJ188" s="340">
        <v>1437</v>
      </c>
      <c r="AK188" s="332">
        <v>239</v>
      </c>
      <c r="AL188" s="326">
        <v>979</v>
      </c>
      <c r="AM188" s="340">
        <v>1436</v>
      </c>
      <c r="AN188" s="332">
        <v>150</v>
      </c>
      <c r="AO188" s="326">
        <v>240</v>
      </c>
      <c r="AP188" s="340">
        <v>1439</v>
      </c>
      <c r="AQ188" s="485">
        <v>170205</v>
      </c>
      <c r="AR188" s="332">
        <v>0</v>
      </c>
      <c r="AS188" s="482">
        <v>0</v>
      </c>
      <c r="AT188" s="325"/>
      <c r="AU188" s="482">
        <v>0</v>
      </c>
      <c r="AV188" s="332">
        <v>174</v>
      </c>
      <c r="AW188" s="326">
        <v>542</v>
      </c>
      <c r="AX188" s="327">
        <v>1439</v>
      </c>
      <c r="AY188" s="97"/>
      <c r="AZ188" s="97"/>
      <c r="BA188" s="97"/>
    </row>
    <row r="189" spans="1:53" ht="22.5" customHeight="1" x14ac:dyDescent="0.4">
      <c r="A189" s="324" t="s">
        <v>551</v>
      </c>
      <c r="B189" s="335" t="s">
        <v>1244</v>
      </c>
      <c r="C189" s="332">
        <v>136055</v>
      </c>
      <c r="D189" s="326">
        <v>138810</v>
      </c>
      <c r="E189" s="479">
        <v>0.98</v>
      </c>
      <c r="F189" s="337" t="s">
        <v>1067</v>
      </c>
      <c r="G189" s="332">
        <v>136055</v>
      </c>
      <c r="H189" s="332">
        <v>1090</v>
      </c>
      <c r="I189" s="479">
        <v>0.01</v>
      </c>
      <c r="J189" s="482">
        <v>0.01</v>
      </c>
      <c r="K189" s="485">
        <v>134965</v>
      </c>
      <c r="L189" s="332">
        <v>3270</v>
      </c>
      <c r="M189" s="482">
        <v>0.02</v>
      </c>
      <c r="N189" s="485">
        <v>136055</v>
      </c>
      <c r="O189" s="332">
        <v>0</v>
      </c>
      <c r="P189" s="482">
        <v>0</v>
      </c>
      <c r="Q189" s="485">
        <v>136055</v>
      </c>
      <c r="R189" s="332">
        <v>11605</v>
      </c>
      <c r="S189" s="482">
        <v>0.09</v>
      </c>
      <c r="T189" s="482">
        <v>0</v>
      </c>
      <c r="U189" s="485">
        <v>29990</v>
      </c>
      <c r="V189" s="332">
        <v>0</v>
      </c>
      <c r="W189" s="482">
        <v>0</v>
      </c>
      <c r="X189" s="325"/>
      <c r="Y189" s="482">
        <v>0</v>
      </c>
      <c r="Z189" s="332">
        <v>0</v>
      </c>
      <c r="AA189" s="326">
        <v>73</v>
      </c>
      <c r="AB189" s="340">
        <v>1439</v>
      </c>
      <c r="AC189" s="485">
        <v>131450</v>
      </c>
      <c r="AD189" s="332">
        <v>7145</v>
      </c>
      <c r="AE189" s="482">
        <v>0.05</v>
      </c>
      <c r="AF189" s="325"/>
      <c r="AG189" s="482">
        <v>0</v>
      </c>
      <c r="AH189" s="332">
        <v>67</v>
      </c>
      <c r="AI189" s="326">
        <v>217</v>
      </c>
      <c r="AJ189" s="340">
        <v>1439</v>
      </c>
      <c r="AK189" s="332">
        <v>269</v>
      </c>
      <c r="AL189" s="326">
        <v>818</v>
      </c>
      <c r="AM189" s="340">
        <v>1407</v>
      </c>
      <c r="AN189" s="332">
        <v>131</v>
      </c>
      <c r="AO189" s="326">
        <v>346</v>
      </c>
      <c r="AP189" s="340">
        <v>1432</v>
      </c>
      <c r="AQ189" s="485">
        <v>136055</v>
      </c>
      <c r="AR189" s="332">
        <v>0</v>
      </c>
      <c r="AS189" s="482">
        <v>0</v>
      </c>
      <c r="AT189" s="325"/>
      <c r="AU189" s="482">
        <v>0</v>
      </c>
      <c r="AV189" s="332">
        <v>155</v>
      </c>
      <c r="AW189" s="326">
        <v>554</v>
      </c>
      <c r="AX189" s="327">
        <v>1438</v>
      </c>
      <c r="AY189" s="97"/>
      <c r="AZ189" s="97"/>
      <c r="BA189" s="97"/>
    </row>
    <row r="190" spans="1:53" ht="22.5" customHeight="1" x14ac:dyDescent="0.4">
      <c r="A190" s="324" t="s">
        <v>352</v>
      </c>
      <c r="B190" s="335" t="s">
        <v>1245</v>
      </c>
      <c r="C190" s="332">
        <v>139800</v>
      </c>
      <c r="D190" s="326">
        <v>137881</v>
      </c>
      <c r="E190" s="479">
        <v>1.01</v>
      </c>
      <c r="F190" s="337" t="s">
        <v>1067</v>
      </c>
      <c r="G190" s="332">
        <v>139800</v>
      </c>
      <c r="H190" s="332">
        <v>50</v>
      </c>
      <c r="I190" s="479">
        <v>0</v>
      </c>
      <c r="J190" s="482">
        <v>0.05</v>
      </c>
      <c r="K190" s="485">
        <v>139755</v>
      </c>
      <c r="L190" s="332">
        <v>2355</v>
      </c>
      <c r="M190" s="482">
        <v>0.02</v>
      </c>
      <c r="N190" s="485">
        <v>140035</v>
      </c>
      <c r="O190" s="332">
        <v>235</v>
      </c>
      <c r="P190" s="482">
        <v>0</v>
      </c>
      <c r="Q190" s="485">
        <v>139800</v>
      </c>
      <c r="R190" s="332">
        <v>12590</v>
      </c>
      <c r="S190" s="482">
        <v>0.09</v>
      </c>
      <c r="T190" s="482">
        <v>0</v>
      </c>
      <c r="U190" s="485">
        <v>27455</v>
      </c>
      <c r="V190" s="332">
        <v>15055</v>
      </c>
      <c r="W190" s="482">
        <v>0.55000000000000004</v>
      </c>
      <c r="X190" s="325"/>
      <c r="Y190" s="482">
        <v>0</v>
      </c>
      <c r="Z190" s="332">
        <v>4</v>
      </c>
      <c r="AA190" s="326">
        <v>13</v>
      </c>
      <c r="AB190" s="340">
        <v>1416</v>
      </c>
      <c r="AC190" s="485">
        <v>137225</v>
      </c>
      <c r="AD190" s="332">
        <v>91495</v>
      </c>
      <c r="AE190" s="482">
        <v>0.67</v>
      </c>
      <c r="AF190" s="325"/>
      <c r="AG190" s="482">
        <v>0</v>
      </c>
      <c r="AH190" s="332">
        <v>77</v>
      </c>
      <c r="AI190" s="326">
        <v>253</v>
      </c>
      <c r="AJ190" s="340">
        <v>1439</v>
      </c>
      <c r="AK190" s="332">
        <v>239</v>
      </c>
      <c r="AL190" s="326">
        <v>759</v>
      </c>
      <c r="AM190" s="340">
        <v>1434</v>
      </c>
      <c r="AN190" s="332">
        <v>131</v>
      </c>
      <c r="AO190" s="326">
        <v>370</v>
      </c>
      <c r="AP190" s="340">
        <v>1439</v>
      </c>
      <c r="AQ190" s="485">
        <v>139800</v>
      </c>
      <c r="AR190" s="332">
        <v>125</v>
      </c>
      <c r="AS190" s="482">
        <v>0</v>
      </c>
      <c r="AT190" s="325"/>
      <c r="AU190" s="482">
        <v>0</v>
      </c>
      <c r="AV190" s="332">
        <v>149</v>
      </c>
      <c r="AW190" s="326">
        <v>507</v>
      </c>
      <c r="AX190" s="327">
        <v>1439</v>
      </c>
      <c r="AY190" s="97"/>
      <c r="AZ190" s="97"/>
      <c r="BA190" s="97"/>
    </row>
    <row r="191" spans="1:53" ht="22.5" customHeight="1" x14ac:dyDescent="0.4">
      <c r="A191" s="324" t="s">
        <v>506</v>
      </c>
      <c r="B191" s="335" t="s">
        <v>1246</v>
      </c>
      <c r="C191" s="332">
        <v>96975</v>
      </c>
      <c r="D191" s="326">
        <v>96823</v>
      </c>
      <c r="E191" s="479">
        <v>1</v>
      </c>
      <c r="F191" s="337" t="s">
        <v>1067</v>
      </c>
      <c r="G191" s="332">
        <v>96975</v>
      </c>
      <c r="H191" s="332">
        <v>0</v>
      </c>
      <c r="I191" s="479">
        <v>0</v>
      </c>
      <c r="J191" s="482" t="s">
        <v>1274</v>
      </c>
      <c r="K191" s="485">
        <v>96975</v>
      </c>
      <c r="L191" s="332">
        <v>3390</v>
      </c>
      <c r="M191" s="482">
        <v>0.03</v>
      </c>
      <c r="N191" s="485">
        <v>96975</v>
      </c>
      <c r="O191" s="332">
        <v>0</v>
      </c>
      <c r="P191" s="482">
        <v>0</v>
      </c>
      <c r="Q191" s="485">
        <v>96975</v>
      </c>
      <c r="R191" s="332">
        <v>7040</v>
      </c>
      <c r="S191" s="482">
        <v>7.0000000000000007E-2</v>
      </c>
      <c r="T191" s="482">
        <v>0</v>
      </c>
      <c r="U191" s="485">
        <v>32655</v>
      </c>
      <c r="V191" s="332">
        <v>100</v>
      </c>
      <c r="W191" s="482">
        <v>0</v>
      </c>
      <c r="X191" s="325"/>
      <c r="Y191" s="482">
        <v>0</v>
      </c>
      <c r="Z191" s="332">
        <v>7</v>
      </c>
      <c r="AA191" s="326">
        <v>28</v>
      </c>
      <c r="AB191" s="340">
        <v>1437</v>
      </c>
      <c r="AC191" s="485">
        <v>93270</v>
      </c>
      <c r="AD191" s="332">
        <v>295</v>
      </c>
      <c r="AE191" s="482">
        <v>0</v>
      </c>
      <c r="AF191" s="325"/>
      <c r="AG191" s="482">
        <v>0</v>
      </c>
      <c r="AH191" s="332">
        <v>55</v>
      </c>
      <c r="AI191" s="326">
        <v>216</v>
      </c>
      <c r="AJ191" s="340">
        <v>1415</v>
      </c>
      <c r="AK191" s="332">
        <v>235</v>
      </c>
      <c r="AL191" s="326">
        <v>883</v>
      </c>
      <c r="AM191" s="340">
        <v>1437</v>
      </c>
      <c r="AN191" s="332">
        <v>147</v>
      </c>
      <c r="AO191" s="326">
        <v>373</v>
      </c>
      <c r="AP191" s="340">
        <v>1413</v>
      </c>
      <c r="AQ191" s="485">
        <v>96975</v>
      </c>
      <c r="AR191" s="332">
        <v>0</v>
      </c>
      <c r="AS191" s="482">
        <v>0</v>
      </c>
      <c r="AT191" s="325"/>
      <c r="AU191" s="482">
        <v>0</v>
      </c>
      <c r="AV191" s="332">
        <v>173</v>
      </c>
      <c r="AW191" s="326">
        <v>585</v>
      </c>
      <c r="AX191" s="327">
        <v>1437</v>
      </c>
      <c r="AY191" s="97"/>
      <c r="AZ191" s="97"/>
      <c r="BA191" s="97"/>
    </row>
    <row r="192" spans="1:53" ht="22.5" customHeight="1" x14ac:dyDescent="0.4">
      <c r="A192" s="324" t="s">
        <v>613</v>
      </c>
      <c r="B192" s="335" t="s">
        <v>1247</v>
      </c>
      <c r="C192" s="332">
        <v>185985</v>
      </c>
      <c r="D192" s="326">
        <v>185694</v>
      </c>
      <c r="E192" s="479">
        <v>1</v>
      </c>
      <c r="F192" s="337" t="s">
        <v>1067</v>
      </c>
      <c r="G192" s="332">
        <v>185985</v>
      </c>
      <c r="H192" s="332">
        <v>15435</v>
      </c>
      <c r="I192" s="479">
        <v>0.08</v>
      </c>
      <c r="J192" s="482">
        <v>7.0000000000000007E-2</v>
      </c>
      <c r="K192" s="485">
        <v>170545</v>
      </c>
      <c r="L192" s="332">
        <v>3750</v>
      </c>
      <c r="M192" s="482">
        <v>0.02</v>
      </c>
      <c r="N192" s="485">
        <v>185985</v>
      </c>
      <c r="O192" s="332">
        <v>0</v>
      </c>
      <c r="P192" s="482">
        <v>0</v>
      </c>
      <c r="Q192" s="485">
        <v>185985</v>
      </c>
      <c r="R192" s="332">
        <v>17955</v>
      </c>
      <c r="S192" s="482">
        <v>0.1</v>
      </c>
      <c r="T192" s="482">
        <v>0</v>
      </c>
      <c r="U192" s="485">
        <v>47510</v>
      </c>
      <c r="V192" s="332">
        <v>10</v>
      </c>
      <c r="W192" s="482">
        <v>0</v>
      </c>
      <c r="X192" s="325"/>
      <c r="Y192" s="482">
        <v>0</v>
      </c>
      <c r="Z192" s="332">
        <v>8</v>
      </c>
      <c r="AA192" s="326">
        <v>43</v>
      </c>
      <c r="AB192" s="340">
        <v>1436</v>
      </c>
      <c r="AC192" s="485">
        <v>164580</v>
      </c>
      <c r="AD192" s="332">
        <v>715</v>
      </c>
      <c r="AE192" s="482">
        <v>0</v>
      </c>
      <c r="AF192" s="325"/>
      <c r="AG192" s="482">
        <v>0</v>
      </c>
      <c r="AH192" s="332">
        <v>48</v>
      </c>
      <c r="AI192" s="326">
        <v>216</v>
      </c>
      <c r="AJ192" s="340">
        <v>1438</v>
      </c>
      <c r="AK192" s="332">
        <v>393</v>
      </c>
      <c r="AL192" s="326">
        <v>1106</v>
      </c>
      <c r="AM192" s="340">
        <v>1439</v>
      </c>
      <c r="AN192" s="332">
        <v>101</v>
      </c>
      <c r="AO192" s="326">
        <v>396</v>
      </c>
      <c r="AP192" s="340">
        <v>1437</v>
      </c>
      <c r="AQ192" s="485">
        <v>185985</v>
      </c>
      <c r="AR192" s="332">
        <v>30</v>
      </c>
      <c r="AS192" s="482">
        <v>0</v>
      </c>
      <c r="AT192" s="325"/>
      <c r="AU192" s="482">
        <v>0</v>
      </c>
      <c r="AV192" s="332">
        <v>127</v>
      </c>
      <c r="AW192" s="326">
        <v>746</v>
      </c>
      <c r="AX192" s="327">
        <v>1439</v>
      </c>
      <c r="AY192" s="97"/>
      <c r="AZ192" s="97"/>
      <c r="BA192" s="97"/>
    </row>
    <row r="193" spans="1:53" ht="22.5" customHeight="1" x14ac:dyDescent="0.4">
      <c r="A193" s="324" t="s">
        <v>549</v>
      </c>
      <c r="B193" s="335" t="s">
        <v>1248</v>
      </c>
      <c r="C193" s="332">
        <v>113565</v>
      </c>
      <c r="D193" s="326">
        <v>123925</v>
      </c>
      <c r="E193" s="479">
        <v>0.92</v>
      </c>
      <c r="F193" s="337" t="s">
        <v>1067</v>
      </c>
      <c r="G193" s="332">
        <v>113565</v>
      </c>
      <c r="H193" s="332">
        <v>1255</v>
      </c>
      <c r="I193" s="479">
        <v>0.01</v>
      </c>
      <c r="J193" s="482">
        <v>0.01</v>
      </c>
      <c r="K193" s="485">
        <v>112315</v>
      </c>
      <c r="L193" s="332">
        <v>4380</v>
      </c>
      <c r="M193" s="482">
        <v>0.04</v>
      </c>
      <c r="N193" s="485">
        <v>113570</v>
      </c>
      <c r="O193" s="332" t="s">
        <v>1274</v>
      </c>
      <c r="P193" s="482" t="s">
        <v>1274</v>
      </c>
      <c r="Q193" s="485">
        <v>113565</v>
      </c>
      <c r="R193" s="332">
        <v>8750</v>
      </c>
      <c r="S193" s="482">
        <v>0.08</v>
      </c>
      <c r="T193" s="482">
        <v>0</v>
      </c>
      <c r="U193" s="485">
        <v>22450</v>
      </c>
      <c r="V193" s="332">
        <v>700</v>
      </c>
      <c r="W193" s="482">
        <v>0.03</v>
      </c>
      <c r="X193" s="325"/>
      <c r="Y193" s="482">
        <v>0</v>
      </c>
      <c r="Z193" s="332">
        <v>24</v>
      </c>
      <c r="AA193" s="326">
        <v>90</v>
      </c>
      <c r="AB193" s="340">
        <v>1391</v>
      </c>
      <c r="AC193" s="485">
        <v>107805</v>
      </c>
      <c r="AD193" s="332">
        <v>12355</v>
      </c>
      <c r="AE193" s="482">
        <v>0.11</v>
      </c>
      <c r="AF193" s="325"/>
      <c r="AG193" s="482">
        <v>0</v>
      </c>
      <c r="AH193" s="332">
        <v>68</v>
      </c>
      <c r="AI193" s="326">
        <v>208</v>
      </c>
      <c r="AJ193" s="340">
        <v>1428</v>
      </c>
      <c r="AK193" s="332">
        <v>230</v>
      </c>
      <c r="AL193" s="326">
        <v>851</v>
      </c>
      <c r="AM193" s="340">
        <v>1427</v>
      </c>
      <c r="AN193" s="332">
        <v>134</v>
      </c>
      <c r="AO193" s="326">
        <v>288</v>
      </c>
      <c r="AP193" s="340">
        <v>1424</v>
      </c>
      <c r="AQ193" s="485">
        <v>113565</v>
      </c>
      <c r="AR193" s="332">
        <v>35</v>
      </c>
      <c r="AS193" s="482">
        <v>0</v>
      </c>
      <c r="AT193" s="325"/>
      <c r="AU193" s="482">
        <v>0</v>
      </c>
      <c r="AV193" s="332">
        <v>145</v>
      </c>
      <c r="AW193" s="326">
        <v>458</v>
      </c>
      <c r="AX193" s="327">
        <v>1427</v>
      </c>
      <c r="AY193" s="97"/>
      <c r="AZ193" s="97"/>
      <c r="BA193" s="97"/>
    </row>
    <row r="194" spans="1:53" ht="22.5" customHeight="1" x14ac:dyDescent="0.4">
      <c r="A194" s="324" t="s">
        <v>303</v>
      </c>
      <c r="B194" s="335" t="s">
        <v>1249</v>
      </c>
      <c r="C194" s="332">
        <v>19020</v>
      </c>
      <c r="D194" s="326">
        <v>40799</v>
      </c>
      <c r="E194" s="479">
        <v>0.47</v>
      </c>
      <c r="F194" s="337" t="s">
        <v>1093</v>
      </c>
      <c r="G194" s="332">
        <v>19020</v>
      </c>
      <c r="H194" s="332">
        <v>200</v>
      </c>
      <c r="I194" s="479">
        <v>0.01</v>
      </c>
      <c r="J194" s="482">
        <v>0.11</v>
      </c>
      <c r="K194" s="485">
        <v>18815</v>
      </c>
      <c r="L194" s="332">
        <v>85</v>
      </c>
      <c r="M194" s="482">
        <v>0</v>
      </c>
      <c r="N194" s="485">
        <v>19020</v>
      </c>
      <c r="O194" s="332">
        <v>0</v>
      </c>
      <c r="P194" s="482">
        <v>0</v>
      </c>
      <c r="Q194" s="485">
        <v>19020</v>
      </c>
      <c r="R194" s="332">
        <v>610</v>
      </c>
      <c r="S194" s="482">
        <v>0.03</v>
      </c>
      <c r="T194" s="482">
        <v>0</v>
      </c>
      <c r="U194" s="485" t="s">
        <v>1060</v>
      </c>
      <c r="V194" s="332" t="s">
        <v>1060</v>
      </c>
      <c r="W194" s="482" t="s">
        <v>1060</v>
      </c>
      <c r="X194" s="325"/>
      <c r="Y194" s="482" t="s">
        <v>1060</v>
      </c>
      <c r="Z194" s="332" t="s">
        <v>1060</v>
      </c>
      <c r="AA194" s="326" t="s">
        <v>1060</v>
      </c>
      <c r="AB194" s="340" t="s">
        <v>1060</v>
      </c>
      <c r="AC194" s="485">
        <v>18720</v>
      </c>
      <c r="AD194" s="332">
        <v>0</v>
      </c>
      <c r="AE194" s="482">
        <v>0</v>
      </c>
      <c r="AF194" s="325"/>
      <c r="AG194" s="482">
        <v>0</v>
      </c>
      <c r="AH194" s="332">
        <v>23</v>
      </c>
      <c r="AI194" s="326">
        <v>116</v>
      </c>
      <c r="AJ194" s="340">
        <v>397</v>
      </c>
      <c r="AK194" s="332">
        <v>41</v>
      </c>
      <c r="AL194" s="326">
        <v>306</v>
      </c>
      <c r="AM194" s="340">
        <v>306</v>
      </c>
      <c r="AN194" s="332">
        <v>69</v>
      </c>
      <c r="AO194" s="326">
        <v>186</v>
      </c>
      <c r="AP194" s="340">
        <v>715</v>
      </c>
      <c r="AQ194" s="485">
        <v>19020</v>
      </c>
      <c r="AR194" s="332">
        <v>0</v>
      </c>
      <c r="AS194" s="482">
        <v>0</v>
      </c>
      <c r="AT194" s="325"/>
      <c r="AU194" s="482">
        <v>0</v>
      </c>
      <c r="AV194" s="332">
        <v>69</v>
      </c>
      <c r="AW194" s="326">
        <v>186</v>
      </c>
      <c r="AX194" s="327">
        <v>715</v>
      </c>
      <c r="AY194" s="97"/>
      <c r="AZ194" s="97"/>
      <c r="BA194" s="97"/>
    </row>
    <row r="195" spans="1:53" ht="22.5" customHeight="1" x14ac:dyDescent="0.4">
      <c r="A195" s="324" t="s">
        <v>322</v>
      </c>
      <c r="B195" s="335" t="s">
        <v>1250</v>
      </c>
      <c r="C195" s="332">
        <v>147380</v>
      </c>
      <c r="D195" s="326">
        <v>148929</v>
      </c>
      <c r="E195" s="479">
        <v>0.99</v>
      </c>
      <c r="F195" s="337" t="s">
        <v>1067</v>
      </c>
      <c r="G195" s="332">
        <v>147380</v>
      </c>
      <c r="H195" s="332">
        <v>100</v>
      </c>
      <c r="I195" s="479">
        <v>0</v>
      </c>
      <c r="J195" s="482">
        <v>0</v>
      </c>
      <c r="K195" s="485">
        <v>147280</v>
      </c>
      <c r="L195" s="332">
        <v>7810</v>
      </c>
      <c r="M195" s="482">
        <v>0.05</v>
      </c>
      <c r="N195" s="485">
        <v>147385</v>
      </c>
      <c r="O195" s="332" t="s">
        <v>1274</v>
      </c>
      <c r="P195" s="482" t="s">
        <v>1274</v>
      </c>
      <c r="Q195" s="485">
        <v>147380</v>
      </c>
      <c r="R195" s="332">
        <v>10565</v>
      </c>
      <c r="S195" s="482">
        <v>7.0000000000000007E-2</v>
      </c>
      <c r="T195" s="482">
        <v>0</v>
      </c>
      <c r="U195" s="485">
        <v>40845</v>
      </c>
      <c r="V195" s="332">
        <v>4980</v>
      </c>
      <c r="W195" s="482">
        <v>0.12</v>
      </c>
      <c r="X195" s="325"/>
      <c r="Y195" s="482">
        <v>0</v>
      </c>
      <c r="Z195" s="332">
        <v>12</v>
      </c>
      <c r="AA195" s="326">
        <v>43</v>
      </c>
      <c r="AB195" s="340">
        <v>1439</v>
      </c>
      <c r="AC195" s="485">
        <v>139465</v>
      </c>
      <c r="AD195" s="332">
        <v>1735</v>
      </c>
      <c r="AE195" s="482">
        <v>0.01</v>
      </c>
      <c r="AF195" s="325"/>
      <c r="AG195" s="482">
        <v>0</v>
      </c>
      <c r="AH195" s="332">
        <v>63</v>
      </c>
      <c r="AI195" s="326">
        <v>189</v>
      </c>
      <c r="AJ195" s="340">
        <v>1436</v>
      </c>
      <c r="AK195" s="332">
        <v>233</v>
      </c>
      <c r="AL195" s="326">
        <v>502</v>
      </c>
      <c r="AM195" s="340">
        <v>1432</v>
      </c>
      <c r="AN195" s="332">
        <v>136</v>
      </c>
      <c r="AO195" s="326">
        <v>240</v>
      </c>
      <c r="AP195" s="340">
        <v>1439</v>
      </c>
      <c r="AQ195" s="485">
        <v>147380</v>
      </c>
      <c r="AR195" s="332">
        <v>60</v>
      </c>
      <c r="AS195" s="482">
        <v>0</v>
      </c>
      <c r="AT195" s="325"/>
      <c r="AU195" s="482">
        <v>0</v>
      </c>
      <c r="AV195" s="332">
        <v>161</v>
      </c>
      <c r="AW195" s="326">
        <v>351</v>
      </c>
      <c r="AX195" s="327">
        <v>1439</v>
      </c>
      <c r="AY195" s="97"/>
      <c r="AZ195" s="97"/>
      <c r="BA195" s="97"/>
    </row>
    <row r="196" spans="1:53" ht="22.5" customHeight="1" x14ac:dyDescent="0.4">
      <c r="A196" s="324" t="s">
        <v>443</v>
      </c>
      <c r="B196" s="335" t="s">
        <v>1251</v>
      </c>
      <c r="C196" s="332">
        <v>198160</v>
      </c>
      <c r="D196" s="326">
        <v>198273</v>
      </c>
      <c r="E196" s="479">
        <v>1</v>
      </c>
      <c r="F196" s="337" t="s">
        <v>1067</v>
      </c>
      <c r="G196" s="332">
        <v>198160</v>
      </c>
      <c r="H196" s="332">
        <v>6040</v>
      </c>
      <c r="I196" s="479">
        <v>0.03</v>
      </c>
      <c r="J196" s="482">
        <v>0</v>
      </c>
      <c r="K196" s="485">
        <v>192115</v>
      </c>
      <c r="L196" s="332">
        <v>11170</v>
      </c>
      <c r="M196" s="482">
        <v>0.06</v>
      </c>
      <c r="N196" s="485">
        <v>198160</v>
      </c>
      <c r="O196" s="332">
        <v>0</v>
      </c>
      <c r="P196" s="482">
        <v>0</v>
      </c>
      <c r="Q196" s="485">
        <v>198160</v>
      </c>
      <c r="R196" s="332">
        <v>15320</v>
      </c>
      <c r="S196" s="482">
        <v>0.08</v>
      </c>
      <c r="T196" s="482">
        <v>0</v>
      </c>
      <c r="U196" s="485">
        <v>60205</v>
      </c>
      <c r="V196" s="332">
        <v>1970</v>
      </c>
      <c r="W196" s="482">
        <v>0.03</v>
      </c>
      <c r="X196" s="325"/>
      <c r="Y196" s="482">
        <v>0</v>
      </c>
      <c r="Z196" s="332">
        <v>35</v>
      </c>
      <c r="AA196" s="326">
        <v>97</v>
      </c>
      <c r="AB196" s="340">
        <v>908</v>
      </c>
      <c r="AC196" s="485">
        <v>180450</v>
      </c>
      <c r="AD196" s="332">
        <v>33815</v>
      </c>
      <c r="AE196" s="482">
        <v>0.19</v>
      </c>
      <c r="AF196" s="325"/>
      <c r="AG196" s="482">
        <v>0</v>
      </c>
      <c r="AH196" s="332">
        <v>71</v>
      </c>
      <c r="AI196" s="326">
        <v>199</v>
      </c>
      <c r="AJ196" s="340">
        <v>939</v>
      </c>
      <c r="AK196" s="332">
        <v>238</v>
      </c>
      <c r="AL196" s="326">
        <v>578</v>
      </c>
      <c r="AM196" s="340">
        <v>1074</v>
      </c>
      <c r="AN196" s="332">
        <v>147</v>
      </c>
      <c r="AO196" s="326">
        <v>438</v>
      </c>
      <c r="AP196" s="340">
        <v>1425</v>
      </c>
      <c r="AQ196" s="485">
        <v>198160</v>
      </c>
      <c r="AR196" s="332">
        <v>0</v>
      </c>
      <c r="AS196" s="482">
        <v>0</v>
      </c>
      <c r="AT196" s="325"/>
      <c r="AU196" s="482">
        <v>0</v>
      </c>
      <c r="AV196" s="332">
        <v>160</v>
      </c>
      <c r="AW196" s="326">
        <v>462</v>
      </c>
      <c r="AX196" s="327">
        <v>1425</v>
      </c>
      <c r="AY196" s="97"/>
      <c r="AZ196" s="97"/>
      <c r="BA196" s="97"/>
    </row>
    <row r="197" spans="1:53" ht="22.5" customHeight="1" x14ac:dyDescent="0.4">
      <c r="A197" s="324" t="s">
        <v>360</v>
      </c>
      <c r="B197" s="335" t="s">
        <v>1252</v>
      </c>
      <c r="C197" s="332">
        <v>117785</v>
      </c>
      <c r="D197" s="326">
        <v>118851</v>
      </c>
      <c r="E197" s="479">
        <v>0.99</v>
      </c>
      <c r="F197" s="337" t="s">
        <v>1067</v>
      </c>
      <c r="G197" s="332">
        <v>117785</v>
      </c>
      <c r="H197" s="332">
        <v>0</v>
      </c>
      <c r="I197" s="479">
        <v>0</v>
      </c>
      <c r="J197" s="482">
        <v>0</v>
      </c>
      <c r="K197" s="485">
        <v>117785</v>
      </c>
      <c r="L197" s="332">
        <v>2240</v>
      </c>
      <c r="M197" s="482">
        <v>0.02</v>
      </c>
      <c r="N197" s="485">
        <v>117785</v>
      </c>
      <c r="O197" s="332">
        <v>0</v>
      </c>
      <c r="P197" s="482">
        <v>0</v>
      </c>
      <c r="Q197" s="485">
        <v>117785</v>
      </c>
      <c r="R197" s="332">
        <v>8800</v>
      </c>
      <c r="S197" s="482">
        <v>7.0000000000000007E-2</v>
      </c>
      <c r="T197" s="482">
        <v>0</v>
      </c>
      <c r="U197" s="485">
        <v>38805</v>
      </c>
      <c r="V197" s="332">
        <v>340</v>
      </c>
      <c r="W197" s="482">
        <v>0.01</v>
      </c>
      <c r="X197" s="325"/>
      <c r="Y197" s="482">
        <v>0</v>
      </c>
      <c r="Z197" s="332">
        <v>4</v>
      </c>
      <c r="AA197" s="326">
        <v>49</v>
      </c>
      <c r="AB197" s="340">
        <v>1439</v>
      </c>
      <c r="AC197" s="485">
        <v>113065</v>
      </c>
      <c r="AD197" s="332">
        <v>6455</v>
      </c>
      <c r="AE197" s="482">
        <v>0.06</v>
      </c>
      <c r="AF197" s="325"/>
      <c r="AG197" s="482">
        <v>0</v>
      </c>
      <c r="AH197" s="332">
        <v>66</v>
      </c>
      <c r="AI197" s="326">
        <v>206</v>
      </c>
      <c r="AJ197" s="340">
        <v>1438</v>
      </c>
      <c r="AK197" s="332">
        <v>237</v>
      </c>
      <c r="AL197" s="326">
        <v>881</v>
      </c>
      <c r="AM197" s="340">
        <v>1439</v>
      </c>
      <c r="AN197" s="332">
        <v>145</v>
      </c>
      <c r="AO197" s="326">
        <v>486</v>
      </c>
      <c r="AP197" s="340">
        <v>1439</v>
      </c>
      <c r="AQ197" s="485">
        <v>117785</v>
      </c>
      <c r="AR197" s="332">
        <v>0</v>
      </c>
      <c r="AS197" s="482">
        <v>0</v>
      </c>
      <c r="AT197" s="325"/>
      <c r="AU197" s="482">
        <v>0</v>
      </c>
      <c r="AV197" s="332">
        <v>166</v>
      </c>
      <c r="AW197" s="326">
        <v>637</v>
      </c>
      <c r="AX197" s="327">
        <v>1439</v>
      </c>
      <c r="AY197" s="97"/>
      <c r="AZ197" s="97"/>
      <c r="BA197" s="97"/>
    </row>
    <row r="198" spans="1:53" ht="22.5" customHeight="1" x14ac:dyDescent="0.4">
      <c r="A198" s="324" t="s">
        <v>596</v>
      </c>
      <c r="B198" s="335" t="s">
        <v>1253</v>
      </c>
      <c r="C198" s="332">
        <v>239790</v>
      </c>
      <c r="D198" s="326">
        <v>239784</v>
      </c>
      <c r="E198" s="479">
        <v>1</v>
      </c>
      <c r="F198" s="337" t="s">
        <v>1067</v>
      </c>
      <c r="G198" s="332">
        <v>239790</v>
      </c>
      <c r="H198" s="332">
        <v>2590</v>
      </c>
      <c r="I198" s="479">
        <v>0.01</v>
      </c>
      <c r="J198" s="482">
        <v>0</v>
      </c>
      <c r="K198" s="485">
        <v>237200</v>
      </c>
      <c r="L198" s="332">
        <v>9465</v>
      </c>
      <c r="M198" s="482">
        <v>0.04</v>
      </c>
      <c r="N198" s="485">
        <v>239790</v>
      </c>
      <c r="O198" s="332">
        <v>0</v>
      </c>
      <c r="P198" s="482">
        <v>0</v>
      </c>
      <c r="Q198" s="485">
        <v>239790</v>
      </c>
      <c r="R198" s="332">
        <v>21545</v>
      </c>
      <c r="S198" s="482">
        <v>0.09</v>
      </c>
      <c r="T198" s="482">
        <v>0</v>
      </c>
      <c r="U198" s="485">
        <v>51595</v>
      </c>
      <c r="V198" s="332">
        <v>2840</v>
      </c>
      <c r="W198" s="482">
        <v>0.06</v>
      </c>
      <c r="X198" s="325"/>
      <c r="Y198" s="482">
        <v>0</v>
      </c>
      <c r="Z198" s="332">
        <v>14</v>
      </c>
      <c r="AA198" s="326">
        <v>72</v>
      </c>
      <c r="AB198" s="340">
        <v>1409</v>
      </c>
      <c r="AC198" s="485">
        <v>227650</v>
      </c>
      <c r="AD198" s="332">
        <v>165</v>
      </c>
      <c r="AE198" s="482">
        <v>0</v>
      </c>
      <c r="AF198" s="325"/>
      <c r="AG198" s="482">
        <v>0</v>
      </c>
      <c r="AH198" s="332">
        <v>60</v>
      </c>
      <c r="AI198" s="326">
        <v>206</v>
      </c>
      <c r="AJ198" s="340">
        <v>1437</v>
      </c>
      <c r="AK198" s="332">
        <v>237</v>
      </c>
      <c r="AL198" s="326">
        <v>690</v>
      </c>
      <c r="AM198" s="340">
        <v>1356</v>
      </c>
      <c r="AN198" s="332">
        <v>123</v>
      </c>
      <c r="AO198" s="326">
        <v>298</v>
      </c>
      <c r="AP198" s="340">
        <v>1433</v>
      </c>
      <c r="AQ198" s="485">
        <v>239790</v>
      </c>
      <c r="AR198" s="332">
        <v>0</v>
      </c>
      <c r="AS198" s="482">
        <v>0</v>
      </c>
      <c r="AT198" s="325"/>
      <c r="AU198" s="482">
        <v>0</v>
      </c>
      <c r="AV198" s="332">
        <v>145</v>
      </c>
      <c r="AW198" s="326">
        <v>446</v>
      </c>
      <c r="AX198" s="327">
        <v>1433</v>
      </c>
      <c r="AY198" s="97"/>
      <c r="AZ198" s="97"/>
      <c r="BA198" s="97"/>
    </row>
    <row r="199" spans="1:53" ht="22.5" customHeight="1" x14ac:dyDescent="0.4">
      <c r="A199" s="324" t="s">
        <v>317</v>
      </c>
      <c r="B199" s="335" t="s">
        <v>1254</v>
      </c>
      <c r="C199" s="332">
        <v>158115</v>
      </c>
      <c r="D199" s="326">
        <v>167401</v>
      </c>
      <c r="E199" s="479">
        <v>0.94</v>
      </c>
      <c r="F199" s="337" t="s">
        <v>1067</v>
      </c>
      <c r="G199" s="332">
        <v>158115</v>
      </c>
      <c r="H199" s="332">
        <v>0</v>
      </c>
      <c r="I199" s="479">
        <v>0</v>
      </c>
      <c r="J199" s="482">
        <v>0</v>
      </c>
      <c r="K199" s="485">
        <v>158115</v>
      </c>
      <c r="L199" s="332">
        <v>4760</v>
      </c>
      <c r="M199" s="482">
        <v>0.03</v>
      </c>
      <c r="N199" s="485">
        <v>158120</v>
      </c>
      <c r="O199" s="332" t="s">
        <v>1274</v>
      </c>
      <c r="P199" s="482" t="s">
        <v>1274</v>
      </c>
      <c r="Q199" s="485">
        <v>158115</v>
      </c>
      <c r="R199" s="332">
        <v>13880</v>
      </c>
      <c r="S199" s="482">
        <v>0.09</v>
      </c>
      <c r="T199" s="482">
        <v>0</v>
      </c>
      <c r="U199" s="485">
        <v>41640</v>
      </c>
      <c r="V199" s="332">
        <v>70</v>
      </c>
      <c r="W199" s="482">
        <v>0</v>
      </c>
      <c r="X199" s="325"/>
      <c r="Y199" s="482">
        <v>0</v>
      </c>
      <c r="Z199" s="332">
        <v>0</v>
      </c>
      <c r="AA199" s="326">
        <v>85</v>
      </c>
      <c r="AB199" s="340">
        <v>1439</v>
      </c>
      <c r="AC199" s="485">
        <v>152775</v>
      </c>
      <c r="AD199" s="332">
        <v>1615</v>
      </c>
      <c r="AE199" s="482">
        <v>0.01</v>
      </c>
      <c r="AF199" s="325"/>
      <c r="AG199" s="482">
        <v>0</v>
      </c>
      <c r="AH199" s="332">
        <v>55</v>
      </c>
      <c r="AI199" s="326">
        <v>182</v>
      </c>
      <c r="AJ199" s="340">
        <v>1439</v>
      </c>
      <c r="AK199" s="332">
        <v>239</v>
      </c>
      <c r="AL199" s="326">
        <v>996</v>
      </c>
      <c r="AM199" s="340">
        <v>1434</v>
      </c>
      <c r="AN199" s="332">
        <v>144</v>
      </c>
      <c r="AO199" s="326">
        <v>350</v>
      </c>
      <c r="AP199" s="340">
        <v>1437</v>
      </c>
      <c r="AQ199" s="485">
        <v>158115</v>
      </c>
      <c r="AR199" s="332">
        <v>0</v>
      </c>
      <c r="AS199" s="482">
        <v>0</v>
      </c>
      <c r="AT199" s="325"/>
      <c r="AU199" s="482">
        <v>0</v>
      </c>
      <c r="AV199" s="332">
        <v>168</v>
      </c>
      <c r="AW199" s="326">
        <v>642</v>
      </c>
      <c r="AX199" s="327">
        <v>1437</v>
      </c>
      <c r="AY199" s="97"/>
      <c r="AZ199" s="97"/>
      <c r="BA199" s="97"/>
    </row>
    <row r="200" spans="1:53" ht="22.5" customHeight="1" x14ac:dyDescent="0.4">
      <c r="A200" s="324" t="s">
        <v>606</v>
      </c>
      <c r="B200" s="335" t="s">
        <v>1255</v>
      </c>
      <c r="C200" s="332">
        <v>220175</v>
      </c>
      <c r="D200" s="326">
        <v>218911</v>
      </c>
      <c r="E200" s="479">
        <v>1.01</v>
      </c>
      <c r="F200" s="337" t="s">
        <v>1067</v>
      </c>
      <c r="G200" s="332">
        <v>220175</v>
      </c>
      <c r="H200" s="332">
        <v>220</v>
      </c>
      <c r="I200" s="479">
        <v>0</v>
      </c>
      <c r="J200" s="482">
        <v>0.03</v>
      </c>
      <c r="K200" s="485">
        <v>219955</v>
      </c>
      <c r="L200" s="332">
        <v>10430</v>
      </c>
      <c r="M200" s="482">
        <v>0.05</v>
      </c>
      <c r="N200" s="485">
        <v>220175</v>
      </c>
      <c r="O200" s="332">
        <v>0</v>
      </c>
      <c r="P200" s="482">
        <v>0</v>
      </c>
      <c r="Q200" s="485">
        <v>220175</v>
      </c>
      <c r="R200" s="332">
        <v>17905</v>
      </c>
      <c r="S200" s="482">
        <v>0.08</v>
      </c>
      <c r="T200" s="482">
        <v>0</v>
      </c>
      <c r="U200" s="485">
        <v>51830</v>
      </c>
      <c r="V200" s="332" t="s">
        <v>1274</v>
      </c>
      <c r="W200" s="482" t="s">
        <v>1274</v>
      </c>
      <c r="X200" s="325"/>
      <c r="Y200" s="482">
        <v>0</v>
      </c>
      <c r="Z200" s="332">
        <v>4</v>
      </c>
      <c r="AA200" s="326">
        <v>14</v>
      </c>
      <c r="AB200" s="340">
        <v>1439</v>
      </c>
      <c r="AC200" s="485">
        <v>208455</v>
      </c>
      <c r="AD200" s="332">
        <v>980</v>
      </c>
      <c r="AE200" s="482">
        <v>0</v>
      </c>
      <c r="AF200" s="325"/>
      <c r="AG200" s="482">
        <v>0</v>
      </c>
      <c r="AH200" s="332">
        <v>56</v>
      </c>
      <c r="AI200" s="326">
        <v>190</v>
      </c>
      <c r="AJ200" s="340">
        <v>1439</v>
      </c>
      <c r="AK200" s="332">
        <v>240</v>
      </c>
      <c r="AL200" s="326">
        <v>515</v>
      </c>
      <c r="AM200" s="340">
        <v>1106</v>
      </c>
      <c r="AN200" s="332">
        <v>117</v>
      </c>
      <c r="AO200" s="326">
        <v>302</v>
      </c>
      <c r="AP200" s="340">
        <v>1366</v>
      </c>
      <c r="AQ200" s="485">
        <v>220175</v>
      </c>
      <c r="AR200" s="332">
        <v>0</v>
      </c>
      <c r="AS200" s="482">
        <v>0</v>
      </c>
      <c r="AT200" s="325"/>
      <c r="AU200" s="482">
        <v>0</v>
      </c>
      <c r="AV200" s="332">
        <v>138</v>
      </c>
      <c r="AW200" s="326">
        <v>381</v>
      </c>
      <c r="AX200" s="327">
        <v>1415</v>
      </c>
      <c r="AY200" s="97"/>
      <c r="AZ200" s="97"/>
      <c r="BA200" s="97"/>
    </row>
    <row r="201" spans="1:53" ht="22.5" customHeight="1" x14ac:dyDescent="0.4">
      <c r="A201" s="324" t="s">
        <v>306</v>
      </c>
      <c r="B201" s="335" t="s">
        <v>1256</v>
      </c>
      <c r="C201" s="332">
        <v>79750</v>
      </c>
      <c r="D201" s="326">
        <v>204052</v>
      </c>
      <c r="E201" s="479">
        <v>0.39</v>
      </c>
      <c r="F201" s="337" t="s">
        <v>1093</v>
      </c>
      <c r="G201" s="332">
        <v>79750</v>
      </c>
      <c r="H201" s="332">
        <v>0</v>
      </c>
      <c r="I201" s="479">
        <v>0</v>
      </c>
      <c r="J201" s="482">
        <v>0.03</v>
      </c>
      <c r="K201" s="485">
        <v>79750</v>
      </c>
      <c r="L201" s="332">
        <v>4950</v>
      </c>
      <c r="M201" s="482">
        <v>0.06</v>
      </c>
      <c r="N201" s="485">
        <v>79750</v>
      </c>
      <c r="O201" s="332">
        <v>0</v>
      </c>
      <c r="P201" s="482">
        <v>0</v>
      </c>
      <c r="Q201" s="485">
        <v>79750</v>
      </c>
      <c r="R201" s="332">
        <v>5850</v>
      </c>
      <c r="S201" s="482">
        <v>7.0000000000000007E-2</v>
      </c>
      <c r="T201" s="482">
        <v>0</v>
      </c>
      <c r="U201" s="485">
        <v>35740</v>
      </c>
      <c r="V201" s="332">
        <v>0</v>
      </c>
      <c r="W201" s="482">
        <v>0</v>
      </c>
      <c r="X201" s="325"/>
      <c r="Y201" s="482">
        <v>0.05</v>
      </c>
      <c r="Z201" s="332">
        <v>20</v>
      </c>
      <c r="AA201" s="326">
        <v>220</v>
      </c>
      <c r="AB201" s="340">
        <v>1439</v>
      </c>
      <c r="AC201" s="485">
        <v>73465</v>
      </c>
      <c r="AD201" s="332">
        <v>0</v>
      </c>
      <c r="AE201" s="482">
        <v>0</v>
      </c>
      <c r="AF201" s="325"/>
      <c r="AG201" s="482">
        <v>0.06</v>
      </c>
      <c r="AH201" s="332">
        <v>54</v>
      </c>
      <c r="AI201" s="326">
        <v>343</v>
      </c>
      <c r="AJ201" s="340">
        <v>1439</v>
      </c>
      <c r="AK201" s="332">
        <v>409</v>
      </c>
      <c r="AL201" s="326">
        <v>964</v>
      </c>
      <c r="AM201" s="340">
        <v>1439</v>
      </c>
      <c r="AN201" s="332">
        <v>177</v>
      </c>
      <c r="AO201" s="326">
        <v>546</v>
      </c>
      <c r="AP201" s="340">
        <v>1438</v>
      </c>
      <c r="AQ201" s="485">
        <v>79750</v>
      </c>
      <c r="AR201" s="332" t="s">
        <v>1274</v>
      </c>
      <c r="AS201" s="482" t="s">
        <v>1274</v>
      </c>
      <c r="AT201" s="325"/>
      <c r="AU201" s="482">
        <v>0</v>
      </c>
      <c r="AV201" s="332">
        <v>222</v>
      </c>
      <c r="AW201" s="326">
        <v>822</v>
      </c>
      <c r="AX201" s="327">
        <v>1439</v>
      </c>
      <c r="AY201" s="97"/>
      <c r="AZ201" s="97"/>
      <c r="BA201" s="97"/>
    </row>
    <row r="202" spans="1:53" ht="22.5" customHeight="1" x14ac:dyDescent="0.4">
      <c r="A202" s="324" t="s">
        <v>403</v>
      </c>
      <c r="B202" s="335" t="s">
        <v>1257</v>
      </c>
      <c r="C202" s="332">
        <v>93240</v>
      </c>
      <c r="D202" s="326">
        <v>147090</v>
      </c>
      <c r="E202" s="479">
        <v>0.63</v>
      </c>
      <c r="F202" s="337" t="s">
        <v>1093</v>
      </c>
      <c r="G202" s="332">
        <v>93240</v>
      </c>
      <c r="H202" s="332">
        <v>340</v>
      </c>
      <c r="I202" s="479">
        <v>0</v>
      </c>
      <c r="J202" s="482">
        <v>0</v>
      </c>
      <c r="K202" s="485">
        <v>92895</v>
      </c>
      <c r="L202" s="332">
        <v>2725</v>
      </c>
      <c r="M202" s="482">
        <v>0.03</v>
      </c>
      <c r="N202" s="485">
        <v>93240</v>
      </c>
      <c r="O202" s="332">
        <v>0</v>
      </c>
      <c r="P202" s="482">
        <v>0</v>
      </c>
      <c r="Q202" s="485">
        <v>93240</v>
      </c>
      <c r="R202" s="332">
        <v>6900</v>
      </c>
      <c r="S202" s="482">
        <v>7.0000000000000007E-2</v>
      </c>
      <c r="T202" s="482">
        <v>0</v>
      </c>
      <c r="U202" s="485">
        <v>34975</v>
      </c>
      <c r="V202" s="332">
        <v>120</v>
      </c>
      <c r="W202" s="482">
        <v>0</v>
      </c>
      <c r="X202" s="325"/>
      <c r="Y202" s="482">
        <v>0</v>
      </c>
      <c r="Z202" s="332">
        <v>11</v>
      </c>
      <c r="AA202" s="326">
        <v>95</v>
      </c>
      <c r="AB202" s="340">
        <v>1439</v>
      </c>
      <c r="AC202" s="485">
        <v>89670</v>
      </c>
      <c r="AD202" s="332">
        <v>3605</v>
      </c>
      <c r="AE202" s="482">
        <v>0.04</v>
      </c>
      <c r="AF202" s="325"/>
      <c r="AG202" s="482">
        <v>0</v>
      </c>
      <c r="AH202" s="332">
        <v>67</v>
      </c>
      <c r="AI202" s="326">
        <v>228</v>
      </c>
      <c r="AJ202" s="340">
        <v>1439</v>
      </c>
      <c r="AK202" s="332">
        <v>240</v>
      </c>
      <c r="AL202" s="326">
        <v>795</v>
      </c>
      <c r="AM202" s="340">
        <v>1437</v>
      </c>
      <c r="AN202" s="332">
        <v>148</v>
      </c>
      <c r="AO202" s="326">
        <v>388</v>
      </c>
      <c r="AP202" s="340">
        <v>1430</v>
      </c>
      <c r="AQ202" s="485">
        <v>93240</v>
      </c>
      <c r="AR202" s="332">
        <v>90</v>
      </c>
      <c r="AS202" s="482">
        <v>0</v>
      </c>
      <c r="AT202" s="325"/>
      <c r="AU202" s="482">
        <v>0</v>
      </c>
      <c r="AV202" s="332">
        <v>176</v>
      </c>
      <c r="AW202" s="326">
        <v>562</v>
      </c>
      <c r="AX202" s="327">
        <v>1437</v>
      </c>
      <c r="AY202" s="97"/>
      <c r="AZ202" s="97"/>
      <c r="BA202" s="97"/>
    </row>
    <row r="203" spans="1:53" ht="22.5" customHeight="1" x14ac:dyDescent="0.4">
      <c r="A203" s="324" t="s">
        <v>339</v>
      </c>
      <c r="B203" s="335" t="s">
        <v>1258</v>
      </c>
      <c r="C203" s="332">
        <v>209195</v>
      </c>
      <c r="D203" s="326">
        <v>212561</v>
      </c>
      <c r="E203" s="479">
        <v>0.98</v>
      </c>
      <c r="F203" s="337" t="s">
        <v>1067</v>
      </c>
      <c r="G203" s="332">
        <v>209195</v>
      </c>
      <c r="H203" s="332">
        <v>1640</v>
      </c>
      <c r="I203" s="479">
        <v>0.01</v>
      </c>
      <c r="J203" s="482">
        <v>0</v>
      </c>
      <c r="K203" s="485">
        <v>207555</v>
      </c>
      <c r="L203" s="332">
        <v>3950</v>
      </c>
      <c r="M203" s="482">
        <v>0.02</v>
      </c>
      <c r="N203" s="485">
        <v>210355</v>
      </c>
      <c r="O203" s="332">
        <v>1160</v>
      </c>
      <c r="P203" s="482">
        <v>0.01</v>
      </c>
      <c r="Q203" s="485">
        <v>209195</v>
      </c>
      <c r="R203" s="332">
        <v>7150</v>
      </c>
      <c r="S203" s="482">
        <v>0.03</v>
      </c>
      <c r="T203" s="482">
        <v>0</v>
      </c>
      <c r="U203" s="485">
        <v>46200</v>
      </c>
      <c r="V203" s="332">
        <v>395</v>
      </c>
      <c r="W203" s="482">
        <v>0.01</v>
      </c>
      <c r="X203" s="325"/>
      <c r="Y203" s="482">
        <v>0</v>
      </c>
      <c r="Z203" s="332">
        <v>8</v>
      </c>
      <c r="AA203" s="326">
        <v>57</v>
      </c>
      <c r="AB203" s="340">
        <v>1347</v>
      </c>
      <c r="AC203" s="485">
        <v>203300</v>
      </c>
      <c r="AD203" s="332">
        <v>5215</v>
      </c>
      <c r="AE203" s="482">
        <v>0.03</v>
      </c>
      <c r="AF203" s="325"/>
      <c r="AG203" s="482">
        <v>0</v>
      </c>
      <c r="AH203" s="332">
        <v>42</v>
      </c>
      <c r="AI203" s="326">
        <v>171</v>
      </c>
      <c r="AJ203" s="340">
        <v>1431</v>
      </c>
      <c r="AK203" s="332">
        <v>230</v>
      </c>
      <c r="AL203" s="326">
        <v>621</v>
      </c>
      <c r="AM203" s="340">
        <v>1391</v>
      </c>
      <c r="AN203" s="332">
        <v>77</v>
      </c>
      <c r="AO203" s="326">
        <v>238</v>
      </c>
      <c r="AP203" s="340">
        <v>1313</v>
      </c>
      <c r="AQ203" s="485">
        <v>209195</v>
      </c>
      <c r="AR203" s="332" t="s">
        <v>1274</v>
      </c>
      <c r="AS203" s="482" t="s">
        <v>1274</v>
      </c>
      <c r="AT203" s="325"/>
      <c r="AU203" s="482">
        <v>0</v>
      </c>
      <c r="AV203" s="332">
        <v>98</v>
      </c>
      <c r="AW203" s="326">
        <v>341</v>
      </c>
      <c r="AX203" s="327">
        <v>1391</v>
      </c>
      <c r="AY203" s="97"/>
      <c r="AZ203" s="97"/>
      <c r="BA203" s="97"/>
    </row>
    <row r="204" spans="1:53" ht="22.5" customHeight="1" x14ac:dyDescent="0.4">
      <c r="A204" s="324" t="s">
        <v>319</v>
      </c>
      <c r="B204" s="335" t="s">
        <v>1259</v>
      </c>
      <c r="C204" s="332">
        <v>87385</v>
      </c>
      <c r="D204" s="326">
        <v>146096</v>
      </c>
      <c r="E204" s="479">
        <v>0.6</v>
      </c>
      <c r="F204" s="337" t="s">
        <v>1093</v>
      </c>
      <c r="G204" s="332">
        <v>87385</v>
      </c>
      <c r="H204" s="332">
        <v>875</v>
      </c>
      <c r="I204" s="479">
        <v>0.01</v>
      </c>
      <c r="J204" s="482">
        <v>0.01</v>
      </c>
      <c r="K204" s="485">
        <v>86510</v>
      </c>
      <c r="L204" s="332">
        <v>1465</v>
      </c>
      <c r="M204" s="482">
        <v>0.02</v>
      </c>
      <c r="N204" s="485">
        <v>87385</v>
      </c>
      <c r="O204" s="332">
        <v>0</v>
      </c>
      <c r="P204" s="482">
        <v>0</v>
      </c>
      <c r="Q204" s="485">
        <v>87385</v>
      </c>
      <c r="R204" s="332">
        <v>6500</v>
      </c>
      <c r="S204" s="482">
        <v>7.0000000000000007E-2</v>
      </c>
      <c r="T204" s="482">
        <v>0</v>
      </c>
      <c r="U204" s="485">
        <v>23135</v>
      </c>
      <c r="V204" s="332">
        <v>5350</v>
      </c>
      <c r="W204" s="482">
        <v>0.23</v>
      </c>
      <c r="X204" s="325"/>
      <c r="Y204" s="482">
        <v>0</v>
      </c>
      <c r="Z204" s="332">
        <v>27</v>
      </c>
      <c r="AA204" s="326">
        <v>120</v>
      </c>
      <c r="AB204" s="340">
        <v>1019</v>
      </c>
      <c r="AC204" s="485">
        <v>84845</v>
      </c>
      <c r="AD204" s="332">
        <v>780</v>
      </c>
      <c r="AE204" s="482">
        <v>0.01</v>
      </c>
      <c r="AF204" s="325"/>
      <c r="AG204" s="482">
        <v>0</v>
      </c>
      <c r="AH204" s="332">
        <v>72</v>
      </c>
      <c r="AI204" s="326">
        <v>226</v>
      </c>
      <c r="AJ204" s="340">
        <v>1312</v>
      </c>
      <c r="AK204" s="332">
        <v>239</v>
      </c>
      <c r="AL204" s="326">
        <v>1039</v>
      </c>
      <c r="AM204" s="340">
        <v>1437</v>
      </c>
      <c r="AN204" s="332">
        <v>168</v>
      </c>
      <c r="AO204" s="326">
        <v>439</v>
      </c>
      <c r="AP204" s="340">
        <v>1425</v>
      </c>
      <c r="AQ204" s="485">
        <v>87385</v>
      </c>
      <c r="AR204" s="332">
        <v>1645</v>
      </c>
      <c r="AS204" s="482">
        <v>0.02</v>
      </c>
      <c r="AT204" s="325"/>
      <c r="AU204" s="482">
        <v>0</v>
      </c>
      <c r="AV204" s="332">
        <v>193</v>
      </c>
      <c r="AW204" s="326">
        <v>762</v>
      </c>
      <c r="AX204" s="327">
        <v>1437</v>
      </c>
      <c r="AY204" s="97"/>
      <c r="AZ204" s="97"/>
      <c r="BA204" s="97"/>
    </row>
    <row r="205" spans="1:53" ht="22.5" customHeight="1" x14ac:dyDescent="0.4">
      <c r="A205" s="324" t="s">
        <v>358</v>
      </c>
      <c r="B205" s="335" t="s">
        <v>1260</v>
      </c>
      <c r="C205" s="332">
        <v>171815</v>
      </c>
      <c r="D205" s="326">
        <v>207380</v>
      </c>
      <c r="E205" s="479">
        <v>0.83</v>
      </c>
      <c r="F205" s="337" t="s">
        <v>1077</v>
      </c>
      <c r="G205" s="332">
        <v>171815</v>
      </c>
      <c r="H205" s="332">
        <v>0</v>
      </c>
      <c r="I205" s="479">
        <v>0</v>
      </c>
      <c r="J205" s="482">
        <v>0</v>
      </c>
      <c r="K205" s="485">
        <v>171815</v>
      </c>
      <c r="L205" s="332">
        <v>10920</v>
      </c>
      <c r="M205" s="482">
        <v>0.06</v>
      </c>
      <c r="N205" s="485">
        <v>171815</v>
      </c>
      <c r="O205" s="332">
        <v>0</v>
      </c>
      <c r="P205" s="482">
        <v>0</v>
      </c>
      <c r="Q205" s="485">
        <v>171815</v>
      </c>
      <c r="R205" s="332">
        <v>16020</v>
      </c>
      <c r="S205" s="482">
        <v>0.09</v>
      </c>
      <c r="T205" s="482">
        <v>0</v>
      </c>
      <c r="U205" s="485">
        <v>48095</v>
      </c>
      <c r="V205" s="332">
        <v>360</v>
      </c>
      <c r="W205" s="482">
        <v>0.01</v>
      </c>
      <c r="X205" s="325"/>
      <c r="Y205" s="482">
        <v>0</v>
      </c>
      <c r="Z205" s="332">
        <v>9</v>
      </c>
      <c r="AA205" s="326">
        <v>92</v>
      </c>
      <c r="AB205" s="340">
        <v>1439</v>
      </c>
      <c r="AC205" s="485">
        <v>159340</v>
      </c>
      <c r="AD205" s="332">
        <v>26460</v>
      </c>
      <c r="AE205" s="482">
        <v>0.17</v>
      </c>
      <c r="AF205" s="325"/>
      <c r="AG205" s="482">
        <v>0</v>
      </c>
      <c r="AH205" s="332">
        <v>83</v>
      </c>
      <c r="AI205" s="326">
        <v>269</v>
      </c>
      <c r="AJ205" s="340">
        <v>1286</v>
      </c>
      <c r="AK205" s="332">
        <v>239</v>
      </c>
      <c r="AL205" s="326">
        <v>757</v>
      </c>
      <c r="AM205" s="340">
        <v>1432</v>
      </c>
      <c r="AN205" s="332">
        <v>141</v>
      </c>
      <c r="AO205" s="326">
        <v>370</v>
      </c>
      <c r="AP205" s="340">
        <v>1427</v>
      </c>
      <c r="AQ205" s="485">
        <v>171815</v>
      </c>
      <c r="AR205" s="332">
        <v>0</v>
      </c>
      <c r="AS205" s="482">
        <v>0</v>
      </c>
      <c r="AT205" s="325"/>
      <c r="AU205" s="482">
        <v>0</v>
      </c>
      <c r="AV205" s="332">
        <v>163</v>
      </c>
      <c r="AW205" s="326">
        <v>500</v>
      </c>
      <c r="AX205" s="327">
        <v>1432</v>
      </c>
      <c r="AY205" s="97"/>
      <c r="AZ205" s="97"/>
      <c r="BA205" s="97"/>
    </row>
    <row r="206" spans="1:53" ht="22.5" customHeight="1" x14ac:dyDescent="0.4">
      <c r="A206" s="324" t="s">
        <v>482</v>
      </c>
      <c r="B206" s="335" t="s">
        <v>1261</v>
      </c>
      <c r="C206" s="332">
        <v>110905</v>
      </c>
      <c r="D206" s="326">
        <v>129851</v>
      </c>
      <c r="E206" s="479">
        <v>0.85</v>
      </c>
      <c r="F206" s="337" t="s">
        <v>1077</v>
      </c>
      <c r="G206" s="332">
        <v>110905</v>
      </c>
      <c r="H206" s="332">
        <v>0</v>
      </c>
      <c r="I206" s="479">
        <v>0</v>
      </c>
      <c r="J206" s="482">
        <v>0</v>
      </c>
      <c r="K206" s="485">
        <v>110905</v>
      </c>
      <c r="L206" s="332">
        <v>1515</v>
      </c>
      <c r="M206" s="482">
        <v>0.01</v>
      </c>
      <c r="N206" s="485">
        <v>110905</v>
      </c>
      <c r="O206" s="332">
        <v>0</v>
      </c>
      <c r="P206" s="482">
        <v>0</v>
      </c>
      <c r="Q206" s="485">
        <v>110905</v>
      </c>
      <c r="R206" s="332">
        <v>6885</v>
      </c>
      <c r="S206" s="482">
        <v>0.06</v>
      </c>
      <c r="T206" s="482">
        <v>0</v>
      </c>
      <c r="U206" s="485">
        <v>35870</v>
      </c>
      <c r="V206" s="332">
        <v>20210</v>
      </c>
      <c r="W206" s="482">
        <v>0.56000000000000005</v>
      </c>
      <c r="X206" s="325"/>
      <c r="Y206" s="482">
        <v>0</v>
      </c>
      <c r="Z206" s="332">
        <v>10</v>
      </c>
      <c r="AA206" s="326">
        <v>58</v>
      </c>
      <c r="AB206" s="340">
        <v>934</v>
      </c>
      <c r="AC206" s="485">
        <v>109140</v>
      </c>
      <c r="AD206" s="332">
        <v>6905</v>
      </c>
      <c r="AE206" s="482">
        <v>0.06</v>
      </c>
      <c r="AF206" s="325"/>
      <c r="AG206" s="482">
        <v>0</v>
      </c>
      <c r="AH206" s="332">
        <v>84</v>
      </c>
      <c r="AI206" s="326">
        <v>280</v>
      </c>
      <c r="AJ206" s="340">
        <v>1428</v>
      </c>
      <c r="AK206" s="332">
        <v>344</v>
      </c>
      <c r="AL206" s="326">
        <v>894</v>
      </c>
      <c r="AM206" s="340">
        <v>1437</v>
      </c>
      <c r="AN206" s="332">
        <v>143</v>
      </c>
      <c r="AO206" s="326">
        <v>426</v>
      </c>
      <c r="AP206" s="340">
        <v>1438</v>
      </c>
      <c r="AQ206" s="485">
        <v>110905</v>
      </c>
      <c r="AR206" s="332">
        <v>0</v>
      </c>
      <c r="AS206" s="482">
        <v>0</v>
      </c>
      <c r="AT206" s="325"/>
      <c r="AU206" s="482">
        <v>0</v>
      </c>
      <c r="AV206" s="332">
        <v>171</v>
      </c>
      <c r="AW206" s="326">
        <v>672</v>
      </c>
      <c r="AX206" s="327">
        <v>1438</v>
      </c>
      <c r="AY206" s="97"/>
      <c r="AZ206" s="97"/>
      <c r="BA206" s="97"/>
    </row>
    <row r="207" spans="1:53" ht="22.5" customHeight="1" x14ac:dyDescent="0.4">
      <c r="A207" s="324" t="s">
        <v>410</v>
      </c>
      <c r="B207" s="335" t="s">
        <v>1262</v>
      </c>
      <c r="C207" s="332">
        <v>147820</v>
      </c>
      <c r="D207" s="326">
        <v>27486</v>
      </c>
      <c r="E207" s="479">
        <v>5.38</v>
      </c>
      <c r="F207" s="337" t="s">
        <v>1093</v>
      </c>
      <c r="G207" s="332">
        <v>147820</v>
      </c>
      <c r="H207" s="332">
        <v>0</v>
      </c>
      <c r="I207" s="479">
        <v>0</v>
      </c>
      <c r="J207" s="482">
        <v>0.26</v>
      </c>
      <c r="K207" s="485">
        <v>147820</v>
      </c>
      <c r="L207" s="332">
        <v>3605</v>
      </c>
      <c r="M207" s="482">
        <v>0.02</v>
      </c>
      <c r="N207" s="485">
        <v>147820</v>
      </c>
      <c r="O207" s="332">
        <v>0</v>
      </c>
      <c r="P207" s="482">
        <v>0</v>
      </c>
      <c r="Q207" s="485">
        <v>147820</v>
      </c>
      <c r="R207" s="332">
        <v>12750</v>
      </c>
      <c r="S207" s="482">
        <v>0.09</v>
      </c>
      <c r="T207" s="482">
        <v>0</v>
      </c>
      <c r="U207" s="485">
        <v>10</v>
      </c>
      <c r="V207" s="332" t="s">
        <v>1274</v>
      </c>
      <c r="W207" s="482" t="s">
        <v>1316</v>
      </c>
      <c r="X207" s="325"/>
      <c r="Y207" s="482" t="s">
        <v>1316</v>
      </c>
      <c r="Z207" s="332">
        <v>19</v>
      </c>
      <c r="AA207" s="326">
        <v>109</v>
      </c>
      <c r="AB207" s="340">
        <v>109</v>
      </c>
      <c r="AC207" s="485">
        <v>144130</v>
      </c>
      <c r="AD207" s="332">
        <v>10395</v>
      </c>
      <c r="AE207" s="482">
        <v>7.0000000000000007E-2</v>
      </c>
      <c r="AF207" s="325"/>
      <c r="AG207" s="482">
        <v>0</v>
      </c>
      <c r="AH207" s="332">
        <v>35</v>
      </c>
      <c r="AI207" s="326">
        <v>134</v>
      </c>
      <c r="AJ207" s="340">
        <v>1420</v>
      </c>
      <c r="AK207" s="332">
        <v>74</v>
      </c>
      <c r="AL207" s="326">
        <v>148</v>
      </c>
      <c r="AM207" s="340">
        <v>180</v>
      </c>
      <c r="AN207" s="332">
        <v>68</v>
      </c>
      <c r="AO207" s="326">
        <v>174</v>
      </c>
      <c r="AP207" s="340">
        <v>1418</v>
      </c>
      <c r="AQ207" s="485">
        <v>147820</v>
      </c>
      <c r="AR207" s="332">
        <v>0</v>
      </c>
      <c r="AS207" s="482">
        <v>0</v>
      </c>
      <c r="AT207" s="325"/>
      <c r="AU207" s="482">
        <v>0</v>
      </c>
      <c r="AV207" s="332">
        <v>68</v>
      </c>
      <c r="AW207" s="326">
        <v>174</v>
      </c>
      <c r="AX207" s="327">
        <v>1418</v>
      </c>
      <c r="AY207" s="97"/>
      <c r="AZ207" s="97"/>
      <c r="BA207" s="97"/>
    </row>
    <row r="208" spans="1:53" ht="22.5" customHeight="1" x14ac:dyDescent="0.4">
      <c r="A208" s="324" t="s">
        <v>314</v>
      </c>
      <c r="B208" s="335" t="s">
        <v>1263</v>
      </c>
      <c r="C208" s="332">
        <v>110170</v>
      </c>
      <c r="D208" s="326">
        <v>110184</v>
      </c>
      <c r="E208" s="479">
        <v>1</v>
      </c>
      <c r="F208" s="337" t="s">
        <v>1067</v>
      </c>
      <c r="G208" s="332">
        <v>110170</v>
      </c>
      <c r="H208" s="332">
        <v>0</v>
      </c>
      <c r="I208" s="479">
        <v>0</v>
      </c>
      <c r="J208" s="482">
        <v>0.08</v>
      </c>
      <c r="K208" s="485">
        <v>110170</v>
      </c>
      <c r="L208" s="332">
        <v>390</v>
      </c>
      <c r="M208" s="482">
        <v>0</v>
      </c>
      <c r="N208" s="485">
        <v>110170</v>
      </c>
      <c r="O208" s="332">
        <v>0</v>
      </c>
      <c r="P208" s="482">
        <v>0</v>
      </c>
      <c r="Q208" s="485">
        <v>110170</v>
      </c>
      <c r="R208" s="332">
        <v>5070</v>
      </c>
      <c r="S208" s="482">
        <v>0.05</v>
      </c>
      <c r="T208" s="482">
        <v>0</v>
      </c>
      <c r="U208" s="485">
        <v>150</v>
      </c>
      <c r="V208" s="332">
        <v>0</v>
      </c>
      <c r="W208" s="482" t="s">
        <v>1316</v>
      </c>
      <c r="X208" s="325"/>
      <c r="Y208" s="482" t="s">
        <v>1316</v>
      </c>
      <c r="Z208" s="332">
        <v>6</v>
      </c>
      <c r="AA208" s="326">
        <v>27</v>
      </c>
      <c r="AB208" s="340">
        <v>45</v>
      </c>
      <c r="AC208" s="485">
        <v>109755</v>
      </c>
      <c r="AD208" s="332">
        <v>325</v>
      </c>
      <c r="AE208" s="482">
        <v>0</v>
      </c>
      <c r="AF208" s="325"/>
      <c r="AG208" s="482">
        <v>0</v>
      </c>
      <c r="AH208" s="332">
        <v>56</v>
      </c>
      <c r="AI208" s="326">
        <v>200</v>
      </c>
      <c r="AJ208" s="340">
        <v>1016</v>
      </c>
      <c r="AK208" s="332" t="s">
        <v>1274</v>
      </c>
      <c r="AL208" s="326" t="s">
        <v>1274</v>
      </c>
      <c r="AM208" s="340" t="s">
        <v>1274</v>
      </c>
      <c r="AN208" s="332">
        <v>84</v>
      </c>
      <c r="AO208" s="326">
        <v>223</v>
      </c>
      <c r="AP208" s="340">
        <v>622</v>
      </c>
      <c r="AQ208" s="485">
        <v>110170</v>
      </c>
      <c r="AR208" s="332">
        <v>0</v>
      </c>
      <c r="AS208" s="482">
        <v>0</v>
      </c>
      <c r="AT208" s="325"/>
      <c r="AU208" s="482">
        <v>0</v>
      </c>
      <c r="AV208" s="332">
        <v>84</v>
      </c>
      <c r="AW208" s="326">
        <v>223</v>
      </c>
      <c r="AX208" s="327">
        <v>622</v>
      </c>
      <c r="AY208" s="97"/>
      <c r="AZ208" s="97"/>
      <c r="BA208" s="97"/>
    </row>
    <row r="209" spans="1:53" ht="22.5" customHeight="1" x14ac:dyDescent="0.4">
      <c r="A209" s="324" t="s">
        <v>382</v>
      </c>
      <c r="B209" s="335" t="s">
        <v>1264</v>
      </c>
      <c r="C209" s="332">
        <v>10810</v>
      </c>
      <c r="D209" s="326">
        <v>10572</v>
      </c>
      <c r="E209" s="479">
        <v>1.02</v>
      </c>
      <c r="F209" s="337" t="s">
        <v>1067</v>
      </c>
      <c r="G209" s="332">
        <v>10810</v>
      </c>
      <c r="H209" s="332">
        <v>0</v>
      </c>
      <c r="I209" s="479">
        <v>0</v>
      </c>
      <c r="J209" s="482">
        <v>0.06</v>
      </c>
      <c r="K209" s="485">
        <v>10810</v>
      </c>
      <c r="L209" s="332">
        <v>70</v>
      </c>
      <c r="M209" s="482">
        <v>0.01</v>
      </c>
      <c r="N209" s="485">
        <v>10810</v>
      </c>
      <c r="O209" s="332">
        <v>0</v>
      </c>
      <c r="P209" s="482">
        <v>0</v>
      </c>
      <c r="Q209" s="485">
        <v>10810</v>
      </c>
      <c r="R209" s="332">
        <v>225</v>
      </c>
      <c r="S209" s="482">
        <v>0.02</v>
      </c>
      <c r="T209" s="482">
        <v>0</v>
      </c>
      <c r="U209" s="485">
        <v>10</v>
      </c>
      <c r="V209" s="332">
        <v>0</v>
      </c>
      <c r="W209" s="482" t="s">
        <v>1316</v>
      </c>
      <c r="X209" s="325"/>
      <c r="Y209" s="482" t="s">
        <v>1316</v>
      </c>
      <c r="Z209" s="332">
        <v>12</v>
      </c>
      <c r="AA209" s="326">
        <v>114</v>
      </c>
      <c r="AB209" s="340">
        <v>114</v>
      </c>
      <c r="AC209" s="485">
        <v>10740</v>
      </c>
      <c r="AD209" s="332">
        <v>0</v>
      </c>
      <c r="AE209" s="482">
        <v>0</v>
      </c>
      <c r="AF209" s="325"/>
      <c r="AG209" s="482">
        <v>0</v>
      </c>
      <c r="AH209" s="332">
        <v>33</v>
      </c>
      <c r="AI209" s="326">
        <v>129</v>
      </c>
      <c r="AJ209" s="340">
        <v>378</v>
      </c>
      <c r="AK209" s="332" t="s">
        <v>1274</v>
      </c>
      <c r="AL209" s="326" t="s">
        <v>1274</v>
      </c>
      <c r="AM209" s="340" t="s">
        <v>1274</v>
      </c>
      <c r="AN209" s="332">
        <v>65</v>
      </c>
      <c r="AO209" s="326">
        <v>169</v>
      </c>
      <c r="AP209" s="340">
        <v>433</v>
      </c>
      <c r="AQ209" s="485">
        <v>10810</v>
      </c>
      <c r="AR209" s="332">
        <v>0</v>
      </c>
      <c r="AS209" s="482">
        <v>0</v>
      </c>
      <c r="AT209" s="325"/>
      <c r="AU209" s="482">
        <v>0</v>
      </c>
      <c r="AV209" s="332">
        <v>65</v>
      </c>
      <c r="AW209" s="326">
        <v>169</v>
      </c>
      <c r="AX209" s="327">
        <v>433</v>
      </c>
      <c r="AY209" s="97"/>
      <c r="AZ209" s="97"/>
      <c r="BA209" s="97"/>
    </row>
    <row r="210" spans="1:53" ht="22.5" customHeight="1" x14ac:dyDescent="0.4">
      <c r="A210" s="324" t="s">
        <v>408</v>
      </c>
      <c r="B210" s="335" t="s">
        <v>1265</v>
      </c>
      <c r="C210" s="332">
        <v>146815</v>
      </c>
      <c r="D210" s="326">
        <v>152689</v>
      </c>
      <c r="E210" s="479">
        <v>0.96</v>
      </c>
      <c r="F210" s="337" t="s">
        <v>1067</v>
      </c>
      <c r="G210" s="332">
        <v>146815</v>
      </c>
      <c r="H210" s="332">
        <v>0</v>
      </c>
      <c r="I210" s="479">
        <v>0</v>
      </c>
      <c r="J210" s="482">
        <v>0.03</v>
      </c>
      <c r="K210" s="485">
        <v>146815</v>
      </c>
      <c r="L210" s="332">
        <v>2705</v>
      </c>
      <c r="M210" s="482">
        <v>0.02</v>
      </c>
      <c r="N210" s="485">
        <v>146815</v>
      </c>
      <c r="O210" s="332">
        <v>0</v>
      </c>
      <c r="P210" s="482">
        <v>0</v>
      </c>
      <c r="Q210" s="485">
        <v>146815</v>
      </c>
      <c r="R210" s="332">
        <v>6745</v>
      </c>
      <c r="S210" s="482">
        <v>0.05</v>
      </c>
      <c r="T210" s="482">
        <v>0</v>
      </c>
      <c r="U210" s="485">
        <v>405</v>
      </c>
      <c r="V210" s="332" t="s">
        <v>1274</v>
      </c>
      <c r="W210" s="482" t="s">
        <v>1274</v>
      </c>
      <c r="X210" s="325"/>
      <c r="Y210" s="482">
        <v>0</v>
      </c>
      <c r="Z210" s="332">
        <v>1</v>
      </c>
      <c r="AA210" s="326">
        <v>36</v>
      </c>
      <c r="AB210" s="340">
        <v>1398</v>
      </c>
      <c r="AC210" s="485">
        <v>143975</v>
      </c>
      <c r="AD210" s="332">
        <v>40</v>
      </c>
      <c r="AE210" s="482">
        <v>0</v>
      </c>
      <c r="AF210" s="325"/>
      <c r="AG210" s="482">
        <v>0</v>
      </c>
      <c r="AH210" s="332">
        <v>19</v>
      </c>
      <c r="AI210" s="326">
        <v>105</v>
      </c>
      <c r="AJ210" s="340">
        <v>1282</v>
      </c>
      <c r="AK210" s="332">
        <v>78</v>
      </c>
      <c r="AL210" s="326">
        <v>267</v>
      </c>
      <c r="AM210" s="340">
        <v>636</v>
      </c>
      <c r="AN210" s="332">
        <v>63</v>
      </c>
      <c r="AO210" s="326">
        <v>189</v>
      </c>
      <c r="AP210" s="340">
        <v>1291</v>
      </c>
      <c r="AQ210" s="485">
        <v>146815</v>
      </c>
      <c r="AR210" s="332">
        <v>0</v>
      </c>
      <c r="AS210" s="482">
        <v>0</v>
      </c>
      <c r="AT210" s="325"/>
      <c r="AU210" s="482">
        <v>0</v>
      </c>
      <c r="AV210" s="332">
        <v>63</v>
      </c>
      <c r="AW210" s="326">
        <v>189</v>
      </c>
      <c r="AX210" s="327">
        <v>1291</v>
      </c>
      <c r="AY210" s="97"/>
      <c r="AZ210" s="97"/>
      <c r="BA210" s="97"/>
    </row>
    <row r="211" spans="1:53" ht="22.5" customHeight="1" x14ac:dyDescent="0.4">
      <c r="A211" s="324" t="s">
        <v>573</v>
      </c>
      <c r="B211" s="335" t="s">
        <v>1266</v>
      </c>
      <c r="C211" s="332">
        <v>78205</v>
      </c>
      <c r="D211" s="326">
        <v>47972</v>
      </c>
      <c r="E211" s="479">
        <v>1.63</v>
      </c>
      <c r="F211" s="337" t="s">
        <v>1093</v>
      </c>
      <c r="G211" s="332">
        <v>78205</v>
      </c>
      <c r="H211" s="332">
        <v>78205</v>
      </c>
      <c r="I211" s="479">
        <v>1</v>
      </c>
      <c r="J211" s="482">
        <v>0</v>
      </c>
      <c r="K211" s="485" t="s">
        <v>1060</v>
      </c>
      <c r="L211" s="332" t="s">
        <v>1060</v>
      </c>
      <c r="M211" s="482" t="s">
        <v>1060</v>
      </c>
      <c r="N211" s="485">
        <v>78205</v>
      </c>
      <c r="O211" s="332">
        <v>0</v>
      </c>
      <c r="P211" s="482">
        <v>0</v>
      </c>
      <c r="Q211" s="485">
        <v>78205</v>
      </c>
      <c r="R211" s="332">
        <v>8880</v>
      </c>
      <c r="S211" s="482">
        <v>0.11</v>
      </c>
      <c r="T211" s="482">
        <v>0</v>
      </c>
      <c r="U211" s="485" t="s">
        <v>1060</v>
      </c>
      <c r="V211" s="332" t="s">
        <v>1060</v>
      </c>
      <c r="W211" s="482" t="s">
        <v>1060</v>
      </c>
      <c r="X211" s="325"/>
      <c r="Y211" s="482" t="s">
        <v>1060</v>
      </c>
      <c r="Z211" s="332" t="s">
        <v>1060</v>
      </c>
      <c r="AA211" s="326" t="s">
        <v>1060</v>
      </c>
      <c r="AB211" s="340" t="s">
        <v>1060</v>
      </c>
      <c r="AC211" s="485" t="s">
        <v>1060</v>
      </c>
      <c r="AD211" s="332" t="s">
        <v>1060</v>
      </c>
      <c r="AE211" s="482" t="s">
        <v>1060</v>
      </c>
      <c r="AF211" s="325"/>
      <c r="AG211" s="482" t="s">
        <v>1060</v>
      </c>
      <c r="AH211" s="332" t="s">
        <v>1060</v>
      </c>
      <c r="AI211" s="326" t="s">
        <v>1060</v>
      </c>
      <c r="AJ211" s="340" t="s">
        <v>1060</v>
      </c>
      <c r="AK211" s="332" t="s">
        <v>1060</v>
      </c>
      <c r="AL211" s="326" t="s">
        <v>1060</v>
      </c>
      <c r="AM211" s="340" t="s">
        <v>1060</v>
      </c>
      <c r="AN211" s="332" t="s">
        <v>1060</v>
      </c>
      <c r="AO211" s="326" t="s">
        <v>1060</v>
      </c>
      <c r="AP211" s="340" t="s">
        <v>1060</v>
      </c>
      <c r="AQ211" s="485">
        <v>78205</v>
      </c>
      <c r="AR211" s="332">
        <v>78205</v>
      </c>
      <c r="AS211" s="482">
        <v>1</v>
      </c>
      <c r="AT211" s="325"/>
      <c r="AU211" s="482">
        <v>0</v>
      </c>
      <c r="AV211" s="332"/>
      <c r="AW211" s="326"/>
      <c r="AX211" s="327"/>
      <c r="AY211" s="97"/>
      <c r="AZ211" s="97"/>
      <c r="BA211" s="97"/>
    </row>
    <row r="212" spans="1:53" ht="22.5" customHeight="1" x14ac:dyDescent="0.4">
      <c r="A212" s="324" t="s">
        <v>348</v>
      </c>
      <c r="B212" s="335" t="s">
        <v>1267</v>
      </c>
      <c r="C212" s="332">
        <v>65415</v>
      </c>
      <c r="D212" s="326">
        <v>65423</v>
      </c>
      <c r="E212" s="479">
        <v>1</v>
      </c>
      <c r="F212" s="337" t="s">
        <v>1067</v>
      </c>
      <c r="G212" s="332">
        <v>65415</v>
      </c>
      <c r="H212" s="332">
        <v>0</v>
      </c>
      <c r="I212" s="479">
        <v>0</v>
      </c>
      <c r="J212" s="482">
        <v>0.03</v>
      </c>
      <c r="K212" s="485">
        <v>65415</v>
      </c>
      <c r="L212" s="332">
        <v>195</v>
      </c>
      <c r="M212" s="482">
        <v>0</v>
      </c>
      <c r="N212" s="485">
        <v>65415</v>
      </c>
      <c r="O212" s="332">
        <v>0</v>
      </c>
      <c r="P212" s="482">
        <v>0</v>
      </c>
      <c r="Q212" s="485">
        <v>65415</v>
      </c>
      <c r="R212" s="332">
        <v>1840</v>
      </c>
      <c r="S212" s="482">
        <v>0.03</v>
      </c>
      <c r="T212" s="482">
        <v>0</v>
      </c>
      <c r="U212" s="485">
        <v>115</v>
      </c>
      <c r="V212" s="332">
        <v>0</v>
      </c>
      <c r="W212" s="482" t="s">
        <v>1316</v>
      </c>
      <c r="X212" s="325"/>
      <c r="Y212" s="482" t="s">
        <v>1316</v>
      </c>
      <c r="Z212" s="332">
        <v>4</v>
      </c>
      <c r="AA212" s="326">
        <v>14</v>
      </c>
      <c r="AB212" s="340">
        <v>159</v>
      </c>
      <c r="AC212" s="485">
        <v>65210</v>
      </c>
      <c r="AD212" s="332">
        <v>35</v>
      </c>
      <c r="AE212" s="482">
        <v>0</v>
      </c>
      <c r="AF212" s="325"/>
      <c r="AG212" s="482">
        <v>0</v>
      </c>
      <c r="AH212" s="332">
        <v>15</v>
      </c>
      <c r="AI212" s="326">
        <v>76</v>
      </c>
      <c r="AJ212" s="340">
        <v>311</v>
      </c>
      <c r="AK212" s="332">
        <v>98</v>
      </c>
      <c r="AL212" s="326">
        <v>172</v>
      </c>
      <c r="AM212" s="340">
        <v>172</v>
      </c>
      <c r="AN212" s="332">
        <v>55</v>
      </c>
      <c r="AO212" s="326">
        <v>147</v>
      </c>
      <c r="AP212" s="340">
        <v>384</v>
      </c>
      <c r="AQ212" s="485">
        <v>65415</v>
      </c>
      <c r="AR212" s="332">
        <v>0</v>
      </c>
      <c r="AS212" s="482">
        <v>0</v>
      </c>
      <c r="AT212" s="325"/>
      <c r="AU212" s="482">
        <v>0</v>
      </c>
      <c r="AV212" s="332">
        <v>55</v>
      </c>
      <c r="AW212" s="326">
        <v>147</v>
      </c>
      <c r="AX212" s="327">
        <v>384</v>
      </c>
      <c r="AY212" s="97"/>
      <c r="AZ212" s="97"/>
      <c r="BA212" s="97"/>
    </row>
    <row r="213" spans="1:53" ht="22.5" customHeight="1" x14ac:dyDescent="0.4">
      <c r="A213" s="324" t="s">
        <v>385</v>
      </c>
      <c r="B213" s="335" t="s">
        <v>1268</v>
      </c>
      <c r="C213" s="332">
        <v>153140</v>
      </c>
      <c r="D213" s="326">
        <v>56871</v>
      </c>
      <c r="E213" s="479">
        <v>2.69</v>
      </c>
      <c r="F213" s="337" t="s">
        <v>1093</v>
      </c>
      <c r="G213" s="332">
        <v>153140</v>
      </c>
      <c r="H213" s="332">
        <v>0</v>
      </c>
      <c r="I213" s="479">
        <v>0</v>
      </c>
      <c r="J213" s="482">
        <v>0.02</v>
      </c>
      <c r="K213" s="485">
        <v>153140</v>
      </c>
      <c r="L213" s="332">
        <v>19495</v>
      </c>
      <c r="M213" s="482">
        <v>0.13</v>
      </c>
      <c r="N213" s="485">
        <v>153140</v>
      </c>
      <c r="O213" s="332">
        <v>0</v>
      </c>
      <c r="P213" s="482">
        <v>0</v>
      </c>
      <c r="Q213" s="485">
        <v>153140</v>
      </c>
      <c r="R213" s="332">
        <v>13715</v>
      </c>
      <c r="S213" s="482">
        <v>0.09</v>
      </c>
      <c r="T213" s="482">
        <v>0</v>
      </c>
      <c r="U213" s="485">
        <v>1425</v>
      </c>
      <c r="V213" s="332">
        <v>25</v>
      </c>
      <c r="W213" s="482">
        <v>0.02</v>
      </c>
      <c r="X213" s="325"/>
      <c r="Y213" s="482">
        <v>0</v>
      </c>
      <c r="Z213" s="332">
        <v>11</v>
      </c>
      <c r="AA213" s="326">
        <v>33</v>
      </c>
      <c r="AB213" s="340">
        <v>140</v>
      </c>
      <c r="AC213" s="485">
        <v>130645</v>
      </c>
      <c r="AD213" s="332" t="s">
        <v>1274</v>
      </c>
      <c r="AE213" s="482" t="s">
        <v>1274</v>
      </c>
      <c r="AF213" s="325"/>
      <c r="AG213" s="482">
        <v>0</v>
      </c>
      <c r="AH213" s="332">
        <v>52</v>
      </c>
      <c r="AI213" s="326">
        <v>182</v>
      </c>
      <c r="AJ213" s="340">
        <v>1417</v>
      </c>
      <c r="AK213" s="332" t="s">
        <v>1060</v>
      </c>
      <c r="AL213" s="326" t="s">
        <v>1060</v>
      </c>
      <c r="AM213" s="340" t="s">
        <v>1060</v>
      </c>
      <c r="AN213" s="332">
        <v>85</v>
      </c>
      <c r="AO213" s="326">
        <v>207</v>
      </c>
      <c r="AP213" s="340">
        <v>1308</v>
      </c>
      <c r="AQ213" s="485">
        <v>153140</v>
      </c>
      <c r="AR213" s="332">
        <v>0</v>
      </c>
      <c r="AS213" s="482">
        <v>0</v>
      </c>
      <c r="AT213" s="325"/>
      <c r="AU213" s="482">
        <v>0</v>
      </c>
      <c r="AV213" s="332">
        <v>85</v>
      </c>
      <c r="AW213" s="326">
        <v>207</v>
      </c>
      <c r="AX213" s="327">
        <v>1308</v>
      </c>
      <c r="AY213" s="97"/>
      <c r="AZ213" s="97"/>
      <c r="BA213" s="97"/>
    </row>
    <row r="214" spans="1:53" ht="22.5" customHeight="1" x14ac:dyDescent="0.4">
      <c r="A214" s="324" t="s">
        <v>607</v>
      </c>
      <c r="B214" s="335" t="s">
        <v>1269</v>
      </c>
      <c r="C214" s="332" t="s">
        <v>1060</v>
      </c>
      <c r="D214" s="326">
        <v>15355</v>
      </c>
      <c r="E214" s="479" t="s">
        <v>1060</v>
      </c>
      <c r="F214" s="337" t="s">
        <v>1060</v>
      </c>
      <c r="G214" s="332" t="s">
        <v>1060</v>
      </c>
      <c r="H214" s="332" t="s">
        <v>1060</v>
      </c>
      <c r="I214" s="479" t="s">
        <v>1060</v>
      </c>
      <c r="J214" s="482" t="s">
        <v>1060</v>
      </c>
      <c r="K214" s="485" t="s">
        <v>1060</v>
      </c>
      <c r="L214" s="332" t="s">
        <v>1060</v>
      </c>
      <c r="M214" s="482" t="s">
        <v>1060</v>
      </c>
      <c r="N214" s="485">
        <v>16705</v>
      </c>
      <c r="O214" s="332">
        <v>16705</v>
      </c>
      <c r="P214" s="482">
        <v>1</v>
      </c>
      <c r="Q214" s="485" t="s">
        <v>1060</v>
      </c>
      <c r="R214" s="332" t="s">
        <v>1060</v>
      </c>
      <c r="S214" s="482" t="s">
        <v>1060</v>
      </c>
      <c r="T214" s="482" t="s">
        <v>1060</v>
      </c>
      <c r="U214" s="485" t="s">
        <v>1060</v>
      </c>
      <c r="V214" s="332" t="s">
        <v>1060</v>
      </c>
      <c r="W214" s="482" t="s">
        <v>1060</v>
      </c>
      <c r="X214" s="325"/>
      <c r="Y214" s="482" t="s">
        <v>1060</v>
      </c>
      <c r="Z214" s="332" t="s">
        <v>1060</v>
      </c>
      <c r="AA214" s="326" t="s">
        <v>1060</v>
      </c>
      <c r="AB214" s="340" t="s">
        <v>1060</v>
      </c>
      <c r="AC214" s="485" t="s">
        <v>1060</v>
      </c>
      <c r="AD214" s="332" t="s">
        <v>1060</v>
      </c>
      <c r="AE214" s="482" t="s">
        <v>1060</v>
      </c>
      <c r="AF214" s="325"/>
      <c r="AG214" s="482" t="s">
        <v>1060</v>
      </c>
      <c r="AH214" s="332" t="s">
        <v>1060</v>
      </c>
      <c r="AI214" s="326" t="s">
        <v>1060</v>
      </c>
      <c r="AJ214" s="340" t="s">
        <v>1060</v>
      </c>
      <c r="AK214" s="332" t="s">
        <v>1060</v>
      </c>
      <c r="AL214" s="326" t="s">
        <v>1060</v>
      </c>
      <c r="AM214" s="340" t="s">
        <v>1060</v>
      </c>
      <c r="AN214" s="332" t="s">
        <v>1060</v>
      </c>
      <c r="AO214" s="326" t="s">
        <v>1060</v>
      </c>
      <c r="AP214" s="340" t="s">
        <v>1060</v>
      </c>
      <c r="AQ214" s="485" t="s">
        <v>1060</v>
      </c>
      <c r="AR214" s="332" t="s">
        <v>1060</v>
      </c>
      <c r="AS214" s="482" t="s">
        <v>1060</v>
      </c>
      <c r="AT214" s="325"/>
      <c r="AU214" s="482" t="s">
        <v>1060</v>
      </c>
      <c r="AV214" s="332" t="s">
        <v>1060</v>
      </c>
      <c r="AW214" s="326" t="s">
        <v>1060</v>
      </c>
      <c r="AX214" s="327" t="s">
        <v>1060</v>
      </c>
      <c r="AY214" s="97"/>
      <c r="AZ214" s="97"/>
      <c r="BA214" s="97"/>
    </row>
    <row r="215" spans="1:53" ht="22.5" customHeight="1" x14ac:dyDescent="0.4">
      <c r="A215" s="324" t="s">
        <v>389</v>
      </c>
      <c r="B215" s="335" t="s">
        <v>1270</v>
      </c>
      <c r="C215" s="332">
        <v>239450</v>
      </c>
      <c r="D215" s="326">
        <v>288962</v>
      </c>
      <c r="E215" s="479">
        <v>0.83</v>
      </c>
      <c r="F215" s="337" t="s">
        <v>1077</v>
      </c>
      <c r="G215" s="332">
        <v>239450</v>
      </c>
      <c r="H215" s="332">
        <v>14570</v>
      </c>
      <c r="I215" s="479">
        <v>0.06</v>
      </c>
      <c r="J215" s="482">
        <v>0</v>
      </c>
      <c r="K215" s="485">
        <v>224880</v>
      </c>
      <c r="L215" s="332">
        <v>8490</v>
      </c>
      <c r="M215" s="482">
        <v>0.04</v>
      </c>
      <c r="N215" s="485">
        <v>240015</v>
      </c>
      <c r="O215" s="332">
        <v>565</v>
      </c>
      <c r="P215" s="482">
        <v>0</v>
      </c>
      <c r="Q215" s="485">
        <v>239450</v>
      </c>
      <c r="R215" s="332">
        <v>31885</v>
      </c>
      <c r="S215" s="482">
        <v>0.13</v>
      </c>
      <c r="T215" s="482">
        <v>0</v>
      </c>
      <c r="U215" s="485">
        <v>50385</v>
      </c>
      <c r="V215" s="332" t="s">
        <v>1274</v>
      </c>
      <c r="W215" s="482" t="s">
        <v>1274</v>
      </c>
      <c r="X215" s="325"/>
      <c r="Y215" s="482">
        <v>0</v>
      </c>
      <c r="Z215" s="332">
        <v>233</v>
      </c>
      <c r="AA215" s="326">
        <v>726</v>
      </c>
      <c r="AB215" s="340">
        <v>1439</v>
      </c>
      <c r="AC215" s="485">
        <v>216130</v>
      </c>
      <c r="AD215" s="332">
        <v>21230</v>
      </c>
      <c r="AE215" s="482">
        <v>0.1</v>
      </c>
      <c r="AF215" s="325"/>
      <c r="AG215" s="482">
        <v>0</v>
      </c>
      <c r="AH215" s="332">
        <v>82</v>
      </c>
      <c r="AI215" s="326">
        <v>221</v>
      </c>
      <c r="AJ215" s="340">
        <v>1437</v>
      </c>
      <c r="AK215" s="332">
        <v>234</v>
      </c>
      <c r="AL215" s="326">
        <v>744</v>
      </c>
      <c r="AM215" s="340">
        <v>1438</v>
      </c>
      <c r="AN215" s="332">
        <v>140</v>
      </c>
      <c r="AO215" s="326">
        <v>344</v>
      </c>
      <c r="AP215" s="340">
        <v>1439</v>
      </c>
      <c r="AQ215" s="485">
        <v>239450</v>
      </c>
      <c r="AR215" s="332">
        <v>455</v>
      </c>
      <c r="AS215" s="482">
        <v>0</v>
      </c>
      <c r="AT215" s="325"/>
      <c r="AU215" s="482">
        <v>0</v>
      </c>
      <c r="AV215" s="332">
        <v>157</v>
      </c>
      <c r="AW215" s="326">
        <v>474</v>
      </c>
      <c r="AX215" s="327">
        <v>1439</v>
      </c>
      <c r="AY215" s="97"/>
      <c r="AZ215" s="97"/>
      <c r="BA215" s="97"/>
    </row>
    <row r="216" spans="1:53" ht="22.5" customHeight="1" x14ac:dyDescent="0.4">
      <c r="A216" s="324" t="s">
        <v>611</v>
      </c>
      <c r="B216" s="335" t="s">
        <v>1271</v>
      </c>
      <c r="C216" s="332">
        <v>136465</v>
      </c>
      <c r="D216" s="326">
        <v>151706</v>
      </c>
      <c r="E216" s="479">
        <v>0.9</v>
      </c>
      <c r="F216" s="337" t="s">
        <v>1077</v>
      </c>
      <c r="G216" s="332">
        <v>136465</v>
      </c>
      <c r="H216" s="332">
        <v>0</v>
      </c>
      <c r="I216" s="479">
        <v>0</v>
      </c>
      <c r="J216" s="482">
        <v>0</v>
      </c>
      <c r="K216" s="485">
        <v>136465</v>
      </c>
      <c r="L216" s="332">
        <v>3335</v>
      </c>
      <c r="M216" s="482">
        <v>0.02</v>
      </c>
      <c r="N216" s="485">
        <v>136465</v>
      </c>
      <c r="O216" s="332">
        <v>0</v>
      </c>
      <c r="P216" s="482">
        <v>0</v>
      </c>
      <c r="Q216" s="485">
        <v>136465</v>
      </c>
      <c r="R216" s="332">
        <v>7360</v>
      </c>
      <c r="S216" s="482">
        <v>0.05</v>
      </c>
      <c r="T216" s="482">
        <v>0</v>
      </c>
      <c r="U216" s="485">
        <v>41610</v>
      </c>
      <c r="V216" s="332">
        <v>30</v>
      </c>
      <c r="W216" s="482">
        <v>0</v>
      </c>
      <c r="X216" s="325"/>
      <c r="Y216" s="482">
        <v>0</v>
      </c>
      <c r="Z216" s="332">
        <v>0</v>
      </c>
      <c r="AA216" s="326">
        <v>38</v>
      </c>
      <c r="AB216" s="340">
        <v>341</v>
      </c>
      <c r="AC216" s="485">
        <v>132910</v>
      </c>
      <c r="AD216" s="332">
        <v>1310</v>
      </c>
      <c r="AE216" s="482">
        <v>0.01</v>
      </c>
      <c r="AF216" s="325"/>
      <c r="AG216" s="482">
        <v>0</v>
      </c>
      <c r="AH216" s="332">
        <v>84</v>
      </c>
      <c r="AI216" s="326">
        <v>198</v>
      </c>
      <c r="AJ216" s="340">
        <v>671</v>
      </c>
      <c r="AK216" s="332">
        <v>228</v>
      </c>
      <c r="AL216" s="326">
        <v>468</v>
      </c>
      <c r="AM216" s="340">
        <v>1320</v>
      </c>
      <c r="AN216" s="332">
        <v>169</v>
      </c>
      <c r="AO216" s="326">
        <v>241</v>
      </c>
      <c r="AP216" s="340">
        <v>1412</v>
      </c>
      <c r="AQ216" s="485">
        <v>136465</v>
      </c>
      <c r="AR216" s="332">
        <v>0</v>
      </c>
      <c r="AS216" s="482">
        <v>0</v>
      </c>
      <c r="AT216" s="325"/>
      <c r="AU216" s="482">
        <v>0</v>
      </c>
      <c r="AV216" s="332">
        <v>186</v>
      </c>
      <c r="AW216" s="326">
        <v>332</v>
      </c>
      <c r="AX216" s="327">
        <v>1412</v>
      </c>
      <c r="AY216" s="97"/>
      <c r="AZ216" s="97"/>
      <c r="BA216" s="97"/>
    </row>
    <row r="217" spans="1:53" ht="22.5" customHeight="1" x14ac:dyDescent="0.4">
      <c r="A217" s="324" t="s">
        <v>326</v>
      </c>
      <c r="B217" s="335" t="s">
        <v>1272</v>
      </c>
      <c r="C217" s="332" t="s">
        <v>1060</v>
      </c>
      <c r="D217" s="326">
        <v>219963</v>
      </c>
      <c r="E217" s="479" t="s">
        <v>1060</v>
      </c>
      <c r="F217" s="337" t="s">
        <v>1060</v>
      </c>
      <c r="G217" s="332" t="s">
        <v>1060</v>
      </c>
      <c r="H217" s="332" t="s">
        <v>1060</v>
      </c>
      <c r="I217" s="479" t="s">
        <v>1060</v>
      </c>
      <c r="J217" s="482" t="s">
        <v>1060</v>
      </c>
      <c r="K217" s="485" t="s">
        <v>1060</v>
      </c>
      <c r="L217" s="332" t="s">
        <v>1060</v>
      </c>
      <c r="M217" s="482" t="s">
        <v>1060</v>
      </c>
      <c r="N217" s="485">
        <v>222645</v>
      </c>
      <c r="O217" s="332">
        <v>222645</v>
      </c>
      <c r="P217" s="482">
        <v>1</v>
      </c>
      <c r="Q217" s="485" t="s">
        <v>1060</v>
      </c>
      <c r="R217" s="332" t="s">
        <v>1060</v>
      </c>
      <c r="S217" s="482" t="s">
        <v>1060</v>
      </c>
      <c r="T217" s="482" t="s">
        <v>1060</v>
      </c>
      <c r="U217" s="485" t="s">
        <v>1060</v>
      </c>
      <c r="V217" s="332" t="s">
        <v>1060</v>
      </c>
      <c r="W217" s="482" t="s">
        <v>1060</v>
      </c>
      <c r="X217" s="325"/>
      <c r="Y217" s="482" t="s">
        <v>1060</v>
      </c>
      <c r="Z217" s="332" t="s">
        <v>1060</v>
      </c>
      <c r="AA217" s="326" t="s">
        <v>1060</v>
      </c>
      <c r="AB217" s="340" t="s">
        <v>1060</v>
      </c>
      <c r="AC217" s="485" t="s">
        <v>1060</v>
      </c>
      <c r="AD217" s="332" t="s">
        <v>1060</v>
      </c>
      <c r="AE217" s="482" t="s">
        <v>1060</v>
      </c>
      <c r="AF217" s="325"/>
      <c r="AG217" s="482" t="s">
        <v>1060</v>
      </c>
      <c r="AH217" s="332" t="s">
        <v>1060</v>
      </c>
      <c r="AI217" s="326" t="s">
        <v>1060</v>
      </c>
      <c r="AJ217" s="340" t="s">
        <v>1060</v>
      </c>
      <c r="AK217" s="332" t="s">
        <v>1060</v>
      </c>
      <c r="AL217" s="326" t="s">
        <v>1060</v>
      </c>
      <c r="AM217" s="340" t="s">
        <v>1060</v>
      </c>
      <c r="AN217" s="332" t="s">
        <v>1060</v>
      </c>
      <c r="AO217" s="326" t="s">
        <v>1060</v>
      </c>
      <c r="AP217" s="340" t="s">
        <v>1060</v>
      </c>
      <c r="AQ217" s="485" t="s">
        <v>1060</v>
      </c>
      <c r="AR217" s="332" t="s">
        <v>1060</v>
      </c>
      <c r="AS217" s="482" t="s">
        <v>1060</v>
      </c>
      <c r="AT217" s="325"/>
      <c r="AU217" s="482" t="s">
        <v>1060</v>
      </c>
      <c r="AV217" s="332" t="s">
        <v>1060</v>
      </c>
      <c r="AW217" s="326" t="s">
        <v>1060</v>
      </c>
      <c r="AX217" s="327" t="s">
        <v>1060</v>
      </c>
      <c r="AY217" s="97"/>
      <c r="AZ217" s="97"/>
      <c r="BA217" s="97"/>
    </row>
    <row r="218" spans="1:53" ht="22.5" customHeight="1" thickBot="1" x14ac:dyDescent="0.45">
      <c r="A218" s="328" t="s">
        <v>395</v>
      </c>
      <c r="B218" s="336" t="s">
        <v>1273</v>
      </c>
      <c r="C218" s="480">
        <v>76245</v>
      </c>
      <c r="D218" s="329">
        <v>60985</v>
      </c>
      <c r="E218" s="481">
        <v>1.25</v>
      </c>
      <c r="F218" s="338" t="s">
        <v>1093</v>
      </c>
      <c r="G218" s="480">
        <v>76245</v>
      </c>
      <c r="H218" s="480" t="s">
        <v>1274</v>
      </c>
      <c r="I218" s="481" t="s">
        <v>1274</v>
      </c>
      <c r="J218" s="483">
        <v>0</v>
      </c>
      <c r="K218" s="485">
        <v>76240</v>
      </c>
      <c r="L218" s="332">
        <v>1165</v>
      </c>
      <c r="M218" s="482">
        <v>0.02</v>
      </c>
      <c r="N218" s="485">
        <v>76245</v>
      </c>
      <c r="O218" s="332">
        <v>0</v>
      </c>
      <c r="P218" s="482">
        <v>0</v>
      </c>
      <c r="Q218" s="485">
        <v>76245</v>
      </c>
      <c r="R218" s="332">
        <v>16205</v>
      </c>
      <c r="S218" s="482">
        <v>0.21</v>
      </c>
      <c r="T218" s="483">
        <v>0</v>
      </c>
      <c r="U218" s="485">
        <v>130</v>
      </c>
      <c r="V218" s="332" t="s">
        <v>1274</v>
      </c>
      <c r="W218" s="482" t="s">
        <v>1316</v>
      </c>
      <c r="X218" s="330"/>
      <c r="Y218" s="482" t="s">
        <v>1316</v>
      </c>
      <c r="Z218" s="333">
        <v>33</v>
      </c>
      <c r="AA218" s="329">
        <v>111</v>
      </c>
      <c r="AB218" s="341">
        <v>145</v>
      </c>
      <c r="AC218" s="485">
        <v>75035</v>
      </c>
      <c r="AD218" s="332">
        <v>115</v>
      </c>
      <c r="AE218" s="482">
        <v>0</v>
      </c>
      <c r="AF218" s="330"/>
      <c r="AG218" s="482">
        <v>0</v>
      </c>
      <c r="AH218" s="333">
        <v>21</v>
      </c>
      <c r="AI218" s="329">
        <v>95</v>
      </c>
      <c r="AJ218" s="341">
        <v>640</v>
      </c>
      <c r="AK218" s="333">
        <v>135</v>
      </c>
      <c r="AL218" s="329">
        <v>561</v>
      </c>
      <c r="AM218" s="341">
        <v>561</v>
      </c>
      <c r="AN218" s="333">
        <v>54</v>
      </c>
      <c r="AO218" s="329">
        <v>143</v>
      </c>
      <c r="AP218" s="341">
        <v>1370</v>
      </c>
      <c r="AQ218" s="485">
        <v>76245</v>
      </c>
      <c r="AR218" s="332">
        <v>0</v>
      </c>
      <c r="AS218" s="482">
        <v>0</v>
      </c>
      <c r="AT218" s="330"/>
      <c r="AU218" s="482">
        <v>0</v>
      </c>
      <c r="AV218" s="333">
        <v>54</v>
      </c>
      <c r="AW218" s="329">
        <v>143</v>
      </c>
      <c r="AX218" s="331">
        <v>1370</v>
      </c>
      <c r="AY218" s="97"/>
      <c r="AZ218" s="97"/>
      <c r="BA218" s="97"/>
    </row>
    <row r="219" spans="1:53" x14ac:dyDescent="0.4">
      <c r="A219" s="106"/>
      <c r="B219" s="106"/>
      <c r="C219" s="102"/>
      <c r="D219" s="102"/>
      <c r="E219" s="103"/>
      <c r="F219" s="105"/>
      <c r="G219" s="102"/>
      <c r="H219" s="102"/>
      <c r="I219" s="104"/>
      <c r="J219" s="104"/>
      <c r="K219" s="102"/>
      <c r="L219" s="102"/>
      <c r="M219" s="104"/>
      <c r="N219" s="102"/>
      <c r="O219" s="102"/>
      <c r="P219" s="104"/>
      <c r="Q219" s="102"/>
      <c r="R219" s="102"/>
      <c r="S219" s="103"/>
      <c r="T219" s="103"/>
      <c r="U219" s="102"/>
      <c r="V219" s="102"/>
      <c r="W219" s="103"/>
      <c r="X219" s="105"/>
      <c r="Y219" s="103"/>
      <c r="Z219" s="102"/>
      <c r="AA219" s="102"/>
      <c r="AB219" s="102"/>
      <c r="AC219" s="102"/>
      <c r="AD219" s="102"/>
      <c r="AE219" s="103"/>
      <c r="AF219" s="105"/>
      <c r="AG219" s="103"/>
      <c r="AH219" s="102"/>
      <c r="AI219" s="102"/>
      <c r="AJ219" s="102"/>
      <c r="AK219" s="102"/>
      <c r="AL219" s="102"/>
      <c r="AM219" s="102"/>
      <c r="AN219" s="102"/>
      <c r="AO219" s="102"/>
      <c r="AP219" s="102"/>
      <c r="AQ219" s="102"/>
      <c r="AR219" s="102"/>
      <c r="AS219" s="103"/>
      <c r="AT219" s="105"/>
      <c r="AU219" s="103"/>
      <c r="AV219" s="102"/>
      <c r="AW219" s="102"/>
      <c r="AX219" s="102"/>
      <c r="AY219" s="97"/>
      <c r="AZ219" s="97"/>
      <c r="BA219" s="97"/>
    </row>
    <row r="220" spans="1:53" ht="180" customHeight="1" x14ac:dyDescent="0.4">
      <c r="A220" s="644" t="s">
        <v>1318</v>
      </c>
      <c r="B220" s="645"/>
      <c r="C220" s="645"/>
      <c r="D220" s="645"/>
      <c r="E220" s="645"/>
      <c r="F220" s="645"/>
      <c r="G220" s="645"/>
      <c r="H220" s="645"/>
      <c r="I220" s="105"/>
      <c r="J220" s="105"/>
      <c r="K220" s="105"/>
      <c r="L220" s="105"/>
      <c r="M220" s="105"/>
      <c r="N220" s="105"/>
      <c r="O220" s="105"/>
      <c r="P220" s="105"/>
      <c r="Q220" s="105"/>
      <c r="R220" s="105"/>
      <c r="S220" s="105"/>
      <c r="T220" s="105"/>
      <c r="U220" s="105"/>
      <c r="V220" s="105"/>
      <c r="W220" s="105"/>
      <c r="X220" s="105"/>
      <c r="Y220" s="105"/>
      <c r="Z220" s="105"/>
      <c r="AA220" s="105"/>
      <c r="AB220" s="105"/>
      <c r="AC220" s="105"/>
      <c r="AD220" s="105"/>
      <c r="AE220" s="105"/>
      <c r="AF220" s="105"/>
      <c r="AG220" s="105"/>
      <c r="AH220" s="105"/>
      <c r="AI220" s="105"/>
      <c r="AJ220" s="105"/>
      <c r="AK220" s="105"/>
      <c r="AL220" s="105"/>
      <c r="AM220" s="105"/>
      <c r="AN220" s="105"/>
      <c r="AO220" s="105"/>
      <c r="AP220" s="105"/>
      <c r="AQ220" s="105"/>
      <c r="AR220" s="105"/>
      <c r="AS220" s="105"/>
      <c r="AT220" s="105"/>
      <c r="AU220" s="105"/>
      <c r="AV220" s="105"/>
      <c r="AW220" s="105"/>
      <c r="AX220" s="105"/>
      <c r="AY220" s="97"/>
      <c r="AZ220" s="97"/>
      <c r="BA220" s="97"/>
    </row>
    <row r="221" spans="1:53" ht="56.25" customHeight="1" x14ac:dyDescent="0.4">
      <c r="A221" s="646" t="s">
        <v>779</v>
      </c>
      <c r="B221" s="645"/>
      <c r="C221" s="645"/>
      <c r="D221" s="645"/>
      <c r="E221" s="645"/>
      <c r="F221" s="645"/>
      <c r="G221" s="645"/>
      <c r="H221" s="645"/>
      <c r="I221" s="105"/>
      <c r="J221" s="105"/>
      <c r="K221" s="105"/>
      <c r="L221" s="105"/>
      <c r="M221" s="105"/>
      <c r="N221" s="105"/>
      <c r="O221" s="105"/>
      <c r="P221" s="105"/>
      <c r="Q221" s="105"/>
      <c r="R221" s="105"/>
      <c r="S221" s="105"/>
      <c r="T221" s="105"/>
      <c r="U221" s="105"/>
      <c r="V221" s="105"/>
      <c r="W221" s="105"/>
      <c r="X221" s="105"/>
      <c r="Y221" s="105"/>
      <c r="Z221" s="105"/>
      <c r="AA221" s="105"/>
      <c r="AB221" s="105"/>
      <c r="AC221" s="105"/>
      <c r="AD221" s="105"/>
      <c r="AE221" s="105"/>
      <c r="AF221" s="105"/>
      <c r="AG221" s="105"/>
      <c r="AH221" s="105"/>
      <c r="AI221" s="105"/>
      <c r="AJ221" s="105"/>
      <c r="AK221" s="105"/>
      <c r="AL221" s="105"/>
      <c r="AM221" s="105"/>
      <c r="AN221" s="105"/>
      <c r="AO221" s="105"/>
      <c r="AP221" s="105"/>
      <c r="AQ221" s="105"/>
      <c r="AR221" s="105"/>
      <c r="AS221" s="105"/>
      <c r="AT221" s="105"/>
      <c r="AU221" s="105"/>
      <c r="AV221" s="105"/>
      <c r="AW221" s="105"/>
      <c r="AX221" s="105"/>
      <c r="AY221" s="97"/>
      <c r="AZ221" s="97"/>
      <c r="BA221" s="97"/>
    </row>
    <row r="222" spans="1:53" ht="117" customHeight="1" x14ac:dyDescent="0.4">
      <c r="A222" s="646" t="s">
        <v>1308</v>
      </c>
      <c r="B222" s="645"/>
      <c r="C222" s="645"/>
      <c r="D222" s="645"/>
      <c r="E222" s="645"/>
      <c r="F222" s="645"/>
      <c r="G222" s="645"/>
      <c r="H222" s="645"/>
      <c r="I222" s="105"/>
      <c r="J222" s="105"/>
      <c r="K222" s="105"/>
      <c r="L222" s="105"/>
      <c r="M222" s="105"/>
      <c r="N222" s="105"/>
      <c r="O222" s="105"/>
      <c r="P222" s="105"/>
      <c r="Q222" s="105"/>
      <c r="R222" s="105"/>
      <c r="S222" s="105"/>
      <c r="T222" s="105"/>
      <c r="U222" s="105"/>
      <c r="V222" s="105"/>
      <c r="W222" s="105"/>
      <c r="X222" s="105"/>
      <c r="Y222" s="105"/>
      <c r="Z222" s="105"/>
      <c r="AA222" s="105"/>
      <c r="AB222" s="105"/>
      <c r="AC222" s="105"/>
      <c r="AD222" s="105"/>
      <c r="AE222" s="105"/>
      <c r="AF222" s="105"/>
      <c r="AG222" s="105"/>
      <c r="AH222" s="105"/>
      <c r="AI222" s="105"/>
      <c r="AJ222" s="105"/>
      <c r="AK222" s="105"/>
      <c r="AL222" s="105"/>
      <c r="AM222" s="105"/>
      <c r="AN222" s="105"/>
      <c r="AO222" s="105"/>
      <c r="AP222" s="105"/>
      <c r="AQ222" s="105"/>
      <c r="AR222" s="105"/>
      <c r="AS222" s="105"/>
      <c r="AT222" s="105"/>
      <c r="AU222" s="105"/>
      <c r="AV222" s="105"/>
      <c r="AW222" s="105"/>
      <c r="AX222" s="105"/>
      <c r="AY222" s="97"/>
      <c r="AZ222" s="97"/>
      <c r="BA222" s="97"/>
    </row>
    <row r="223" spans="1:53" ht="129" customHeight="1" x14ac:dyDescent="0.4">
      <c r="A223" s="637" t="s">
        <v>1309</v>
      </c>
      <c r="B223" s="492"/>
      <c r="C223" s="492"/>
      <c r="D223" s="492"/>
      <c r="E223" s="492"/>
      <c r="F223" s="492"/>
      <c r="G223" s="492"/>
      <c r="H223" s="492"/>
      <c r="I223" s="105"/>
      <c r="J223" s="105"/>
      <c r="K223" s="105"/>
      <c r="L223" s="105"/>
      <c r="M223" s="105"/>
      <c r="N223" s="105"/>
      <c r="O223" s="105"/>
      <c r="P223" s="105"/>
      <c r="Q223" s="105"/>
      <c r="R223" s="105"/>
      <c r="S223" s="105"/>
      <c r="T223" s="105"/>
      <c r="U223" s="105"/>
      <c r="V223" s="105"/>
      <c r="W223" s="105"/>
      <c r="X223" s="105"/>
      <c r="Y223" s="105"/>
      <c r="Z223" s="105"/>
      <c r="AA223" s="105"/>
      <c r="AB223" s="105"/>
      <c r="AC223" s="105"/>
      <c r="AD223" s="105"/>
      <c r="AE223" s="105"/>
      <c r="AF223" s="105"/>
      <c r="AG223" s="105"/>
      <c r="AH223" s="105"/>
      <c r="AI223" s="105"/>
      <c r="AJ223" s="105"/>
      <c r="AK223" s="105"/>
      <c r="AL223" s="105"/>
      <c r="AM223" s="105"/>
      <c r="AN223" s="105"/>
      <c r="AO223" s="105"/>
      <c r="AP223" s="105"/>
      <c r="AQ223" s="105"/>
      <c r="AR223" s="105"/>
      <c r="AS223" s="105"/>
      <c r="AT223" s="105"/>
      <c r="AU223" s="105"/>
      <c r="AV223" s="105"/>
      <c r="AW223" s="105"/>
      <c r="AX223" s="105"/>
      <c r="AY223" s="97"/>
      <c r="AZ223" s="97"/>
      <c r="BA223" s="97"/>
    </row>
    <row r="224" spans="1:53" x14ac:dyDescent="0.4">
      <c r="A224" s="388"/>
      <c r="B224" s="387"/>
      <c r="C224" s="387"/>
      <c r="D224" s="387"/>
      <c r="E224" s="387"/>
      <c r="F224" s="387"/>
      <c r="G224" s="387"/>
      <c r="H224" s="387"/>
      <c r="I224" s="105"/>
      <c r="J224" s="105"/>
      <c r="K224" s="105"/>
      <c r="L224" s="105"/>
      <c r="M224" s="105"/>
      <c r="N224" s="105"/>
      <c r="O224" s="105"/>
      <c r="P224" s="105"/>
      <c r="Q224" s="105"/>
      <c r="R224" s="105"/>
      <c r="S224" s="105"/>
      <c r="T224" s="105"/>
      <c r="U224" s="105"/>
      <c r="V224" s="105"/>
      <c r="W224" s="105"/>
      <c r="X224" s="105"/>
      <c r="Y224" s="105"/>
      <c r="Z224" s="105"/>
      <c r="AA224" s="105"/>
      <c r="AB224" s="105"/>
      <c r="AC224" s="105"/>
      <c r="AD224" s="105"/>
      <c r="AE224" s="105"/>
      <c r="AF224" s="105"/>
      <c r="AG224" s="105"/>
      <c r="AH224" s="105"/>
      <c r="AI224" s="105"/>
      <c r="AJ224" s="105"/>
      <c r="AK224" s="105"/>
      <c r="AL224" s="105"/>
      <c r="AM224" s="105"/>
      <c r="AN224" s="105"/>
      <c r="AO224" s="105"/>
      <c r="AP224" s="105"/>
      <c r="AQ224" s="105"/>
      <c r="AR224" s="105"/>
      <c r="AS224" s="105"/>
      <c r="AT224" s="105"/>
      <c r="AU224" s="105"/>
      <c r="AV224" s="105"/>
      <c r="AW224" s="105"/>
      <c r="AX224" s="105"/>
      <c r="AY224" s="97"/>
      <c r="AZ224" s="97"/>
      <c r="BA224" s="97"/>
    </row>
    <row r="225" spans="1:53" x14ac:dyDescent="0.4">
      <c r="A225" s="638" t="s">
        <v>777</v>
      </c>
      <c r="B225" s="638"/>
      <c r="C225" s="387"/>
      <c r="D225" s="387"/>
      <c r="E225" s="387"/>
      <c r="F225" s="387"/>
      <c r="G225" s="387"/>
      <c r="H225" s="387"/>
      <c r="I225" s="105"/>
      <c r="J225" s="105"/>
      <c r="K225" s="105"/>
      <c r="L225" s="105"/>
      <c r="M225" s="105"/>
      <c r="N225" s="105"/>
      <c r="O225" s="105"/>
      <c r="P225" s="105"/>
      <c r="Q225" s="105"/>
      <c r="R225" s="105"/>
      <c r="S225" s="105"/>
      <c r="T225" s="105"/>
      <c r="U225" s="105"/>
      <c r="V225" s="105"/>
      <c r="W225" s="105"/>
      <c r="X225" s="105"/>
      <c r="Y225" s="105"/>
      <c r="Z225" s="105"/>
      <c r="AA225" s="105"/>
      <c r="AB225" s="105"/>
      <c r="AC225" s="105"/>
      <c r="AD225" s="105"/>
      <c r="AE225" s="105"/>
      <c r="AF225" s="105"/>
      <c r="AG225" s="105"/>
      <c r="AH225" s="105"/>
      <c r="AI225" s="105"/>
      <c r="AJ225" s="105"/>
      <c r="AK225" s="105"/>
      <c r="AL225" s="105"/>
      <c r="AM225" s="105"/>
      <c r="AN225" s="105"/>
      <c r="AO225" s="105"/>
      <c r="AP225" s="105"/>
      <c r="AQ225" s="105"/>
      <c r="AR225" s="105"/>
      <c r="AS225" s="105"/>
      <c r="AT225" s="105"/>
      <c r="AU225" s="105"/>
      <c r="AV225" s="105"/>
      <c r="AW225" s="105"/>
      <c r="AX225" s="105"/>
      <c r="AY225" s="97"/>
      <c r="AZ225" s="97"/>
      <c r="BA225" s="97"/>
    </row>
    <row r="226" spans="1:53" x14ac:dyDescent="0.4">
      <c r="A226" s="588" t="s">
        <v>1052</v>
      </c>
      <c r="B226" s="588"/>
      <c r="C226" s="588"/>
      <c r="D226" s="588"/>
      <c r="E226" s="588"/>
      <c r="F226" s="588"/>
      <c r="G226" s="588"/>
      <c r="H226" s="588"/>
      <c r="I226" s="105"/>
      <c r="J226" s="105"/>
      <c r="K226" s="105"/>
      <c r="L226" s="105"/>
      <c r="M226" s="105"/>
      <c r="N226" s="105"/>
      <c r="O226" s="105"/>
      <c r="P226" s="105"/>
      <c r="Q226" s="105"/>
      <c r="R226" s="105"/>
      <c r="S226" s="105"/>
      <c r="T226" s="105"/>
      <c r="U226" s="105"/>
      <c r="V226" s="105"/>
      <c r="W226" s="105"/>
      <c r="X226" s="105"/>
      <c r="Y226" s="105"/>
      <c r="Z226" s="105"/>
      <c r="AA226" s="105"/>
      <c r="AB226" s="105"/>
      <c r="AC226" s="105"/>
      <c r="AD226" s="105"/>
      <c r="AE226" s="105"/>
      <c r="AF226" s="105"/>
      <c r="AG226" s="105"/>
      <c r="AH226" s="105"/>
      <c r="AI226" s="105"/>
      <c r="AJ226" s="105"/>
      <c r="AK226" s="105"/>
      <c r="AL226" s="105"/>
      <c r="AM226" s="105"/>
      <c r="AN226" s="105"/>
      <c r="AO226" s="105"/>
      <c r="AP226" s="105"/>
      <c r="AQ226" s="105"/>
      <c r="AR226" s="105"/>
      <c r="AS226" s="105"/>
      <c r="AT226" s="105"/>
      <c r="AU226" s="105"/>
      <c r="AV226" s="105"/>
      <c r="AW226" s="105"/>
      <c r="AX226" s="105"/>
      <c r="AY226" s="97"/>
      <c r="AZ226" s="97"/>
      <c r="BA226" s="97"/>
    </row>
    <row r="227" spans="1:53" ht="12.6" thickBot="1" x14ac:dyDescent="0.45">
      <c r="A227" s="107"/>
      <c r="B227" s="107"/>
      <c r="C227" s="107"/>
      <c r="D227" s="107"/>
      <c r="E227" s="107"/>
      <c r="F227" s="107"/>
      <c r="G227" s="107"/>
      <c r="H227" s="107"/>
      <c r="I227" s="97"/>
      <c r="J227" s="97"/>
      <c r="K227" s="97"/>
      <c r="L227" s="97"/>
      <c r="M227" s="97"/>
      <c r="N227" s="97"/>
      <c r="O227" s="97"/>
      <c r="P227" s="97"/>
      <c r="Q227" s="97"/>
      <c r="R227" s="97"/>
      <c r="S227" s="97"/>
      <c r="T227" s="97"/>
      <c r="U227" s="97"/>
      <c r="V227" s="97"/>
      <c r="W227" s="97"/>
      <c r="X227" s="97"/>
      <c r="Y227" s="97"/>
      <c r="Z227" s="97"/>
      <c r="AA227" s="97"/>
      <c r="AB227" s="97"/>
      <c r="AC227" s="97"/>
      <c r="AD227" s="97"/>
      <c r="AE227" s="97"/>
      <c r="AF227" s="97"/>
      <c r="AG227" s="97"/>
      <c r="AH227" s="97"/>
      <c r="AI227" s="97"/>
      <c r="AJ227" s="97"/>
      <c r="AK227" s="97"/>
      <c r="AL227" s="97"/>
      <c r="AM227" s="97"/>
      <c r="AN227" s="97"/>
      <c r="AO227" s="97"/>
      <c r="AP227" s="97"/>
      <c r="AQ227" s="97"/>
      <c r="AR227" s="97"/>
      <c r="AS227" s="97"/>
      <c r="AT227" s="97"/>
      <c r="AU227" s="97"/>
      <c r="AV227" s="97"/>
      <c r="AW227" s="97"/>
      <c r="AX227" s="97"/>
      <c r="AY227" s="97"/>
      <c r="AZ227" s="97"/>
      <c r="BA227" s="97"/>
    </row>
    <row r="228" spans="1:53" x14ac:dyDescent="0.4">
      <c r="A228" s="639" t="s">
        <v>10</v>
      </c>
      <c r="B228" s="639"/>
      <c r="C228" s="639"/>
      <c r="D228" s="639"/>
      <c r="E228" s="639"/>
      <c r="F228" s="639"/>
      <c r="G228" s="639"/>
      <c r="H228" s="639"/>
      <c r="I228" s="383"/>
      <c r="J228" s="383"/>
      <c r="K228" s="383"/>
      <c r="L228" s="383"/>
      <c r="M228" s="383"/>
      <c r="N228" s="383"/>
      <c r="O228" s="383"/>
      <c r="P228" s="383"/>
      <c r="Q228" s="383"/>
      <c r="R228" s="383"/>
      <c r="S228" s="383"/>
      <c r="T228" s="383"/>
      <c r="U228" s="383"/>
      <c r="V228" s="383"/>
      <c r="W228" s="383"/>
      <c r="X228" s="383"/>
      <c r="Y228" s="383"/>
      <c r="Z228" s="383"/>
      <c r="AA228" s="383"/>
      <c r="AB228" s="383"/>
      <c r="AC228" s="383"/>
      <c r="AD228" s="383"/>
      <c r="AE228" s="383"/>
      <c r="AF228" s="383"/>
      <c r="AG228" s="383"/>
      <c r="AH228" s="383"/>
      <c r="AI228" s="383"/>
      <c r="AJ228" s="383"/>
      <c r="AK228" s="383"/>
      <c r="AL228" s="383"/>
      <c r="AM228" s="383"/>
      <c r="AN228" s="383"/>
      <c r="AO228" s="383"/>
      <c r="AP228" s="383"/>
      <c r="AQ228" s="383"/>
      <c r="AR228" s="383"/>
      <c r="AS228" s="383"/>
      <c r="AT228" s="383"/>
      <c r="AU228" s="383"/>
      <c r="AV228" s="383"/>
      <c r="AW228" s="383"/>
      <c r="AX228" s="383"/>
      <c r="AY228" s="383"/>
      <c r="AZ228" s="97"/>
      <c r="BA228" s="97"/>
    </row>
    <row r="229" spans="1:53" x14ac:dyDescent="0.4">
      <c r="A229" s="505" t="s">
        <v>898</v>
      </c>
      <c r="B229" s="505"/>
      <c r="C229" s="505"/>
      <c r="D229" s="505"/>
      <c r="E229" s="505"/>
      <c r="F229" s="505"/>
      <c r="G229" s="505"/>
      <c r="H229" s="505"/>
      <c r="I229" s="97"/>
      <c r="J229" s="97"/>
      <c r="K229" s="97"/>
      <c r="L229" s="97"/>
      <c r="M229" s="97"/>
      <c r="N229" s="97"/>
      <c r="O229" s="97"/>
      <c r="P229" s="97"/>
      <c r="Q229" s="97"/>
      <c r="R229" s="97"/>
      <c r="S229" s="97"/>
      <c r="T229" s="97"/>
      <c r="U229" s="97"/>
      <c r="V229" s="97"/>
      <c r="W229" s="97"/>
      <c r="X229" s="97"/>
      <c r="Y229" s="97"/>
      <c r="Z229" s="97"/>
      <c r="AA229" s="97"/>
      <c r="AB229" s="97"/>
      <c r="AC229" s="97"/>
      <c r="AD229" s="97"/>
      <c r="AE229" s="97"/>
      <c r="AF229" s="97"/>
      <c r="AG229" s="97"/>
      <c r="AH229" s="97"/>
      <c r="AI229" s="97"/>
      <c r="AJ229" s="97"/>
      <c r="AK229" s="97"/>
      <c r="AL229" s="97"/>
      <c r="AM229" s="97"/>
      <c r="AN229" s="97"/>
      <c r="AO229" s="97"/>
      <c r="AP229" s="97"/>
      <c r="AQ229" s="97"/>
      <c r="AR229" s="97"/>
      <c r="AS229" s="97"/>
      <c r="AT229" s="97"/>
      <c r="AU229" s="97"/>
      <c r="AV229" s="97"/>
      <c r="AW229" s="97"/>
      <c r="AX229" s="97"/>
      <c r="AY229" s="97"/>
      <c r="AZ229" s="97"/>
      <c r="BA229" s="97"/>
    </row>
    <row r="230" spans="1:53" x14ac:dyDescent="0.4">
      <c r="A230" s="505" t="s">
        <v>780</v>
      </c>
      <c r="B230" s="505"/>
      <c r="C230" s="505"/>
      <c r="D230" s="505"/>
      <c r="E230" s="505"/>
      <c r="F230" s="505"/>
      <c r="G230" s="505"/>
      <c r="H230" s="505"/>
      <c r="I230" s="97"/>
      <c r="J230" s="97"/>
      <c r="K230" s="97"/>
      <c r="L230" s="97"/>
      <c r="M230" s="97"/>
      <c r="N230" s="97"/>
      <c r="O230" s="97"/>
      <c r="P230" s="97"/>
      <c r="Q230" s="97"/>
      <c r="R230" s="97"/>
      <c r="S230" s="97"/>
      <c r="T230" s="97"/>
      <c r="U230" s="97"/>
      <c r="V230" s="97"/>
      <c r="W230" s="97"/>
      <c r="X230" s="97"/>
      <c r="Y230" s="97"/>
      <c r="Z230" s="97"/>
      <c r="AA230" s="97"/>
      <c r="AB230" s="97"/>
      <c r="AC230" s="97"/>
      <c r="AD230" s="97"/>
      <c r="AE230" s="97"/>
      <c r="AF230" s="97"/>
      <c r="AG230" s="97"/>
      <c r="AH230" s="97"/>
      <c r="AI230" s="97"/>
      <c r="AJ230" s="97"/>
      <c r="AK230" s="97"/>
      <c r="AL230" s="97"/>
      <c r="AM230" s="97"/>
      <c r="AN230" s="97"/>
      <c r="AO230" s="97"/>
      <c r="AP230" s="97"/>
      <c r="AQ230" s="97"/>
      <c r="AR230" s="97"/>
      <c r="AS230" s="97"/>
      <c r="AT230" s="97"/>
      <c r="AU230" s="97"/>
      <c r="AV230" s="97"/>
      <c r="AW230" s="97"/>
      <c r="AX230" s="97"/>
      <c r="AY230" s="97"/>
      <c r="AZ230" s="97"/>
      <c r="BA230" s="97"/>
    </row>
    <row r="231" spans="1:53" x14ac:dyDescent="0.4">
      <c r="A231" s="634" t="s">
        <v>575</v>
      </c>
      <c r="B231" s="634"/>
      <c r="C231" s="634"/>
      <c r="D231" s="634"/>
      <c r="E231" s="634"/>
      <c r="F231" s="634"/>
      <c r="G231" s="634"/>
      <c r="H231" s="634"/>
      <c r="I231" s="97"/>
      <c r="J231" s="97"/>
      <c r="K231" s="97"/>
      <c r="L231" s="97"/>
      <c r="M231" s="97"/>
      <c r="N231" s="97"/>
      <c r="O231" s="97"/>
      <c r="P231" s="97"/>
      <c r="Q231" s="97"/>
      <c r="R231" s="97"/>
      <c r="S231" s="97"/>
      <c r="T231" s="97"/>
      <c r="U231" s="97"/>
      <c r="V231" s="97"/>
      <c r="W231" s="97"/>
      <c r="X231" s="97"/>
      <c r="Y231" s="97"/>
      <c r="Z231" s="97"/>
      <c r="AA231" s="97"/>
      <c r="AB231" s="97"/>
      <c r="AC231" s="97"/>
      <c r="AD231" s="97"/>
      <c r="AE231" s="97"/>
      <c r="AF231" s="97"/>
      <c r="AG231" s="97"/>
      <c r="AH231" s="97"/>
      <c r="AI231" s="97"/>
      <c r="AJ231" s="97"/>
      <c r="AK231" s="97"/>
      <c r="AL231" s="97"/>
      <c r="AM231" s="97"/>
      <c r="AN231" s="97"/>
      <c r="AO231" s="97"/>
      <c r="AP231" s="97"/>
      <c r="AQ231" s="97"/>
      <c r="AR231" s="97"/>
      <c r="AS231" s="97"/>
      <c r="AT231" s="97"/>
      <c r="AU231" s="97"/>
      <c r="AV231" s="97"/>
      <c r="AW231" s="97"/>
      <c r="AX231" s="97"/>
      <c r="AY231" s="97"/>
      <c r="AZ231" s="97"/>
      <c r="BA231" s="97"/>
    </row>
    <row r="232" spans="1:53" ht="12.6" thickBot="1" x14ac:dyDescent="0.45">
      <c r="A232" s="635" t="s">
        <v>845</v>
      </c>
      <c r="B232" s="635"/>
      <c r="C232" s="635"/>
      <c r="D232" s="635"/>
      <c r="E232" s="635"/>
      <c r="F232" s="635"/>
      <c r="G232" s="635"/>
      <c r="H232" s="635"/>
      <c r="I232" s="384"/>
      <c r="J232" s="384"/>
      <c r="K232" s="384"/>
      <c r="L232" s="384"/>
      <c r="M232" s="384"/>
      <c r="N232" s="384"/>
      <c r="O232" s="384"/>
      <c r="P232" s="384"/>
      <c r="Q232" s="384"/>
      <c r="R232" s="384"/>
      <c r="S232" s="384"/>
      <c r="T232" s="384"/>
      <c r="U232" s="384"/>
      <c r="V232" s="384"/>
      <c r="W232" s="384"/>
      <c r="X232" s="384"/>
      <c r="Y232" s="384"/>
      <c r="Z232" s="384"/>
      <c r="AA232" s="384"/>
      <c r="AB232" s="384"/>
      <c r="AC232" s="384"/>
      <c r="AD232" s="384"/>
      <c r="AE232" s="384"/>
      <c r="AF232" s="384"/>
      <c r="AG232" s="384"/>
      <c r="AH232" s="384"/>
      <c r="AI232" s="384"/>
      <c r="AJ232" s="384"/>
      <c r="AK232" s="384"/>
      <c r="AL232" s="384"/>
      <c r="AM232" s="384"/>
      <c r="AN232" s="384"/>
      <c r="AO232" s="384"/>
      <c r="AP232" s="384"/>
      <c r="AQ232" s="384"/>
      <c r="AR232" s="384"/>
      <c r="AS232" s="384"/>
      <c r="AT232" s="384"/>
      <c r="AU232" s="384"/>
      <c r="AV232" s="384"/>
      <c r="AW232" s="384"/>
      <c r="AX232" s="384"/>
      <c r="AY232" s="384"/>
      <c r="AZ232" s="97"/>
      <c r="BA232" s="97"/>
    </row>
    <row r="233" spans="1:53" ht="13.8" x14ac:dyDescent="0.45">
      <c r="A233" s="93"/>
      <c r="B233" s="94"/>
      <c r="C233" s="94"/>
      <c r="D233" s="94"/>
      <c r="E233" s="94"/>
      <c r="F233" s="94"/>
      <c r="G233" s="94"/>
      <c r="H233" s="92"/>
      <c r="I233" s="97"/>
      <c r="J233" s="97"/>
      <c r="K233" s="97"/>
      <c r="L233" s="97"/>
      <c r="M233" s="97"/>
      <c r="N233" s="97"/>
      <c r="O233" s="97"/>
      <c r="P233" s="97"/>
      <c r="Q233" s="97"/>
      <c r="R233" s="97"/>
      <c r="S233" s="97"/>
      <c r="T233" s="97"/>
      <c r="U233" s="97"/>
      <c r="V233" s="97"/>
      <c r="W233" s="97"/>
      <c r="X233" s="97"/>
      <c r="Y233" s="97"/>
      <c r="Z233" s="97"/>
      <c r="AA233" s="97"/>
      <c r="AB233" s="97"/>
      <c r="AC233" s="97"/>
      <c r="AD233" s="97"/>
      <c r="AE233" s="97"/>
      <c r="AF233" s="97"/>
      <c r="AG233" s="97"/>
      <c r="AH233" s="97"/>
      <c r="AI233" s="97"/>
      <c r="AJ233" s="97"/>
      <c r="AK233" s="97"/>
      <c r="AL233" s="97"/>
      <c r="AM233" s="97"/>
      <c r="AN233" s="97"/>
      <c r="AO233" s="97"/>
      <c r="AP233" s="97"/>
      <c r="AQ233" s="97"/>
      <c r="AR233" s="97"/>
      <c r="AS233" s="97"/>
      <c r="AT233" s="97"/>
      <c r="AU233" s="97"/>
      <c r="AV233" s="97"/>
      <c r="AW233" s="97"/>
      <c r="AX233" s="97"/>
      <c r="AY233" s="97"/>
      <c r="AZ233" s="97"/>
      <c r="BA233" s="97"/>
    </row>
    <row r="234" spans="1:53" ht="13.8" x14ac:dyDescent="0.45">
      <c r="A234" s="636" t="s">
        <v>614</v>
      </c>
      <c r="B234" s="636"/>
      <c r="C234" s="94"/>
      <c r="D234" s="94"/>
      <c r="E234" s="94"/>
      <c r="F234" s="94"/>
      <c r="G234" s="95"/>
      <c r="H234" s="92"/>
      <c r="I234" s="97"/>
      <c r="J234" s="97"/>
      <c r="K234" s="97"/>
      <c r="L234" s="97"/>
      <c r="M234" s="97"/>
      <c r="N234" s="97"/>
      <c r="O234" s="97"/>
      <c r="P234" s="97"/>
      <c r="Q234" s="97"/>
      <c r="R234" s="97"/>
      <c r="S234" s="97"/>
      <c r="T234" s="97"/>
      <c r="U234" s="97"/>
      <c r="V234" s="97"/>
      <c r="W234" s="97"/>
      <c r="X234" s="97"/>
      <c r="Y234" s="97"/>
      <c r="Z234" s="97"/>
      <c r="AA234" s="97"/>
      <c r="AB234" s="97"/>
      <c r="AC234" s="97"/>
      <c r="AD234" s="97"/>
      <c r="AE234" s="97"/>
      <c r="AF234" s="97"/>
      <c r="AG234" s="97"/>
      <c r="AH234" s="97"/>
      <c r="AI234" s="97"/>
      <c r="AJ234" s="97"/>
      <c r="AK234" s="97"/>
      <c r="AL234" s="97"/>
      <c r="AM234" s="97"/>
      <c r="AN234" s="97"/>
      <c r="AO234" s="97"/>
      <c r="AP234" s="97"/>
      <c r="AQ234" s="97"/>
      <c r="AR234" s="97"/>
      <c r="AS234" s="97"/>
      <c r="AT234" s="97"/>
      <c r="AU234" s="97"/>
      <c r="AV234" s="97"/>
      <c r="AW234" s="97"/>
      <c r="AX234" s="97"/>
      <c r="AY234" s="97"/>
      <c r="AZ234" s="97"/>
      <c r="BA234" s="97"/>
    </row>
    <row r="235" spans="1:53" x14ac:dyDescent="0.4">
      <c r="A235" s="97"/>
      <c r="B235" s="97"/>
      <c r="C235" s="97"/>
      <c r="D235" s="97"/>
      <c r="E235" s="97"/>
      <c r="F235" s="97"/>
      <c r="G235" s="97"/>
      <c r="H235" s="97"/>
      <c r="I235" s="97"/>
      <c r="J235" s="97"/>
      <c r="K235" s="97"/>
      <c r="L235" s="97"/>
      <c r="M235" s="97"/>
      <c r="N235" s="97"/>
      <c r="O235" s="97"/>
      <c r="P235" s="97"/>
      <c r="Q235" s="97"/>
      <c r="R235" s="97"/>
      <c r="S235" s="97"/>
      <c r="T235" s="97"/>
      <c r="U235" s="97"/>
      <c r="V235" s="97"/>
      <c r="W235" s="97"/>
      <c r="X235" s="97"/>
      <c r="Y235" s="97"/>
      <c r="Z235" s="97"/>
      <c r="AA235" s="97"/>
      <c r="AB235" s="97"/>
      <c r="AC235" s="97"/>
      <c r="AD235" s="97"/>
      <c r="AE235" s="97"/>
      <c r="AF235" s="97"/>
      <c r="AG235" s="97"/>
      <c r="AH235" s="97"/>
      <c r="AI235" s="97"/>
      <c r="AJ235" s="97"/>
      <c r="AK235" s="97"/>
      <c r="AL235" s="97"/>
      <c r="AM235" s="97"/>
      <c r="AN235" s="97"/>
      <c r="AO235" s="97"/>
      <c r="AP235" s="97"/>
      <c r="AQ235" s="97"/>
      <c r="AR235" s="97"/>
      <c r="AS235" s="97"/>
      <c r="AT235" s="97"/>
      <c r="AU235" s="97"/>
      <c r="AV235" s="97"/>
      <c r="AW235" s="97"/>
      <c r="AX235" s="97"/>
      <c r="AY235" s="97"/>
      <c r="AZ235" s="97"/>
      <c r="BA235" s="97"/>
    </row>
    <row r="236" spans="1:53" x14ac:dyDescent="0.4">
      <c r="A236" s="97"/>
      <c r="B236" s="97"/>
      <c r="C236" s="97"/>
      <c r="D236" s="97"/>
      <c r="E236" s="97"/>
      <c r="F236" s="97"/>
      <c r="G236" s="97"/>
      <c r="H236" s="97"/>
      <c r="I236" s="97"/>
      <c r="J236" s="97"/>
      <c r="K236" s="97"/>
      <c r="L236" s="97"/>
      <c r="M236" s="97"/>
      <c r="N236" s="97"/>
      <c r="O236" s="97"/>
      <c r="P236" s="97"/>
      <c r="Q236" s="97"/>
      <c r="R236" s="97"/>
      <c r="S236" s="97"/>
      <c r="T236" s="97"/>
      <c r="U236" s="97"/>
      <c r="V236" s="97"/>
      <c r="W236" s="97"/>
      <c r="X236" s="97"/>
      <c r="Y236" s="97"/>
      <c r="Z236" s="97"/>
      <c r="AA236" s="97"/>
      <c r="AB236" s="97"/>
      <c r="AC236" s="97"/>
      <c r="AD236" s="97"/>
      <c r="AE236" s="97"/>
      <c r="AF236" s="97"/>
      <c r="AG236" s="97"/>
      <c r="AH236" s="97"/>
      <c r="AI236" s="97"/>
      <c r="AJ236" s="97"/>
      <c r="AK236" s="97"/>
      <c r="AL236" s="97"/>
      <c r="AM236" s="97"/>
      <c r="AN236" s="97"/>
      <c r="AO236" s="97"/>
      <c r="AP236" s="97"/>
      <c r="AQ236" s="97"/>
      <c r="AR236" s="97"/>
      <c r="AS236" s="97"/>
      <c r="AT236" s="97"/>
      <c r="AU236" s="97"/>
      <c r="AV236" s="97"/>
      <c r="AW236" s="97"/>
      <c r="AX236" s="97"/>
      <c r="AY236" s="97"/>
      <c r="AZ236" s="97"/>
      <c r="BA236" s="97"/>
    </row>
  </sheetData>
  <mergeCells count="27">
    <mergeCell ref="A2:H2"/>
    <mergeCell ref="A3:H3"/>
    <mergeCell ref="C5:F5"/>
    <mergeCell ref="G5:J5"/>
    <mergeCell ref="K5:M5"/>
    <mergeCell ref="A222:H222"/>
    <mergeCell ref="Q5:S5"/>
    <mergeCell ref="U5:Y5"/>
    <mergeCell ref="Z5:AB5"/>
    <mergeCell ref="AC5:AG5"/>
    <mergeCell ref="N5:P5"/>
    <mergeCell ref="AN5:AP5"/>
    <mergeCell ref="AQ5:AU5"/>
    <mergeCell ref="AV5:AX5"/>
    <mergeCell ref="A220:H220"/>
    <mergeCell ref="A221:H221"/>
    <mergeCell ref="AH5:AJ5"/>
    <mergeCell ref="AK5:AM5"/>
    <mergeCell ref="A231:H231"/>
    <mergeCell ref="A232:H232"/>
    <mergeCell ref="A234:B234"/>
    <mergeCell ref="A223:H223"/>
    <mergeCell ref="A225:B225"/>
    <mergeCell ref="A226:H226"/>
    <mergeCell ref="A228:H228"/>
    <mergeCell ref="A229:H229"/>
    <mergeCell ref="A230:H230"/>
  </mergeCells>
  <hyperlinks>
    <hyperlink ref="A231:F231" r:id="rId1" display="Contact via enquiries@NHSDigital.nhs.uk or 0300 303 5678" xr:uid="{00000000-0004-0000-2B00-000001000000}"/>
    <hyperlink ref="A234" location="Contents!A1" display="Return to Contents" xr:uid="{00000000-0004-0000-2B00-000002000000}"/>
    <hyperlink ref="A226" r:id="rId2" display="https://www.england.nhs.uk/statistics/statistical-work-areas/ae-waiting-times-and-activity/statistical-work-areasae-waiting-times-and-activityae-attendances-and-emergency-admissions-2016-17/" xr:uid="{00000000-0004-0000-2B00-000003000000}"/>
  </hyperlinks>
  <pageMargins left="0.70866141732283472" right="0.70866141732283472" top="0.74803149606299213" bottom="0.74803149606299213" header="0.31496062992125984" footer="0.31496062992125984"/>
  <pageSetup paperSize="9" scale="41" fitToWidth="3" fitToHeight="0" orientation="landscape" r:id="rId3"/>
  <rowBreaks count="1" manualBreakCount="1">
    <brk id="218" max="49" man="1"/>
  </rowBreaks>
  <colBreaks count="2" manualBreakCount="2">
    <brk id="16" max="213" man="1"/>
    <brk id="33" max="213"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02C76D2A542664BA465A7EA58DD91D4" ma:contentTypeVersion="0" ma:contentTypeDescription="Create a new document." ma:contentTypeScope="" ma:versionID="80a54869861dfa22dd3d14cb84287fd8">
  <xsd:schema xmlns:xsd="http://www.w3.org/2001/XMLSchema" xmlns:xs="http://www.w3.org/2001/XMLSchema" xmlns:p="http://schemas.microsoft.com/office/2006/metadata/properties" targetNamespace="http://schemas.microsoft.com/office/2006/metadata/properties" ma:root="true" ma:fieldsID="bd04135bce4e19972119f505b583e8b3">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53AC959-A0B0-467B-93F6-DC13C1C8E002}">
  <ds:schemaRefs>
    <ds:schemaRef ds:uri="http://schemas.microsoft.com/office/2006/documentManagement/types"/>
    <ds:schemaRef ds:uri="http://schemas.openxmlformats.org/package/2006/metadata/core-properties"/>
    <ds:schemaRef ds:uri="http://purl.org/dc/terms/"/>
    <ds:schemaRef ds:uri="http://schemas.microsoft.com/office/2006/metadata/properties"/>
    <ds:schemaRef ds:uri="http://purl.org/dc/elements/1.1/"/>
    <ds:schemaRef ds:uri="http://www.w3.org/XML/1998/namespace"/>
    <ds:schemaRef ds:uri="http://schemas.microsoft.com/office/infopath/2007/PartnerControls"/>
    <ds:schemaRef ds:uri="http://purl.org/dc/dcmitype/"/>
  </ds:schemaRefs>
</ds:datastoreItem>
</file>

<file path=customXml/itemProps2.xml><?xml version="1.0" encoding="utf-8"?>
<ds:datastoreItem xmlns:ds="http://schemas.openxmlformats.org/officeDocument/2006/customXml" ds:itemID="{6BABBBEC-B459-4FAA-882B-AF57BCDB9E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E15B2BC5-EA75-4137-9B15-77537074477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28</vt:i4>
      </vt:variant>
    </vt:vector>
  </HeadingPairs>
  <TitlesOfParts>
    <vt:vector size="57" baseType="lpstr">
      <vt:lpstr>Title sheet</vt:lpstr>
      <vt:lpstr>Contents</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Contents!Print_Area</vt:lpstr>
      <vt:lpstr>'Table 1'!Print_Area</vt:lpstr>
      <vt:lpstr>'Table 10'!Print_Area</vt:lpstr>
      <vt:lpstr>'Table 11'!Print_Area</vt:lpstr>
      <vt:lpstr>'Table 12'!Print_Area</vt:lpstr>
      <vt:lpstr>'Table 13'!Print_Area</vt:lpstr>
      <vt:lpstr>'Table 14'!Print_Area</vt:lpstr>
      <vt:lpstr>'Table 15'!Print_Area</vt:lpstr>
      <vt:lpstr>'Table 16'!Print_Area</vt:lpstr>
      <vt:lpstr>'Table 17'!Print_Area</vt:lpstr>
      <vt:lpstr>'Table 18'!Print_Area</vt:lpstr>
      <vt:lpstr>'Table 19'!Print_Area</vt:lpstr>
      <vt:lpstr>'Table 2'!Print_Area</vt:lpstr>
      <vt:lpstr>'Table 20'!Print_Area</vt:lpstr>
      <vt:lpstr>'Table 21'!Print_Area</vt:lpstr>
      <vt:lpstr>'Table 22'!Print_Area</vt:lpstr>
      <vt:lpstr>'Table 23'!Print_Area</vt:lpstr>
      <vt:lpstr>'Table 24'!Print_Area</vt:lpstr>
      <vt:lpstr>'Table 27'!Print_Area</vt:lpstr>
      <vt:lpstr>'Table 3'!Print_Area</vt:lpstr>
      <vt:lpstr>'Table 4'!Print_Area</vt:lpstr>
      <vt:lpstr>'Table 5'!Print_Area</vt:lpstr>
      <vt:lpstr>'Table 6'!Print_Area</vt:lpstr>
      <vt:lpstr>'Table 7'!Print_Area</vt:lpstr>
      <vt:lpstr>'Table 8'!Print_Area</vt:lpstr>
      <vt:lpstr>'Table 9'!Print_Area</vt:lpstr>
      <vt:lpstr>'Title sheet'!Print_Area</vt:lpstr>
      <vt:lpstr>'Table 27'!Print_Titles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Hospital Accident and Emergency Activity, 2015-16: Tables</dc:title>
  <dc:creator/>
  <cp:lastModifiedBy/>
  <dcterms:created xsi:type="dcterms:W3CDTF">2015-10-12T09:44:32Z</dcterms:created>
  <dcterms:modified xsi:type="dcterms:W3CDTF">2018-09-11T20:40:32Z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0x010100202C76D2A542664BA465A7EA58DD91D4</vt:lpwstr>
  </property>
</Properties>
</file>