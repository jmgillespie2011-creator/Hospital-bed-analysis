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Y:\Data Analysts-Leeds\HES Publications 2024-25\ECDS\02. Draft Documents\"/>
    </mc:Choice>
  </mc:AlternateContent>
  <xr:revisionPtr revIDLastSave="0" documentId="13_ncr:1_{80DB9CA1-C98C-4D6B-BB13-5E83B9787705}" xr6:coauthVersionLast="47" xr6:coauthVersionMax="47" xr10:uidLastSave="{00000000-0000-0000-0000-000000000000}"/>
  <bookViews>
    <workbookView xWindow="-110" yWindow="-110" windowWidth="22780" windowHeight="14540" xr2:uid="{00000000-000D-0000-FFFF-FFFF00000000}"/>
  </bookViews>
  <sheets>
    <sheet name="Title sheet" sheetId="1" r:id="rId1"/>
    <sheet name="Home Nations Comparison - 2425" sheetId="2" r:id="rId2"/>
  </sheets>
  <definedNames>
    <definedName name="_xlnm.Print_Area" localSheetId="0">'Title sheet'!$A$1:$I$26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2" l="1"/>
  <c r="E9" i="2"/>
  <c r="E8" i="2"/>
  <c r="E7" i="2"/>
  <c r="C8" i="2"/>
  <c r="C7" i="2"/>
  <c r="B11" i="2"/>
</calcChain>
</file>

<file path=xl/sharedStrings.xml><?xml version="1.0" encoding="utf-8"?>
<sst xmlns="http://schemas.openxmlformats.org/spreadsheetml/2006/main" count="104" uniqueCount="98">
  <si>
    <t>Home Nations Comparison of A&amp;E attendances and waiting times performance for 4 and 12 hours in Type 1/Major A&amp;E departments in England, Scotland, Wales and Northern Ireland.</t>
  </si>
  <si>
    <t>Introduction</t>
  </si>
  <si>
    <t>This analysis was produced jointly between NHS Digital and NHS England and NHS Improvement and in association with colleagues in the other Home Nations. 
The data sources for this publication are:
• Emergency Care Dataset (ECDS)
• A&amp;E Attendances and Emergency Admissions Monthly Situation Reports (MSitAE)
• Public Health Scotland A&amp;E datamart
• Emergency department data set (EDDS), NHS Wales Informatics Services (NWIS) 
• Hospital Information Branch, Information &amp; Analysis Directorate, Department of Health (Northern Ireland)</t>
  </si>
  <si>
    <t>This file provides a comparison of the number of unplanned A&amp;E attendances and percentage of attendances spending i) 4 hour or less and ii) over 12 hours in type 1/Major A&amp;E departments from arrival to discharge, admission or transfer for each of the four Home Nations (England, Scotland, Wales and Northern Ireland). Given the different models of service provision across the four nations the comparison is restricted to Type 1 or Major A&amp;E departments within each nation. Whilst this allows a nearer like for like comparison it does not take account of the differing casemix of patients that present at type 1 services which will be influenced by the provision and accessibility of alternative types of A&amp;E.</t>
  </si>
  <si>
    <t>Statisticians in all four home nations have previously collaborated as part of the ‘UK Comparative Waiting Times Group’ and produced a document on A&amp;E waiting times. The document in the following link outlines some of the different ways of measuring in A&amp;E. There have been no major changes to measurement since the document was originally produced.
This document can be accessed by using the below link;</t>
  </si>
  <si>
    <t>UK A&amp;E waiting times</t>
  </si>
  <si>
    <t>Contact details</t>
  </si>
  <si>
    <t>Public enquiries: Telephone: 0300 303 5678</t>
  </si>
  <si>
    <t>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</si>
  <si>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</si>
  <si>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</si>
  <si>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</si>
  <si>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</si>
  <si>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Planned A&amp;E attendances are excluded.</t>
  </si>
  <si>
    <t>England</t>
  </si>
  <si>
    <t>Scotland</t>
  </si>
  <si>
    <t>Wales</t>
  </si>
  <si>
    <t>Northern Ireland</t>
  </si>
  <si>
    <t>MSitAE</t>
  </si>
  <si>
    <t>ECDS</t>
  </si>
  <si>
    <t>Number of attendances</t>
  </si>
  <si>
    <t>Number and percentage waiting for 4 hours or less</t>
  </si>
  <si>
    <t>Number and percentage waiting for over 4 hours</t>
  </si>
  <si>
    <t>Number and percentage waiting for over 12 hours</t>
  </si>
  <si>
    <t>Number of attendances per 100,000 population</t>
  </si>
  <si>
    <t>Contains public sector information licensed under the Open Government Licence v3.0</t>
  </si>
  <si>
    <t>Activity in English NHS Hospitals and English NHS commissioned activity in the independent sector. </t>
  </si>
  <si>
    <t>* ECDS figures exclude planned follow up attendances</t>
  </si>
  <si>
    <t>The waiting time is defined as the time of arrival until the time of discharge, admission or transfer.</t>
  </si>
  <si>
    <t>MSitAE data published by NHS England</t>
  </si>
  <si>
    <t>Type 1 A&amp;E Departments only;</t>
  </si>
  <si>
    <r>
      <t>Type 1 A&amp;E department = A consultant led 24 hour service with full resuscitation facilities and designated accommodation for the reception of accident and emergency patients</t>
    </r>
    <r>
      <rPr>
        <b/>
        <sz val="10"/>
        <color rgb="FF0F0F0F"/>
        <rFont val="Arial"/>
        <family val="2"/>
      </rPr>
      <t>.</t>
    </r>
  </si>
  <si>
    <t>NHS England produce the official figure for 4 hour waiting times and therefore that is what is used above (MSitAE)</t>
  </si>
  <si>
    <t>https://www.england.nhs.uk/statistics/wp-content/uploads/sites/2/2019/06/Publication-of-May-AE-data.pdf</t>
  </si>
  <si>
    <t>NHS England produce a measure on 12 hours from decisions to admit to admission but this is not comparable to the definition used by the other Home Nations. Therefore ECDS data is used for the number and percentage waiting for over 12 hours.</t>
  </si>
  <si>
    <t>1. Total time spent in A&amp;E from arrival to discharge, transfer or admission</t>
  </si>
  <si>
    <t>This is collected in monthly MSitAE and measures the 4 hour total time standard.</t>
  </si>
  <si>
    <t>It can also be calculated from ECDS which can be used to measure total time in A&amp;E, for example 4 hours and 12 hours are shown in this report.</t>
  </si>
  <si>
    <t>2. Waiting time from decision to admit a patient to admission to a ward</t>
  </si>
  <si>
    <t>This is sometimes referred to as a ‘trolley wait’  and is collected in monthly MSitAE as over 4 hour and over 12 hour waits; any 12 hour waits may be subject to fines from commissioners.</t>
  </si>
  <si>
    <t>These numbers are much lower than total time waits as only patients who are admitted are included.</t>
  </si>
  <si>
    <t>Source: Public Health Scotland A&amp;E datamart</t>
  </si>
  <si>
    <t>Notes</t>
  </si>
  <si>
    <t>1) The waiting time is defined as the time of arrival until the time of discharge, admission or transfer.</t>
  </si>
  <si>
    <t>For information on how the Scottish Government (SG) plans to monitor NHS Boards’ performance within A&amp;E Services, please see the NHS Local Delivery Plan standards.</t>
  </si>
  <si>
    <t>Major A&amp;E Departments - defined as a consultant led service with appropriate resuscitation facilities and designated accommodation for the reception of accident and emergency patients. These departments must provide the resuscitation, assessment and treatment of acute illness and injury in patients of all ages, and services must be available continuously 24 hours a day.</t>
  </si>
  <si>
    <t>The figures in the output represent the total time spent in a hospital emergency care facility from arrival until admission, transfer or discharge. They do not include planned follow-up attendance agreed or requested by a clinician. The figures relate to all patients, including paediatric patients. (A paediatric patient is defined as a patient aged 16 years or under.)</t>
  </si>
  <si>
    <t>The time spent in A&amp;E starts when the emergency care facility is informed of the patient’s arrival at the hospital and stops when the patient is admitted, transferred or discharged. The transferral would be to another hospital or interface facility (see definition below).</t>
  </si>
  <si>
    <t>However, if a patient is transferred from A&amp;E to an interface facility, the clock (recording the time spent in the A&amp;E department) only stops if the environment in that facility meets the minimum criteria (detailed below). Where the criterion is not met, the facility is considered to be an extension of the A&amp;E department and is subject to the total target time.</t>
  </si>
  <si>
    <t>Interface facilities could include observation wards, medical/surgical assessment wards, clinical decision units, short stay admission wards etc. The minimum criteria that an interface facility has to meet (so that it constitutes a ward) are:</t>
  </si>
  <si>
    <t>• the patient has the same privacy and dignity as in other inpatient wards in the hospital;</t>
  </si>
  <si>
    <t>• the patient has access to toilet and washing facilities;</t>
  </si>
  <si>
    <t>• there are no staff or public thoroughfares through the area;</t>
  </si>
  <si>
    <t>• the patient has facilities to securely store their belongings;</t>
  </si>
  <si>
    <t>• there is sufficient space between beds to allow visitors to be seated in comfort;</t>
  </si>
  <si>
    <t>• there are hot meals provided for the patient and appropriate access.</t>
  </si>
  <si>
    <t>A new attendance is defined as the first visit made by a patient to an A&amp;E department for a particular injury or ailment. If a patient returns to the A&amp;E department with a condition previously treated where they have not been asked to return by the clinician, this is also counted as a new attendance.</t>
  </si>
  <si>
    <t>Information on the length of time waited is collected and refers to the time waited from arriving at the ED until the time the patient is treated and discharged, or admitted to hospital.</t>
  </si>
  <si>
    <t>• Number of new and unplanned review attendances at EDs – this is the number of new and unplanned review attendances at EDs during each calendar month. It does not include planned review attendances.</t>
  </si>
  <si>
    <t>• The length of time patients wait refers to the time between entering the ED and being logged in at reception, until leaving the ED (treated and discharged, or admitted to hospital). It should also be noted that the length of time waiting for patients who are to be admitted to hospital continues until they have left the ED.</t>
  </si>
  <si>
    <t>• An assessment of both the number of new and unplanned review attendances, and the length of time patients have waited, when compared with equivalent data for previous months, allow users to gauge the demand for emergency care services.</t>
  </si>
  <si>
    <t>• Emergency care waiting times by type of department is presented to allow users to compare similar types of EDs in Northern Ireland, i.e. Type 1, 2 or 3 departments.</t>
  </si>
  <si>
    <t>• Users should take into consideration, changes in the provision of emergency care services at specific sites in Northern Ireland when making comparisons with previous months. Such changes in the provision of services can be found in the document ‘Emergency Care Waiting Time Statistics - Additional Guidance’ document at the following link:</t>
  </si>
  <si>
    <t>Website: https://www.health-ni.gov.uk/articles/emergency-care-waiting-times</t>
  </si>
  <si>
    <t>https://statswales.gov.wales/Catalogue/Health-and-Social-Care/NHS-Hospital-Waiting-Times/emergency-department</t>
  </si>
  <si>
    <t>Footnotes</t>
  </si>
  <si>
    <t>Population Estimate</t>
  </si>
  <si>
    <t xml:space="preserve">Population estimates are taken from the 2021 census, as published by ONS: </t>
  </si>
  <si>
    <t>Census - Office for National Statistics (ons.gov.uk)</t>
  </si>
  <si>
    <t>source: NHS England (MSitAE), NHS England (ECDS)</t>
  </si>
  <si>
    <t>Responsible Statistician: Karl Eichler</t>
  </si>
  <si>
    <t>Data is for Type 1 A&amp;E Departments only;</t>
  </si>
  <si>
    <t>Type 1 - defined as a consultant led 24 hour service with full resuscitation facilities and designated accommodation for the reception of emergency care patients.</t>
  </si>
  <si>
    <t>Data is on the number of new and unplanned review attendances at EDs in Northern Ireland by the length of time waited. New and unplanned review attendances at EDs are used to describe unplanned activity at EDs, with new attendances referring to the first attendance and unplanned reviews referring to any subsequent unplanned attendances for the same complaint at the same hospital within 30 days of the original attendance.</t>
  </si>
  <si>
    <t>Fourteen hospital trusts are partially excluded from the MSitAE ‘Number and percentage waiting for 4 hours or less / over 4 hours’ due to their involvement with testing new proposal standards for emergency care, which was in operation between May 2019 and May 2023 and  has made them exempt from this measure while the testing was taking place. More details can be found on the link below:</t>
  </si>
  <si>
    <t>Data is for Major A&amp;E Departments only;</t>
  </si>
  <si>
    <t>Author: Secondary Care Open Data and Publications, NHS England</t>
  </si>
  <si>
    <t>Date extracted:</t>
  </si>
  <si>
    <t xml:space="preserve">Source: Emergency department data set (EDDS), NHS Wales Informatics Services (NWIS) </t>
  </si>
  <si>
    <t>Source: Regional Data Warehouse / Encompass, Hospital Information Branch, Information &amp; Analysis Directorate, Department of Health (Northern Ireland)</t>
  </si>
  <si>
    <t>Home Nations Comparison of A&amp;E attendances and waiting times performance for 4 and 12 hours in Type 1/Major A&amp;E departments, 2024-25</t>
  </si>
  <si>
    <r>
      <t>Hospital Accident and Emergency Activity, 2024-25</t>
    </r>
    <r>
      <rPr>
        <sz val="27"/>
        <color rgb="FF005EB8"/>
        <rFont val="Arial"/>
        <family val="2"/>
      </rPr>
      <t xml:space="preserve">
</t>
    </r>
  </si>
  <si>
    <t>Publication date: 25th September 2025</t>
  </si>
  <si>
    <t>Hospital Accident &amp; Emergency Activity, 2024-25 - NHS England Digital</t>
  </si>
  <si>
    <t>Copyright © 2025</t>
  </si>
  <si>
    <t>2) Please note data contained in the table includes 'New Planned', 'New Unplanned' and 'Unplanned Return' attendances at Emergency Departments (ED). It does not include 'Recall'/'Planned Return' data.</t>
  </si>
  <si>
    <t>3) There are 91 locations providing A&amp;E services across Scotland. Of these, 30 are classed as Type 1/EDs - larger A&amp;E services that typically provide a 24 hour consultant led service. The 30 Type 1/EDs are responsible for more than 8 out of every 10 A&amp;E attendances, 19 out of 20 breaches of the four hour waiting time standard, and 19 out of 20 admissions from A&amp;E to hospital.</t>
  </si>
  <si>
    <t>4) This table includes attendances at Type 1/EDs only. A National Statistics publication on Type 1/ED Activity and Waiting Times is published weekly. In additional on the first Tuesday of every month, statistics are published covering  attendances to all A&amp;E services in Scotland, including Type 3 units (Minor Injuries Units plus other smaller units). More details can be found below:</t>
  </si>
  <si>
    <t>Overview - Accident and emergency - Urgent and unscheduled care - Healthcare system - Public Health Scotland</t>
  </si>
  <si>
    <t>5)Since 2007, A&amp;E performance has been monitored against the Scottish Government’s 4-hour access standard (known as the Emergency Access Standard (EAS). In Autumn 2023 the Scottish Government, in conjunction with Public Health Scotland (PHS), established an expert working group to look at what patients should be included in the standard. Following the recommendations made by the group the EAS standard was revised to include the new planned attendances that were introduced as part of the Redesign of Urgent Care in December 2020. The revised EAS Standard was implemented on 1 December 2024. Our A&amp;E statistics were updated to align with the revised definitions from early February 2025, when figures for December 2024 were first released. Further information about the changes and impact on A&amp;E performance statistsucs cab be found below:</t>
  </si>
  <si>
    <t>Changes to the Four Hour Emergency Access Standard (EAS)</t>
  </si>
  <si>
    <t xml:space="preserve">PHS currently publish trend information on the revised EAS standard and the original standard (see link below): </t>
  </si>
  <si>
    <t>How long people spend in A&amp;E - Interactive charts - Accident and emergency - Urgent and unscheduled care - Healthcare system - Public Health Scotland</t>
  </si>
  <si>
    <t>Please note data as at 22/08/2025 and is subject to revision.</t>
  </si>
  <si>
    <t>Population estimates are taken from the 2023 mid year population estimates, as published by NISRA:</t>
  </si>
  <si>
    <t>https://www.nisra.gov.uk/publications/2023-mid-year-population-estimates-small-geographical-areas-within-northern-ireland</t>
  </si>
  <si>
    <t>There are five Health and Social Care (HSC) Trusts in Northern Ireland: Belfast, Northern, South Eastern, Southern and Western. On 9th November 2023, South Eastern HSC Trust became the first HSC Trust to roll out the Encompass programme, a new electronic patient record system that creates a single digital care record for every citizen in Northern Ireland who receives health and social care. The programme went live in Belfast HSC Trust on 6th June 2024, in Northern HSC Trust on 7th November 2024, and the Southern and Western HSC Trusts on 8th May 2025. At this time, contributed figures sourced from the Encompass system are considered to be ‘official statistics in development’.</t>
  </si>
  <si>
    <t>https://www.england.nhs.uk/statistics/statistical-work-areas/ae-waiting-times-and-activity/ae-attendances-and-emergency-admissions-2024-25/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</si>
</sst>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_(* #,##0_);_(* \(#,##0\);_(* &quot;-&quot;??_);_(@_)"/>
  </numFmts>
  <fonts count="36" x14ac:knownFonts="1">
    <font>
      <sz val="10"/>
      <name val="Arial"/>
      <family val="2"/>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b/>
      <sz val="27"/>
      <color rgb="FF005EB8"/>
      <name val="Arial"/>
      <family val="2"/>
    </font>
    <font>
      <sz val="27"/>
      <color rgb="FF005EB8"/>
      <name val="Arial"/>
      <family val="2"/>
    </font>
    <font>
      <b/>
      <sz val="20"/>
      <color theme="1" tint="0.34998626667073579"/>
      <name val="Arial"/>
      <family val="2"/>
    </font>
    <font>
      <u/>
      <sz val="10"/>
      <color theme="10"/>
      <name val="Arial"/>
      <family val="2"/>
    </font>
    <font>
      <b/>
      <sz val="10"/>
      <name val="Arial"/>
      <family val="2"/>
    </font>
    <font>
      <sz val="10"/>
      <color rgb="FFFF0000"/>
      <name val="Arial"/>
      <family val="2"/>
    </font>
    <font>
      <sz val="10"/>
      <color indexed="8"/>
      <name val="Arial"/>
      <family val="2"/>
    </font>
    <font>
      <u/>
      <sz val="10"/>
      <color rgb="FF005EB8"/>
      <name val="Arial"/>
      <family val="2"/>
    </font>
    <font>
      <sz val="10"/>
      <color theme="1"/>
      <name val="Arial"/>
      <family val="2"/>
    </font>
    <font>
      <sz val="11"/>
      <color theme="1"/>
      <name val="Arial"/>
      <family val="2"/>
    </font>
    <font>
      <i/>
      <sz val="10"/>
      <name val="Arial"/>
      <family val="2"/>
    </font>
    <font>
      <b/>
      <sz val="18"/>
      <color rgb="FF005EB8"/>
      <name val="Arial"/>
      <family val="2"/>
    </font>
    <font>
      <sz val="10"/>
      <color rgb="FF0F0F0F"/>
      <name val="Arial"/>
      <family val="2"/>
    </font>
    <font>
      <b/>
      <sz val="10"/>
      <color rgb="FF0F0F0F"/>
      <name val="Arial"/>
      <family val="2"/>
    </font>
    <font>
      <b/>
      <sz val="10"/>
      <color theme="1"/>
      <name val="Arial"/>
      <family val="2"/>
    </font>
    <font>
      <sz val="11"/>
      <color theme="1"/>
      <name val="Calibri"/>
      <family val="2"/>
      <scheme val="minor"/>
    </font>
    <font>
      <u/>
      <sz val="10"/>
      <color indexed="12"/>
      <name val="MS Sans Serif"/>
      <family val="2"/>
    </font>
    <font>
      <u/>
      <sz val="10"/>
      <color indexed="12"/>
      <name val="Arial"/>
      <family val="2"/>
    </font>
    <font>
      <sz val="10"/>
      <name val="MS Sans Serif"/>
      <family val="2"/>
    </font>
    <font>
      <b/>
      <sz val="15"/>
      <color theme="3"/>
      <name val="Calibri"/>
      <family val="2"/>
      <scheme val="minor"/>
    </font>
    <font>
      <b/>
      <sz val="15"/>
      <color rgb="FF000000"/>
      <name val="Calibri"/>
      <family val="2"/>
    </font>
    <font>
      <b/>
      <sz val="13"/>
      <color rgb="FF000000"/>
      <name val="Calibri"/>
      <family val="2"/>
    </font>
    <font>
      <u/>
      <sz val="10"/>
      <color rgb="FF0000FF"/>
      <name val="MS Sans Serif"/>
    </font>
    <font>
      <sz val="11"/>
      <color rgb="FF000000"/>
      <name val="Calibri"/>
      <family val="2"/>
    </font>
    <font>
      <sz val="10"/>
      <color rgb="FF000000"/>
      <name val="Arial"/>
      <family val="2"/>
    </font>
    <font>
      <sz val="10"/>
      <color rgb="FF000000"/>
      <name val="MS Sans Serif"/>
    </font>
    <font>
      <i/>
      <sz val="10"/>
      <color rgb="FFFF0000"/>
      <name val="Arial"/>
      <family val="2"/>
    </font>
    <font>
      <sz val="10"/>
      <name val="Verdana"/>
      <family val="2"/>
    </font>
    <font>
      <b/>
      <u/>
      <sz val="14"/>
      <name val="Arial"/>
      <family val="2"/>
    </font>
    <font>
      <sz val="11"/>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3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top style="medium">
        <color indexed="64"/>
      </top>
      <bottom style="medium">
        <color indexed="64"/>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top/>
      <bottom style="thick">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medium">
        <color indexed="64"/>
      </top>
      <bottom/>
      <diagonal/>
    </border>
  </borders>
  <cellStyleXfs count="37">
    <xf numFmtId="0" fontId="0" fillId="0" borderId="0"/>
    <xf numFmtId="9" fontId="4" fillId="0" borderId="0" applyFont="0" applyFill="0" applyBorder="0" applyAlignment="0" applyProtection="0"/>
    <xf numFmtId="0" fontId="9" fillId="0" borderId="0" applyNumberFormat="0" applyFill="0" applyBorder="0" applyAlignment="0" applyProtection="0"/>
    <xf numFmtId="0" fontId="5" fillId="0" borderId="0"/>
    <xf numFmtId="0" fontId="5" fillId="0" borderId="0"/>
    <xf numFmtId="0" fontId="5" fillId="0" borderId="0"/>
    <xf numFmtId="0" fontId="21" fillId="0" borderId="0"/>
    <xf numFmtId="43" fontId="21"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applyNumberFormat="0" applyFill="0" applyBorder="0" applyAlignment="0" applyProtection="0"/>
    <xf numFmtId="0" fontId="24" fillId="0" borderId="0"/>
    <xf numFmtId="0" fontId="5" fillId="0" borderId="0"/>
    <xf numFmtId="0" fontId="5" fillId="0" borderId="0"/>
    <xf numFmtId="0" fontId="24" fillId="0" borderId="0"/>
    <xf numFmtId="0" fontId="25" fillId="0" borderId="19"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0" applyNumberFormat="0" applyFont="0" applyBorder="0" applyProtection="0"/>
    <xf numFmtId="0" fontId="30" fillId="0" borderId="0" applyNumberFormat="0" applyBorder="0" applyProtection="0"/>
    <xf numFmtId="0" fontId="31" fillId="0" borderId="0" applyNumberFormat="0" applyBorder="0" applyProtection="0"/>
    <xf numFmtId="0" fontId="30" fillId="0" borderId="0" applyNumberFormat="0" applyFill="0" applyBorder="0" applyAlignment="0" applyProtection="0"/>
    <xf numFmtId="43" fontId="3" fillId="0" borderId="0" applyFont="0" applyFill="0" applyBorder="0" applyAlignment="0" applyProtection="0"/>
    <xf numFmtId="0" fontId="21" fillId="0" borderId="0"/>
    <xf numFmtId="9" fontId="21"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43" fontId="21" fillId="0" borderId="0" applyFont="0" applyFill="0" applyBorder="0" applyAlignment="0" applyProtection="0"/>
    <xf numFmtId="164" fontId="5" fillId="0" borderId="0" applyFont="0" applyFill="0" applyBorder="0" applyAlignment="0" applyProtection="0"/>
    <xf numFmtId="9" fontId="1" fillId="0" borderId="0" applyFont="0" applyFill="0" applyBorder="0" applyAlignment="0" applyProtection="0"/>
    <xf numFmtId="43" fontId="2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cellStyleXfs>
  <cellXfs count="163">
    <xf numFmtId="0" fontId="0" fillId="0" borderId="0" xfId="0"/>
    <xf numFmtId="0" fontId="5" fillId="0" borderId="0" xfId="0" applyFont="1"/>
    <xf numFmtId="0" fontId="10" fillId="0" borderId="0" xfId="0" applyFont="1"/>
    <xf numFmtId="0" fontId="11" fillId="0" borderId="0" xfId="0" applyFont="1" applyAlignment="1">
      <alignment horizontal="left"/>
    </xf>
    <xf numFmtId="0" fontId="11" fillId="0" borderId="0" xfId="0" applyFont="1"/>
    <xf numFmtId="0" fontId="10" fillId="0" borderId="0" xfId="0" applyFont="1" applyAlignment="1">
      <alignment horizontal="left"/>
    </xf>
    <xf numFmtId="0" fontId="9" fillId="0" borderId="0" xfId="2" applyAlignment="1">
      <alignment horizontal="left"/>
    </xf>
    <xf numFmtId="0" fontId="15" fillId="0" borderId="0" xfId="0" applyFont="1"/>
    <xf numFmtId="0" fontId="14" fillId="0" borderId="8" xfId="0" applyFont="1" applyBorder="1"/>
    <xf numFmtId="0" fontId="14" fillId="0" borderId="13" xfId="0" applyFont="1" applyBorder="1"/>
    <xf numFmtId="0" fontId="14" fillId="0" borderId="14" xfId="0" applyFont="1" applyBorder="1"/>
    <xf numFmtId="0" fontId="14" fillId="0" borderId="15" xfId="0" applyFont="1" applyBorder="1"/>
    <xf numFmtId="0" fontId="14" fillId="0" borderId="3" xfId="0" applyFont="1" applyBorder="1"/>
    <xf numFmtId="0" fontId="0" fillId="0" borderId="0" xfId="0" applyAlignment="1">
      <alignment horizontal="left" wrapText="1"/>
    </xf>
    <xf numFmtId="0" fontId="5" fillId="0" borderId="0" xfId="0" applyFont="1" applyAlignment="1">
      <alignment horizontal="left" wrapText="1"/>
    </xf>
    <xf numFmtId="0" fontId="5" fillId="0" borderId="0" xfId="0" applyFont="1" applyAlignment="1">
      <alignment horizontal="left"/>
    </xf>
    <xf numFmtId="0" fontId="32" fillId="0" borderId="0" xfId="0" applyFont="1"/>
    <xf numFmtId="3" fontId="0" fillId="0" borderId="0" xfId="0" applyNumberFormat="1"/>
    <xf numFmtId="10" fontId="33" fillId="3" borderId="0" xfId="0" applyNumberFormat="1" applyFont="1" applyFill="1"/>
    <xf numFmtId="10" fontId="0" fillId="0" borderId="0" xfId="0" applyNumberFormat="1"/>
    <xf numFmtId="9" fontId="0" fillId="0" borderId="0" xfId="1" applyFont="1" applyBorder="1"/>
    <xf numFmtId="3" fontId="30" fillId="0" borderId="0" xfId="0" applyNumberFormat="1" applyFont="1"/>
    <xf numFmtId="0" fontId="34" fillId="0" borderId="0" xfId="0" applyFont="1"/>
    <xf numFmtId="0" fontId="14" fillId="0" borderId="26" xfId="0" applyFont="1" applyBorder="1"/>
    <xf numFmtId="0" fontId="0" fillId="0" borderId="27" xfId="0" applyBorder="1"/>
    <xf numFmtId="0" fontId="0" fillId="0" borderId="26" xfId="0" applyBorder="1"/>
    <xf numFmtId="0" fontId="16" fillId="0" borderId="26" xfId="3" applyFont="1" applyBorder="1" applyAlignment="1" applyProtection="1">
      <alignment vertical="top" readingOrder="1"/>
      <protection locked="0"/>
    </xf>
    <xf numFmtId="0" fontId="14" fillId="0" borderId="26" xfId="0" applyFont="1" applyBorder="1" applyAlignment="1">
      <alignment horizontal="left"/>
    </xf>
    <xf numFmtId="0" fontId="0" fillId="0" borderId="26" xfId="3" applyFont="1" applyBorder="1" applyAlignment="1" applyProtection="1">
      <alignment vertical="top" readingOrder="1"/>
      <protection locked="0"/>
    </xf>
    <xf numFmtId="0" fontId="9" fillId="0" borderId="26" xfId="2" applyFill="1" applyBorder="1" applyAlignment="1">
      <alignment vertical="center"/>
    </xf>
    <xf numFmtId="0" fontId="0" fillId="0" borderId="26" xfId="0" applyBorder="1" applyAlignment="1">
      <alignment vertical="center"/>
    </xf>
    <xf numFmtId="0" fontId="14" fillId="0" borderId="26" xfId="0" applyFont="1" applyBorder="1" applyAlignment="1">
      <alignment vertical="center"/>
    </xf>
    <xf numFmtId="0" fontId="0" fillId="0" borderId="0" xfId="0" applyAlignment="1">
      <alignment vertical="center"/>
    </xf>
    <xf numFmtId="0" fontId="9" fillId="0" borderId="26" xfId="2" applyBorder="1" applyAlignment="1">
      <alignment vertical="center"/>
    </xf>
    <xf numFmtId="0" fontId="0" fillId="0" borderId="11" xfId="0" applyBorder="1"/>
    <xf numFmtId="0" fontId="0" fillId="0" borderId="28" xfId="0" applyBorder="1"/>
    <xf numFmtId="0" fontId="10" fillId="0" borderId="1" xfId="0" applyFont="1" applyBorder="1"/>
    <xf numFmtId="0" fontId="0" fillId="0" borderId="16" xfId="0" applyBorder="1"/>
    <xf numFmtId="0" fontId="0" fillId="0" borderId="2" xfId="0" applyBorder="1"/>
    <xf numFmtId="0" fontId="9" fillId="0" borderId="0" xfId="2"/>
    <xf numFmtId="1" fontId="0" fillId="0" borderId="0" xfId="0" applyNumberFormat="1"/>
    <xf numFmtId="0" fontId="11" fillId="0" borderId="5" xfId="0" applyFont="1" applyBorder="1"/>
    <xf numFmtId="0" fontId="11" fillId="0" borderId="21" xfId="0" applyFont="1" applyBorder="1"/>
    <xf numFmtId="165" fontId="11" fillId="0" borderId="24" xfId="1" applyNumberFormat="1" applyFont="1" applyFill="1" applyBorder="1"/>
    <xf numFmtId="3" fontId="0" fillId="0" borderId="4" xfId="0" applyNumberFormat="1" applyBorder="1"/>
    <xf numFmtId="3" fontId="0" fillId="0" borderId="6" xfId="0" applyNumberFormat="1" applyBorder="1"/>
    <xf numFmtId="3" fontId="0" fillId="0" borderId="17" xfId="0" applyNumberFormat="1" applyBorder="1"/>
    <xf numFmtId="3" fontId="5" fillId="0" borderId="4" xfId="5" applyNumberFormat="1" applyBorder="1"/>
    <xf numFmtId="0" fontId="5" fillId="0" borderId="5" xfId="0" applyFont="1" applyBorder="1"/>
    <xf numFmtId="3" fontId="5" fillId="0" borderId="6" xfId="5" applyNumberFormat="1" applyBorder="1"/>
    <xf numFmtId="165" fontId="5" fillId="0" borderId="7" xfId="5" applyNumberFormat="1" applyBorder="1"/>
    <xf numFmtId="3" fontId="5" fillId="0" borderId="17" xfId="5" applyNumberFormat="1" applyBorder="1"/>
    <xf numFmtId="165" fontId="5" fillId="0" borderId="18" xfId="5" applyNumberFormat="1" applyBorder="1"/>
    <xf numFmtId="3" fontId="5" fillId="0" borderId="21" xfId="0" applyNumberFormat="1" applyFont="1" applyBorder="1"/>
    <xf numFmtId="0" fontId="5" fillId="0" borderId="21" xfId="0" applyFont="1" applyBorder="1"/>
    <xf numFmtId="3" fontId="5" fillId="0" borderId="24" xfId="0" applyNumberFormat="1" applyFont="1" applyBorder="1"/>
    <xf numFmtId="165" fontId="5" fillId="0" borderId="24" xfId="0" applyNumberFormat="1" applyFont="1" applyBorder="1"/>
    <xf numFmtId="0" fontId="0" fillId="0" borderId="5" xfId="0" applyBorder="1"/>
    <xf numFmtId="165" fontId="0" fillId="0" borderId="7" xfId="0" applyNumberFormat="1" applyBorder="1"/>
    <xf numFmtId="165" fontId="0" fillId="0" borderId="18" xfId="0" applyNumberFormat="1" applyBorder="1"/>
    <xf numFmtId="3" fontId="0" fillId="0" borderId="21" xfId="0" applyNumberFormat="1" applyBorder="1" applyAlignment="1">
      <alignment horizontal="right"/>
    </xf>
    <xf numFmtId="0" fontId="0" fillId="0" borderId="21" xfId="0" applyBorder="1"/>
    <xf numFmtId="3" fontId="0" fillId="0" borderId="24" xfId="0" applyNumberFormat="1" applyBorder="1"/>
    <xf numFmtId="165" fontId="0" fillId="0" borderId="24" xfId="0" applyNumberFormat="1" applyBorder="1"/>
    <xf numFmtId="3" fontId="0" fillId="0" borderId="17" xfId="5" applyNumberFormat="1" applyFont="1" applyBorder="1"/>
    <xf numFmtId="3" fontId="0" fillId="0" borderId="21" xfId="0" applyNumberFormat="1" applyBorder="1"/>
    <xf numFmtId="0" fontId="0" fillId="0" borderId="22" xfId="0" applyBorder="1"/>
    <xf numFmtId="165" fontId="0" fillId="0" borderId="25" xfId="0" applyNumberFormat="1" applyBorder="1"/>
    <xf numFmtId="0" fontId="9" fillId="0" borderId="11" xfId="2" applyFill="1" applyBorder="1" applyAlignment="1">
      <alignment vertical="center"/>
    </xf>
    <xf numFmtId="0" fontId="5" fillId="2" borderId="26" xfId="4" applyFill="1" applyBorder="1" applyAlignment="1" applyProtection="1">
      <alignment horizontal="left" vertical="top" wrapText="1" readingOrder="1"/>
      <protection locked="0"/>
    </xf>
    <xf numFmtId="0" fontId="14" fillId="0" borderId="0" xfId="0" applyFont="1"/>
    <xf numFmtId="0" fontId="5" fillId="2" borderId="0" xfId="4" applyFill="1" applyAlignment="1" applyProtection="1">
      <alignment horizontal="left" vertical="top" wrapText="1" readingOrder="1"/>
      <protection locked="0"/>
    </xf>
    <xf numFmtId="0" fontId="9" fillId="0" borderId="0" xfId="2" applyBorder="1"/>
    <xf numFmtId="0" fontId="14" fillId="0" borderId="0" xfId="0" applyFont="1" applyAlignment="1">
      <alignment horizontal="left"/>
    </xf>
    <xf numFmtId="0" fontId="0" fillId="0" borderId="0" xfId="3" applyFont="1" applyAlignment="1" applyProtection="1">
      <alignment vertical="top" wrapText="1" readingOrder="1"/>
      <protection locked="0"/>
    </xf>
    <xf numFmtId="0" fontId="14" fillId="0" borderId="0" xfId="0" applyFont="1" applyAlignment="1">
      <alignment vertical="center"/>
    </xf>
    <xf numFmtId="0" fontId="5" fillId="2" borderId="0" xfId="4" applyFill="1" applyAlignment="1" applyProtection="1">
      <alignment vertical="top" wrapText="1" readingOrder="1"/>
      <protection locked="0"/>
    </xf>
    <xf numFmtId="0" fontId="5" fillId="2" borderId="26" xfId="4" applyFill="1" applyBorder="1" applyAlignment="1" applyProtection="1">
      <alignment vertical="top" readingOrder="1"/>
      <protection locked="0"/>
    </xf>
    <xf numFmtId="0" fontId="18" fillId="0" borderId="26" xfId="0" applyFont="1" applyBorder="1" applyAlignment="1">
      <alignment vertical="center"/>
    </xf>
    <xf numFmtId="0" fontId="18" fillId="0" borderId="0" xfId="0" applyFont="1" applyAlignment="1">
      <alignment vertical="center"/>
    </xf>
    <xf numFmtId="0" fontId="0" fillId="0" borderId="26" xfId="0" applyBorder="1" applyAlignment="1">
      <alignment horizontal="left"/>
    </xf>
    <xf numFmtId="0" fontId="17" fillId="0" borderId="0" xfId="3" applyFont="1" applyAlignment="1" applyProtection="1">
      <alignment vertical="top" wrapText="1" readingOrder="1"/>
      <protection locked="0"/>
    </xf>
    <xf numFmtId="3" fontId="35" fillId="0" borderId="0" xfId="13" applyNumberFormat="1" applyFont="1"/>
    <xf numFmtId="165" fontId="0" fillId="0" borderId="7" xfId="1" applyNumberFormat="1" applyFont="1" applyFill="1" applyBorder="1"/>
    <xf numFmtId="165" fontId="0" fillId="0" borderId="18" xfId="1" applyNumberFormat="1" applyFont="1" applyFill="1" applyBorder="1"/>
    <xf numFmtId="166" fontId="0" fillId="0" borderId="20" xfId="29" applyNumberFormat="1" applyFont="1" applyFill="1" applyBorder="1" applyAlignment="1" applyProtection="1">
      <alignment horizontal="right" vertical="center" wrapText="1" readingOrder="1"/>
      <protection locked="0"/>
    </xf>
    <xf numFmtId="166" fontId="0" fillId="0" borderId="21" xfId="29" applyNumberFormat="1" applyFont="1" applyFill="1" applyBorder="1" applyAlignment="1" applyProtection="1">
      <alignment horizontal="right" vertical="center" wrapText="1" readingOrder="1"/>
      <protection locked="0"/>
    </xf>
    <xf numFmtId="3" fontId="0" fillId="0" borderId="23" xfId="0" applyNumberFormat="1" applyBorder="1"/>
    <xf numFmtId="0" fontId="0" fillId="0" borderId="0" xfId="0" applyAlignment="1">
      <alignment horizontal="left" wrapText="1"/>
    </xf>
    <xf numFmtId="0" fontId="5" fillId="0" borderId="0" xfId="0" applyFont="1" applyAlignment="1">
      <alignment horizontal="left" wrapText="1"/>
    </xf>
    <xf numFmtId="0" fontId="5" fillId="0" borderId="0" xfId="0" applyFont="1" applyAlignment="1">
      <alignment horizontal="left"/>
    </xf>
    <xf numFmtId="0" fontId="12" fillId="0" borderId="0" xfId="0" applyFont="1" applyAlignment="1" applyProtection="1">
      <alignment horizontal="left" vertical="top" wrapText="1" readingOrder="1"/>
      <protection locked="0"/>
    </xf>
    <xf numFmtId="0" fontId="5" fillId="0" borderId="0" xfId="0" applyFont="1" applyAlignment="1">
      <alignment horizontal="center"/>
    </xf>
    <xf numFmtId="0" fontId="6" fillId="0" borderId="0" xfId="0" applyFont="1" applyAlignment="1" applyProtection="1">
      <alignment horizontal="left" vertical="top" wrapText="1" readingOrder="1"/>
      <protection locked="0"/>
    </xf>
    <xf numFmtId="0" fontId="8" fillId="0" borderId="0" xfId="0" applyFont="1" applyAlignment="1">
      <alignment wrapText="1"/>
    </xf>
    <xf numFmtId="0" fontId="0" fillId="0" borderId="0" xfId="0" applyAlignment="1">
      <alignment horizontal="left" vertical="top" wrapText="1"/>
    </xf>
    <xf numFmtId="0" fontId="5" fillId="0" borderId="0" xfId="0" applyFont="1" applyAlignment="1">
      <alignment horizontal="left" vertical="top" wrapText="1"/>
    </xf>
    <xf numFmtId="0" fontId="9" fillId="0" borderId="0" xfId="2" applyAlignment="1">
      <alignment horizontal="left" wrapText="1"/>
    </xf>
    <xf numFmtId="0" fontId="0" fillId="0" borderId="11" xfId="0" applyBorder="1" applyAlignment="1">
      <alignment horizontal="left" vertical="center" wrapText="1"/>
    </xf>
    <xf numFmtId="0" fontId="0" fillId="0" borderId="28" xfId="0" applyBorder="1" applyAlignment="1">
      <alignment horizontal="left" vertical="center" wrapText="1"/>
    </xf>
    <xf numFmtId="0" fontId="0" fillId="0" borderId="12" xfId="0" applyBorder="1" applyAlignment="1">
      <alignment horizontal="left" vertical="center" wrapText="1"/>
    </xf>
    <xf numFmtId="0" fontId="12" fillId="2" borderId="0" xfId="0" applyFont="1" applyFill="1" applyAlignment="1" applyProtection="1">
      <alignment horizontal="left" vertical="top" wrapText="1" readingOrder="1"/>
      <protection locked="0"/>
    </xf>
    <xf numFmtId="0" fontId="0" fillId="0" borderId="26" xfId="0" applyBorder="1" applyAlignment="1">
      <alignment horizontal="left" vertical="center" wrapText="1"/>
    </xf>
    <xf numFmtId="0" fontId="0" fillId="0" borderId="0" xfId="0" applyAlignment="1">
      <alignment horizontal="left" vertical="center" wrapText="1"/>
    </xf>
    <xf numFmtId="0" fontId="0" fillId="0" borderId="27" xfId="0" applyBorder="1" applyAlignment="1">
      <alignment horizontal="left" vertical="center" wrapText="1"/>
    </xf>
    <xf numFmtId="0" fontId="0" fillId="0" borderId="26" xfId="0" applyBorder="1" applyAlignment="1">
      <alignment horizontal="left" wrapText="1"/>
    </xf>
    <xf numFmtId="0" fontId="0" fillId="0" borderId="26" xfId="0" applyBorder="1" applyAlignment="1">
      <alignment horizontal="left" vertical="center"/>
    </xf>
    <xf numFmtId="0" fontId="0" fillId="0" borderId="0" xfId="0" applyAlignment="1">
      <alignment horizontal="left"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2" fillId="2" borderId="0" xfId="4" applyFont="1" applyFill="1" applyAlignment="1" applyProtection="1">
      <alignment horizontal="left" vertical="top" wrapText="1" readingOrder="1"/>
      <protection locked="0"/>
    </xf>
    <xf numFmtId="0" fontId="17" fillId="0" borderId="0" xfId="3" applyFont="1" applyAlignment="1" applyProtection="1">
      <alignment horizontal="left" vertical="top" wrapText="1" readingOrder="1"/>
      <protection locked="0"/>
    </xf>
    <xf numFmtId="0" fontId="0" fillId="0" borderId="26" xfId="0" applyBorder="1" applyAlignment="1">
      <alignment wrapText="1"/>
    </xf>
    <xf numFmtId="0" fontId="0" fillId="0" borderId="0" xfId="0" applyAlignment="1">
      <alignment wrapText="1"/>
    </xf>
    <xf numFmtId="0" fontId="20" fillId="0" borderId="1" xfId="0" applyFont="1" applyBorder="1" applyAlignment="1">
      <alignment horizontal="center"/>
    </xf>
    <xf numFmtId="0" fontId="20" fillId="0" borderId="2" xfId="0" applyFont="1" applyBorder="1" applyAlignment="1">
      <alignment horizontal="center"/>
    </xf>
    <xf numFmtId="0" fontId="10" fillId="0" borderId="1" xfId="0" applyFont="1" applyBorder="1" applyAlignment="1">
      <alignment horizontal="center" wrapText="1"/>
    </xf>
    <xf numFmtId="0" fontId="10" fillId="0" borderId="16" xfId="0" applyFont="1" applyBorder="1" applyAlignment="1">
      <alignment horizontal="center" wrapText="1"/>
    </xf>
    <xf numFmtId="0" fontId="10" fillId="0" borderId="2" xfId="0" applyFont="1" applyBorder="1" applyAlignment="1">
      <alignment horizontal="center" wrapText="1"/>
    </xf>
    <xf numFmtId="0" fontId="0" fillId="0" borderId="27" xfId="0" applyBorder="1" applyAlignment="1">
      <alignment horizontal="left" wrapText="1"/>
    </xf>
    <xf numFmtId="0" fontId="0" fillId="0" borderId="26" xfId="0" applyFill="1" applyBorder="1" applyAlignment="1">
      <alignment vertical="center"/>
    </xf>
    <xf numFmtId="0" fontId="0" fillId="0" borderId="0" xfId="0" applyFill="1"/>
    <xf numFmtId="0" fontId="0" fillId="0" borderId="27" xfId="0" applyFill="1" applyBorder="1"/>
    <xf numFmtId="0" fontId="0" fillId="0" borderId="26" xfId="0" applyFill="1" applyBorder="1" applyAlignment="1">
      <alignment horizontal="left" vertical="center" wrapText="1"/>
    </xf>
    <xf numFmtId="0" fontId="0" fillId="0" borderId="0" xfId="0" applyFill="1" applyAlignment="1">
      <alignment horizontal="left" vertical="center" wrapText="1"/>
    </xf>
    <xf numFmtId="0" fontId="0" fillId="0" borderId="27" xfId="0" applyFill="1" applyBorder="1" applyAlignment="1">
      <alignment horizontal="left" vertical="center" wrapText="1"/>
    </xf>
    <xf numFmtId="0" fontId="9" fillId="0" borderId="0" xfId="2" applyFill="1" applyBorder="1" applyAlignment="1" applyProtection="1">
      <alignment vertical="center"/>
    </xf>
    <xf numFmtId="0" fontId="9" fillId="0" borderId="27" xfId="2" applyFill="1" applyBorder="1" applyAlignment="1" applyProtection="1">
      <alignment vertical="center"/>
    </xf>
    <xf numFmtId="0" fontId="0" fillId="0" borderId="0" xfId="0" applyFill="1" applyAlignment="1">
      <alignment horizontal="left" vertical="center" wrapText="1"/>
    </xf>
    <xf numFmtId="0" fontId="0" fillId="0" borderId="27" xfId="0" applyFill="1" applyBorder="1" applyAlignment="1">
      <alignment horizontal="left" vertical="center" wrapText="1"/>
    </xf>
    <xf numFmtId="0" fontId="0" fillId="0" borderId="11" xfId="0" applyFill="1" applyBorder="1" applyAlignment="1">
      <alignment horizontal="left" vertical="center" wrapText="1"/>
    </xf>
    <xf numFmtId="0" fontId="0" fillId="0" borderId="28" xfId="0" applyFill="1" applyBorder="1" applyAlignment="1">
      <alignment horizontal="left" vertical="center" wrapText="1"/>
    </xf>
    <xf numFmtId="0" fontId="0" fillId="0" borderId="12" xfId="0" applyFill="1" applyBorder="1" applyAlignment="1">
      <alignment horizontal="left" vertical="center" wrapText="1"/>
    </xf>
    <xf numFmtId="0" fontId="10" fillId="0" borderId="9" xfId="0" applyFont="1" applyBorder="1"/>
    <xf numFmtId="0" fontId="0" fillId="0" borderId="29" xfId="0" applyBorder="1"/>
    <xf numFmtId="0" fontId="0" fillId="0" borderId="10" xfId="0" applyBorder="1"/>
    <xf numFmtId="0" fontId="0" fillId="0" borderId="0" xfId="0" applyBorder="1"/>
    <xf numFmtId="14" fontId="10" fillId="0" borderId="0" xfId="3" applyNumberFormat="1" applyFont="1" applyBorder="1" applyAlignment="1">
      <alignment horizontal="left"/>
    </xf>
    <xf numFmtId="0" fontId="0" fillId="0" borderId="0" xfId="0" applyFill="1" applyBorder="1" applyAlignment="1">
      <alignment vertical="center"/>
    </xf>
    <xf numFmtId="0" fontId="0" fillId="0" borderId="0" xfId="0" applyFill="1" applyBorder="1"/>
    <xf numFmtId="0" fontId="0" fillId="0" borderId="0" xfId="0" applyFill="1" applyBorder="1" applyAlignment="1">
      <alignment horizontal="left" vertical="center" wrapText="1"/>
    </xf>
    <xf numFmtId="0" fontId="9" fillId="0" borderId="0" xfId="2" applyFill="1" applyBorder="1" applyAlignment="1"/>
    <xf numFmtId="0" fontId="9" fillId="0" borderId="0" xfId="2" applyFill="1" applyBorder="1"/>
    <xf numFmtId="0" fontId="0" fillId="0" borderId="0" xfId="0" applyFill="1" applyBorder="1" applyAlignment="1">
      <alignment horizontal="left" vertical="center" wrapText="1"/>
    </xf>
    <xf numFmtId="0" fontId="0" fillId="0" borderId="9" xfId="0" applyBorder="1"/>
    <xf numFmtId="0" fontId="9" fillId="0" borderId="26" xfId="2" applyFill="1" applyBorder="1" applyAlignment="1"/>
    <xf numFmtId="0" fontId="9" fillId="0" borderId="26" xfId="2" applyFill="1" applyBorder="1"/>
    <xf numFmtId="0" fontId="14" fillId="0" borderId="26" xfId="0" applyFont="1" applyFill="1" applyBorder="1"/>
    <xf numFmtId="0" fontId="0" fillId="0" borderId="26" xfId="0" applyFill="1" applyBorder="1"/>
    <xf numFmtId="0" fontId="14" fillId="0" borderId="26" xfId="0" applyFont="1" applyFill="1" applyBorder="1" applyAlignment="1">
      <alignment horizontal="left" vertical="center"/>
    </xf>
    <xf numFmtId="0" fontId="14" fillId="0" borderId="0" xfId="0" applyFont="1" applyFill="1" applyAlignment="1">
      <alignment horizontal="left" vertical="center"/>
    </xf>
    <xf numFmtId="0" fontId="0" fillId="0" borderId="26" xfId="0" applyFill="1" applyBorder="1" applyAlignment="1">
      <alignment horizontal="left" wrapText="1"/>
    </xf>
    <xf numFmtId="0" fontId="0" fillId="0" borderId="0" xfId="0" applyFill="1" applyAlignment="1">
      <alignment horizontal="left" wrapText="1"/>
    </xf>
    <xf numFmtId="0" fontId="0" fillId="0" borderId="26" xfId="0" applyFill="1" applyBorder="1" applyAlignment="1">
      <alignment horizontal="left" vertical="top" wrapText="1"/>
    </xf>
    <xf numFmtId="0" fontId="0" fillId="0" borderId="0" xfId="0" applyFill="1" applyAlignment="1">
      <alignment horizontal="left" vertical="top" wrapText="1"/>
    </xf>
    <xf numFmtId="0" fontId="0" fillId="0" borderId="27" xfId="0" applyFill="1" applyBorder="1" applyAlignment="1">
      <alignment horizontal="left" vertical="top" wrapText="1"/>
    </xf>
    <xf numFmtId="0" fontId="0" fillId="0" borderId="26" xfId="0" applyFill="1" applyBorder="1" applyAlignment="1">
      <alignment vertical="center" wrapText="1"/>
    </xf>
    <xf numFmtId="0" fontId="0" fillId="0" borderId="0" xfId="0" applyFill="1" applyAlignment="1">
      <alignment vertical="center" wrapText="1"/>
    </xf>
    <xf numFmtId="0" fontId="0" fillId="0" borderId="28" xfId="0" applyFill="1" applyBorder="1" applyAlignment="1">
      <alignment vertical="center"/>
    </xf>
    <xf numFmtId="0" fontId="0" fillId="0" borderId="28" xfId="0" applyFill="1" applyBorder="1"/>
    <xf numFmtId="0" fontId="0" fillId="0" borderId="12" xfId="0" applyFill="1" applyBorder="1"/>
  </cellXfs>
  <cellStyles count="37">
    <cellStyle name="Comma 11" xfId="29" xr:uid="{FD5FA13F-378E-4346-A944-A7BAD2CB8DC6}"/>
    <cellStyle name="Comma 2" xfId="7" xr:uid="{0BF8EE23-3B6A-4513-8CE7-B9D9864813C8}"/>
    <cellStyle name="Comma 2 2" xfId="28" xr:uid="{5C9AF24B-E798-4362-9AC2-E828213E2382}"/>
    <cellStyle name="Comma 2 2 2" xfId="35" xr:uid="{2E8C3FD6-C80E-460E-806C-AFCBC6572F00}"/>
    <cellStyle name="Comma 2 3" xfId="31" xr:uid="{2595D899-F945-4D0C-A28C-1658136C067F}"/>
    <cellStyle name="Comma 3" xfId="23" xr:uid="{38234178-8B6C-4283-B950-F51945D70B70}"/>
    <cellStyle name="Comma 3 2" xfId="32" xr:uid="{42023A94-5A4B-42AB-9B25-A7477610A94C}"/>
    <cellStyle name="Comma 4" xfId="36" xr:uid="{1389CCCD-2F51-4D2D-BD81-5B0E00FC2589}"/>
    <cellStyle name="Heading 1 2" xfId="16" xr:uid="{0FB00AC9-F75D-414B-8E6B-D7BF534DCD35}"/>
    <cellStyle name="Heading 1 3" xfId="15" xr:uid="{5E08F57B-61A7-406D-B77A-CB8F09DE58D6}"/>
    <cellStyle name="Heading 2 2" xfId="17" xr:uid="{2B9606AF-B829-4FDF-BA9C-DB08453F87BF}"/>
    <cellStyle name="Hyperlink" xfId="2" builtinId="8"/>
    <cellStyle name="Hyperlink 2" xfId="9" xr:uid="{A563BA00-CD02-47CB-8D2B-A646C2FC3A6F}"/>
    <cellStyle name="Hyperlink 2 2" xfId="10" xr:uid="{91C94E27-409D-4571-B1C7-99230E4F010C}"/>
    <cellStyle name="Hyperlink 2 2 4" xfId="18" xr:uid="{62006AE6-0F30-410F-AEF4-4879A9555433}"/>
    <cellStyle name="Hyperlink 3" xfId="8" xr:uid="{FAE8C965-7CF3-44C1-A31D-015B84F28C92}"/>
    <cellStyle name="Normal" xfId="0" builtinId="0"/>
    <cellStyle name="Normal 11" xfId="19" xr:uid="{24F8B80C-821D-4D4F-B520-6472AC39D373}"/>
    <cellStyle name="Normal 2" xfId="3" xr:uid="{00000000-0005-0000-0000-000002000000}"/>
    <cellStyle name="Normal 2 2" xfId="12" xr:uid="{37D46FBC-2842-4A7D-8CF8-52CB617388CA}"/>
    <cellStyle name="Normal 2 2 2" xfId="4" xr:uid="{00000000-0005-0000-0000-000003000000}"/>
    <cellStyle name="Normal 2 2 2 2" xfId="20" xr:uid="{134F4106-E6C5-406D-9B95-9CEFAFF2146D}"/>
    <cellStyle name="Normal 2 3" xfId="11" xr:uid="{9CC11CAC-BCCD-4B41-B50F-B859592C820D}"/>
    <cellStyle name="Normal 2 3 2" xfId="24" xr:uid="{DA8A288C-C540-4DD0-9BE0-01A3CA212903}"/>
    <cellStyle name="Normal 2 5" xfId="21" xr:uid="{BF17F446-A99A-4E02-AE8D-5D507903AA58}"/>
    <cellStyle name="Normal 3" xfId="13" xr:uid="{8FDBF176-E12A-448E-86C2-0A51C7D08932}"/>
    <cellStyle name="Normal 4" xfId="5" xr:uid="{00000000-0005-0000-0000-000004000000}"/>
    <cellStyle name="Normal 4 2" xfId="14" xr:uid="{8BE03A91-63EB-4E30-92F2-A3F891280B31}"/>
    <cellStyle name="Normal 5" xfId="6" xr:uid="{8421B83D-3A60-4AAA-8E9E-DAB4C80E7EEB}"/>
    <cellStyle name="Paragraph Han" xfId="22" xr:uid="{7E66AF57-B440-462A-B753-FE4525A2EAD3}"/>
    <cellStyle name="Per cent" xfId="1" builtinId="5"/>
    <cellStyle name="Percent 2" xfId="26" xr:uid="{AB5F7917-7AE2-4AA0-B70E-3F9184502BA6}"/>
    <cellStyle name="Percent 2 2" xfId="33" xr:uid="{C8682DF6-EB97-4663-91DD-C09C742CA352}"/>
    <cellStyle name="Percent 3" xfId="25" xr:uid="{65D51717-1E9B-4DAD-8246-3CFA3B06CB5C}"/>
    <cellStyle name="Percent 4" xfId="27" xr:uid="{EB2F1622-2272-44FC-B5DC-773EDE1E9184}"/>
    <cellStyle name="Percent 4 2" xfId="34" xr:uid="{4FC4AC0F-1883-4F4B-9DD0-48E786214A4F}"/>
    <cellStyle name="Percent 5" xfId="30" xr:uid="{B5A2FB98-43AA-4DA2-81C1-0A067676C7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9524</xdr:colOff>
      <xdr:row>24</xdr:row>
      <xdr:rowOff>76199</xdr:rowOff>
    </xdr:from>
    <xdr:to>
      <xdr:col>1</xdr:col>
      <xdr:colOff>41033</xdr:colOff>
      <xdr:row>24</xdr:row>
      <xdr:rowOff>504265</xdr:rowOff>
    </xdr:to>
    <xdr:pic>
      <xdr:nvPicPr>
        <xdr:cNvPr id="2" name="Picture 1" descr="48bf4cd158a94aebada082d9c5a61d4a">
          <a:extLst>
            <a:ext uri="{FF2B5EF4-FFF2-40B4-BE49-F238E27FC236}">
              <a16:creationId xmlns:a16="http://schemas.microsoft.com/office/drawing/2014/main" id="{90F07CD4-A4E6-47BA-97F5-3B37E236B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572249"/>
          <a:ext cx="1145934"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676275</xdr:colOff>
      <xdr:row>0</xdr:row>
      <xdr:rowOff>409575</xdr:rowOff>
    </xdr:to>
    <xdr:pic>
      <xdr:nvPicPr>
        <xdr:cNvPr id="3" name="Picture 2">
          <a:extLst>
            <a:ext uri="{FF2B5EF4-FFF2-40B4-BE49-F238E27FC236}">
              <a16:creationId xmlns:a16="http://schemas.microsoft.com/office/drawing/2014/main" id="{341CC525-63C5-46DC-93C6-626CECB21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495300</xdr:colOff>
      <xdr:row>40</xdr:row>
      <xdr:rowOff>104776</xdr:rowOff>
    </xdr:from>
    <xdr:to>
      <xdr:col>2</xdr:col>
      <xdr:colOff>397703</xdr:colOff>
      <xdr:row>44</xdr:row>
      <xdr:rowOff>136754</xdr:rowOff>
    </xdr:to>
    <xdr:pic>
      <xdr:nvPicPr>
        <xdr:cNvPr id="2" name="Picture 1">
          <a:extLst>
            <a:ext uri="{FF2B5EF4-FFF2-40B4-BE49-F238E27FC236}">
              <a16:creationId xmlns:a16="http://schemas.microsoft.com/office/drawing/2014/main" id="{38A748E3-BCCC-4037-9487-69CC536C5D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 y="5502276"/>
          <a:ext cx="3921125" cy="67332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0</xdr:col>
      <xdr:colOff>352425</xdr:colOff>
      <xdr:row>48</xdr:row>
      <xdr:rowOff>9525</xdr:rowOff>
    </xdr:from>
    <xdr:to>
      <xdr:col>2</xdr:col>
      <xdr:colOff>397703</xdr:colOff>
      <xdr:row>51</xdr:row>
      <xdr:rowOff>116010</xdr:rowOff>
    </xdr:to>
    <xdr:pic>
      <xdr:nvPicPr>
        <xdr:cNvPr id="3" name="Picture 2">
          <a:extLst>
            <a:ext uri="{FF2B5EF4-FFF2-40B4-BE49-F238E27FC236}">
              <a16:creationId xmlns:a16="http://schemas.microsoft.com/office/drawing/2014/main" id="{B20AA951-9DF0-410B-B31B-83987F3195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425" y="6905625"/>
          <a:ext cx="4064000" cy="58273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ccident--emergency-activity/2024-25" TargetMode="External"/><Relationship Id="rId2" Type="http://schemas.openxmlformats.org/officeDocument/2006/relationships/hyperlink" Target="https://gss.civilservice.gov.uk/wp-content/uploads/2018/05/UK-Comparative-Waiting-Times-AE-final.xlsx" TargetMode="External"/><Relationship Id="rId1" Type="http://schemas.openxmlformats.org/officeDocument/2006/relationships/hyperlink" Target="mailto:enquiries@nhsdigital.nhs.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tatswales.gov.wales/Catalogue/Health-and-Social-Care/NHS-Hospital-Waiting-Times/emergency-department" TargetMode="External"/><Relationship Id="rId3" Type="http://schemas.openxmlformats.org/officeDocument/2006/relationships/hyperlink" Target="https://www.england.nhs.uk/statistics/statistical-work-areas/ae-waiting-times-and-activity/ae-attendances-and-emergency-admissions-2024-25/" TargetMode="External"/><Relationship Id="rId7" Type="http://schemas.openxmlformats.org/officeDocument/2006/relationships/hyperlink" Target="https://publichealthscotland.scot/healthcare-system/urgent-and-unscheduled-care/accident-and-emergency/interactive-charts/how-long-people-spend-in-ae/" TargetMode="External"/><Relationship Id="rId12" Type="http://schemas.openxmlformats.org/officeDocument/2006/relationships/drawing" Target="../drawings/drawing2.xml"/><Relationship Id="rId2" Type="http://schemas.openxmlformats.org/officeDocument/2006/relationships/hyperlink" Target="https://www.ons.gov.uk/census" TargetMode="External"/><Relationship Id="rId1" Type="http://schemas.openxmlformats.org/officeDocument/2006/relationships/hyperlink" Target="https://www.england.nhs.uk/statistics/wp-content/uploads/sites/2/2019/06/Publication-of-May-AE-data.pdf" TargetMode="External"/><Relationship Id="rId6" Type="http://schemas.openxmlformats.org/officeDocument/2006/relationships/hyperlink" Target="https://publichealthscotland.scot/media/29631/impact-assessment-new-ae-standard-phs-draft-v03.pdf" TargetMode="External"/><Relationship Id="rId11" Type="http://schemas.openxmlformats.org/officeDocument/2006/relationships/printerSettings" Target="../printerSettings/printerSettings2.bin"/><Relationship Id="rId5" Type="http://schemas.openxmlformats.org/officeDocument/2006/relationships/hyperlink" Target="https://publichealthscotland.scot/media/29631/impact-assessment-new-ae-standard-phs-draft-v03.pdf" TargetMode="External"/><Relationship Id="rId10" Type="http://schemas.openxmlformats.org/officeDocument/2006/relationships/hyperlink" Target="https://www.health-ni.gov.uk/articles/emergency-care-waiting-times" TargetMode="External"/><Relationship Id="rId4" Type="http://schemas.openxmlformats.org/officeDocument/2006/relationships/hyperlink" Target="https://publichealthscotland.scot/healthcare-system/urgent-and-unscheduled-care/accident-and-emergency/overview/" TargetMode="External"/><Relationship Id="rId9" Type="http://schemas.openxmlformats.org/officeDocument/2006/relationships/hyperlink" Target="https://www.nisra.gov.uk/publications/2023-mid-year-population-estimates-small-geographical-areas-within-northern-ire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6"/>
  <sheetViews>
    <sheetView showGridLines="0" tabSelected="1" zoomScaleNormal="100" workbookViewId="0">
      <selection sqref="A1:I1"/>
    </sheetView>
  </sheetViews>
  <sheetFormatPr defaultRowHeight="12.5" x14ac:dyDescent="0.25"/>
  <cols>
    <col min="1" max="1" width="16.54296875" style="1" customWidth="1"/>
    <col min="2" max="9" width="14.1796875" style="1" customWidth="1"/>
    <col min="10" max="256" width="9" style="1"/>
    <col min="257" max="257" width="12.54296875" style="1" customWidth="1"/>
    <col min="258" max="258" width="69.54296875" style="1" customWidth="1"/>
    <col min="259" max="259" width="26" style="1" customWidth="1"/>
    <col min="260" max="260" width="18" style="1" customWidth="1"/>
    <col min="261" max="512" width="9" style="1"/>
    <col min="513" max="513" width="12.54296875" style="1" customWidth="1"/>
    <col min="514" max="514" width="69.54296875" style="1" customWidth="1"/>
    <col min="515" max="515" width="26" style="1" customWidth="1"/>
    <col min="516" max="516" width="18" style="1" customWidth="1"/>
    <col min="517" max="768" width="9" style="1"/>
    <col min="769" max="769" width="12.54296875" style="1" customWidth="1"/>
    <col min="770" max="770" width="69.54296875" style="1" customWidth="1"/>
    <col min="771" max="771" width="26" style="1" customWidth="1"/>
    <col min="772" max="772" width="18" style="1" customWidth="1"/>
    <col min="773" max="1024" width="9" style="1"/>
    <col min="1025" max="1025" width="12.54296875" style="1" customWidth="1"/>
    <col min="1026" max="1026" width="69.54296875" style="1" customWidth="1"/>
    <col min="1027" max="1027" width="26" style="1" customWidth="1"/>
    <col min="1028" max="1028" width="18" style="1" customWidth="1"/>
    <col min="1029" max="1280" width="9" style="1"/>
    <col min="1281" max="1281" width="12.54296875" style="1" customWidth="1"/>
    <col min="1282" max="1282" width="69.54296875" style="1" customWidth="1"/>
    <col min="1283" max="1283" width="26" style="1" customWidth="1"/>
    <col min="1284" max="1284" width="18" style="1" customWidth="1"/>
    <col min="1285" max="1536" width="9" style="1"/>
    <col min="1537" max="1537" width="12.54296875" style="1" customWidth="1"/>
    <col min="1538" max="1538" width="69.54296875" style="1" customWidth="1"/>
    <col min="1539" max="1539" width="26" style="1" customWidth="1"/>
    <col min="1540" max="1540" width="18" style="1" customWidth="1"/>
    <col min="1541" max="1792" width="9" style="1"/>
    <col min="1793" max="1793" width="12.54296875" style="1" customWidth="1"/>
    <col min="1794" max="1794" width="69.54296875" style="1" customWidth="1"/>
    <col min="1795" max="1795" width="26" style="1" customWidth="1"/>
    <col min="1796" max="1796" width="18" style="1" customWidth="1"/>
    <col min="1797" max="2048" width="9" style="1"/>
    <col min="2049" max="2049" width="12.54296875" style="1" customWidth="1"/>
    <col min="2050" max="2050" width="69.54296875" style="1" customWidth="1"/>
    <col min="2051" max="2051" width="26" style="1" customWidth="1"/>
    <col min="2052" max="2052" width="18" style="1" customWidth="1"/>
    <col min="2053" max="2304" width="9" style="1"/>
    <col min="2305" max="2305" width="12.54296875" style="1" customWidth="1"/>
    <col min="2306" max="2306" width="69.54296875" style="1" customWidth="1"/>
    <col min="2307" max="2307" width="26" style="1" customWidth="1"/>
    <col min="2308" max="2308" width="18" style="1" customWidth="1"/>
    <col min="2309" max="2560" width="9" style="1"/>
    <col min="2561" max="2561" width="12.54296875" style="1" customWidth="1"/>
    <col min="2562" max="2562" width="69.54296875" style="1" customWidth="1"/>
    <col min="2563" max="2563" width="26" style="1" customWidth="1"/>
    <col min="2564" max="2564" width="18" style="1" customWidth="1"/>
    <col min="2565" max="2816" width="9" style="1"/>
    <col min="2817" max="2817" width="12.54296875" style="1" customWidth="1"/>
    <col min="2818" max="2818" width="69.54296875" style="1" customWidth="1"/>
    <col min="2819" max="2819" width="26" style="1" customWidth="1"/>
    <col min="2820" max="2820" width="18" style="1" customWidth="1"/>
    <col min="2821" max="3072" width="9" style="1"/>
    <col min="3073" max="3073" width="12.54296875" style="1" customWidth="1"/>
    <col min="3074" max="3074" width="69.54296875" style="1" customWidth="1"/>
    <col min="3075" max="3075" width="26" style="1" customWidth="1"/>
    <col min="3076" max="3076" width="18" style="1" customWidth="1"/>
    <col min="3077" max="3328" width="9" style="1"/>
    <col min="3329" max="3329" width="12.54296875" style="1" customWidth="1"/>
    <col min="3330" max="3330" width="69.54296875" style="1" customWidth="1"/>
    <col min="3331" max="3331" width="26" style="1" customWidth="1"/>
    <col min="3332" max="3332" width="18" style="1" customWidth="1"/>
    <col min="3333" max="3584" width="9" style="1"/>
    <col min="3585" max="3585" width="12.54296875" style="1" customWidth="1"/>
    <col min="3586" max="3586" width="69.54296875" style="1" customWidth="1"/>
    <col min="3587" max="3587" width="26" style="1" customWidth="1"/>
    <col min="3588" max="3588" width="18" style="1" customWidth="1"/>
    <col min="3589" max="3840" width="9" style="1"/>
    <col min="3841" max="3841" width="12.54296875" style="1" customWidth="1"/>
    <col min="3842" max="3842" width="69.54296875" style="1" customWidth="1"/>
    <col min="3843" max="3843" width="26" style="1" customWidth="1"/>
    <col min="3844" max="3844" width="18" style="1" customWidth="1"/>
    <col min="3845" max="4096" width="9" style="1"/>
    <col min="4097" max="4097" width="12.54296875" style="1" customWidth="1"/>
    <col min="4098" max="4098" width="69.54296875" style="1" customWidth="1"/>
    <col min="4099" max="4099" width="26" style="1" customWidth="1"/>
    <col min="4100" max="4100" width="18" style="1" customWidth="1"/>
    <col min="4101" max="4352" width="9" style="1"/>
    <col min="4353" max="4353" width="12.54296875" style="1" customWidth="1"/>
    <col min="4354" max="4354" width="69.54296875" style="1" customWidth="1"/>
    <col min="4355" max="4355" width="26" style="1" customWidth="1"/>
    <col min="4356" max="4356" width="18" style="1" customWidth="1"/>
    <col min="4357" max="4608" width="9" style="1"/>
    <col min="4609" max="4609" width="12.54296875" style="1" customWidth="1"/>
    <col min="4610" max="4610" width="69.54296875" style="1" customWidth="1"/>
    <col min="4611" max="4611" width="26" style="1" customWidth="1"/>
    <col min="4612" max="4612" width="18" style="1" customWidth="1"/>
    <col min="4613" max="4864" width="9" style="1"/>
    <col min="4865" max="4865" width="12.54296875" style="1" customWidth="1"/>
    <col min="4866" max="4866" width="69.54296875" style="1" customWidth="1"/>
    <col min="4867" max="4867" width="26" style="1" customWidth="1"/>
    <col min="4868" max="4868" width="18" style="1" customWidth="1"/>
    <col min="4869" max="5120" width="9" style="1"/>
    <col min="5121" max="5121" width="12.54296875" style="1" customWidth="1"/>
    <col min="5122" max="5122" width="69.54296875" style="1" customWidth="1"/>
    <col min="5123" max="5123" width="26" style="1" customWidth="1"/>
    <col min="5124" max="5124" width="18" style="1" customWidth="1"/>
    <col min="5125" max="5376" width="9" style="1"/>
    <col min="5377" max="5377" width="12.54296875" style="1" customWidth="1"/>
    <col min="5378" max="5378" width="69.54296875" style="1" customWidth="1"/>
    <col min="5379" max="5379" width="26" style="1" customWidth="1"/>
    <col min="5380" max="5380" width="18" style="1" customWidth="1"/>
    <col min="5381" max="5632" width="9" style="1"/>
    <col min="5633" max="5633" width="12.54296875" style="1" customWidth="1"/>
    <col min="5634" max="5634" width="69.54296875" style="1" customWidth="1"/>
    <col min="5635" max="5635" width="26" style="1" customWidth="1"/>
    <col min="5636" max="5636" width="18" style="1" customWidth="1"/>
    <col min="5637" max="5888" width="9" style="1"/>
    <col min="5889" max="5889" width="12.54296875" style="1" customWidth="1"/>
    <col min="5890" max="5890" width="69.54296875" style="1" customWidth="1"/>
    <col min="5891" max="5891" width="26" style="1" customWidth="1"/>
    <col min="5892" max="5892" width="18" style="1" customWidth="1"/>
    <col min="5893" max="6144" width="9" style="1"/>
    <col min="6145" max="6145" width="12.54296875" style="1" customWidth="1"/>
    <col min="6146" max="6146" width="69.54296875" style="1" customWidth="1"/>
    <col min="6147" max="6147" width="26" style="1" customWidth="1"/>
    <col min="6148" max="6148" width="18" style="1" customWidth="1"/>
    <col min="6149" max="6400" width="9" style="1"/>
    <col min="6401" max="6401" width="12.54296875" style="1" customWidth="1"/>
    <col min="6402" max="6402" width="69.54296875" style="1" customWidth="1"/>
    <col min="6403" max="6403" width="26" style="1" customWidth="1"/>
    <col min="6404" max="6404" width="18" style="1" customWidth="1"/>
    <col min="6405" max="6656" width="9" style="1"/>
    <col min="6657" max="6657" width="12.54296875" style="1" customWidth="1"/>
    <col min="6658" max="6658" width="69.54296875" style="1" customWidth="1"/>
    <col min="6659" max="6659" width="26" style="1" customWidth="1"/>
    <col min="6660" max="6660" width="18" style="1" customWidth="1"/>
    <col min="6661" max="6912" width="9" style="1"/>
    <col min="6913" max="6913" width="12.54296875" style="1" customWidth="1"/>
    <col min="6914" max="6914" width="69.54296875" style="1" customWidth="1"/>
    <col min="6915" max="6915" width="26" style="1" customWidth="1"/>
    <col min="6916" max="6916" width="18" style="1" customWidth="1"/>
    <col min="6917" max="7168" width="9" style="1"/>
    <col min="7169" max="7169" width="12.54296875" style="1" customWidth="1"/>
    <col min="7170" max="7170" width="69.54296875" style="1" customWidth="1"/>
    <col min="7171" max="7171" width="26" style="1" customWidth="1"/>
    <col min="7172" max="7172" width="18" style="1" customWidth="1"/>
    <col min="7173" max="7424" width="9" style="1"/>
    <col min="7425" max="7425" width="12.54296875" style="1" customWidth="1"/>
    <col min="7426" max="7426" width="69.54296875" style="1" customWidth="1"/>
    <col min="7427" max="7427" width="26" style="1" customWidth="1"/>
    <col min="7428" max="7428" width="18" style="1" customWidth="1"/>
    <col min="7429" max="7680" width="9" style="1"/>
    <col min="7681" max="7681" width="12.54296875" style="1" customWidth="1"/>
    <col min="7682" max="7682" width="69.54296875" style="1" customWidth="1"/>
    <col min="7683" max="7683" width="26" style="1" customWidth="1"/>
    <col min="7684" max="7684" width="18" style="1" customWidth="1"/>
    <col min="7685" max="7936" width="9" style="1"/>
    <col min="7937" max="7937" width="12.54296875" style="1" customWidth="1"/>
    <col min="7938" max="7938" width="69.54296875" style="1" customWidth="1"/>
    <col min="7939" max="7939" width="26" style="1" customWidth="1"/>
    <col min="7940" max="7940" width="18" style="1" customWidth="1"/>
    <col min="7941" max="8192" width="9" style="1"/>
    <col min="8193" max="8193" width="12.54296875" style="1" customWidth="1"/>
    <col min="8194" max="8194" width="69.54296875" style="1" customWidth="1"/>
    <col min="8195" max="8195" width="26" style="1" customWidth="1"/>
    <col min="8196" max="8196" width="18" style="1" customWidth="1"/>
    <col min="8197" max="8448" width="9" style="1"/>
    <col min="8449" max="8449" width="12.54296875" style="1" customWidth="1"/>
    <col min="8450" max="8450" width="69.54296875" style="1" customWidth="1"/>
    <col min="8451" max="8451" width="26" style="1" customWidth="1"/>
    <col min="8452" max="8452" width="18" style="1" customWidth="1"/>
    <col min="8453" max="8704" width="9" style="1"/>
    <col min="8705" max="8705" width="12.54296875" style="1" customWidth="1"/>
    <col min="8706" max="8706" width="69.54296875" style="1" customWidth="1"/>
    <col min="8707" max="8707" width="26" style="1" customWidth="1"/>
    <col min="8708" max="8708" width="18" style="1" customWidth="1"/>
    <col min="8709" max="8960" width="9" style="1"/>
    <col min="8961" max="8961" width="12.54296875" style="1" customWidth="1"/>
    <col min="8962" max="8962" width="69.54296875" style="1" customWidth="1"/>
    <col min="8963" max="8963" width="26" style="1" customWidth="1"/>
    <col min="8964" max="8964" width="18" style="1" customWidth="1"/>
    <col min="8965" max="9216" width="9" style="1"/>
    <col min="9217" max="9217" width="12.54296875" style="1" customWidth="1"/>
    <col min="9218" max="9218" width="69.54296875" style="1" customWidth="1"/>
    <col min="9219" max="9219" width="26" style="1" customWidth="1"/>
    <col min="9220" max="9220" width="18" style="1" customWidth="1"/>
    <col min="9221" max="9472" width="9" style="1"/>
    <col min="9473" max="9473" width="12.54296875" style="1" customWidth="1"/>
    <col min="9474" max="9474" width="69.54296875" style="1" customWidth="1"/>
    <col min="9475" max="9475" width="26" style="1" customWidth="1"/>
    <col min="9476" max="9476" width="18" style="1" customWidth="1"/>
    <col min="9477" max="9728" width="9" style="1"/>
    <col min="9729" max="9729" width="12.54296875" style="1" customWidth="1"/>
    <col min="9730" max="9730" width="69.54296875" style="1" customWidth="1"/>
    <col min="9731" max="9731" width="26" style="1" customWidth="1"/>
    <col min="9732" max="9732" width="18" style="1" customWidth="1"/>
    <col min="9733" max="9984" width="9" style="1"/>
    <col min="9985" max="9985" width="12.54296875" style="1" customWidth="1"/>
    <col min="9986" max="9986" width="69.54296875" style="1" customWidth="1"/>
    <col min="9987" max="9987" width="26" style="1" customWidth="1"/>
    <col min="9988" max="9988" width="18" style="1" customWidth="1"/>
    <col min="9989" max="10240" width="9" style="1"/>
    <col min="10241" max="10241" width="12.54296875" style="1" customWidth="1"/>
    <col min="10242" max="10242" width="69.54296875" style="1" customWidth="1"/>
    <col min="10243" max="10243" width="26" style="1" customWidth="1"/>
    <col min="10244" max="10244" width="18" style="1" customWidth="1"/>
    <col min="10245" max="10496" width="9" style="1"/>
    <col min="10497" max="10497" width="12.54296875" style="1" customWidth="1"/>
    <col min="10498" max="10498" width="69.54296875" style="1" customWidth="1"/>
    <col min="10499" max="10499" width="26" style="1" customWidth="1"/>
    <col min="10500" max="10500" width="18" style="1" customWidth="1"/>
    <col min="10501" max="10752" width="9" style="1"/>
    <col min="10753" max="10753" width="12.54296875" style="1" customWidth="1"/>
    <col min="10754" max="10754" width="69.54296875" style="1" customWidth="1"/>
    <col min="10755" max="10755" width="26" style="1" customWidth="1"/>
    <col min="10756" max="10756" width="18" style="1" customWidth="1"/>
    <col min="10757" max="11008" width="9" style="1"/>
    <col min="11009" max="11009" width="12.54296875" style="1" customWidth="1"/>
    <col min="11010" max="11010" width="69.54296875" style="1" customWidth="1"/>
    <col min="11011" max="11011" width="26" style="1" customWidth="1"/>
    <col min="11012" max="11012" width="18" style="1" customWidth="1"/>
    <col min="11013" max="11264" width="9" style="1"/>
    <col min="11265" max="11265" width="12.54296875" style="1" customWidth="1"/>
    <col min="11266" max="11266" width="69.54296875" style="1" customWidth="1"/>
    <col min="11267" max="11267" width="26" style="1" customWidth="1"/>
    <col min="11268" max="11268" width="18" style="1" customWidth="1"/>
    <col min="11269" max="11520" width="9" style="1"/>
    <col min="11521" max="11521" width="12.54296875" style="1" customWidth="1"/>
    <col min="11522" max="11522" width="69.54296875" style="1" customWidth="1"/>
    <col min="11523" max="11523" width="26" style="1" customWidth="1"/>
    <col min="11524" max="11524" width="18" style="1" customWidth="1"/>
    <col min="11525" max="11776" width="9" style="1"/>
    <col min="11777" max="11777" width="12.54296875" style="1" customWidth="1"/>
    <col min="11778" max="11778" width="69.54296875" style="1" customWidth="1"/>
    <col min="11779" max="11779" width="26" style="1" customWidth="1"/>
    <col min="11780" max="11780" width="18" style="1" customWidth="1"/>
    <col min="11781" max="12032" width="9" style="1"/>
    <col min="12033" max="12033" width="12.54296875" style="1" customWidth="1"/>
    <col min="12034" max="12034" width="69.54296875" style="1" customWidth="1"/>
    <col min="12035" max="12035" width="26" style="1" customWidth="1"/>
    <col min="12036" max="12036" width="18" style="1" customWidth="1"/>
    <col min="12037" max="12288" width="9" style="1"/>
    <col min="12289" max="12289" width="12.54296875" style="1" customWidth="1"/>
    <col min="12290" max="12290" width="69.54296875" style="1" customWidth="1"/>
    <col min="12291" max="12291" width="26" style="1" customWidth="1"/>
    <col min="12292" max="12292" width="18" style="1" customWidth="1"/>
    <col min="12293" max="12544" width="9" style="1"/>
    <col min="12545" max="12545" width="12.54296875" style="1" customWidth="1"/>
    <col min="12546" max="12546" width="69.54296875" style="1" customWidth="1"/>
    <col min="12547" max="12547" width="26" style="1" customWidth="1"/>
    <col min="12548" max="12548" width="18" style="1" customWidth="1"/>
    <col min="12549" max="12800" width="9" style="1"/>
    <col min="12801" max="12801" width="12.54296875" style="1" customWidth="1"/>
    <col min="12802" max="12802" width="69.54296875" style="1" customWidth="1"/>
    <col min="12803" max="12803" width="26" style="1" customWidth="1"/>
    <col min="12804" max="12804" width="18" style="1" customWidth="1"/>
    <col min="12805" max="13056" width="9" style="1"/>
    <col min="13057" max="13057" width="12.54296875" style="1" customWidth="1"/>
    <col min="13058" max="13058" width="69.54296875" style="1" customWidth="1"/>
    <col min="13059" max="13059" width="26" style="1" customWidth="1"/>
    <col min="13060" max="13060" width="18" style="1" customWidth="1"/>
    <col min="13061" max="13312" width="9" style="1"/>
    <col min="13313" max="13313" width="12.54296875" style="1" customWidth="1"/>
    <col min="13314" max="13314" width="69.54296875" style="1" customWidth="1"/>
    <col min="13315" max="13315" width="26" style="1" customWidth="1"/>
    <col min="13316" max="13316" width="18" style="1" customWidth="1"/>
    <col min="13317" max="13568" width="9" style="1"/>
    <col min="13569" max="13569" width="12.54296875" style="1" customWidth="1"/>
    <col min="13570" max="13570" width="69.54296875" style="1" customWidth="1"/>
    <col min="13571" max="13571" width="26" style="1" customWidth="1"/>
    <col min="13572" max="13572" width="18" style="1" customWidth="1"/>
    <col min="13573" max="13824" width="9" style="1"/>
    <col min="13825" max="13825" width="12.54296875" style="1" customWidth="1"/>
    <col min="13826" max="13826" width="69.54296875" style="1" customWidth="1"/>
    <col min="13827" max="13827" width="26" style="1" customWidth="1"/>
    <col min="13828" max="13828" width="18" style="1" customWidth="1"/>
    <col min="13829" max="14080" width="9" style="1"/>
    <col min="14081" max="14081" width="12.54296875" style="1" customWidth="1"/>
    <col min="14082" max="14082" width="69.54296875" style="1" customWidth="1"/>
    <col min="14083" max="14083" width="26" style="1" customWidth="1"/>
    <col min="14084" max="14084" width="18" style="1" customWidth="1"/>
    <col min="14085" max="14336" width="9" style="1"/>
    <col min="14337" max="14337" width="12.54296875" style="1" customWidth="1"/>
    <col min="14338" max="14338" width="69.54296875" style="1" customWidth="1"/>
    <col min="14339" max="14339" width="26" style="1" customWidth="1"/>
    <col min="14340" max="14340" width="18" style="1" customWidth="1"/>
    <col min="14341" max="14592" width="9" style="1"/>
    <col min="14593" max="14593" width="12.54296875" style="1" customWidth="1"/>
    <col min="14594" max="14594" width="69.54296875" style="1" customWidth="1"/>
    <col min="14595" max="14595" width="26" style="1" customWidth="1"/>
    <col min="14596" max="14596" width="18" style="1" customWidth="1"/>
    <col min="14597" max="14848" width="9" style="1"/>
    <col min="14849" max="14849" width="12.54296875" style="1" customWidth="1"/>
    <col min="14850" max="14850" width="69.54296875" style="1" customWidth="1"/>
    <col min="14851" max="14851" width="26" style="1" customWidth="1"/>
    <col min="14852" max="14852" width="18" style="1" customWidth="1"/>
    <col min="14853" max="15104" width="9" style="1"/>
    <col min="15105" max="15105" width="12.54296875" style="1" customWidth="1"/>
    <col min="15106" max="15106" width="69.54296875" style="1" customWidth="1"/>
    <col min="15107" max="15107" width="26" style="1" customWidth="1"/>
    <col min="15108" max="15108" width="18" style="1" customWidth="1"/>
    <col min="15109" max="15360" width="9" style="1"/>
    <col min="15361" max="15361" width="12.54296875" style="1" customWidth="1"/>
    <col min="15362" max="15362" width="69.54296875" style="1" customWidth="1"/>
    <col min="15363" max="15363" width="26" style="1" customWidth="1"/>
    <col min="15364" max="15364" width="18" style="1" customWidth="1"/>
    <col min="15365" max="15616" width="9" style="1"/>
    <col min="15617" max="15617" width="12.54296875" style="1" customWidth="1"/>
    <col min="15618" max="15618" width="69.54296875" style="1" customWidth="1"/>
    <col min="15619" max="15619" width="26" style="1" customWidth="1"/>
    <col min="15620" max="15620" width="18" style="1" customWidth="1"/>
    <col min="15621" max="15872" width="9" style="1"/>
    <col min="15873" max="15873" width="12.54296875" style="1" customWidth="1"/>
    <col min="15874" max="15874" width="69.54296875" style="1" customWidth="1"/>
    <col min="15875" max="15875" width="26" style="1" customWidth="1"/>
    <col min="15876" max="15876" width="18" style="1" customWidth="1"/>
    <col min="15877" max="16128" width="9" style="1"/>
    <col min="16129" max="16129" width="12.54296875" style="1" customWidth="1"/>
    <col min="16130" max="16130" width="69.54296875" style="1" customWidth="1"/>
    <col min="16131" max="16131" width="26" style="1" customWidth="1"/>
    <col min="16132" max="16132" width="18" style="1" customWidth="1"/>
    <col min="16133" max="16384" width="9" style="1"/>
  </cols>
  <sheetData>
    <row r="1" spans="1:9" ht="37" customHeight="1" x14ac:dyDescent="0.25">
      <c r="A1" s="92"/>
      <c r="B1" s="92"/>
      <c r="C1" s="92"/>
      <c r="D1" s="92"/>
      <c r="E1" s="92"/>
      <c r="F1" s="92"/>
      <c r="G1" s="92"/>
      <c r="H1" s="92"/>
      <c r="I1" s="92"/>
    </row>
    <row r="2" spans="1:9" ht="34" x14ac:dyDescent="0.25">
      <c r="A2" s="93" t="s">
        <v>81</v>
      </c>
      <c r="B2" s="93"/>
      <c r="C2" s="93"/>
      <c r="D2" s="93"/>
      <c r="E2" s="93"/>
      <c r="F2" s="93"/>
      <c r="G2" s="93"/>
      <c r="H2" s="93"/>
      <c r="I2" s="93"/>
    </row>
    <row r="3" spans="1:9" ht="84.75" customHeight="1" x14ac:dyDescent="0.5">
      <c r="A3" s="94" t="s">
        <v>0</v>
      </c>
      <c r="B3" s="94"/>
      <c r="C3" s="94"/>
      <c r="D3" s="94"/>
      <c r="E3" s="94"/>
      <c r="F3" s="94"/>
      <c r="G3" s="94"/>
      <c r="H3" s="94"/>
      <c r="I3" s="94"/>
    </row>
    <row r="4" spans="1:9" ht="14.25" customHeight="1" x14ac:dyDescent="0.25">
      <c r="A4" s="90" t="s">
        <v>82</v>
      </c>
      <c r="B4" s="90"/>
      <c r="C4" s="90"/>
      <c r="D4" s="90"/>
    </row>
    <row r="5" spans="1:9" x14ac:dyDescent="0.25">
      <c r="A5" s="39" t="s">
        <v>83</v>
      </c>
      <c r="B5" s="39"/>
      <c r="C5"/>
      <c r="D5"/>
    </row>
    <row r="7" spans="1:9" ht="13" x14ac:dyDescent="0.3">
      <c r="A7" s="2" t="s">
        <v>1</v>
      </c>
    </row>
    <row r="8" spans="1:9" ht="13" x14ac:dyDescent="0.3">
      <c r="A8" s="2"/>
    </row>
    <row r="9" spans="1:9" ht="119.25" customHeight="1" x14ac:dyDescent="0.25">
      <c r="A9" s="95" t="s">
        <v>2</v>
      </c>
      <c r="B9" s="96"/>
      <c r="C9" s="96"/>
      <c r="D9" s="96"/>
      <c r="E9" s="96"/>
      <c r="F9" s="96"/>
      <c r="G9" s="96"/>
      <c r="H9" s="96"/>
      <c r="I9" s="96"/>
    </row>
    <row r="10" spans="1:9" ht="68.25" customHeight="1" x14ac:dyDescent="0.25">
      <c r="A10" s="95" t="s">
        <v>3</v>
      </c>
      <c r="B10" s="96"/>
      <c r="C10" s="96"/>
      <c r="D10" s="96"/>
      <c r="E10" s="96"/>
      <c r="F10" s="96"/>
      <c r="G10" s="96"/>
      <c r="H10" s="96"/>
      <c r="I10" s="96"/>
    </row>
    <row r="11" spans="1:9" ht="54.75" customHeight="1" x14ac:dyDescent="0.25">
      <c r="A11" s="88" t="s">
        <v>4</v>
      </c>
      <c r="B11" s="89"/>
      <c r="C11" s="89"/>
      <c r="D11" s="89"/>
      <c r="E11" s="89"/>
      <c r="F11" s="89"/>
      <c r="G11" s="89"/>
      <c r="H11" s="89"/>
      <c r="I11" s="89"/>
    </row>
    <row r="12" spans="1:9" x14ac:dyDescent="0.25">
      <c r="A12" s="97" t="s">
        <v>5</v>
      </c>
      <c r="B12" s="97"/>
      <c r="C12" s="97"/>
      <c r="D12" s="97"/>
      <c r="E12" s="97"/>
      <c r="F12" s="97"/>
      <c r="G12" s="97"/>
      <c r="H12" s="97"/>
      <c r="I12" s="97"/>
    </row>
    <row r="13" spans="1:9" x14ac:dyDescent="0.25">
      <c r="A13" s="13"/>
      <c r="B13" s="14"/>
      <c r="C13" s="14"/>
      <c r="D13" s="14"/>
      <c r="E13" s="14"/>
      <c r="F13" s="14"/>
      <c r="G13" s="14"/>
      <c r="H13" s="14"/>
      <c r="I13" s="14"/>
    </row>
    <row r="14" spans="1:9" s="4" customFormat="1" x14ac:dyDescent="0.25">
      <c r="A14" s="3"/>
      <c r="B14" s="3"/>
      <c r="C14" s="3"/>
      <c r="D14" s="3"/>
      <c r="E14" s="3"/>
      <c r="F14" s="3"/>
      <c r="G14" s="3"/>
      <c r="H14" s="3"/>
      <c r="I14" s="3"/>
    </row>
    <row r="15" spans="1:9" ht="13" x14ac:dyDescent="0.3">
      <c r="A15" s="5" t="s">
        <v>6</v>
      </c>
      <c r="B15" s="15"/>
      <c r="C15" s="15"/>
      <c r="D15" s="15"/>
      <c r="E15" s="15"/>
      <c r="F15" s="15"/>
      <c r="G15" s="15"/>
      <c r="H15" s="15"/>
      <c r="I15" s="15"/>
    </row>
    <row r="16" spans="1:9" x14ac:dyDescent="0.25">
      <c r="A16" s="15" t="s">
        <v>76</v>
      </c>
      <c r="B16" s="15"/>
      <c r="C16" s="15"/>
      <c r="D16" s="15"/>
      <c r="E16" s="15"/>
      <c r="F16" s="15"/>
      <c r="G16" s="15"/>
      <c r="H16" s="15"/>
      <c r="I16" s="15"/>
    </row>
    <row r="17" spans="1:9" x14ac:dyDescent="0.25">
      <c r="A17" s="15" t="s">
        <v>70</v>
      </c>
      <c r="B17" s="15"/>
      <c r="C17" s="15"/>
      <c r="D17" s="15"/>
      <c r="E17" s="15"/>
      <c r="F17" s="15"/>
      <c r="G17" s="15"/>
      <c r="H17" s="15"/>
      <c r="I17" s="15"/>
    </row>
    <row r="18" spans="1:9" x14ac:dyDescent="0.25">
      <c r="A18" s="15" t="s">
        <v>7</v>
      </c>
      <c r="B18" s="15"/>
      <c r="C18" s="15"/>
      <c r="D18" s="15"/>
      <c r="E18" s="15"/>
      <c r="F18" s="15"/>
      <c r="G18" s="15"/>
      <c r="H18" s="15"/>
      <c r="I18" s="15"/>
    </row>
    <row r="19" spans="1:9" x14ac:dyDescent="0.25">
      <c r="A19" s="6" t="s">
        <v>8</v>
      </c>
      <c r="B19" s="15"/>
      <c r="C19" s="15"/>
      <c r="D19" s="15"/>
      <c r="E19" s="15"/>
      <c r="F19" s="15"/>
      <c r="G19" s="15"/>
      <c r="H19" s="15"/>
      <c r="I19" s="15"/>
    </row>
    <row r="20" spans="1:9" x14ac:dyDescent="0.25">
      <c r="A20" s="15" t="s">
        <v>9</v>
      </c>
      <c r="B20" s="15"/>
      <c r="C20" s="15"/>
      <c r="D20" s="15"/>
      <c r="E20" s="15"/>
      <c r="F20" s="15"/>
      <c r="G20" s="15"/>
      <c r="H20" s="15"/>
      <c r="I20" s="15"/>
    </row>
    <row r="21" spans="1:9" x14ac:dyDescent="0.25">
      <c r="A21" s="15"/>
      <c r="B21" s="15"/>
      <c r="C21" s="15"/>
      <c r="D21" s="15"/>
      <c r="E21" s="15"/>
      <c r="F21" s="15"/>
      <c r="G21" s="15"/>
      <c r="H21" s="15"/>
      <c r="I21" s="15"/>
    </row>
    <row r="22" spans="1:9" x14ac:dyDescent="0.25">
      <c r="A22" s="15" t="s">
        <v>10</v>
      </c>
      <c r="B22" s="15"/>
      <c r="C22" s="15"/>
      <c r="D22" s="15"/>
      <c r="E22" s="15"/>
      <c r="F22" s="15"/>
      <c r="G22" s="15"/>
      <c r="H22" s="15"/>
      <c r="I22" s="15"/>
    </row>
    <row r="23" spans="1:9" x14ac:dyDescent="0.25">
      <c r="A23" s="15" t="s">
        <v>11</v>
      </c>
      <c r="B23" s="15"/>
      <c r="C23" s="15"/>
      <c r="D23" s="15"/>
      <c r="E23" s="15"/>
      <c r="F23" s="15"/>
      <c r="G23" s="15"/>
      <c r="H23" s="15"/>
      <c r="I23" s="15"/>
    </row>
    <row r="24" spans="1:9" x14ac:dyDescent="0.25">
      <c r="A24" s="15" t="s">
        <v>84</v>
      </c>
      <c r="B24" s="15"/>
      <c r="C24" s="15"/>
      <c r="D24" s="15"/>
      <c r="E24" s="15"/>
      <c r="F24" s="15"/>
      <c r="G24" s="15"/>
      <c r="H24" s="15"/>
      <c r="I24" s="15"/>
    </row>
    <row r="25" spans="1:9" ht="47.25" customHeight="1" x14ac:dyDescent="0.25">
      <c r="A25" s="90"/>
      <c r="B25" s="90"/>
      <c r="C25" s="15"/>
      <c r="D25" s="15"/>
      <c r="E25" s="15"/>
      <c r="F25" s="15"/>
      <c r="G25" s="15"/>
      <c r="H25" s="15"/>
      <c r="I25" s="15"/>
    </row>
    <row r="26" spans="1:9" ht="87.75" customHeight="1" x14ac:dyDescent="0.25">
      <c r="A26" s="91" t="s">
        <v>12</v>
      </c>
      <c r="B26" s="91"/>
      <c r="C26" s="91"/>
      <c r="D26" s="91"/>
      <c r="E26" s="91"/>
      <c r="F26" s="91"/>
      <c r="G26" s="91"/>
      <c r="H26" s="91"/>
      <c r="I26" s="91"/>
    </row>
  </sheetData>
  <mergeCells count="10">
    <mergeCell ref="A11:I11"/>
    <mergeCell ref="A25:B25"/>
    <mergeCell ref="A26:I26"/>
    <mergeCell ref="A1:I1"/>
    <mergeCell ref="A2:I2"/>
    <mergeCell ref="A3:I3"/>
    <mergeCell ref="A4:D4"/>
    <mergeCell ref="A9:I9"/>
    <mergeCell ref="A10:I10"/>
    <mergeCell ref="A12:I12"/>
  </mergeCells>
  <hyperlinks>
    <hyperlink ref="A19" r:id="rId1" xr:uid="{00000000-0004-0000-0000-000000000000}"/>
    <hyperlink ref="A12:I12" r:id="rId2" display="UK A&amp;E waiting times" xr:uid="{00000000-0004-0000-0000-000001000000}"/>
    <hyperlink ref="A5" r:id="rId3" display="https://digital.nhs.uk/data-and-information/publications/statistical/hospital-accident--emergency-activity/2024-25" xr:uid="{E95C8A7E-227E-494D-9557-D43F77A64F19}"/>
  </hyperlinks>
  <pageMargins left="0.78740157480314965" right="0.78740157480314965" top="0.78740157480314965" bottom="0.78740157480314965" header="0.78740157480314965" footer="0.78740157480314965"/>
  <pageSetup paperSize="9" scale="67" fitToHeight="0" orientation="portrait" r:id="rId4"/>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4"/>
  <sheetViews>
    <sheetView showGridLines="0" zoomScale="115" zoomScaleNormal="115" workbookViewId="0">
      <selection sqref="A1:K1"/>
    </sheetView>
  </sheetViews>
  <sheetFormatPr defaultRowHeight="12.5" x14ac:dyDescent="0.25"/>
  <cols>
    <col min="1" max="1" width="45.90625" customWidth="1"/>
    <col min="2" max="8" width="11.54296875" customWidth="1"/>
    <col min="9" max="9" width="14.1796875" customWidth="1"/>
    <col min="10" max="12" width="11.54296875" customWidth="1"/>
    <col min="14" max="15" width="9.81640625" bestFit="1" customWidth="1"/>
    <col min="19" max="19" width="9" bestFit="1" customWidth="1"/>
  </cols>
  <sheetData>
    <row r="1" spans="1:14" ht="49.5" customHeight="1" x14ac:dyDescent="0.25">
      <c r="A1" s="113" t="s">
        <v>80</v>
      </c>
      <c r="B1" s="113"/>
      <c r="C1" s="113"/>
      <c r="D1" s="113"/>
      <c r="E1" s="113"/>
      <c r="F1" s="113"/>
      <c r="G1" s="113"/>
      <c r="H1" s="113"/>
      <c r="I1" s="113"/>
      <c r="J1" s="113"/>
      <c r="K1" s="113"/>
      <c r="L1" s="81"/>
      <c r="M1" s="81"/>
      <c r="N1" s="81"/>
    </row>
    <row r="2" spans="1:14" x14ac:dyDescent="0.25">
      <c r="A2" s="112" t="s">
        <v>13</v>
      </c>
      <c r="B2" s="112"/>
      <c r="C2" s="112"/>
      <c r="D2" s="112"/>
      <c r="E2" s="112"/>
    </row>
    <row r="3" spans="1:14" ht="13" thickBot="1" x14ac:dyDescent="0.3"/>
    <row r="4" spans="1:14" ht="13.5" thickBot="1" x14ac:dyDescent="0.35">
      <c r="B4" s="118" t="s">
        <v>14</v>
      </c>
      <c r="C4" s="119"/>
      <c r="D4" s="119"/>
      <c r="E4" s="120"/>
      <c r="F4" s="108" t="s">
        <v>15</v>
      </c>
      <c r="G4" s="109"/>
      <c r="H4" s="108" t="s">
        <v>16</v>
      </c>
      <c r="I4" s="109"/>
      <c r="J4" s="108" t="s">
        <v>17</v>
      </c>
      <c r="K4" s="109"/>
    </row>
    <row r="5" spans="1:14" ht="14.5" thickBot="1" x14ac:dyDescent="0.35">
      <c r="A5" s="7"/>
      <c r="B5" s="116" t="s">
        <v>18</v>
      </c>
      <c r="C5" s="117"/>
      <c r="D5" s="116" t="s">
        <v>19</v>
      </c>
      <c r="E5" s="117"/>
      <c r="F5" s="110"/>
      <c r="G5" s="111"/>
      <c r="H5" s="110"/>
      <c r="I5" s="111"/>
      <c r="J5" s="110"/>
      <c r="K5" s="111"/>
    </row>
    <row r="6" spans="1:14" x14ac:dyDescent="0.25">
      <c r="A6" s="9" t="s">
        <v>20</v>
      </c>
      <c r="B6" s="44">
        <v>16763266</v>
      </c>
      <c r="C6" s="41"/>
      <c r="D6" s="44">
        <v>17026295</v>
      </c>
      <c r="E6" s="41"/>
      <c r="F6" s="47">
        <v>1393324</v>
      </c>
      <c r="G6" s="48"/>
      <c r="H6" s="44">
        <v>788030</v>
      </c>
      <c r="I6" s="57"/>
      <c r="J6" s="47">
        <v>626198</v>
      </c>
      <c r="K6" s="57"/>
    </row>
    <row r="7" spans="1:14" ht="14" x14ac:dyDescent="0.3">
      <c r="A7" s="10" t="s">
        <v>21</v>
      </c>
      <c r="B7" s="82">
        <v>9939590</v>
      </c>
      <c r="C7" s="83">
        <f>B7/B6</f>
        <v>0.59293875071838631</v>
      </c>
      <c r="D7" s="45">
        <v>10053869</v>
      </c>
      <c r="E7" s="83">
        <f>D7/D6</f>
        <v>0.59049070863625941</v>
      </c>
      <c r="F7" s="49">
        <v>903120</v>
      </c>
      <c r="G7" s="50">
        <v>0.64800000000000002</v>
      </c>
      <c r="H7" s="45">
        <v>446870</v>
      </c>
      <c r="I7" s="58">
        <v>0.56707231958174176</v>
      </c>
      <c r="J7" s="49">
        <v>222847</v>
      </c>
      <c r="K7" s="58">
        <v>0.35599999999999998</v>
      </c>
    </row>
    <row r="8" spans="1:14" ht="14" x14ac:dyDescent="0.3">
      <c r="A8" s="10" t="s">
        <v>22</v>
      </c>
      <c r="B8" s="82">
        <v>6823676</v>
      </c>
      <c r="C8" s="83">
        <f>B8/B6</f>
        <v>0.40706124928161375</v>
      </c>
      <c r="D8" s="46">
        <v>6972426</v>
      </c>
      <c r="E8" s="84">
        <f>D8/D6</f>
        <v>0.40950929136374059</v>
      </c>
      <c r="F8" s="51">
        <v>490204</v>
      </c>
      <c r="G8" s="52">
        <v>0.35199999999999998</v>
      </c>
      <c r="H8" s="46">
        <v>341160</v>
      </c>
      <c r="I8" s="59">
        <v>0.43292768041825819</v>
      </c>
      <c r="J8" s="51"/>
      <c r="K8" s="52"/>
    </row>
    <row r="9" spans="1:14" ht="13" thickBot="1" x14ac:dyDescent="0.3">
      <c r="A9" s="11" t="s">
        <v>23</v>
      </c>
      <c r="B9" s="46"/>
      <c r="C9" s="59"/>
      <c r="D9" s="46">
        <v>1809915</v>
      </c>
      <c r="E9" s="84">
        <f>D9/D6</f>
        <v>0.10630116534454501</v>
      </c>
      <c r="F9" s="51">
        <v>77491</v>
      </c>
      <c r="G9" s="52">
        <v>5.6000000000000001E-2</v>
      </c>
      <c r="H9" s="46">
        <v>119183</v>
      </c>
      <c r="I9" s="59">
        <v>0.15124170399604075</v>
      </c>
      <c r="J9" s="64">
        <v>132181</v>
      </c>
      <c r="K9" s="59">
        <v>0.21099999999999999</v>
      </c>
    </row>
    <row r="10" spans="1:14" x14ac:dyDescent="0.25">
      <c r="A10" s="12" t="s">
        <v>66</v>
      </c>
      <c r="B10" s="85">
        <v>58397200</v>
      </c>
      <c r="C10" s="42"/>
      <c r="D10" s="86">
        <v>58620101</v>
      </c>
      <c r="E10" s="42"/>
      <c r="F10" s="53">
        <v>5546900</v>
      </c>
      <c r="G10" s="54"/>
      <c r="H10" s="60">
        <v>3164404</v>
      </c>
      <c r="I10" s="61"/>
      <c r="J10" s="65">
        <v>1920382</v>
      </c>
      <c r="K10" s="66"/>
    </row>
    <row r="11" spans="1:14" ht="13" thickBot="1" x14ac:dyDescent="0.3">
      <c r="A11" s="8" t="s">
        <v>24</v>
      </c>
      <c r="B11" s="87">
        <f>ROUND(B6*100000/B10,0)</f>
        <v>28706</v>
      </c>
      <c r="C11" s="43"/>
      <c r="D11" s="87">
        <f>ROUND(D6*100000/D10,0)</f>
        <v>29045</v>
      </c>
      <c r="E11" s="43"/>
      <c r="F11" s="55">
        <v>25119</v>
      </c>
      <c r="G11" s="56"/>
      <c r="H11" s="62">
        <v>24902.951709073808</v>
      </c>
      <c r="I11" s="63"/>
      <c r="J11" s="62">
        <v>32607.991535017511</v>
      </c>
      <c r="K11" s="67"/>
    </row>
    <row r="12" spans="1:14" ht="13" x14ac:dyDescent="0.3">
      <c r="F12" s="16"/>
      <c r="K12" s="40"/>
    </row>
    <row r="13" spans="1:14" ht="12.75" customHeight="1" x14ac:dyDescent="0.25">
      <c r="A13" s="101" t="s">
        <v>25</v>
      </c>
      <c r="B13" s="101"/>
      <c r="C13" s="101"/>
      <c r="D13" s="101"/>
      <c r="E13" s="101"/>
      <c r="F13" s="101"/>
      <c r="G13" s="101"/>
      <c r="H13" s="101"/>
      <c r="I13" s="101"/>
    </row>
    <row r="15" spans="1:14" ht="18" x14ac:dyDescent="0.4">
      <c r="A15" s="22" t="s">
        <v>65</v>
      </c>
      <c r="E15" s="4"/>
    </row>
    <row r="16" spans="1:14" ht="18.5" thickBot="1" x14ac:dyDescent="0.45">
      <c r="A16" s="22"/>
    </row>
    <row r="17" spans="1:19" ht="13.5" thickBot="1" x14ac:dyDescent="0.35">
      <c r="A17" s="36" t="s">
        <v>14</v>
      </c>
      <c r="B17" s="37"/>
      <c r="C17" s="37"/>
      <c r="D17" s="37"/>
      <c r="E17" s="37"/>
      <c r="F17" s="37"/>
      <c r="G17" s="37"/>
      <c r="H17" s="37"/>
      <c r="I17" s="37"/>
      <c r="J17" s="37"/>
      <c r="K17" s="38"/>
    </row>
    <row r="18" spans="1:19" x14ac:dyDescent="0.25">
      <c r="A18" s="23" t="s">
        <v>69</v>
      </c>
      <c r="B18" s="70"/>
      <c r="C18" s="70"/>
      <c r="D18" s="70"/>
      <c r="E18" s="70"/>
      <c r="F18" s="70"/>
      <c r="G18" s="70"/>
      <c r="H18" s="70"/>
      <c r="K18" s="24"/>
    </row>
    <row r="19" spans="1:19" ht="13.25" customHeight="1" x14ac:dyDescent="0.25">
      <c r="A19" s="77" t="s">
        <v>26</v>
      </c>
      <c r="B19" s="76"/>
      <c r="C19" s="76"/>
      <c r="D19" s="76"/>
      <c r="E19" s="76"/>
      <c r="F19" s="76"/>
      <c r="G19" s="76"/>
      <c r="H19" s="76"/>
      <c r="I19" s="76"/>
      <c r="K19" s="24"/>
    </row>
    <row r="20" spans="1:19" x14ac:dyDescent="0.25">
      <c r="A20" s="69"/>
      <c r="B20" s="71"/>
      <c r="C20" s="71"/>
      <c r="D20" s="71"/>
      <c r="E20" s="71"/>
      <c r="F20" s="71"/>
      <c r="G20" s="71"/>
      <c r="H20" s="71"/>
      <c r="I20" s="71"/>
      <c r="K20" s="24"/>
    </row>
    <row r="21" spans="1:19" x14ac:dyDescent="0.25">
      <c r="A21" s="25" t="s">
        <v>67</v>
      </c>
      <c r="K21" s="24"/>
    </row>
    <row r="22" spans="1:19" x14ac:dyDescent="0.25">
      <c r="A22" s="72" t="s">
        <v>68</v>
      </c>
      <c r="K22" s="24"/>
    </row>
    <row r="23" spans="1:19" x14ac:dyDescent="0.25">
      <c r="A23" s="72"/>
      <c r="K23" s="24"/>
    </row>
    <row r="24" spans="1:19" ht="13.5" x14ac:dyDescent="0.3">
      <c r="A24" s="26" t="s">
        <v>27</v>
      </c>
      <c r="K24" s="24"/>
      <c r="M24" s="18"/>
      <c r="N24" s="19"/>
      <c r="S24" s="20"/>
    </row>
    <row r="25" spans="1:19" ht="13.5" x14ac:dyDescent="0.3">
      <c r="A25" s="27" t="s">
        <v>28</v>
      </c>
      <c r="B25" s="73"/>
      <c r="C25" s="73"/>
      <c r="D25" s="73"/>
      <c r="E25" s="73"/>
      <c r="F25" s="73"/>
      <c r="G25" s="73"/>
      <c r="H25" s="73"/>
      <c r="I25" s="73"/>
      <c r="K25" s="24"/>
      <c r="M25" s="18"/>
    </row>
    <row r="26" spans="1:19" ht="13.5" x14ac:dyDescent="0.3">
      <c r="A26" s="28" t="s">
        <v>29</v>
      </c>
      <c r="B26" s="74"/>
      <c r="C26" s="74"/>
      <c r="D26" s="74"/>
      <c r="E26" s="74"/>
      <c r="F26" s="74"/>
      <c r="G26" s="74"/>
      <c r="H26" s="74"/>
      <c r="K26" s="24"/>
      <c r="M26" s="18"/>
      <c r="N26" s="21"/>
      <c r="O26" s="17"/>
    </row>
    <row r="27" spans="1:19" ht="13.5" x14ac:dyDescent="0.3">
      <c r="A27" s="29" t="s">
        <v>97</v>
      </c>
      <c r="B27" s="75"/>
      <c r="C27" s="75"/>
      <c r="D27" s="75"/>
      <c r="E27" s="75"/>
      <c r="F27" s="75"/>
      <c r="G27" s="75"/>
      <c r="H27" s="75"/>
      <c r="I27" s="32"/>
      <c r="K27" s="24"/>
      <c r="M27" s="18"/>
      <c r="N27" s="21"/>
    </row>
    <row r="28" spans="1:19" x14ac:dyDescent="0.25">
      <c r="A28" s="30"/>
      <c r="B28" s="75"/>
      <c r="C28" s="75"/>
      <c r="D28" s="75"/>
      <c r="E28" s="75"/>
      <c r="F28" s="75"/>
      <c r="G28" s="75"/>
      <c r="H28" s="75"/>
      <c r="I28" s="32"/>
      <c r="K28" s="24"/>
      <c r="N28" s="21"/>
    </row>
    <row r="29" spans="1:19" x14ac:dyDescent="0.25">
      <c r="A29" s="31" t="s">
        <v>30</v>
      </c>
      <c r="B29" s="75"/>
      <c r="C29" s="75"/>
      <c r="D29" s="75"/>
      <c r="E29" s="75"/>
      <c r="F29" s="75"/>
      <c r="G29" s="75"/>
      <c r="H29" s="75"/>
      <c r="I29" s="32"/>
      <c r="K29" s="24"/>
    </row>
    <row r="30" spans="1:19" ht="13.25" customHeight="1" x14ac:dyDescent="0.25">
      <c r="A30" s="78" t="s">
        <v>31</v>
      </c>
      <c r="B30" s="79"/>
      <c r="C30" s="79"/>
      <c r="D30" s="79"/>
      <c r="E30" s="79"/>
      <c r="F30" s="79"/>
      <c r="G30" s="79"/>
      <c r="H30" s="79"/>
      <c r="I30" s="79"/>
      <c r="K30" s="24"/>
    </row>
    <row r="31" spans="1:19" x14ac:dyDescent="0.25">
      <c r="A31" s="30"/>
      <c r="B31" s="32"/>
      <c r="C31" s="32"/>
      <c r="D31" s="32"/>
      <c r="E31" s="32"/>
      <c r="F31" s="32"/>
      <c r="G31" s="32"/>
      <c r="H31" s="32"/>
      <c r="I31" s="32"/>
      <c r="K31" s="24"/>
    </row>
    <row r="32" spans="1:19" x14ac:dyDescent="0.25">
      <c r="A32" s="30" t="s">
        <v>32</v>
      </c>
      <c r="B32" s="32"/>
      <c r="C32" s="32"/>
      <c r="D32" s="32"/>
      <c r="E32" s="32"/>
      <c r="F32" s="32"/>
      <c r="G32" s="32"/>
      <c r="H32" s="32"/>
      <c r="I32" s="32"/>
      <c r="K32" s="24"/>
    </row>
    <row r="33" spans="1:11" ht="25.75" customHeight="1" x14ac:dyDescent="0.25">
      <c r="A33" s="102" t="s">
        <v>74</v>
      </c>
      <c r="B33" s="103"/>
      <c r="C33" s="103"/>
      <c r="D33" s="103"/>
      <c r="E33" s="103"/>
      <c r="F33" s="103"/>
      <c r="G33" s="103"/>
      <c r="H33" s="103"/>
      <c r="I33" s="103"/>
      <c r="J33" s="103"/>
      <c r="K33" s="104"/>
    </row>
    <row r="34" spans="1:11" x14ac:dyDescent="0.25">
      <c r="A34" s="33" t="s">
        <v>33</v>
      </c>
      <c r="K34" s="24"/>
    </row>
    <row r="35" spans="1:11" x14ac:dyDescent="0.25">
      <c r="A35" s="30"/>
      <c r="B35" s="32"/>
      <c r="C35" s="32"/>
      <c r="D35" s="32"/>
      <c r="E35" s="32"/>
      <c r="F35" s="32"/>
      <c r="G35" s="32"/>
      <c r="H35" s="32"/>
      <c r="I35" s="32"/>
      <c r="K35" s="24"/>
    </row>
    <row r="36" spans="1:11" ht="28.5" customHeight="1" x14ac:dyDescent="0.25">
      <c r="A36" s="102" t="s">
        <v>34</v>
      </c>
      <c r="B36" s="103"/>
      <c r="C36" s="103"/>
      <c r="D36" s="103"/>
      <c r="E36" s="103"/>
      <c r="F36" s="103"/>
      <c r="G36" s="103"/>
      <c r="H36" s="103"/>
      <c r="I36" s="103"/>
      <c r="J36" s="103"/>
      <c r="K36" s="104"/>
    </row>
    <row r="37" spans="1:11" x14ac:dyDescent="0.25">
      <c r="A37" s="30"/>
      <c r="B37" s="32"/>
      <c r="C37" s="32"/>
      <c r="D37" s="32"/>
      <c r="E37" s="32"/>
      <c r="F37" s="32"/>
      <c r="G37" s="32"/>
      <c r="H37" s="32"/>
      <c r="I37" s="32"/>
      <c r="K37" s="24"/>
    </row>
    <row r="38" spans="1:11" x14ac:dyDescent="0.25">
      <c r="A38" s="30" t="s">
        <v>35</v>
      </c>
      <c r="B38" s="32"/>
      <c r="C38" s="32"/>
      <c r="D38" s="32"/>
      <c r="E38" s="32"/>
      <c r="F38" s="32"/>
      <c r="G38" s="32"/>
      <c r="H38" s="32"/>
      <c r="I38" s="32"/>
      <c r="K38" s="24"/>
    </row>
    <row r="39" spans="1:11" x14ac:dyDescent="0.25">
      <c r="A39" s="25" t="s">
        <v>36</v>
      </c>
      <c r="K39" s="24"/>
    </row>
    <row r="40" spans="1:11" x14ac:dyDescent="0.25">
      <c r="A40" s="25" t="s">
        <v>37</v>
      </c>
      <c r="K40" s="24"/>
    </row>
    <row r="41" spans="1:11" x14ac:dyDescent="0.25">
      <c r="A41" s="25"/>
      <c r="K41" s="24"/>
    </row>
    <row r="42" spans="1:11" x14ac:dyDescent="0.25">
      <c r="A42" s="25"/>
      <c r="K42" s="24"/>
    </row>
    <row r="43" spans="1:11" x14ac:dyDescent="0.25">
      <c r="A43" s="25"/>
      <c r="K43" s="24"/>
    </row>
    <row r="44" spans="1:11" x14ac:dyDescent="0.25">
      <c r="A44" s="25"/>
      <c r="K44" s="24"/>
    </row>
    <row r="45" spans="1:11" x14ac:dyDescent="0.25">
      <c r="A45" s="25"/>
      <c r="K45" s="24"/>
    </row>
    <row r="46" spans="1:11" x14ac:dyDescent="0.25">
      <c r="A46" s="25" t="s">
        <v>38</v>
      </c>
      <c r="K46" s="24"/>
    </row>
    <row r="47" spans="1:11" x14ac:dyDescent="0.25">
      <c r="A47" s="25" t="s">
        <v>39</v>
      </c>
      <c r="K47" s="24"/>
    </row>
    <row r="48" spans="1:11" x14ac:dyDescent="0.25">
      <c r="A48" s="114" t="s">
        <v>40</v>
      </c>
      <c r="B48" s="115"/>
      <c r="C48" s="115"/>
      <c r="D48" s="115"/>
      <c r="E48" s="115"/>
      <c r="F48" s="115"/>
      <c r="G48" s="115"/>
      <c r="H48" s="115"/>
      <c r="I48" s="115"/>
      <c r="K48" s="24"/>
    </row>
    <row r="49" spans="1:11" x14ac:dyDescent="0.25">
      <c r="A49" s="25"/>
      <c r="K49" s="24"/>
    </row>
    <row r="50" spans="1:11" x14ac:dyDescent="0.25">
      <c r="A50" s="25"/>
      <c r="K50" s="24"/>
    </row>
    <row r="51" spans="1:11" x14ac:dyDescent="0.25">
      <c r="A51" s="25"/>
      <c r="K51" s="24"/>
    </row>
    <row r="52" spans="1:11" ht="13" thickBot="1" x14ac:dyDescent="0.3">
      <c r="A52" s="34"/>
      <c r="B52" s="35"/>
      <c r="C52" s="35"/>
      <c r="D52" s="35"/>
      <c r="E52" s="35"/>
      <c r="F52" s="35"/>
      <c r="G52" s="35"/>
      <c r="H52" s="35"/>
      <c r="K52" s="24"/>
    </row>
    <row r="53" spans="1:11" ht="13" thickBot="1" x14ac:dyDescent="0.3">
      <c r="I53" s="37"/>
      <c r="J53" s="37"/>
      <c r="K53" s="37"/>
    </row>
    <row r="54" spans="1:11" ht="13.5" thickBot="1" x14ac:dyDescent="0.35">
      <c r="A54" s="135" t="s">
        <v>15</v>
      </c>
      <c r="B54" s="136"/>
      <c r="C54" s="136"/>
      <c r="D54" s="136"/>
      <c r="E54" s="136"/>
      <c r="F54" s="136"/>
      <c r="G54" s="136"/>
      <c r="H54" s="136"/>
      <c r="I54" s="136"/>
      <c r="J54" s="136"/>
      <c r="K54" s="137"/>
    </row>
    <row r="55" spans="1:11" x14ac:dyDescent="0.25">
      <c r="A55" s="146" t="s">
        <v>41</v>
      </c>
      <c r="B55" s="136"/>
      <c r="C55" s="136"/>
      <c r="D55" s="136"/>
      <c r="E55" s="136"/>
      <c r="F55" s="136"/>
      <c r="G55" s="136"/>
      <c r="H55" s="136"/>
      <c r="I55" s="136"/>
      <c r="J55" s="136"/>
      <c r="K55" s="137"/>
    </row>
    <row r="56" spans="1:11" x14ac:dyDescent="0.25">
      <c r="A56" s="25"/>
      <c r="B56" s="138"/>
      <c r="C56" s="138"/>
      <c r="D56" s="138"/>
      <c r="E56" s="138"/>
      <c r="F56" s="138"/>
      <c r="G56" s="138"/>
      <c r="H56" s="138"/>
      <c r="I56" s="138"/>
      <c r="J56" s="138"/>
      <c r="K56" s="24"/>
    </row>
    <row r="57" spans="1:11" x14ac:dyDescent="0.25">
      <c r="A57" s="25" t="s">
        <v>42</v>
      </c>
      <c r="B57" s="138"/>
      <c r="C57" s="138"/>
      <c r="D57" s="138"/>
      <c r="E57" s="138"/>
      <c r="F57" s="138"/>
      <c r="G57" s="138"/>
      <c r="H57" s="138"/>
      <c r="I57" s="138"/>
      <c r="J57" s="138"/>
      <c r="K57" s="24"/>
    </row>
    <row r="58" spans="1:11" ht="13" x14ac:dyDescent="0.3">
      <c r="A58" s="80" t="s">
        <v>77</v>
      </c>
      <c r="B58" s="139">
        <v>45861</v>
      </c>
      <c r="C58" s="138"/>
      <c r="D58" s="138"/>
      <c r="E58" s="138"/>
      <c r="F58" s="138"/>
      <c r="G58" s="138"/>
      <c r="H58" s="138"/>
      <c r="I58" s="138"/>
      <c r="J58" s="138"/>
      <c r="K58" s="24"/>
    </row>
    <row r="59" spans="1:11" x14ac:dyDescent="0.25">
      <c r="A59" s="25"/>
      <c r="B59" s="138"/>
      <c r="C59" s="138"/>
      <c r="D59" s="138"/>
      <c r="E59" s="138"/>
      <c r="F59" s="138"/>
      <c r="G59" s="138"/>
      <c r="H59" s="138"/>
      <c r="I59" s="138"/>
      <c r="J59" s="138"/>
      <c r="K59" s="24"/>
    </row>
    <row r="60" spans="1:11" x14ac:dyDescent="0.25">
      <c r="A60" s="122" t="s">
        <v>43</v>
      </c>
      <c r="B60" s="140"/>
      <c r="C60" s="140"/>
      <c r="D60" s="140"/>
      <c r="E60" s="140"/>
      <c r="F60" s="140"/>
      <c r="G60" s="140"/>
      <c r="H60" s="140"/>
      <c r="I60" s="140"/>
      <c r="J60" s="141"/>
      <c r="K60" s="124"/>
    </row>
    <row r="61" spans="1:11" ht="26.4" customHeight="1" x14ac:dyDescent="0.25">
      <c r="A61" s="125" t="s">
        <v>85</v>
      </c>
      <c r="B61" s="142"/>
      <c r="C61" s="142"/>
      <c r="D61" s="142"/>
      <c r="E61" s="142"/>
      <c r="F61" s="142"/>
      <c r="G61" s="142"/>
      <c r="H61" s="142"/>
      <c r="I61" s="142"/>
      <c r="J61" s="142"/>
      <c r="K61" s="127"/>
    </row>
    <row r="62" spans="1:11" ht="26.4" customHeight="1" x14ac:dyDescent="0.25">
      <c r="A62" s="125" t="s">
        <v>86</v>
      </c>
      <c r="B62" s="142"/>
      <c r="C62" s="142"/>
      <c r="D62" s="142"/>
      <c r="E62" s="142"/>
      <c r="F62" s="142"/>
      <c r="G62" s="142"/>
      <c r="H62" s="142"/>
      <c r="I62" s="142"/>
      <c r="J62" s="142"/>
      <c r="K62" s="127"/>
    </row>
    <row r="63" spans="1:11" ht="26.4" customHeight="1" x14ac:dyDescent="0.25">
      <c r="A63" s="125" t="s">
        <v>87</v>
      </c>
      <c r="B63" s="142"/>
      <c r="C63" s="142"/>
      <c r="D63" s="142"/>
      <c r="E63" s="142"/>
      <c r="F63" s="142"/>
      <c r="G63" s="142"/>
      <c r="H63" s="142"/>
      <c r="I63" s="142"/>
      <c r="J63" s="142"/>
      <c r="K63" s="127"/>
    </row>
    <row r="64" spans="1:11" ht="12.5" customHeight="1" x14ac:dyDescent="0.25">
      <c r="A64" s="147" t="s">
        <v>88</v>
      </c>
      <c r="B64" s="143"/>
      <c r="C64" s="143"/>
      <c r="D64" s="143"/>
      <c r="E64" s="143"/>
      <c r="F64" s="143"/>
      <c r="G64" s="128"/>
      <c r="H64" s="128"/>
      <c r="I64" s="128"/>
      <c r="J64" s="128"/>
      <c r="K64" s="129"/>
    </row>
    <row r="65" spans="1:11" ht="69.5" customHeight="1" x14ac:dyDescent="0.25">
      <c r="A65" s="125" t="s">
        <v>89</v>
      </c>
      <c r="B65" s="142"/>
      <c r="C65" s="142"/>
      <c r="D65" s="142"/>
      <c r="E65" s="142"/>
      <c r="F65" s="142"/>
      <c r="G65" s="142"/>
      <c r="H65" s="142"/>
      <c r="I65" s="142"/>
      <c r="J65" s="142"/>
      <c r="K65" s="127"/>
    </row>
    <row r="66" spans="1:11" ht="13" customHeight="1" x14ac:dyDescent="0.25">
      <c r="A66" s="148" t="s">
        <v>90</v>
      </c>
      <c r="B66" s="145"/>
      <c r="C66" s="145"/>
      <c r="D66" s="145"/>
      <c r="E66" s="145"/>
      <c r="F66" s="145"/>
      <c r="G66" s="145"/>
      <c r="H66" s="145"/>
      <c r="I66" s="145"/>
      <c r="J66" s="145"/>
      <c r="K66" s="131"/>
    </row>
    <row r="67" spans="1:11" x14ac:dyDescent="0.25">
      <c r="A67" s="125" t="s">
        <v>91</v>
      </c>
      <c r="B67" s="142"/>
      <c r="C67" s="142"/>
      <c r="D67" s="142"/>
      <c r="E67" s="142"/>
      <c r="F67" s="142"/>
      <c r="G67" s="142"/>
      <c r="H67" s="142"/>
      <c r="I67" s="142"/>
      <c r="J67" s="142"/>
      <c r="K67" s="127"/>
    </row>
    <row r="68" spans="1:11" x14ac:dyDescent="0.25">
      <c r="A68" s="148" t="s">
        <v>90</v>
      </c>
      <c r="B68" s="145"/>
      <c r="C68" s="145"/>
      <c r="D68" s="145"/>
      <c r="E68" s="145"/>
      <c r="F68" s="145"/>
      <c r="G68" s="145"/>
      <c r="H68" s="145"/>
      <c r="I68" s="145"/>
      <c r="J68" s="145"/>
      <c r="K68" s="131"/>
    </row>
    <row r="69" spans="1:11" x14ac:dyDescent="0.25">
      <c r="A69" s="125" t="s">
        <v>91</v>
      </c>
      <c r="B69" s="142"/>
      <c r="C69" s="142"/>
      <c r="D69" s="142"/>
      <c r="E69" s="142"/>
      <c r="F69" s="142"/>
      <c r="G69" s="142"/>
      <c r="H69" s="142"/>
      <c r="I69" s="142"/>
      <c r="J69" s="142"/>
      <c r="K69" s="127"/>
    </row>
    <row r="70" spans="1:11" x14ac:dyDescent="0.25">
      <c r="A70" s="148" t="s">
        <v>92</v>
      </c>
      <c r="B70" s="145"/>
      <c r="C70" s="145"/>
      <c r="D70" s="145"/>
      <c r="E70" s="145"/>
      <c r="F70" s="145"/>
      <c r="G70" s="145"/>
      <c r="H70" s="145"/>
      <c r="I70" s="145"/>
      <c r="J70" s="145"/>
      <c r="K70" s="131"/>
    </row>
    <row r="71" spans="1:11" ht="13" thickBot="1" x14ac:dyDescent="0.3">
      <c r="A71" s="132" t="s">
        <v>44</v>
      </c>
      <c r="B71" s="133"/>
      <c r="C71" s="133"/>
      <c r="D71" s="133"/>
      <c r="E71" s="133"/>
      <c r="F71" s="133"/>
      <c r="G71" s="133"/>
      <c r="H71" s="133"/>
      <c r="I71" s="133"/>
      <c r="J71" s="133"/>
      <c r="K71" s="134"/>
    </row>
    <row r="72" spans="1:11" ht="13" thickBot="1" x14ac:dyDescent="0.3">
      <c r="A72" s="145"/>
      <c r="B72" s="145"/>
      <c r="C72" s="145"/>
      <c r="D72" s="145"/>
      <c r="E72" s="145"/>
      <c r="F72" s="145"/>
      <c r="G72" s="145"/>
      <c r="H72" s="145"/>
      <c r="I72" s="145"/>
      <c r="J72" s="145"/>
      <c r="K72" s="145"/>
    </row>
    <row r="73" spans="1:11" ht="13.5" thickBot="1" x14ac:dyDescent="0.35">
      <c r="A73" s="36" t="s">
        <v>16</v>
      </c>
      <c r="B73" s="37"/>
      <c r="C73" s="37"/>
      <c r="D73" s="37"/>
      <c r="E73" s="37"/>
      <c r="F73" s="37"/>
      <c r="G73" s="37"/>
      <c r="H73" s="37"/>
      <c r="I73" s="37"/>
      <c r="J73" s="37"/>
      <c r="K73" s="38"/>
    </row>
    <row r="74" spans="1:11" x14ac:dyDescent="0.25">
      <c r="A74" s="25" t="s">
        <v>78</v>
      </c>
      <c r="K74" s="24"/>
    </row>
    <row r="75" spans="1:11" x14ac:dyDescent="0.25">
      <c r="A75" s="148" t="s">
        <v>64</v>
      </c>
      <c r="K75" s="24"/>
    </row>
    <row r="76" spans="1:11" x14ac:dyDescent="0.25">
      <c r="A76" s="25"/>
      <c r="K76" s="24"/>
    </row>
    <row r="77" spans="1:11" x14ac:dyDescent="0.25">
      <c r="A77" s="25" t="s">
        <v>75</v>
      </c>
      <c r="K77" s="24"/>
    </row>
    <row r="78" spans="1:11" x14ac:dyDescent="0.25">
      <c r="A78" s="25" t="s">
        <v>93</v>
      </c>
      <c r="K78" s="24"/>
    </row>
    <row r="79" spans="1:11" ht="26.4" customHeight="1" x14ac:dyDescent="0.25">
      <c r="A79" s="105" t="s">
        <v>45</v>
      </c>
      <c r="B79" s="88"/>
      <c r="C79" s="88"/>
      <c r="D79" s="88"/>
      <c r="E79" s="88"/>
      <c r="F79" s="88"/>
      <c r="G79" s="88"/>
      <c r="H79" s="88"/>
      <c r="I79" s="88"/>
      <c r="J79" s="88"/>
      <c r="K79" s="121"/>
    </row>
    <row r="80" spans="1:11" x14ac:dyDescent="0.25">
      <c r="A80" s="30"/>
      <c r="B80" s="32"/>
      <c r="C80" s="32"/>
      <c r="D80" s="32"/>
      <c r="E80" s="32"/>
      <c r="F80" s="32"/>
      <c r="G80" s="32"/>
      <c r="H80" s="32"/>
      <c r="I80" s="32"/>
      <c r="K80" s="24"/>
    </row>
    <row r="81" spans="1:11" ht="26.4" customHeight="1" x14ac:dyDescent="0.25">
      <c r="A81" s="102" t="s">
        <v>46</v>
      </c>
      <c r="B81" s="103"/>
      <c r="C81" s="103"/>
      <c r="D81" s="103"/>
      <c r="E81" s="103"/>
      <c r="F81" s="103"/>
      <c r="G81" s="103"/>
      <c r="H81" s="103"/>
      <c r="I81" s="103"/>
      <c r="J81" s="103"/>
      <c r="K81" s="104"/>
    </row>
    <row r="82" spans="1:11" x14ac:dyDescent="0.25">
      <c r="A82" s="25"/>
      <c r="B82" s="32"/>
      <c r="C82" s="32"/>
      <c r="D82" s="32"/>
      <c r="E82" s="32"/>
      <c r="F82" s="32"/>
      <c r="G82" s="32"/>
      <c r="H82" s="32"/>
      <c r="I82" s="32"/>
      <c r="K82" s="24"/>
    </row>
    <row r="83" spans="1:11" ht="26.4" customHeight="1" x14ac:dyDescent="0.25">
      <c r="A83" s="102" t="s">
        <v>47</v>
      </c>
      <c r="B83" s="103"/>
      <c r="C83" s="103"/>
      <c r="D83" s="103"/>
      <c r="E83" s="103"/>
      <c r="F83" s="103"/>
      <c r="G83" s="103"/>
      <c r="H83" s="103"/>
      <c r="I83" s="103"/>
      <c r="J83" s="103"/>
      <c r="K83" s="104"/>
    </row>
    <row r="84" spans="1:11" ht="26.4" customHeight="1" x14ac:dyDescent="0.25">
      <c r="A84" s="102" t="s">
        <v>48</v>
      </c>
      <c r="B84" s="103"/>
      <c r="C84" s="103"/>
      <c r="D84" s="103"/>
      <c r="E84" s="103"/>
      <c r="F84" s="103"/>
      <c r="G84" s="103"/>
      <c r="H84" s="103"/>
      <c r="I84" s="103"/>
      <c r="J84" s="103"/>
      <c r="K84" s="104"/>
    </row>
    <row r="85" spans="1:11" ht="26.4" customHeight="1" x14ac:dyDescent="0.25">
      <c r="A85" s="102" t="s">
        <v>49</v>
      </c>
      <c r="B85" s="103"/>
      <c r="C85" s="103"/>
      <c r="D85" s="103"/>
      <c r="E85" s="103"/>
      <c r="F85" s="103"/>
      <c r="G85" s="103"/>
      <c r="H85" s="103"/>
      <c r="I85" s="103"/>
      <c r="J85" s="103"/>
      <c r="K85" s="104"/>
    </row>
    <row r="86" spans="1:11" ht="26.4" customHeight="1" x14ac:dyDescent="0.25">
      <c r="A86" s="106" t="s">
        <v>50</v>
      </c>
      <c r="B86" s="107"/>
      <c r="C86" s="107"/>
      <c r="D86" s="107"/>
      <c r="E86" s="107"/>
      <c r="F86" s="107"/>
      <c r="G86" s="107"/>
      <c r="H86" s="107"/>
      <c r="I86" s="107"/>
      <c r="K86" s="24"/>
    </row>
    <row r="87" spans="1:11" ht="26.4" customHeight="1" x14ac:dyDescent="0.25">
      <c r="A87" s="106" t="s">
        <v>51</v>
      </c>
      <c r="B87" s="107"/>
      <c r="C87" s="107"/>
      <c r="D87" s="107"/>
      <c r="E87" s="107"/>
      <c r="F87" s="107"/>
      <c r="G87" s="107"/>
      <c r="H87" s="107"/>
      <c r="I87" s="107"/>
      <c r="K87" s="24"/>
    </row>
    <row r="88" spans="1:11" ht="26.4" customHeight="1" x14ac:dyDescent="0.25">
      <c r="A88" s="106" t="s">
        <v>52</v>
      </c>
      <c r="B88" s="107"/>
      <c r="C88" s="107"/>
      <c r="D88" s="107"/>
      <c r="E88" s="107"/>
      <c r="F88" s="107"/>
      <c r="G88" s="107"/>
      <c r="H88" s="107"/>
      <c r="I88" s="107"/>
      <c r="K88" s="24"/>
    </row>
    <row r="89" spans="1:11" ht="26.4" customHeight="1" x14ac:dyDescent="0.25">
      <c r="A89" s="106" t="s">
        <v>53</v>
      </c>
      <c r="B89" s="107"/>
      <c r="C89" s="107"/>
      <c r="D89" s="107"/>
      <c r="E89" s="107"/>
      <c r="F89" s="107"/>
      <c r="G89" s="107"/>
      <c r="H89" s="107"/>
      <c r="I89" s="107"/>
      <c r="K89" s="24"/>
    </row>
    <row r="90" spans="1:11" ht="26.4" customHeight="1" x14ac:dyDescent="0.25">
      <c r="A90" s="106" t="s">
        <v>54</v>
      </c>
      <c r="B90" s="107"/>
      <c r="C90" s="107"/>
      <c r="D90" s="107"/>
      <c r="E90" s="107"/>
      <c r="F90" s="107"/>
      <c r="G90" s="107"/>
      <c r="H90" s="107"/>
      <c r="I90" s="107"/>
      <c r="K90" s="24"/>
    </row>
    <row r="91" spans="1:11" ht="26.4" customHeight="1" x14ac:dyDescent="0.25">
      <c r="A91" s="106" t="s">
        <v>55</v>
      </c>
      <c r="B91" s="107"/>
      <c r="C91" s="107"/>
      <c r="D91" s="107"/>
      <c r="E91" s="107"/>
      <c r="F91" s="107"/>
      <c r="G91" s="107"/>
      <c r="H91" s="107"/>
      <c r="I91" s="107"/>
      <c r="K91" s="24"/>
    </row>
    <row r="92" spans="1:11" ht="26.4" customHeight="1" thickBot="1" x14ac:dyDescent="0.3">
      <c r="A92" s="98" t="s">
        <v>56</v>
      </c>
      <c r="B92" s="99"/>
      <c r="C92" s="99"/>
      <c r="D92" s="99"/>
      <c r="E92" s="99"/>
      <c r="F92" s="99"/>
      <c r="G92" s="99"/>
      <c r="H92" s="99"/>
      <c r="I92" s="99"/>
      <c r="J92" s="99"/>
      <c r="K92" s="100"/>
    </row>
    <row r="93" spans="1:11" ht="13" thickBot="1" x14ac:dyDescent="0.3"/>
    <row r="94" spans="1:11" ht="13.5" thickBot="1" x14ac:dyDescent="0.35">
      <c r="A94" s="36" t="s">
        <v>17</v>
      </c>
      <c r="B94" s="37"/>
      <c r="C94" s="37"/>
      <c r="D94" s="37"/>
      <c r="E94" s="37"/>
      <c r="F94" s="37"/>
      <c r="G94" s="37"/>
      <c r="H94" s="37"/>
      <c r="I94" s="37"/>
      <c r="J94" s="37"/>
      <c r="K94" s="38"/>
    </row>
    <row r="95" spans="1:11" x14ac:dyDescent="0.25">
      <c r="A95" s="149" t="s">
        <v>79</v>
      </c>
      <c r="B95" s="123"/>
      <c r="C95" s="123"/>
      <c r="D95" s="123"/>
      <c r="E95" s="123"/>
      <c r="F95" s="123"/>
      <c r="G95" s="123"/>
      <c r="H95" s="123"/>
      <c r="I95" s="123"/>
      <c r="J95" s="123"/>
      <c r="K95" s="124"/>
    </row>
    <row r="96" spans="1:11" x14ac:dyDescent="0.25">
      <c r="A96" s="150"/>
      <c r="B96" s="123"/>
      <c r="C96" s="123"/>
      <c r="D96" s="123"/>
      <c r="E96" s="123"/>
      <c r="F96" s="123"/>
      <c r="G96" s="123"/>
      <c r="H96" s="123"/>
      <c r="I96" s="123"/>
      <c r="J96" s="123"/>
      <c r="K96" s="124"/>
    </row>
    <row r="97" spans="1:11" x14ac:dyDescent="0.25">
      <c r="A97" s="149" t="s">
        <v>94</v>
      </c>
      <c r="B97" s="123"/>
      <c r="C97" s="123"/>
      <c r="D97" s="123"/>
      <c r="E97" s="123"/>
      <c r="F97" s="123"/>
      <c r="G97" s="123"/>
      <c r="H97" s="123"/>
      <c r="I97" s="123"/>
      <c r="J97" s="123"/>
      <c r="K97" s="124"/>
    </row>
    <row r="98" spans="1:11" x14ac:dyDescent="0.25">
      <c r="A98" s="144" t="s">
        <v>95</v>
      </c>
      <c r="B98" s="123"/>
      <c r="C98" s="123"/>
      <c r="D98" s="123"/>
      <c r="E98" s="123"/>
      <c r="F98" s="123"/>
      <c r="G98" s="123"/>
      <c r="H98" s="123"/>
      <c r="I98" s="123"/>
      <c r="J98" s="123"/>
      <c r="K98" s="124"/>
    </row>
    <row r="99" spans="1:11" x14ac:dyDescent="0.25">
      <c r="A99" s="149"/>
      <c r="B99" s="123"/>
      <c r="C99" s="123"/>
      <c r="D99" s="123"/>
      <c r="E99" s="123"/>
      <c r="F99" s="123"/>
      <c r="G99" s="123"/>
      <c r="H99" s="123"/>
      <c r="I99" s="123"/>
      <c r="J99" s="123"/>
      <c r="K99" s="124"/>
    </row>
    <row r="100" spans="1:11" x14ac:dyDescent="0.25">
      <c r="A100" s="151" t="s">
        <v>71</v>
      </c>
      <c r="B100" s="152"/>
      <c r="C100" s="152"/>
      <c r="D100" s="152"/>
      <c r="E100" s="152"/>
      <c r="F100" s="152"/>
      <c r="G100" s="152"/>
      <c r="H100" s="152"/>
      <c r="I100" s="152"/>
      <c r="J100" s="123"/>
      <c r="K100" s="124"/>
    </row>
    <row r="101" spans="1:11" x14ac:dyDescent="0.25">
      <c r="A101" s="153" t="s">
        <v>72</v>
      </c>
      <c r="B101" s="154"/>
      <c r="C101" s="154"/>
      <c r="D101" s="154"/>
      <c r="E101" s="154"/>
      <c r="F101" s="154"/>
      <c r="G101" s="154"/>
      <c r="H101" s="154"/>
      <c r="I101" s="154"/>
      <c r="J101" s="123"/>
      <c r="K101" s="124"/>
    </row>
    <row r="102" spans="1:11" x14ac:dyDescent="0.25">
      <c r="A102" s="150"/>
      <c r="B102" s="123"/>
      <c r="C102" s="123"/>
      <c r="D102" s="123"/>
      <c r="E102" s="123"/>
      <c r="F102" s="123"/>
      <c r="G102" s="123"/>
      <c r="H102" s="123"/>
      <c r="I102" s="123"/>
      <c r="J102" s="123"/>
      <c r="K102" s="124"/>
    </row>
    <row r="103" spans="1:11" ht="12.5" customHeight="1" x14ac:dyDescent="0.25">
      <c r="A103" s="155" t="s">
        <v>73</v>
      </c>
      <c r="B103" s="156"/>
      <c r="C103" s="156"/>
      <c r="D103" s="156"/>
      <c r="E103" s="156"/>
      <c r="F103" s="156"/>
      <c r="G103" s="156"/>
      <c r="H103" s="156"/>
      <c r="I103" s="156"/>
      <c r="J103" s="156"/>
      <c r="K103" s="157"/>
    </row>
    <row r="104" spans="1:11" ht="56" customHeight="1" x14ac:dyDescent="0.25">
      <c r="A104" s="125" t="s">
        <v>96</v>
      </c>
      <c r="B104" s="126"/>
      <c r="C104" s="126"/>
      <c r="D104" s="126"/>
      <c r="E104" s="126"/>
      <c r="F104" s="126"/>
      <c r="G104" s="126"/>
      <c r="H104" s="126"/>
      <c r="I104" s="126"/>
      <c r="J104" s="126"/>
      <c r="K104" s="127"/>
    </row>
    <row r="105" spans="1:11" x14ac:dyDescent="0.25">
      <c r="A105" s="125" t="s">
        <v>57</v>
      </c>
      <c r="B105" s="126"/>
      <c r="C105" s="126"/>
      <c r="D105" s="126"/>
      <c r="E105" s="126"/>
      <c r="F105" s="126"/>
      <c r="G105" s="126"/>
      <c r="H105" s="126"/>
      <c r="I105" s="126"/>
      <c r="J105" s="126"/>
      <c r="K105" s="127"/>
    </row>
    <row r="106" spans="1:11" x14ac:dyDescent="0.25">
      <c r="A106" s="125" t="s">
        <v>58</v>
      </c>
      <c r="B106" s="126"/>
      <c r="C106" s="126"/>
      <c r="D106" s="126"/>
      <c r="E106" s="126"/>
      <c r="F106" s="126"/>
      <c r="G106" s="126"/>
      <c r="H106" s="126"/>
      <c r="I106" s="126"/>
      <c r="J106" s="126"/>
      <c r="K106" s="127"/>
    </row>
    <row r="107" spans="1:11" ht="26.4" customHeight="1" x14ac:dyDescent="0.25">
      <c r="A107" s="125" t="s">
        <v>59</v>
      </c>
      <c r="B107" s="126"/>
      <c r="C107" s="126"/>
      <c r="D107" s="126"/>
      <c r="E107" s="126"/>
      <c r="F107" s="126"/>
      <c r="G107" s="126"/>
      <c r="H107" s="126"/>
      <c r="I107" s="126"/>
      <c r="J107" s="126"/>
      <c r="K107" s="127"/>
    </row>
    <row r="108" spans="1:11" ht="26.4" customHeight="1" x14ac:dyDescent="0.25">
      <c r="A108" s="125" t="s">
        <v>60</v>
      </c>
      <c r="B108" s="126"/>
      <c r="C108" s="126"/>
      <c r="D108" s="126"/>
      <c r="E108" s="126"/>
      <c r="F108" s="126"/>
      <c r="G108" s="126"/>
      <c r="H108" s="126"/>
      <c r="I108" s="126"/>
      <c r="J108" s="126"/>
      <c r="K108" s="127"/>
    </row>
    <row r="109" spans="1:11" x14ac:dyDescent="0.25">
      <c r="A109" s="125" t="s">
        <v>61</v>
      </c>
      <c r="B109" s="126"/>
      <c r="C109" s="126"/>
      <c r="D109" s="126"/>
      <c r="E109" s="126"/>
      <c r="F109" s="126"/>
      <c r="G109" s="126"/>
      <c r="H109" s="126"/>
      <c r="I109" s="126"/>
      <c r="J109" s="126"/>
      <c r="K109" s="127"/>
    </row>
    <row r="110" spans="1:11" x14ac:dyDescent="0.25">
      <c r="A110" s="125" t="s">
        <v>62</v>
      </c>
      <c r="B110" s="126"/>
      <c r="C110" s="126"/>
      <c r="D110" s="126"/>
      <c r="E110" s="126"/>
      <c r="F110" s="126"/>
      <c r="G110" s="126"/>
      <c r="H110" s="126"/>
      <c r="I110" s="126"/>
      <c r="J110" s="126"/>
      <c r="K110" s="127"/>
    </row>
    <row r="111" spans="1:11" x14ac:dyDescent="0.25">
      <c r="A111" s="158"/>
      <c r="B111" s="159"/>
      <c r="C111" s="159"/>
      <c r="D111" s="159"/>
      <c r="E111" s="159"/>
      <c r="F111" s="159"/>
      <c r="G111" s="159"/>
      <c r="H111" s="159"/>
      <c r="I111" s="130"/>
      <c r="J111" s="123"/>
      <c r="K111" s="124"/>
    </row>
    <row r="112" spans="1:11" ht="13" thickBot="1" x14ac:dyDescent="0.3">
      <c r="A112" s="68" t="s">
        <v>63</v>
      </c>
      <c r="B112" s="160"/>
      <c r="C112" s="160"/>
      <c r="D112" s="160"/>
      <c r="E112" s="160"/>
      <c r="F112" s="160"/>
      <c r="G112" s="160"/>
      <c r="H112" s="160"/>
      <c r="I112" s="160"/>
      <c r="J112" s="161"/>
      <c r="K112" s="162"/>
    </row>
    <row r="113" spans="1:9" x14ac:dyDescent="0.25">
      <c r="A113" s="32"/>
      <c r="B113" s="32"/>
      <c r="C113" s="32"/>
      <c r="D113" s="32"/>
      <c r="E113" s="32"/>
      <c r="F113" s="32"/>
      <c r="G113" s="32"/>
      <c r="H113" s="32"/>
      <c r="I113" s="32"/>
    </row>
    <row r="114" spans="1:9" ht="13.25" customHeight="1" x14ac:dyDescent="0.25">
      <c r="A114" s="101"/>
      <c r="B114" s="101"/>
      <c r="C114" s="101"/>
      <c r="D114" s="101"/>
      <c r="E114" s="101"/>
      <c r="F114" s="101"/>
      <c r="G114" s="101"/>
      <c r="H114" s="101"/>
      <c r="I114" s="32"/>
    </row>
  </sheetData>
  <mergeCells count="42">
    <mergeCell ref="A89:I89"/>
    <mergeCell ref="A90:I90"/>
    <mergeCell ref="A91:I91"/>
    <mergeCell ref="A100:I100"/>
    <mergeCell ref="A103:K103"/>
    <mergeCell ref="A84:K84"/>
    <mergeCell ref="A85:K85"/>
    <mergeCell ref="A86:I86"/>
    <mergeCell ref="A87:I87"/>
    <mergeCell ref="A88:I88"/>
    <mergeCell ref="A81:K81"/>
    <mergeCell ref="A83:K83"/>
    <mergeCell ref="A61:K61"/>
    <mergeCell ref="A62:K62"/>
    <mergeCell ref="A63:K63"/>
    <mergeCell ref="A65:K65"/>
    <mergeCell ref="A67:K67"/>
    <mergeCell ref="A69:K69"/>
    <mergeCell ref="A71:K71"/>
    <mergeCell ref="J4:K5"/>
    <mergeCell ref="A2:E2"/>
    <mergeCell ref="A1:K1"/>
    <mergeCell ref="A92:K92"/>
    <mergeCell ref="A13:I13"/>
    <mergeCell ref="A48:I48"/>
    <mergeCell ref="B5:C5"/>
    <mergeCell ref="D5:E5"/>
    <mergeCell ref="B4:E4"/>
    <mergeCell ref="F4:G5"/>
    <mergeCell ref="H4:I5"/>
    <mergeCell ref="A33:K33"/>
    <mergeCell ref="A36:K36"/>
    <mergeCell ref="A79:K79"/>
    <mergeCell ref="A114:H114"/>
    <mergeCell ref="A108:K108"/>
    <mergeCell ref="A109:K109"/>
    <mergeCell ref="A110:K110"/>
    <mergeCell ref="A104:K104"/>
    <mergeCell ref="A105:K105"/>
    <mergeCell ref="A106:K106"/>
    <mergeCell ref="A107:K107"/>
    <mergeCell ref="A101:I101"/>
  </mergeCells>
  <hyperlinks>
    <hyperlink ref="A34" r:id="rId1" xr:uid="{9FF8DF9C-9D8F-4143-8582-C5625C97456A}"/>
    <hyperlink ref="A22" r:id="rId2" display="https://www.ons.gov.uk/census" xr:uid="{8973A888-2F67-4866-9ABA-22DBDCC16444}"/>
    <hyperlink ref="A27" r:id="rId3" xr:uid="{40837408-2A91-4F0A-A2D9-4D269711F049}"/>
    <hyperlink ref="A64" r:id="rId4" display="https://publichealthscotland.scot/healthcare-system/urgent-and-unscheduled-care/accident-and-emergency/overview/" xr:uid="{13954E55-5F32-4644-A87A-4769EC3A3F4B}"/>
    <hyperlink ref="A66" r:id="rId5" display="https://publichealthscotland.scot/media/29631/impact-assessment-new-ae-standard-phs-draft-v03.pdf" xr:uid="{09766984-2B8E-4CB3-968F-900381B81F33}"/>
    <hyperlink ref="A68" r:id="rId6" display="https://publichealthscotland.scot/media/29631/impact-assessment-new-ae-standard-phs-draft-v03.pdf" xr:uid="{F8634E81-E3F6-431A-824F-A1A1F72C0C28}"/>
    <hyperlink ref="A70" r:id="rId7" display="https://publichealthscotland.scot/healthcare-system/urgent-and-unscheduled-care/accident-and-emergency/interactive-charts/how-long-people-spend-in-ae/" xr:uid="{CA66AC71-1039-4803-9A1C-37A6D17DC3C2}"/>
    <hyperlink ref="A75" r:id="rId8" xr:uid="{12105011-6179-4B6A-B32C-FA51BACD01BF}"/>
    <hyperlink ref="A98" r:id="rId9" xr:uid="{0A4E1C83-3211-4694-BDEA-53BE62A80DB3}"/>
    <hyperlink ref="A112" r:id="rId10" xr:uid="{2949CA41-AC91-40E8-B637-BA0A327976EC}"/>
  </hyperlinks>
  <pageMargins left="0.7" right="0.7" top="0.75" bottom="0.75" header="0.3" footer="0.3"/>
  <pageSetup paperSize="9" orientation="portrait" r:id="rId11"/>
  <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AB3B384073B8A4CBDFAF0D6FE67F5D6" ma:contentTypeVersion="6" ma:contentTypeDescription="Create a new document." ma:contentTypeScope="" ma:versionID="a1561c89c6a742ce75cb4eb6d03295a0">
  <xsd:schema xmlns:xsd="http://www.w3.org/2001/XMLSchema" xmlns:xs="http://www.w3.org/2001/XMLSchema" xmlns:p="http://schemas.microsoft.com/office/2006/metadata/properties" xmlns:ns2="2f5c7f41-e24a-4df8-a108-609d3e5d4d4f" targetNamespace="http://schemas.microsoft.com/office/2006/metadata/properties" ma:root="true" ma:fieldsID="6afd8b7e59660e57936146099c29a36c" ns2:_="">
    <xsd:import namespace="2f5c7f41-e24a-4df8-a108-609d3e5d4d4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5c7f41-e24a-4df8-a108-609d3e5d4d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672BAB-B81A-4194-BA48-10E4795D83FE}">
  <ds:schemaRefs>
    <ds:schemaRef ds:uri="http://schemas.microsoft.com/sharepoint/v3/contenttype/forms"/>
  </ds:schemaRefs>
</ds:datastoreItem>
</file>

<file path=customXml/itemProps2.xml><?xml version="1.0" encoding="utf-8"?>
<ds:datastoreItem xmlns:ds="http://schemas.openxmlformats.org/officeDocument/2006/customXml" ds:itemID="{0AF1F688-02B2-4802-B51A-A968ED8B688B}">
  <ds:schemaRefs>
    <ds:schemaRef ds:uri="http://purl.org/dc/terms/"/>
    <ds:schemaRef ds:uri="http://schemas.microsoft.com/office/2006/documentManagement/types"/>
    <ds:schemaRef ds:uri="2f5c7f41-e24a-4df8-a108-609d3e5d4d4f"/>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3EDAB62-7F4A-45B0-B162-F9502A71E9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5c7f41-e24a-4df8-a108-609d3e5d4d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Home Nations Comparison - 2425</vt:lpstr>
      <vt:lpstr>'Title sheet'!Print_Area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Barnes</dc:creator>
  <cp:keywords/>
  <dc:description/>
  <cp:lastModifiedBy>MITCHELL, Adam (NHS ENGLAND)</cp:lastModifiedBy>
  <cp:revision/>
  <dcterms:created xsi:type="dcterms:W3CDTF">2018-08-31T15:38:49Z</dcterms:created>
  <dcterms:modified xsi:type="dcterms:W3CDTF">2025-09-18T14:40:13Z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0x0101000AB3B384073B8A4CBDFAF0D6FE67F5D6</vt:lpwstr>
  </property>
  <property fmtid="{D5CDD505-2E9C-101B-9397-08002B2CF9AE}" pid="3" name="_dlc_DocIdItemGuid">
    <vt:lpwstr>58015db8-3688-40ab-acc6-210b71bc9dbb</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14;#Document|6113f30c-7b54-4978-b917-a373efb61b62</vt:lpwstr>
  </property>
  <property fmtid="{D5CDD505-2E9C-101B-9397-08002B2CF9AE}" pid="7" name="PortfolioCode">
    <vt:lpwstr/>
  </property>
</Properties>
</file>