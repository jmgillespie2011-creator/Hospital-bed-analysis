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Y:\Data Analysts-Leeds\HES Publications 2024-25\ECDS\03. Approved Documents\"/>
    </mc:Choice>
  </mc:AlternateContent>
  <xr:revisionPtr revIDLastSave="0" documentId="13_ncr:1_{F491919E-A160-4B86-A4AB-E8E27BEA81A4}" xr6:coauthVersionLast="47" xr6:coauthVersionMax="47" xr10:uidLastSave="{00000000-0000-0000-0000-000000000000}"/>
  <bookViews>
    <workbookView xWindow="-110" yWindow="-110" windowWidth="22780" windowHeight="14540" xr2:uid="{EC7030B5-BF29-45C7-8ABD-E3982DA13D95}"/>
  </bookViews>
  <sheets>
    <sheet name="Title Sheet" sheetId="2" r:id="rId1"/>
    <sheet name="Table_1a" sheetId="3" r:id="rId2"/>
    <sheet name="Table_1b" sheetId="4" r:id="rId3"/>
    <sheet name="Table_1c" sheetId="5" r:id="rId4"/>
    <sheet name="Table_1d" sheetId="6" r:id="rId5"/>
    <sheet name="Table_2" sheetId="7" r:id="rId6"/>
  </sheets>
  <externalReferences>
    <externalReference r:id="rId7"/>
    <externalReference r:id="rId8"/>
    <externalReference r:id="rId9"/>
  </externalReferences>
  <definedNames>
    <definedName name="_xlnm._FilterDatabase" localSheetId="1" hidden="1">Table_1a!#REF!</definedName>
    <definedName name="_xlnm._FilterDatabase" localSheetId="2" hidden="1">Table_1b!#REF!</definedName>
    <definedName name="_xlnm._FilterDatabase" localSheetId="3" hidden="1">Table_1c!#REF!</definedName>
    <definedName name="_xlnm._FilterDatabase" localSheetId="4" hidden="1">Table_1d!#REF!</definedName>
    <definedName name="_xlnm._FilterDatabase" localSheetId="5" hidden="1">Table_2!$A$28:$E$28</definedName>
    <definedName name="Provider">[1]Providers!$D:$D</definedName>
    <definedName name="shortened_providers" localSheetId="1">'[2]SHA and Provider List'!$G$1:$G$474</definedName>
    <definedName name="shortened_providers" localSheetId="2">'[2]SHA and Provider List'!$G$1:$G$474</definedName>
    <definedName name="shortened_providers" localSheetId="3">'[2]SHA and Provider List'!$G$1:$G$474</definedName>
    <definedName name="shortened_providers" localSheetId="4">'[2]SHA and Provider List'!$G$1:$G$474</definedName>
    <definedName name="shortened_providers" localSheetId="5">'[2]SHA and Provider List'!$G$1:$G$474</definedName>
    <definedName name="shortened_providers">'[3]SHA and Provider List'!$G$1:$G$474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6" l="1"/>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160" i="6"/>
  <c r="G23" i="6"/>
  <c r="G21"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1" i="3" a="1"/>
  <c r="G2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<sst xmlns="http://schemas.openxmlformats.org/spreadsheetml/2006/main" count="1490" uniqueCount="359">
  <si>
    <t>Introduction</t>
  </si>
  <si>
    <t>Contents</t>
  </si>
  <si>
    <t>Workforce Data</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</si>
  <si>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</si>
  <si>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</si>
  <si>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</si>
  <si>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</si>
  <si>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</si>
  <si>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</si>
  <si>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0"/>
        <color rgb="FF0000FF"/>
        <rFont val="Arial"/>
        <family val="2"/>
      </rPr>
      <t>psi@nationalarchives.gsi.gov.uk</t>
    </r>
  </si>
  <si>
    <t>or email: psi@nationalarchives.gsi.gov.uk</t>
  </si>
  <si>
    <t>NHS Digital NHS Hospital &amp; Community Health Service (HCHS) workforce statistics</t>
  </si>
  <si>
    <t xml:space="preserve">https://digital.nhs.uk/data-and-information/publications/statistical/nhs-workforce-statistics </t>
  </si>
  <si>
    <t xml:space="preserve">Figures include HCHS Staff in NHS Trusts. </t>
  </si>
  <si>
    <t>Code</t>
  </si>
  <si>
    <t>Provider Description</t>
  </si>
  <si>
    <t>Average (mean)</t>
  </si>
  <si>
    <t>June</t>
  </si>
  <si>
    <t>September</t>
  </si>
  <si>
    <t>December</t>
  </si>
  <si>
    <t>March</t>
  </si>
  <si>
    <t>All</t>
  </si>
  <si>
    <t>ENGLAND</t>
  </si>
  <si>
    <t/>
  </si>
  <si>
    <t>Small numbers</t>
  </si>
  <si>
    <t>Full time equivalent figures have been rounded to the nearest whole number.
 '0' denotes more than zero, less than 0.5.</t>
  </si>
  <si>
    <t>Staff are counted as a leaver if they leave the customer specified staff group, leave the organisation or if they leave the Accident and Emergency secondary area of work.</t>
  </si>
  <si>
    <t>HCHS</t>
  </si>
  <si>
    <t>Empty cells indicate no data</t>
  </si>
  <si>
    <t xml:space="preserve">The Stability Index is the percentage of staff there at the start of the period that do not leave the specified group (e.g. organisation, staff group or the NHS in England) during period in question. </t>
  </si>
  <si>
    <t>This is useful for looking at staff retention. For example, if a trust had 100 nurses in July and a year later 90 of those nurses remained in post, the trust the Stability Index would be 90/100 expressed as a percentage: 90%.</t>
  </si>
  <si>
    <t>Turnover data is based on headcount and shows people leaving or returning to active service, this would include those going on or returning from maternity leave or career break, for example.</t>
  </si>
  <si>
    <t>The way turnover statistics are routinely calculated may create unusual rates where small numbers of staff are involved.</t>
  </si>
  <si>
    <t>Data Quality</t>
  </si>
  <si>
    <t xml:space="preserve">NHS Digital seeks to minimise inaccuracies and the effect of missing and invalid data but responsibility for data accuracy lies with the organisations providing the data. </t>
  </si>
  <si>
    <t xml:space="preserve">Methods are continually being updated to improve data quality.  Where changes impact on figures already published, this is assessed but unless it is significant at national level figures are not changed. </t>
  </si>
  <si>
    <t>This report provides NHS workforce full time equivalent (FTE) figures and staff stability index at provider level, for all providers and England. The information presented within this report has been extracted from NHS Digital NHS Hospital &amp; Community Health Service (HCHS) workforce statistics. Where a provider is not listed this is because data has not been submitted.</t>
  </si>
  <si>
    <t>Contact details</t>
  </si>
  <si>
    <t>Author: Secondary Care Open Data and Publications, NHS England</t>
  </si>
  <si>
    <t>Press enquiries should be made to: Media Relations Manager: telephone 0300 303 3888</t>
  </si>
  <si>
    <t>Published by NHS England part of the Government Statistical Service</t>
  </si>
  <si>
    <t>NHS Digital is the trading name of the Health and Social Care Information Centre</t>
  </si>
  <si>
    <t>Responsible Statistician: Karl Eichler</t>
  </si>
  <si>
    <t>RFS</t>
  </si>
  <si>
    <t>Chesterfield Royal Hospital NHS Foundation Trust</t>
  </si>
  <si>
    <t>RY8</t>
  </si>
  <si>
    <t>Derbyshire Community Health Services NHS Foundation Trust</t>
  </si>
  <si>
    <t>RX9</t>
  </si>
  <si>
    <t>East Midlands Ambulance Service NHS Trust</t>
  </si>
  <si>
    <t>RNQ</t>
  </si>
  <si>
    <t>Kettering General Hospital NHS Foundation Trust</t>
  </si>
  <si>
    <t>RNS</t>
  </si>
  <si>
    <t>Northampton General Hospital NHS Trust</t>
  </si>
  <si>
    <t>RX1</t>
  </si>
  <si>
    <t>Nottingham University Hospitals NHS Trust</t>
  </si>
  <si>
    <t>RK5</t>
  </si>
  <si>
    <t>Sherwood Forest Hospitals NHS Foundation Trust</t>
  </si>
  <si>
    <t>RWD</t>
  </si>
  <si>
    <t>United Lincolnshire Hospitals NHS Trust</t>
  </si>
  <si>
    <t>RTG</t>
  </si>
  <si>
    <t>University Hospitals of Derby and Burton NHS Foundation Trust</t>
  </si>
  <si>
    <t>RWE</t>
  </si>
  <si>
    <t>University Hospitals of Leicester NHS Trust</t>
  </si>
  <si>
    <t>RC9</t>
  </si>
  <si>
    <t>Bedfordshire Hospitals NHS Foundation Trust</t>
  </si>
  <si>
    <t>RGT</t>
  </si>
  <si>
    <t>Cambridge University Hospitals NHS Foundation Trust</t>
  </si>
  <si>
    <t>RWH</t>
  </si>
  <si>
    <t>East and North Hertfordshire NHS Trust</t>
  </si>
  <si>
    <t>RYC</t>
  </si>
  <si>
    <t>East of England Ambulance Service NHS Trust</t>
  </si>
  <si>
    <t>RDE</t>
  </si>
  <si>
    <t>East Suffolk and North Essex NHS Foundation Trust</t>
  </si>
  <si>
    <t>RGP</t>
  </si>
  <si>
    <t>James Paget University Hospitals NHS Foundation Trust</t>
  </si>
  <si>
    <t>RAJ</t>
  </si>
  <si>
    <t>Mid and South Essex NHS Foundation Trust</t>
  </si>
  <si>
    <t>RM1</t>
  </si>
  <si>
    <t>Norfolk and Norwich University Hospitals NHS Foundation Trust</t>
  </si>
  <si>
    <t>RGN</t>
  </si>
  <si>
    <t>North West Anglia NHS Foundation Trust</t>
  </si>
  <si>
    <t>RQW</t>
  </si>
  <si>
    <t>Princess Alexandra Hospital NHS Trust</t>
  </si>
  <si>
    <t>RCX</t>
  </si>
  <si>
    <t>Queen Elizabeth Hospital King's Lynn NHS Foundation Trust</t>
  </si>
  <si>
    <t>RWG</t>
  </si>
  <si>
    <t>West Hertfordshire Teaching Hospitals NHS Trust</t>
  </si>
  <si>
    <t>RGR</t>
  </si>
  <si>
    <t>West Suffolk NHS Foundation Trust</t>
  </si>
  <si>
    <t>RCF</t>
  </si>
  <si>
    <t>Airedale NHS Foundation Trust</t>
  </si>
  <si>
    <t>RFF</t>
  </si>
  <si>
    <t>Barnsley Hospital NHS Foundation Trust</t>
  </si>
  <si>
    <t>RAE</t>
  </si>
  <si>
    <t>Bradford Teaching Hospitals NHS Foundation Trust</t>
  </si>
  <si>
    <t>RWY</t>
  </si>
  <si>
    <t>Calderdale and Huddersfield NHS Foundation Trust</t>
  </si>
  <si>
    <t>RP5</t>
  </si>
  <si>
    <t>Doncaster and Bassetlaw Teaching Hospitals NHS Foundation Trust</t>
  </si>
  <si>
    <t>RCD</t>
  </si>
  <si>
    <t>Harrogate and District NHS Foundation Trust</t>
  </si>
  <si>
    <t>RWA</t>
  </si>
  <si>
    <t>Hull University Teaching Hospitals NHS Trust</t>
  </si>
  <si>
    <t>RR8</t>
  </si>
  <si>
    <t>Leeds Teaching Hospitals NHS Trust</t>
  </si>
  <si>
    <t>RXF</t>
  </si>
  <si>
    <t>Mid Yorkshire Teaching NHS Trust</t>
  </si>
  <si>
    <t>RJL</t>
  </si>
  <si>
    <t>Northern Lincolnshire and Goole NHS Foundation Trust</t>
  </si>
  <si>
    <t>RFR</t>
  </si>
  <si>
    <t>Rotherham NHS Foundation Trust</t>
  </si>
  <si>
    <t>RCU</t>
  </si>
  <si>
    <t>Sheffield Children's NHS Foundation Trust</t>
  </si>
  <si>
    <t>RHQ</t>
  </si>
  <si>
    <t>Sheffield Teaching Hospitals NHS Foundation Trust</t>
  </si>
  <si>
    <t>RCB</t>
  </si>
  <si>
    <t>York and Scarborough Teaching Hospitals NHS Foundation Trust</t>
  </si>
  <si>
    <t>RBD</t>
  </si>
  <si>
    <t>Dorset County Hospital NHS Foundation Trust</t>
  </si>
  <si>
    <t>RNZ</t>
  </si>
  <si>
    <t>Salisbury NHS Foundation Trust</t>
  </si>
  <si>
    <t>R0D</t>
  </si>
  <si>
    <t>University Hospitals Dorset NHS Foundation Trust</t>
  </si>
  <si>
    <t>RN5</t>
  </si>
  <si>
    <t>Hampshire Hospitals NHS Foundation Trust</t>
  </si>
  <si>
    <t>R1F</t>
  </si>
  <si>
    <t>Isle of Wight NHS Trust</t>
  </si>
  <si>
    <t>RHU</t>
  </si>
  <si>
    <t>Portsmouth Hospitals University NHS Trust</t>
  </si>
  <si>
    <t>RHM</t>
  </si>
  <si>
    <t>University Hospital Southampton NHS Foundation Trust</t>
  </si>
  <si>
    <t>RXQ</t>
  </si>
  <si>
    <t>Buckinghamshire Healthcare NHS Trust</t>
  </si>
  <si>
    <t>RTH</t>
  </si>
  <si>
    <t>Oxford University Hospitals NHS Foundation Trust</t>
  </si>
  <si>
    <t>RHW</t>
  </si>
  <si>
    <t>Royal Berkshire NHS Foundation Trust</t>
  </si>
  <si>
    <t>RYE</t>
  </si>
  <si>
    <t>South Central Ambulance Service NHS Foundation Trust</t>
  </si>
  <si>
    <t>RD8</t>
  </si>
  <si>
    <t>Milton Keynes University Hospital NHS Foundation Trust</t>
  </si>
  <si>
    <t>RYX</t>
  </si>
  <si>
    <t>Central London Community Healthcare NHS Trust</t>
  </si>
  <si>
    <t>RQM</t>
  </si>
  <si>
    <t>Chelsea and Westminster Hospital NHS Foundation Trust</t>
  </si>
  <si>
    <t>RAS</t>
  </si>
  <si>
    <t>Hillingdon Hospitals NHS Foundation Trust</t>
  </si>
  <si>
    <t>RYJ</t>
  </si>
  <si>
    <t>Imperial College Healthcare NHS Trust</t>
  </si>
  <si>
    <t>R1K</t>
  </si>
  <si>
    <t>London North West University Healthcare NHS Trust</t>
  </si>
  <si>
    <t>RJ6</t>
  </si>
  <si>
    <t>Croydon Health Services NHS Trust</t>
  </si>
  <si>
    <t>RVR</t>
  </si>
  <si>
    <t>Epsom and St Helier University Hospitals NHS Trust</t>
  </si>
  <si>
    <t>RJ1</t>
  </si>
  <si>
    <t>Guy's and St Thomas' NHS Foundation Trust</t>
  </si>
  <si>
    <t>RJZ</t>
  </si>
  <si>
    <t>King's College Hospital NHS Foundation Trust</t>
  </si>
  <si>
    <t>RAX</t>
  </si>
  <si>
    <t>Kingston Hospital NHS Foundation Trust</t>
  </si>
  <si>
    <t>RJ2</t>
  </si>
  <si>
    <t>Lewisham and Greenwich NHS Trust</t>
  </si>
  <si>
    <t>RJ7</t>
  </si>
  <si>
    <t>St George's University Hospitals NHS Foundation Trust</t>
  </si>
  <si>
    <t>RF4</t>
  </si>
  <si>
    <t>Barking, Havering and Redbridge University Hospitals NHS Trust</t>
  </si>
  <si>
    <t>R1H</t>
  </si>
  <si>
    <t>Barts Health NHS Trust</t>
  </si>
  <si>
    <t>RQX</t>
  </si>
  <si>
    <t>Homerton Healthcare NHS Foundation Trust</t>
  </si>
  <si>
    <t>RP6</t>
  </si>
  <si>
    <t>Moorfields Eye Hospital NHS Foundation Trust</t>
  </si>
  <si>
    <t>RAP</t>
  </si>
  <si>
    <t>North Middlesex University Hospital NHS Trust</t>
  </si>
  <si>
    <t>RAL</t>
  </si>
  <si>
    <t>Royal Free London NHS Foundation Trust</t>
  </si>
  <si>
    <t>RRV</t>
  </si>
  <si>
    <t>University College London Hospitals NHS Foundation Trust</t>
  </si>
  <si>
    <t>RKE</t>
  </si>
  <si>
    <t>Whittington Health NHS Trust</t>
  </si>
  <si>
    <t>RTK</t>
  </si>
  <si>
    <t>Ashford and St. Peter's Hospitals NHS Foundation Trust</t>
  </si>
  <si>
    <t>RN7</t>
  </si>
  <si>
    <t>Dartford and Gravesham NHS Trust</t>
  </si>
  <si>
    <t>RVV</t>
  </si>
  <si>
    <t>East Kent Hospitals University NHS Foundation Trust</t>
  </si>
  <si>
    <t>RXC</t>
  </si>
  <si>
    <t>East Sussex Healthcare NHS Trust</t>
  </si>
  <si>
    <t>RDU</t>
  </si>
  <si>
    <t>Frimley Health NHS Foundation Trust</t>
  </si>
  <si>
    <t>RXY</t>
  </si>
  <si>
    <t>Kent and Medway NHS and Social Care Partnership Trust</t>
  </si>
  <si>
    <t>RYY</t>
  </si>
  <si>
    <t>Kent Community Health NHS Foundation Trust</t>
  </si>
  <si>
    <t>RWF</t>
  </si>
  <si>
    <t>Maidstone and Tunbridge Wells NHS Trust</t>
  </si>
  <si>
    <t>RPA</t>
  </si>
  <si>
    <t>Medway NHS Foundation Trust</t>
  </si>
  <si>
    <t>RPC</t>
  </si>
  <si>
    <t>Queen Victoria Hospital NHS Foundation Trust</t>
  </si>
  <si>
    <t>RA2</t>
  </si>
  <si>
    <t>Royal Surrey County Hospital NHS Foundation Trust</t>
  </si>
  <si>
    <t>RYD</t>
  </si>
  <si>
    <t>South East Coast Ambulance Service NHS Foundation Trust</t>
  </si>
  <si>
    <t>RXX</t>
  </si>
  <si>
    <t>Surrey and Borders Partnership NHS Foundation Trust</t>
  </si>
  <si>
    <t>RTP</t>
  </si>
  <si>
    <t>Surrey and Sussex Healthcare NHS Trust</t>
  </si>
  <si>
    <t>RYR</t>
  </si>
  <si>
    <t>University Hospitals Sussex NHS Foundation Trust</t>
  </si>
  <si>
    <t>RXP</t>
  </si>
  <si>
    <t>County Durham and Darlington NHS Foundation Trust</t>
  </si>
  <si>
    <t>RR7</t>
  </si>
  <si>
    <t>Gateshead Health NHS Foundation Trust</t>
  </si>
  <si>
    <t>RTD</t>
  </si>
  <si>
    <t>Newcastle Upon Tyne Hospitals NHS Foundation Trust</t>
  </si>
  <si>
    <t>RVW</t>
  </si>
  <si>
    <t>North Tees and Hartlepool NHS Foundation Trust</t>
  </si>
  <si>
    <t>RTF</t>
  </si>
  <si>
    <t>Northumbria Healthcare NHS Foundation Trust</t>
  </si>
  <si>
    <t>RTR</t>
  </si>
  <si>
    <t>South Tees Hospitals NHS Foundation Trust</t>
  </si>
  <si>
    <t>R0B</t>
  </si>
  <si>
    <t>South Tyneside and Sunderland NHS Foundation Trust</t>
  </si>
  <si>
    <t>RX3</t>
  </si>
  <si>
    <t>Tees, Esk and Wear Valleys NHS Foundation Trust</t>
  </si>
  <si>
    <t>RBS</t>
  </si>
  <si>
    <t>Alder Hey Children's NHS Foundation Trust</t>
  </si>
  <si>
    <t>RXL</t>
  </si>
  <si>
    <t>Blackpool Teaching Hospitals NHS Foundation Trust</t>
  </si>
  <si>
    <t>RMC</t>
  </si>
  <si>
    <t>Bolton NHS Foundation Trust</t>
  </si>
  <si>
    <t>RJR</t>
  </si>
  <si>
    <t>Countess of Chester Hospital NHS Foundation Trust</t>
  </si>
  <si>
    <t>RJN</t>
  </si>
  <si>
    <t>East Cheshire NHS Trust</t>
  </si>
  <si>
    <t>RXR</t>
  </si>
  <si>
    <t>East Lancashire Hospitals NHS Trust</t>
  </si>
  <si>
    <t>RXN</t>
  </si>
  <si>
    <t>Lancashire Teaching Hospitals NHS Foundation Trust</t>
  </si>
  <si>
    <t>REM</t>
  </si>
  <si>
    <t>Liverpool University Hospitals NHS Foundation Trust</t>
  </si>
  <si>
    <t>R0A</t>
  </si>
  <si>
    <t>Manchester University NHS Foundation Trust</t>
  </si>
  <si>
    <t>RBN</t>
  </si>
  <si>
    <t>Mersey and West Lancashire Teaching Hospitals NHS Trust</t>
  </si>
  <si>
    <t>RBT</t>
  </si>
  <si>
    <t>Mid Cheshire Hospitals NHS Foundation Trust</t>
  </si>
  <si>
    <t>RX7</t>
  </si>
  <si>
    <t>North West Ambulance Service NHS Trust</t>
  </si>
  <si>
    <t>RM3</t>
  </si>
  <si>
    <t>Northern Care Alliance NHS Foundation Trust</t>
  </si>
  <si>
    <t>RT2</t>
  </si>
  <si>
    <t>Pennine Care NHS Foundation Trust</t>
  </si>
  <si>
    <t>RWJ</t>
  </si>
  <si>
    <t>Stockport NHS Foundation Trust</t>
  </si>
  <si>
    <t>RMP</t>
  </si>
  <si>
    <t>Tameside and Glossop Integrated Care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</si>
  <si>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</si>
  <si>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</si>
  <si>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</si>
  <si>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</si>
  <si>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</si>
  <si>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</si>
  <si>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</si>
  <si>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</si>
  <si>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RNN</t>
  </si>
  <si>
    <t>North Cumbria Integrated Care NHS Foundation Trust</t>
  </si>
  <si>
    <t>RQ3</t>
  </si>
  <si>
    <t>Birmingham Women's and Children's NHS Foundation Trust</t>
  </si>
  <si>
    <t>RNA</t>
  </si>
  <si>
    <t>Dudley Group NHS Foundation Trust</t>
  </si>
  <si>
    <t>RLT</t>
  </si>
  <si>
    <t>George Eliot Hospital NHS Trust</t>
  </si>
  <si>
    <t>R1A</t>
  </si>
  <si>
    <t>Herefordshire and Worcestershire Health and Care NHS Trust</t>
  </si>
  <si>
    <t>RL4</t>
  </si>
  <si>
    <t>Royal Wolverhampton NHS Trust</t>
  </si>
  <si>
    <t>RXK</t>
  </si>
  <si>
    <t>Sandwell and West Birmingham Hospitals NHS Trust</t>
  </si>
  <si>
    <t>RXW</t>
  </si>
  <si>
    <t>Shrewsbury and Telford Hospital NHS Trust</t>
  </si>
  <si>
    <t>RJC</t>
  </si>
  <si>
    <t>South Warwickshire University NHS Foundation Trust</t>
  </si>
  <si>
    <t>RRK</t>
  </si>
  <si>
    <t>University Hospitals Birmingham NHS Foundation Trust</t>
  </si>
  <si>
    <t>RKB</t>
  </si>
  <si>
    <t>University Hospitals Coventry and Warwickshire NHS Trust</t>
  </si>
  <si>
    <t>RJE</t>
  </si>
  <si>
    <t>University Hospitals of North Midlands NHS Trust</t>
  </si>
  <si>
    <t>RBK</t>
  </si>
  <si>
    <t>Walsall Healthcare NHS Trust</t>
  </si>
  <si>
    <t>RWP</t>
  </si>
  <si>
    <t>Worcestershire Acute Hospitals NHS Trust</t>
  </si>
  <si>
    <t>RLQ</t>
  </si>
  <si>
    <t>Wye Valley NHS Trust</t>
  </si>
  <si>
    <t>RTE</t>
  </si>
  <si>
    <t>Gloucestershire Hospitals NHS Foundation Trust</t>
  </si>
  <si>
    <t>RN3</t>
  </si>
  <si>
    <t>Great Western Hospitals NHS Foundation Trust</t>
  </si>
  <si>
    <t>RVJ</t>
  </si>
  <si>
    <t>North Bristol NHS Trust</t>
  </si>
  <si>
    <t>REF</t>
  </si>
  <si>
    <t>Royal Cornwall Hospitals NHS Trust</t>
  </si>
  <si>
    <t>RH8</t>
  </si>
  <si>
    <t>Royal Devon University Healthcare NHS Foundation Trust</t>
  </si>
  <si>
    <t>RD1</t>
  </si>
  <si>
    <t>Royal United Hospitals Bath NHS Foundation Trust</t>
  </si>
  <si>
    <t>RH5</t>
  </si>
  <si>
    <t>Somerset NHS Foundation Trust</t>
  </si>
  <si>
    <t>RA9</t>
  </si>
  <si>
    <t>Torbay and South Devon NHS Foundation Trust</t>
  </si>
  <si>
    <t>RA7</t>
  </si>
  <si>
    <t>University Hospitals Bristol and Weston NHS Foundation Trust</t>
  </si>
  <si>
    <t>RK9</t>
  </si>
  <si>
    <t>University Hospitals Plymouth NHS Trust</t>
  </si>
  <si>
    <t>RXV</t>
  </si>
  <si>
    <t>Greater Manchester Mental Health NHS Foundation Trust</t>
  </si>
  <si>
    <t>RYW</t>
  </si>
  <si>
    <t>Birmingham Community Healthcare NHS Foundation Trust</t>
  </si>
  <si>
    <t>TAH</t>
  </si>
  <si>
    <t>Sheffield Health and Social Care NHS Foundation Trust</t>
  </si>
  <si>
    <t>Secondary area of work: Accident and Emergency</t>
  </si>
  <si>
    <t>Secondary area of work</t>
  </si>
  <si>
    <t>Filters</t>
  </si>
  <si>
    <t>This analysis utilises the 'secondary area of work' field, which is derived from the National Workforce Dataset. These data are as submitted by individual NHS organisations and are not subject to the full range of validation procedures undertaken by NHS England in relation to other data items used in official publications.</t>
  </si>
  <si>
    <t>Grade: Consultant</t>
  </si>
  <si>
    <t>Staff Group: HCHS Doctor</t>
  </si>
  <si>
    <t>Staff Group: HCHS Doctors</t>
  </si>
  <si>
    <t>Grade: All excluding consultant doctors</t>
  </si>
  <si>
    <t>Notes</t>
  </si>
  <si>
    <t>Staff Groups: Ambulance staff; scientific, therapeutic &amp; technical staff; support to doctors, nurses and midwives; support to ambulance staff; support to ST&amp;T staff</t>
  </si>
  <si>
    <t>Grade: All</t>
  </si>
  <si>
    <t>Staff Group: Nurses and Health Visitors</t>
  </si>
  <si>
    <r>
      <rPr>
        <vertAlign val="superscript"/>
        <sz val="9"/>
        <color theme="1"/>
        <rFont val="Arial"/>
        <family val="2"/>
      </rPr>
      <t>2</t>
    </r>
    <r>
      <rPr>
        <sz val="9"/>
        <color theme="1"/>
        <rFont val="Arial"/>
        <family val="2"/>
      </rPr>
      <t xml:space="preserve"> Includes the following staff groups; Associate Specialist, Consultant (including Directors of Public Health), Hospital Practitioner / Clinical Assistant, Other and Local HCHS Doctor Grades, Specialty Doctor, Staff Grade, Nurses &amp; health visitors, Ambulance staff, Scientific, therapeutic &amp; technical staff, Support to doctors, nurses &amp; midwives, Support to ambulance staff, Support to ST&amp;T staff</t>
    </r>
  </si>
  <si>
    <r>
      <rPr>
        <vertAlign val="superscript"/>
        <sz val="10"/>
        <color theme="1"/>
        <rFont val="Arial"/>
        <family val="2"/>
      </rPr>
      <t xml:space="preserve">1 </t>
    </r>
    <r>
      <rPr>
        <sz val="10"/>
        <color theme="1"/>
        <rFont val="Arial"/>
        <family val="2"/>
      </rPr>
      <t>Excludes Doctors in Training and Equivalents</t>
    </r>
  </si>
  <si>
    <r>
      <t xml:space="preserve">All clinical staff </t>
    </r>
    <r>
      <rPr>
        <b/>
        <vertAlign val="superscript"/>
        <sz val="10"/>
        <color theme="1"/>
        <rFont val="Arial"/>
        <family val="2"/>
      </rPr>
      <t>1,2</t>
    </r>
  </si>
  <si>
    <r>
      <t>Care providers</t>
    </r>
    <r>
      <rPr>
        <b/>
        <vertAlign val="superscript"/>
        <sz val="10"/>
        <color theme="1"/>
        <rFont val="Arial"/>
        <family val="2"/>
      </rPr>
      <t>3</t>
    </r>
  </si>
  <si>
    <r>
      <rPr>
        <vertAlign val="superscript"/>
        <sz val="9"/>
        <color theme="1"/>
        <rFont val="Arial"/>
        <family val="2"/>
      </rPr>
      <t>3</t>
    </r>
    <r>
      <rPr>
        <sz val="9"/>
        <color theme="1"/>
        <rFont val="Arial"/>
        <family val="2"/>
      </rPr>
      <t xml:space="preserve"> Includes the following staff groups; Ambulance staff, Scientific, therapeutic &amp; technical staff, Support to doctors, nurses &amp; midwives, Support to ambulance staff, Support to ST&amp;T staff</t>
    </r>
  </si>
  <si>
    <t>Nurses and health visitors</t>
  </si>
  <si>
    <r>
      <t>Doctors</t>
    </r>
    <r>
      <rPr>
        <b/>
        <vertAlign val="superscript"/>
        <sz val="10"/>
        <color theme="1"/>
        <rFont val="Arial"/>
        <family val="2"/>
      </rPr>
      <t>1</t>
    </r>
  </si>
  <si>
    <t>Workforce - Full Time Equivalent (FTE) and Stability Index Figures for 2024-25</t>
  </si>
  <si>
    <t>Publication date: 25th September 2025</t>
  </si>
  <si>
    <t>Hospital Accident &amp; Emergency Activity, 2024-25 - NHS England Digital</t>
  </si>
  <si>
    <t>Table 1a: Full Time Equivalent (FTE) Figures for Doctors (excluding Consultants), 2024-25</t>
  </si>
  <si>
    <t>Table 1b: Full Time Equivalent (FTE) Figures for Consultants, 2024-25</t>
  </si>
  <si>
    <t>Table 1c: Full Time Equivalent (FTE) Figures for Nurses, 2024-25</t>
  </si>
  <si>
    <t>Table 1d: Full Time Equivalent (FTE) Figures for Care Providers, 2024-25</t>
  </si>
  <si>
    <t>Table 2: Stability Index of Staff for NHS Trusts, 2024-25</t>
  </si>
  <si>
    <t>Copyright © 2025</t>
  </si>
  <si>
    <t>Copyright © 2025, NHS England.</t>
  </si>
  <si>
    <t>RTQ</t>
  </si>
  <si>
    <t>Gloucestershire Health and Care NHS Foundation Trust</t>
  </si>
  <si>
    <t>Stability Index of staff in the Accident and Emergency secondary area of work, by customer specified staff group and organisation, in NHS Trusts, annually 31 March 2024 to 31 March 2025</t>
  </si>
  <si>
    <t>RNU</t>
  </si>
  <si>
    <t>Kingston and Richmond NHS Foundation Trust</t>
  </si>
  <si>
    <t>Oxford Health NHS Foundation Trust</t>
  </si>
  <si>
    <t>United Lincolnshire Teaching Hospitals NHS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</si>
</sst>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35" x14ac:knownFonts="1">
    <font>
      <sz val="12"/>
      <color theme="1"/>
      <name val="Arial"/>
      <family val="2"/>
    </font>
    <font>
      <sz val="10"/>
      <name val="Arial"/>
      <family val="2"/>
    </font>
    <font>
      <b/>
      <sz val="18"/>
      <color rgb="FF005EB8"/>
      <name val="Arial"/>
      <family val="2"/>
    </font>
    <font>
      <b/>
      <sz val="30"/>
      <color rgb="FF003360"/>
      <name val="Arial"/>
      <family val="2"/>
    </font>
    <font>
      <sz val="9"/>
      <color rgb="FFFF0000"/>
      <name val="Arial"/>
      <family val="2"/>
    </font>
    <font>
      <sz val="9"/>
      <name val="Arial"/>
      <family val="2"/>
    </font>
    <font>
      <sz val="9"/>
      <color rgb="FFFFFFFF"/>
      <name val="Arial"/>
      <family val="2"/>
    </font>
    <font>
      <b/>
      <sz val="20"/>
      <color rgb="FF505050"/>
      <name val="Arial"/>
      <family val="2"/>
    </font>
    <font>
      <sz val="11"/>
      <color theme="1"/>
      <name val="Calibri"/>
      <family val="2"/>
      <scheme val="minor"/>
    </font>
    <font>
      <u/>
      <sz val="10"/>
      <color indexed="12"/>
      <name val="Arial"/>
      <family val="2"/>
    </font>
    <font>
      <sz val="11"/>
      <color theme="1"/>
      <name val="Arial"/>
      <family val="2"/>
    </font>
    <font>
      <b/>
      <sz val="11"/>
      <color theme="1"/>
      <name val="Arial"/>
      <family val="2"/>
    </font>
    <font>
      <sz val="10"/>
      <color theme="1"/>
      <name val="Arial"/>
      <family val="2"/>
    </font>
    <font>
      <sz val="11"/>
      <name val="Arial"/>
      <family val="2"/>
    </font>
    <font>
      <b/>
      <sz val="11"/>
      <color indexed="8"/>
      <name val="Arial"/>
      <family val="2"/>
    </font>
    <font>
      <u/>
      <sz val="11"/>
      <color theme="10"/>
      <name val="Calibri"/>
      <family val="2"/>
    </font>
    <font>
      <b/>
      <sz val="10"/>
      <name val="Arial"/>
      <family val="2"/>
    </font>
    <font>
      <sz val="10"/>
      <color indexed="8"/>
      <name val="Arial"/>
      <family val="2"/>
    </font>
    <font>
      <sz val="12"/>
      <color rgb="FF424D58"/>
      <name val="Arial"/>
      <family val="2"/>
    </font>
    <font>
      <u/>
      <sz val="12"/>
      <color rgb="FF004488"/>
      <name val="Arial"/>
      <family val="2"/>
    </font>
    <font>
      <u/>
      <sz val="10"/>
      <color rgb="FF004488"/>
      <name val="Arial"/>
      <family val="2"/>
    </font>
    <font>
      <u/>
      <sz val="11"/>
      <color theme="10"/>
      <name val="Arial"/>
      <family val="2"/>
    </font>
    <font>
      <u/>
      <sz val="10"/>
      <color rgb="FF0000FF"/>
      <name val="Arial"/>
      <family val="2"/>
    </font>
    <font>
      <sz val="8"/>
      <color theme="1"/>
      <name val="Arial"/>
      <family val="2"/>
    </font>
    <font>
      <b/>
      <sz val="10"/>
      <color rgb="FF000000"/>
      <name val="Arial"/>
      <family val="2"/>
    </font>
    <font>
      <b/>
      <sz val="10"/>
      <color theme="1"/>
      <name val="Arial"/>
      <family val="2"/>
    </font>
    <font>
      <b/>
      <vertAlign val="superscript"/>
      <sz val="10"/>
      <color theme="1"/>
      <name val="Arial"/>
      <family val="2"/>
    </font>
    <font>
      <vertAlign val="superscript"/>
      <sz val="10"/>
      <color theme="1"/>
      <name val="Arial"/>
      <family val="2"/>
    </font>
    <font>
      <u/>
      <sz val="12"/>
      <color theme="10"/>
      <name val="Arial"/>
      <family val="2"/>
    </font>
    <font>
      <u/>
      <sz val="10"/>
      <color theme="10"/>
      <name val="Arial"/>
      <family val="2"/>
    </font>
    <font>
      <sz val="10"/>
      <color rgb="FF000000"/>
      <name val="Arial"/>
      <family val="2"/>
    </font>
    <font>
      <sz val="11"/>
      <color rgb="FF000000"/>
      <name val="Calibri"/>
      <family val="2"/>
      <scheme val="minor"/>
    </font>
    <font>
      <sz val="11"/>
      <name val="Calibri"/>
      <family val="2"/>
    </font>
    <font>
      <sz val="9"/>
      <color theme="1"/>
      <name val="Arial"/>
      <family val="2"/>
    </font>
    <font>
      <vertAlign val="superscript"/>
      <sz val="9"/>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39">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dotted">
        <color indexed="64"/>
      </right>
      <top/>
      <bottom/>
      <diagonal/>
    </border>
    <border>
      <left style="dotted">
        <color indexed="64"/>
      </left>
      <right style="dotted">
        <color indexed="64"/>
      </right>
      <top/>
      <bottom/>
      <diagonal/>
    </border>
    <border>
      <left style="dotted">
        <color indexed="64"/>
      </left>
      <right/>
      <top/>
      <bottom/>
      <diagonal/>
    </border>
    <border>
      <left style="dotted">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style="dotted">
        <color indexed="64"/>
      </left>
      <right style="dotted">
        <color indexed="64"/>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right/>
      <top/>
      <bottom style="medium">
        <color indexed="64"/>
      </bottom>
      <diagonal/>
    </border>
    <border>
      <left/>
      <right/>
      <top style="medium">
        <color indexed="64"/>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right style="medium">
        <color indexed="64"/>
      </right>
      <top style="medium">
        <color indexed="64"/>
      </top>
      <bottom/>
      <diagonal/>
    </border>
    <border>
      <left style="medium">
        <color indexed="64"/>
      </left>
      <right style="dotted">
        <color indexed="64"/>
      </right>
      <top style="medium">
        <color indexed="64"/>
      </top>
      <bottom/>
      <diagonal/>
    </border>
    <border>
      <left style="dotted">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dotted">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top style="medium">
        <color indexed="64"/>
      </top>
      <bottom/>
      <diagonal/>
    </border>
  </borders>
  <cellStyleXfs count="12">
    <xf numFmtId="0" fontId="0" fillId="0" borderId="0"/>
    <xf numFmtId="0" fontId="1" fillId="0" borderId="0"/>
    <xf numFmtId="0" fontId="8" fillId="0" borderId="0"/>
    <xf numFmtId="0" fontId="9" fillId="0" borderId="0" applyNumberFormat="0" applyFill="0" applyBorder="0" applyAlignment="0" applyProtection="0">
      <alignment vertical="top"/>
      <protection locked="0"/>
    </xf>
    <xf numFmtId="0" fontId="15" fillId="0" borderId="0" applyNumberFormat="0" applyFill="0" applyBorder="0" applyAlignment="0" applyProtection="0"/>
    <xf numFmtId="0" fontId="19" fillId="0" borderId="0" applyNumberFormat="0" applyFill="0" applyBorder="0" applyAlignment="0" applyProtection="0"/>
    <xf numFmtId="0" fontId="8" fillId="0" borderId="0"/>
    <xf numFmtId="0" fontId="8" fillId="0" borderId="0"/>
    <xf numFmtId="43" fontId="1" fillId="0" borderId="0" applyFont="0" applyFill="0" applyBorder="0" applyAlignment="0" applyProtection="0"/>
    <xf numFmtId="0" fontId="1" fillId="0" borderId="0"/>
    <xf numFmtId="0" fontId="28" fillId="0" borderId="0" applyNumberFormat="0" applyFill="0" applyBorder="0" applyAlignment="0" applyProtection="0"/>
    <xf numFmtId="0" fontId="31" fillId="0" borderId="0"/>
  </cellStyleXfs>
  <cellXfs count="149">
    <xf numFmtId="0" fontId="0" fillId="0" borderId="0" xfId="0"/>
    <xf numFmtId="0" fontId="1" fillId="2" borderId="0" xfId="1" applyFill="1"/>
    <xf numFmtId="0" fontId="3" fillId="2" borderId="0" xfId="1" applyFont="1" applyFill="1"/>
    <xf numFmtId="0" fontId="4" fillId="2" borderId="0" xfId="1" applyFont="1" applyFill="1"/>
    <xf numFmtId="0" fontId="5" fillId="2" borderId="0" xfId="1" applyFont="1" applyFill="1"/>
    <xf numFmtId="0" fontId="6" fillId="2" borderId="0" xfId="1" applyFont="1" applyFill="1"/>
    <xf numFmtId="0" fontId="1" fillId="0" borderId="0" xfId="1" applyAlignment="1">
      <alignment horizontal="left"/>
    </xf>
    <xf numFmtId="0" fontId="1" fillId="0" borderId="0" xfId="1"/>
    <xf numFmtId="0" fontId="13" fillId="2" borderId="0" xfId="1" applyFont="1" applyFill="1"/>
    <xf numFmtId="0" fontId="9" fillId="2" borderId="0" xfId="3" quotePrefix="1" applyFill="1" applyBorder="1" applyAlignment="1" applyProtection="1">
      <alignment horizontal="left" vertical="top" wrapText="1"/>
      <protection locked="0"/>
    </xf>
    <xf numFmtId="0" fontId="10" fillId="2" borderId="0" xfId="2" applyFont="1" applyFill="1"/>
    <xf numFmtId="0" fontId="18" fillId="2" borderId="0" xfId="2" applyFont="1" applyFill="1" applyAlignment="1">
      <alignment vertical="center"/>
    </xf>
    <xf numFmtId="0" fontId="10" fillId="2" borderId="0" xfId="2" applyFont="1" applyFill="1" applyAlignment="1">
      <alignment vertical="center"/>
    </xf>
    <xf numFmtId="0" fontId="21" fillId="2" borderId="0" xfId="4" applyFont="1" applyFill="1" applyAlignment="1">
      <alignment vertical="center"/>
    </xf>
    <xf numFmtId="0" fontId="9" fillId="0" borderId="0" xfId="3" applyAlignment="1" applyProtection="1">
      <alignment vertical="center"/>
    </xf>
    <xf numFmtId="0" fontId="1" fillId="2" borderId="0" xfId="1" applyFill="1" applyAlignment="1">
      <alignment horizontal="left" wrapText="1"/>
    </xf>
    <xf numFmtId="0" fontId="12" fillId="0" borderId="0" xfId="6" applyFont="1"/>
    <xf numFmtId="0" fontId="23" fillId="0" borderId="0" xfId="6" applyFont="1"/>
    <xf numFmtId="0" fontId="23" fillId="0" borderId="0" xfId="7" applyFont="1"/>
    <xf numFmtId="0" fontId="16" fillId="2" borderId="5" xfId="1" applyFont="1" applyFill="1" applyBorder="1" applyAlignment="1">
      <alignment horizontal="center" vertical="center" wrapText="1"/>
    </xf>
    <xf numFmtId="0" fontId="16" fillId="2" borderId="9" xfId="1" applyFont="1" applyFill="1" applyBorder="1" applyAlignment="1">
      <alignment horizontal="center" vertical="center"/>
    </xf>
    <xf numFmtId="0" fontId="16" fillId="2" borderId="10" xfId="1" applyFont="1" applyFill="1" applyBorder="1" applyAlignment="1">
      <alignment horizontal="center" vertical="center"/>
    </xf>
    <xf numFmtId="0" fontId="16" fillId="2" borderId="11" xfId="1" applyFont="1" applyFill="1" applyBorder="1" applyAlignment="1">
      <alignment horizontal="center" vertical="center"/>
    </xf>
    <xf numFmtId="0" fontId="16" fillId="2" borderId="3" xfId="1" applyFont="1" applyFill="1" applyBorder="1" applyAlignment="1">
      <alignment horizontal="left" vertical="center" wrapText="1"/>
    </xf>
    <xf numFmtId="0" fontId="16" fillId="2" borderId="12" xfId="1" applyFont="1" applyFill="1" applyBorder="1" applyAlignment="1">
      <alignment vertical="center" wrapText="1"/>
    </xf>
    <xf numFmtId="0" fontId="16" fillId="2" borderId="0" xfId="8" applyNumberFormat="1" applyFont="1" applyFill="1" applyBorder="1" applyAlignment="1"/>
    <xf numFmtId="0" fontId="16" fillId="2" borderId="0" xfId="8" applyNumberFormat="1" applyFont="1" applyFill="1" applyBorder="1" applyAlignment="1">
      <alignment horizontal="right" vertical="center"/>
    </xf>
    <xf numFmtId="0" fontId="1" fillId="2" borderId="13" xfId="1" applyFill="1" applyBorder="1"/>
    <xf numFmtId="0" fontId="1" fillId="2" borderId="0" xfId="8" applyNumberFormat="1" applyFont="1" applyFill="1" applyBorder="1" applyAlignment="1">
      <alignment horizontal="left" vertical="center"/>
    </xf>
    <xf numFmtId="0" fontId="0" fillId="2" borderId="0" xfId="8" applyNumberFormat="1" applyFont="1" applyFill="1" applyBorder="1" applyAlignment="1">
      <alignment horizontal="right"/>
    </xf>
    <xf numFmtId="0" fontId="1" fillId="2" borderId="0" xfId="1" applyFill="1" applyAlignment="1">
      <alignment horizontal="left"/>
    </xf>
    <xf numFmtId="164" fontId="0" fillId="2" borderId="0" xfId="8" applyNumberFormat="1" applyFont="1" applyFill="1" applyBorder="1" applyAlignment="1">
      <alignment horizontal="right"/>
    </xf>
    <xf numFmtId="1" fontId="0" fillId="2" borderId="0" xfId="8" applyNumberFormat="1" applyFont="1" applyFill="1" applyBorder="1" applyAlignment="1">
      <alignment horizontal="right"/>
    </xf>
    <xf numFmtId="0" fontId="25" fillId="0" borderId="4" xfId="1" applyFont="1" applyBorder="1" applyAlignment="1">
      <alignment horizontal="left" wrapText="1"/>
    </xf>
    <xf numFmtId="0" fontId="25" fillId="0" borderId="12" xfId="1" applyFont="1" applyBorder="1" applyAlignment="1">
      <alignment horizontal="left" wrapText="1"/>
    </xf>
    <xf numFmtId="9" fontId="12" fillId="0" borderId="3" xfId="1" applyNumberFormat="1" applyFont="1" applyBorder="1"/>
    <xf numFmtId="9" fontId="12" fillId="0" borderId="4" xfId="1" applyNumberFormat="1" applyFont="1" applyBorder="1"/>
    <xf numFmtId="9" fontId="12" fillId="0" borderId="12" xfId="1" applyNumberFormat="1" applyFont="1" applyBorder="1"/>
    <xf numFmtId="0" fontId="1" fillId="2" borderId="21" xfId="1" applyFill="1" applyBorder="1"/>
    <xf numFmtId="164" fontId="0" fillId="2" borderId="21" xfId="8" applyNumberFormat="1" applyFont="1" applyFill="1" applyBorder="1"/>
    <xf numFmtId="0" fontId="12" fillId="0" borderId="1" xfId="1" applyFont="1" applyBorder="1"/>
    <xf numFmtId="0" fontId="12" fillId="0" borderId="2" xfId="1" applyFont="1" applyBorder="1"/>
    <xf numFmtId="9" fontId="12" fillId="0" borderId="1" xfId="1" applyNumberFormat="1" applyFont="1" applyBorder="1"/>
    <xf numFmtId="9" fontId="12" fillId="0" borderId="15" xfId="1" applyNumberFormat="1" applyFont="1" applyBorder="1"/>
    <xf numFmtId="9" fontId="12" fillId="0" borderId="2" xfId="1" applyNumberFormat="1" applyFont="1" applyBorder="1"/>
    <xf numFmtId="0" fontId="12" fillId="0" borderId="17" xfId="1" applyFont="1" applyBorder="1"/>
    <xf numFmtId="0" fontId="12" fillId="0" borderId="18" xfId="1" applyFont="1" applyBorder="1"/>
    <xf numFmtId="9" fontId="12" fillId="0" borderId="17" xfId="1" applyNumberFormat="1" applyFont="1" applyBorder="1"/>
    <xf numFmtId="9" fontId="12" fillId="0" borderId="19" xfId="1" applyNumberFormat="1" applyFont="1" applyBorder="1"/>
    <xf numFmtId="9" fontId="12" fillId="0" borderId="18" xfId="1" applyNumberFormat="1" applyFont="1" applyBorder="1"/>
    <xf numFmtId="0" fontId="23" fillId="0" borderId="0" xfId="1" applyFont="1"/>
    <xf numFmtId="0" fontId="25" fillId="0" borderId="0" xfId="1" applyFont="1"/>
    <xf numFmtId="0" fontId="12" fillId="0" borderId="0" xfId="1" applyFont="1"/>
    <xf numFmtId="0" fontId="23" fillId="0" borderId="0" xfId="1" quotePrefix="1" applyFont="1"/>
    <xf numFmtId="0" fontId="16" fillId="2" borderId="26" xfId="0" applyFont="1" applyFill="1" applyBorder="1" applyAlignment="1">
      <alignment horizontal="left" vertical="center" wrapText="1"/>
    </xf>
    <xf numFmtId="0" fontId="16" fillId="2" borderId="27" xfId="0" applyFont="1" applyFill="1" applyBorder="1" applyAlignment="1">
      <alignment vertical="center" wrapText="1"/>
    </xf>
    <xf numFmtId="0" fontId="12" fillId="2" borderId="28" xfId="0" applyFont="1" applyFill="1" applyBorder="1"/>
    <xf numFmtId="0" fontId="12" fillId="2" borderId="5" xfId="0" applyFont="1" applyFill="1" applyBorder="1"/>
    <xf numFmtId="0" fontId="1" fillId="0" borderId="1" xfId="1" applyBorder="1"/>
    <xf numFmtId="0" fontId="1" fillId="0" borderId="2" xfId="1" applyBorder="1"/>
    <xf numFmtId="0" fontId="1" fillId="0" borderId="17" xfId="1" applyBorder="1"/>
    <xf numFmtId="0" fontId="1" fillId="0" borderId="18" xfId="1" applyBorder="1"/>
    <xf numFmtId="0" fontId="1" fillId="0" borderId="33" xfId="1" applyBorder="1"/>
    <xf numFmtId="0" fontId="1" fillId="0" borderId="34" xfId="1" applyBorder="1"/>
    <xf numFmtId="9" fontId="12" fillId="0" borderId="0" xfId="1" applyNumberFormat="1" applyFont="1"/>
    <xf numFmtId="0" fontId="12" fillId="0" borderId="0" xfId="9" applyFont="1"/>
    <xf numFmtId="0" fontId="1" fillId="0" borderId="0" xfId="9"/>
    <xf numFmtId="0" fontId="1" fillId="2" borderId="0" xfId="1" applyFill="1" applyAlignment="1">
      <alignment horizontal="left" vertical="center" wrapText="1" readingOrder="1"/>
    </xf>
    <xf numFmtId="0" fontId="25" fillId="2" borderId="0" xfId="0" applyFont="1" applyFill="1"/>
    <xf numFmtId="0" fontId="12" fillId="2" borderId="0" xfId="0" applyFont="1" applyFill="1"/>
    <xf numFmtId="0" fontId="10" fillId="2" borderId="0" xfId="0" applyFont="1" applyFill="1"/>
    <xf numFmtId="0" fontId="12" fillId="2" borderId="0" xfId="0" applyFont="1" applyFill="1" applyAlignment="1">
      <alignment vertical="top"/>
    </xf>
    <xf numFmtId="0" fontId="32" fillId="0" borderId="0" xfId="11" applyFont="1"/>
    <xf numFmtId="165" fontId="16" fillId="2" borderId="32" xfId="0" applyNumberFormat="1" applyFont="1" applyFill="1" applyBorder="1" applyAlignment="1">
      <alignment vertical="center"/>
    </xf>
    <xf numFmtId="3" fontId="16" fillId="2" borderId="31" xfId="8" applyNumberFormat="1" applyFont="1" applyFill="1" applyBorder="1" applyAlignment="1"/>
    <xf numFmtId="3" fontId="12" fillId="2" borderId="22" xfId="0" applyNumberFormat="1" applyFont="1" applyFill="1" applyBorder="1"/>
    <xf numFmtId="3" fontId="12" fillId="0" borderId="1" xfId="8" applyNumberFormat="1" applyFont="1" applyBorder="1"/>
    <xf numFmtId="3" fontId="12" fillId="0" borderId="15" xfId="8" applyNumberFormat="1" applyFont="1" applyBorder="1"/>
    <xf numFmtId="3" fontId="12" fillId="0" borderId="23" xfId="8" applyNumberFormat="1" applyFont="1" applyBorder="1"/>
    <xf numFmtId="3" fontId="12" fillId="0" borderId="17" xfId="8" applyNumberFormat="1" applyFont="1" applyBorder="1"/>
    <xf numFmtId="3" fontId="12" fillId="0" borderId="19" xfId="8" applyNumberFormat="1" applyFont="1" applyBorder="1"/>
    <xf numFmtId="3" fontId="12" fillId="0" borderId="24" xfId="8" applyNumberFormat="1" applyFont="1" applyBorder="1"/>
    <xf numFmtId="3" fontId="12" fillId="0" borderId="33" xfId="8" applyNumberFormat="1" applyFont="1" applyBorder="1"/>
    <xf numFmtId="3" fontId="12" fillId="0" borderId="35" xfId="8" applyNumberFormat="1" applyFont="1" applyBorder="1"/>
    <xf numFmtId="3" fontId="12" fillId="0" borderId="36" xfId="8" applyNumberFormat="1" applyFont="1" applyBorder="1"/>
    <xf numFmtId="166" fontId="16" fillId="2" borderId="32" xfId="0" applyNumberFormat="1" applyFont="1" applyFill="1" applyBorder="1" applyAlignment="1">
      <alignment vertical="center"/>
    </xf>
    <xf numFmtId="166" fontId="12" fillId="2" borderId="25" xfId="0" applyNumberFormat="1" applyFont="1" applyFill="1" applyBorder="1"/>
    <xf numFmtId="166" fontId="12" fillId="0" borderId="16" xfId="8" applyNumberFormat="1" applyFont="1" applyFill="1" applyBorder="1"/>
    <xf numFmtId="166" fontId="12" fillId="0" borderId="20" xfId="8" applyNumberFormat="1" applyFont="1" applyFill="1" applyBorder="1"/>
    <xf numFmtId="166" fontId="12" fillId="0" borderId="37" xfId="8" applyNumberFormat="1" applyFont="1" applyFill="1" applyBorder="1"/>
    <xf numFmtId="0" fontId="12" fillId="2" borderId="38" xfId="0" applyFont="1" applyFill="1" applyBorder="1"/>
    <xf numFmtId="0" fontId="12" fillId="2" borderId="22" xfId="0" applyFont="1" applyFill="1" applyBorder="1"/>
    <xf numFmtId="165" fontId="12" fillId="2" borderId="25" xfId="0" applyNumberFormat="1" applyFont="1" applyFill="1" applyBorder="1"/>
    <xf numFmtId="165" fontId="12" fillId="0" borderId="16" xfId="8" applyNumberFormat="1" applyFont="1" applyFill="1" applyBorder="1"/>
    <xf numFmtId="165" fontId="12" fillId="0" borderId="20" xfId="8" applyNumberFormat="1" applyFont="1" applyFill="1" applyBorder="1"/>
    <xf numFmtId="165" fontId="12" fillId="0" borderId="37" xfId="8" applyNumberFormat="1" applyFont="1" applyFill="1" applyBorder="1"/>
    <xf numFmtId="0" fontId="25" fillId="0" borderId="0" xfId="6" applyFont="1"/>
    <xf numFmtId="0" fontId="12" fillId="0" borderId="0" xfId="0" applyFont="1"/>
    <xf numFmtId="0" fontId="33" fillId="0" borderId="0" xfId="0" applyFont="1" applyAlignment="1">
      <alignment wrapText="1"/>
    </xf>
    <xf numFmtId="0" fontId="33" fillId="0" borderId="0" xfId="0" applyFont="1"/>
    <xf numFmtId="0" fontId="29" fillId="0" borderId="0" xfId="10" applyFont="1" applyAlignment="1" applyProtection="1"/>
    <xf numFmtId="0" fontId="1" fillId="0" borderId="0" xfId="1" quotePrefix="1"/>
    <xf numFmtId="3" fontId="12" fillId="0" borderId="37" xfId="8" applyNumberFormat="1" applyFont="1" applyBorder="1"/>
    <xf numFmtId="0" fontId="12" fillId="0" borderId="33" xfId="1" applyFont="1" applyBorder="1"/>
    <xf numFmtId="0" fontId="12" fillId="0" borderId="34" xfId="1" applyFont="1" applyBorder="1"/>
    <xf numFmtId="9" fontId="12" fillId="0" borderId="33" xfId="1" applyNumberFormat="1" applyFont="1" applyBorder="1"/>
    <xf numFmtId="9" fontId="12" fillId="0" borderId="35" xfId="1" applyNumberFormat="1" applyFont="1" applyBorder="1"/>
    <xf numFmtId="9" fontId="12" fillId="0" borderId="34" xfId="1" applyNumberFormat="1" applyFont="1" applyBorder="1"/>
    <xf numFmtId="0" fontId="17" fillId="2" borderId="0" xfId="2" applyFont="1" applyFill="1" applyAlignment="1" applyProtection="1">
      <alignment horizontal="left" vertical="top" wrapText="1"/>
      <protection locked="0"/>
    </xf>
    <xf numFmtId="0" fontId="20" fillId="2" borderId="0" xfId="5" applyFont="1" applyFill="1" applyAlignment="1" applyProtection="1">
      <alignment horizontal="left" vertical="top" wrapText="1"/>
      <protection locked="0"/>
    </xf>
    <xf numFmtId="0" fontId="17" fillId="2" borderId="0" xfId="2" applyFont="1" applyFill="1" applyAlignment="1" applyProtection="1">
      <alignment vertical="top" wrapText="1"/>
      <protection locked="0"/>
    </xf>
    <xf numFmtId="0" fontId="29" fillId="2" borderId="0" xfId="10" quotePrefix="1" applyFont="1" applyFill="1" applyBorder="1" applyAlignment="1" applyProtection="1">
      <alignment horizontal="left" vertical="top" wrapText="1"/>
      <protection locked="0"/>
    </xf>
    <xf numFmtId="0" fontId="11" fillId="2" borderId="0" xfId="2" applyFont="1" applyFill="1" applyAlignment="1">
      <alignment wrapText="1"/>
    </xf>
    <xf numFmtId="0" fontId="12" fillId="2" borderId="0" xfId="2" applyFont="1" applyFill="1" applyAlignment="1">
      <alignment vertical="top" wrapText="1"/>
    </xf>
    <xf numFmtId="0" fontId="10" fillId="2" borderId="0" xfId="2" applyFont="1" applyFill="1" applyAlignment="1">
      <alignment wrapText="1"/>
    </xf>
    <xf numFmtId="0" fontId="14" fillId="2" borderId="0" xfId="2" applyFont="1" applyFill="1" applyAlignment="1" applyProtection="1">
      <alignment vertical="top" wrapText="1"/>
      <protection locked="0"/>
    </xf>
    <xf numFmtId="0" fontId="16" fillId="2" borderId="0" xfId="4" quotePrefix="1" applyFont="1" applyFill="1" applyBorder="1" applyAlignment="1" applyProtection="1">
      <alignment vertical="top" wrapText="1"/>
      <protection locked="0"/>
    </xf>
    <xf numFmtId="0" fontId="29" fillId="0" borderId="0" xfId="10" applyFont="1" applyAlignment="1" applyProtection="1"/>
    <xf numFmtId="0" fontId="9" fillId="0" borderId="0" xfId="3" applyAlignment="1" applyProtection="1"/>
    <xf numFmtId="0" fontId="1" fillId="2" borderId="0" xfId="1" applyFill="1" applyAlignment="1">
      <alignment horizontal="center"/>
    </xf>
    <xf numFmtId="0" fontId="2" fillId="3" borderId="0" xfId="1" applyFont="1" applyFill="1" applyAlignment="1">
      <alignment horizontal="left" vertical="top" wrapText="1"/>
    </xf>
    <xf numFmtId="0" fontId="7" fillId="2" borderId="0" xfId="1" applyFont="1" applyFill="1" applyAlignment="1">
      <alignment horizontal="left" vertical="center"/>
    </xf>
    <xf numFmtId="0" fontId="1" fillId="2" borderId="0" xfId="2" applyFont="1" applyFill="1" applyAlignment="1">
      <alignment wrapText="1"/>
    </xf>
    <xf numFmtId="0" fontId="2" fillId="2" borderId="0" xfId="1" applyFont="1" applyFill="1" applyAlignment="1">
      <alignment horizontal="left" vertical="top" wrapText="1"/>
    </xf>
    <xf numFmtId="0" fontId="1" fillId="2" borderId="0" xfId="1" applyFill="1" applyAlignment="1">
      <alignment horizontal="left" wrapText="1"/>
    </xf>
    <xf numFmtId="0" fontId="16" fillId="2" borderId="1" xfId="1" applyFont="1" applyFill="1" applyBorder="1" applyAlignment="1">
      <alignment horizontal="center" vertical="center" wrapText="1"/>
    </xf>
    <xf numFmtId="0" fontId="16" fillId="2" borderId="7" xfId="1" applyFont="1" applyFill="1" applyBorder="1" applyAlignment="1">
      <alignment horizontal="center" vertical="center" wrapText="1"/>
    </xf>
    <xf numFmtId="0" fontId="16" fillId="2" borderId="2" xfId="1" applyFont="1" applyFill="1" applyBorder="1" applyAlignment="1">
      <alignment horizontal="center" vertical="center" wrapText="1"/>
    </xf>
    <xf numFmtId="0" fontId="16" fillId="2" borderId="8" xfId="1" applyFont="1" applyFill="1" applyBorder="1" applyAlignment="1">
      <alignment horizontal="center" vertical="center" wrapText="1"/>
    </xf>
    <xf numFmtId="0" fontId="16" fillId="2" borderId="3" xfId="1" applyFont="1" applyFill="1" applyBorder="1" applyAlignment="1">
      <alignment horizontal="center" vertical="center" wrapText="1"/>
    </xf>
    <xf numFmtId="0" fontId="16" fillId="2" borderId="4" xfId="1" applyFont="1" applyFill="1" applyBorder="1" applyAlignment="1">
      <alignment horizontal="center" vertical="center" wrapText="1"/>
    </xf>
    <xf numFmtId="0" fontId="16" fillId="2" borderId="6" xfId="1" applyFont="1" applyFill="1" applyBorder="1" applyAlignment="1">
      <alignment horizontal="center" wrapText="1"/>
    </xf>
    <xf numFmtId="0" fontId="24" fillId="2" borderId="0" xfId="1" applyFont="1" applyFill="1" applyAlignment="1">
      <alignment horizontal="left" vertical="center" readingOrder="1"/>
    </xf>
    <xf numFmtId="0" fontId="1" fillId="2" borderId="0" xfId="1" applyFill="1" applyAlignment="1">
      <alignment horizontal="left" vertical="center" wrapText="1" readingOrder="1"/>
    </xf>
    <xf numFmtId="0" fontId="30" fillId="0" borderId="0" xfId="0" applyFont="1" applyAlignment="1">
      <alignment horizontal="left" vertical="top" readingOrder="1"/>
    </xf>
    <xf numFmtId="0" fontId="12" fillId="0" borderId="0" xfId="0" applyFont="1" applyAlignment="1">
      <alignment horizontal="left" vertical="top" wrapText="1"/>
    </xf>
    <xf numFmtId="0" fontId="16" fillId="2" borderId="26" xfId="1" applyFont="1" applyFill="1" applyBorder="1" applyAlignment="1">
      <alignment horizontal="center" vertical="center" wrapText="1"/>
    </xf>
    <xf numFmtId="0" fontId="16" fillId="2" borderId="29" xfId="1" applyFont="1" applyFill="1" applyBorder="1" applyAlignment="1">
      <alignment horizontal="center" vertical="center" wrapText="1"/>
    </xf>
    <xf numFmtId="0" fontId="16" fillId="2" borderId="27" xfId="1" applyFont="1" applyFill="1" applyBorder="1" applyAlignment="1">
      <alignment horizontal="center" vertical="center" wrapText="1"/>
    </xf>
    <xf numFmtId="0" fontId="16" fillId="2" borderId="30" xfId="1" applyFont="1" applyFill="1" applyBorder="1" applyAlignment="1">
      <alignment horizontal="center" vertical="center" wrapText="1"/>
    </xf>
    <xf numFmtId="0" fontId="16" fillId="2" borderId="28" xfId="1" applyFont="1" applyFill="1" applyBorder="1" applyAlignment="1">
      <alignment horizontal="center" vertical="center" wrapText="1"/>
    </xf>
    <xf numFmtId="0" fontId="16" fillId="2" borderId="5" xfId="1" applyFont="1" applyFill="1" applyBorder="1" applyAlignment="1">
      <alignment horizontal="center" vertical="center" wrapText="1"/>
    </xf>
    <xf numFmtId="0" fontId="16" fillId="2" borderId="14" xfId="1" applyFont="1" applyFill="1" applyBorder="1" applyAlignment="1">
      <alignment horizontal="center" vertical="center" wrapText="1"/>
    </xf>
    <xf numFmtId="0" fontId="33" fillId="0" borderId="0" xfId="0" applyFont="1" applyAlignment="1">
      <alignment horizontal="left" vertical="top" wrapText="1"/>
    </xf>
    <xf numFmtId="0" fontId="12" fillId="0" borderId="0" xfId="1" applyFont="1" applyAlignment="1">
      <alignment horizontal="left" vertical="top" wrapText="1"/>
    </xf>
    <xf numFmtId="0" fontId="12" fillId="0" borderId="0" xfId="1" applyFont="1" applyAlignment="1">
      <alignment wrapText="1"/>
    </xf>
    <xf numFmtId="0" fontId="1" fillId="0" borderId="0" xfId="1" applyAlignment="1">
      <alignment wrapText="1"/>
    </xf>
    <xf numFmtId="9" fontId="16" fillId="2" borderId="0" xfId="8" applyNumberFormat="1" applyFont="1" applyFill="1" applyBorder="1" applyAlignment="1">
      <alignment horizontal="right" vertical="center"/>
    </xf>
    <xf numFmtId="9" fontId="0" fillId="2" borderId="0" xfId="8" applyNumberFormat="1" applyFont="1" applyFill="1" applyBorder="1" applyAlignment="1">
      <alignment horizontal="right"/>
    </xf>
  </cellXfs>
  <cellStyles count="12">
    <cellStyle name="Comma 2" xfId="8" xr:uid="{A0A113F3-78B4-4AF7-8632-9D701B2145E1}"/>
    <cellStyle name="Followed Hyperlink 2" xfId="5" xr:uid="{93360C98-B4EF-4770-AC7F-1ABA708AF539}"/>
    <cellStyle name="Hyperlink" xfId="10" builtinId="8"/>
    <cellStyle name="Hyperlink 2" xfId="3" xr:uid="{4FA05B98-4EC4-42C5-A4F0-526C16E4F978}"/>
    <cellStyle name="Hyperlink 4" xfId="4" xr:uid="{B2851E65-F58A-408A-848C-62412228E13A}"/>
    <cellStyle name="Normal" xfId="0" builtinId="0"/>
    <cellStyle name="Normal 2 2" xfId="9" xr:uid="{FB741C3C-AD7A-446E-9D15-96D2F586FF46}"/>
    <cellStyle name="Normal 2 5" xfId="2" xr:uid="{1A2E1437-8265-421F-AD46-EDF5F5404F35}"/>
    <cellStyle name="Normal 3" xfId="11" xr:uid="{501E47C6-BEDF-4C00-8C53-F9F31CAB5DDA}"/>
    <cellStyle name="Normal 3 5" xfId="6" xr:uid="{C007ACF4-8AF1-45CA-99B8-2B403A1F9310}"/>
    <cellStyle name="Normal 6 2" xfId="7" xr:uid="{B8EBFE9B-6CBC-4185-A86F-52346459841C}"/>
    <cellStyle name="Normal 8 2" xfId="1" xr:uid="{EE5911CA-D2C2-4DD2-B7D1-7988744822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47625</xdr:rowOff>
    </xdr:from>
    <xdr:to>
      <xdr:col>1</xdr:col>
      <xdr:colOff>95250</xdr:colOff>
      <xdr:row>37</xdr:row>
      <xdr:rowOff>142875</xdr:rowOff>
    </xdr:to>
    <xdr:pic>
      <xdr:nvPicPr>
        <xdr:cNvPr id="2" name="Picture 11" descr="Title: http://www.nationalarchives.gov.uk/doc/open-government-licence/version/3/">
          <a:extLst>
            <a:ext uri="{FF2B5EF4-FFF2-40B4-BE49-F238E27FC236}">
              <a16:creationId xmlns:a16="http://schemas.microsoft.com/office/drawing/2014/main" id="{D942218A-41A6-49AF-B4B0-CE022CEA2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82" b="-612"/>
        <a:stretch>
          <a:fillRect/>
        </a:stretch>
      </xdr:blipFill>
      <xdr:spPr bwMode="auto">
        <a:xfrm>
          <a:off x="0" y="8624888"/>
          <a:ext cx="747713"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6699250</xdr:colOff>
      <xdr:row>0</xdr:row>
      <xdr:rowOff>0</xdr:rowOff>
    </xdr:from>
    <xdr:to>
      <xdr:col>1</xdr:col>
      <xdr:colOff>7776779</xdr:colOff>
      <xdr:row>7</xdr:row>
      <xdr:rowOff>49352</xdr:rowOff>
    </xdr:to>
    <xdr:pic>
      <xdr:nvPicPr>
        <xdr:cNvPr id="4" name="Picture 1" descr="364c9da13caa477785a810c85e2e5744">
          <a:extLst>
            <a:ext uri="{FF2B5EF4-FFF2-40B4-BE49-F238E27FC236}">
              <a16:creationId xmlns:a16="http://schemas.microsoft.com/office/drawing/2014/main" id="{61F2FA5E-E982-4B19-9952-E7FA280A3E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34250" y="0"/>
          <a:ext cx="1077529" cy="1065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638623</xdr:colOff>
      <xdr:row>8</xdr:row>
      <xdr:rowOff>50800</xdr:rowOff>
    </xdr:to>
    <xdr:pic>
      <xdr:nvPicPr>
        <xdr:cNvPr id="3" name="Picture 2" descr="NHS England logo">
          <a:extLst>
            <a:ext uri="{FF2B5EF4-FFF2-40B4-BE49-F238E27FC236}">
              <a16:creationId xmlns:a16="http://schemas.microsoft.com/office/drawing/2014/main" id="{CBBC30E5-B340-4FAC-AFB6-D0D3AEF4BC1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6293" t="20632" r="20287"/>
        <a:stretch/>
      </xdr:blipFill>
      <xdr:spPr>
        <a:xfrm>
          <a:off x="0" y="0"/>
          <a:ext cx="1273623" cy="1219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791023</xdr:colOff>
      <xdr:row>0</xdr:row>
      <xdr:rowOff>1282700</xdr:rowOff>
    </xdr:to>
    <xdr:pic>
      <xdr:nvPicPr>
        <xdr:cNvPr id="3" name="Picture 2" descr="NHS England logo">
          <a:extLst>
            <a:ext uri="{FF2B5EF4-FFF2-40B4-BE49-F238E27FC236}">
              <a16:creationId xmlns:a16="http://schemas.microsoft.com/office/drawing/2014/main" id="{A0E80F40-4C34-4EDD-A76A-1999249578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7EFB178E-5D34-4882-9A9E-6D027132BEAC}"/>
            </a:ext>
          </a:extLst>
        </xdr:cNvPr>
        <xdr:cNvPicPr/>
      </xdr:nvPicPr>
      <xdr:blipFill>
        <a:blip xmlns:r="http://schemas.openxmlformats.org/officeDocument/2006/relationships" r:embed="rId2" cstate="print"/>
        <a:stretch>
          <a:fillRect/>
        </a:stretch>
      </xdr:blipFill>
      <xdr:spPr>
        <a:xfrm>
          <a:off x="6546850" y="215900"/>
          <a:ext cx="1092200" cy="10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791023</xdr:colOff>
      <xdr:row>0</xdr:row>
      <xdr:rowOff>1282700</xdr:rowOff>
    </xdr:to>
    <xdr:pic>
      <xdr:nvPicPr>
        <xdr:cNvPr id="3" name="Picture 2" descr="NHS England logo">
          <a:extLst>
            <a:ext uri="{FF2B5EF4-FFF2-40B4-BE49-F238E27FC236}">
              <a16:creationId xmlns:a16="http://schemas.microsoft.com/office/drawing/2014/main" id="{53374F2D-C496-4232-8D66-89F40AF76F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59E61998-E000-45FA-B41F-23D14701B319}"/>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791023</xdr:colOff>
      <xdr:row>0</xdr:row>
      <xdr:rowOff>1282700</xdr:rowOff>
    </xdr:to>
    <xdr:pic>
      <xdr:nvPicPr>
        <xdr:cNvPr id="3" name="Picture 2" descr="NHS England logo">
          <a:extLst>
            <a:ext uri="{FF2B5EF4-FFF2-40B4-BE49-F238E27FC236}">
              <a16:creationId xmlns:a16="http://schemas.microsoft.com/office/drawing/2014/main" id="{ED99FB2D-2E87-497E-BCA8-9ED62233363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9D2BB23E-C6EB-40A3-9DD9-07EE2D71E5C6}"/>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791023</xdr:colOff>
      <xdr:row>0</xdr:row>
      <xdr:rowOff>1282700</xdr:rowOff>
    </xdr:to>
    <xdr:pic>
      <xdr:nvPicPr>
        <xdr:cNvPr id="3" name="Picture 2" descr="NHS England logo">
          <a:extLst>
            <a:ext uri="{FF2B5EF4-FFF2-40B4-BE49-F238E27FC236}">
              <a16:creationId xmlns:a16="http://schemas.microsoft.com/office/drawing/2014/main" id="{A97C3945-EE85-4517-B176-90A1FB70BD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4AD198E3-CCBB-40AC-9397-080C9AE53A4B}"/>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791023</xdr:colOff>
      <xdr:row>0</xdr:row>
      <xdr:rowOff>1282700</xdr:rowOff>
    </xdr:to>
    <xdr:pic>
      <xdr:nvPicPr>
        <xdr:cNvPr id="3" name="Picture 2" descr="NHS England logo">
          <a:extLst>
            <a:ext uri="{FF2B5EF4-FFF2-40B4-BE49-F238E27FC236}">
              <a16:creationId xmlns:a16="http://schemas.microsoft.com/office/drawing/2014/main" id="{1A2DEAF7-9757-456A-ACD0-E7C39E6C10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2</xdr:col>
      <xdr:colOff>1587500</xdr:colOff>
      <xdr:row>0</xdr:row>
      <xdr:rowOff>0</xdr:rowOff>
    </xdr:from>
    <xdr:to>
      <xdr:col>3</xdr:col>
      <xdr:colOff>1079500</xdr:colOff>
      <xdr:row>0</xdr:row>
      <xdr:rowOff>1066165</xdr:rowOff>
    </xdr:to>
    <xdr:pic>
      <xdr:nvPicPr>
        <xdr:cNvPr id="4" name="Picture 3">
          <a:extLst>
            <a:ext uri="{FF2B5EF4-FFF2-40B4-BE49-F238E27FC236}">
              <a16:creationId xmlns:a16="http://schemas.microsoft.com/office/drawing/2014/main" id="{C708E215-D539-4F20-8822-047544D124E4}"/>
            </a:ext>
          </a:extLst>
        </xdr:cNvPr>
        <xdr:cNvPicPr/>
      </xdr:nvPicPr>
      <xdr:blipFill>
        <a:blip xmlns:r="http://schemas.openxmlformats.org/officeDocument/2006/relationships" r:embed="rId2" cstate="print"/>
        <a:stretch>
          <a:fillRect/>
        </a:stretch>
      </xdr:blipFill>
      <xdr:spPr>
        <a:xfrm>
          <a:off x="6534150" y="0"/>
          <a:ext cx="1149350" cy="10661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c.green.net\IC_Data_DFS\Data%20Analysts-Leeds\HES%20Publications%202020-21\ECDS\Workforce%20data\AE1920%20acci-emer-atte-eng-pl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scic365.sharepoint.com/SUSProgramme/SusHesAnalysis/hesanalysis/inpatients/Shared%20Documents/2015-16%20APC%20Publication/Final%20Documents%20for%20Publication/APC%20Provider%20level%20analysis%202015-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c.green.net\IC_Data_DFS\SUSProgramme\SusHesAnalysis\hesanalysis\inpatients\Shared%20Documents\2015-16%20APC%20Publication\Final%20Documents%20for%20Publication\APC%20Provider%20level%20analysis%202015-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Providers"/>
      <sheetName val="Lookups"/>
      <sheetName val="Output"/>
      <sheetName val="Table_1"/>
      <sheetName val="Table_2"/>
      <sheetName val="Table_3"/>
      <sheetName val="Table_4"/>
      <sheetName val="Table_5"/>
      <sheetName val="Table_6"/>
      <sheetName val="Table_7"/>
      <sheetName val="Table_8"/>
      <sheetName val="Table_9"/>
      <sheetName val="Table_10"/>
      <sheetName val="Table_11a"/>
      <sheetName val="Table_11b"/>
      <sheetName val="Table_11c"/>
      <sheetName val="Table_11d"/>
      <sheetName val="Table_12"/>
      <sheetName val="MPDP Sheet (19-20)"/>
      <sheetName val="MPDP Sheet (18-19)"/>
    </sheetNames>
    <sheetDataSet>
      <sheetData sheetId="0"/>
      <sheetData sheetId="1">
        <row r="1">
          <cell r="D1" t="str">
            <v>Provider Name</v>
          </cell>
        </row>
        <row r="2">
          <cell r="D2" t="str">
            <v>ENGLAND</v>
          </cell>
        </row>
        <row r="4">
          <cell r="D4" t="str">
            <v>LONDON COMMISSIONING REGION</v>
          </cell>
        </row>
        <row r="5">
          <cell r="D5" t="str">
            <v>SOUTH WEST COMMISSIONING REGION</v>
          </cell>
        </row>
        <row r="6">
          <cell r="D6" t="str">
            <v>SOUTH EAST COMMISSIONING REGION</v>
          </cell>
        </row>
        <row r="7">
          <cell r="D7" t="str">
            <v>MIDLANDS COMMISSIONING REGION</v>
          </cell>
        </row>
        <row r="8">
          <cell r="D8" t="str">
            <v>EAST OF ENGLAND COMMISSIONING REGION</v>
          </cell>
        </row>
        <row r="9">
          <cell r="D9" t="str">
            <v>NORTH WEST COMMISSIONING REGION</v>
          </cell>
        </row>
        <row r="10">
          <cell r="D10" t="str">
            <v>NORTH EAST AND YORKSHIRE COMMISSIONING REGION</v>
          </cell>
        </row>
        <row r="12">
          <cell r="D12" t="str">
            <v>AIREDALE NHS FOUNDATION TRUST</v>
          </cell>
        </row>
        <row r="13">
          <cell r="D13" t="str">
            <v>ALDER HEY CHILDREN'S NHS FOUNDATION TRUST</v>
          </cell>
        </row>
        <row r="14">
          <cell r="D14" t="str">
            <v>ASHFORD AND ST PETER'S HOSPITALS NHS FOUNDATION TRUST</v>
          </cell>
        </row>
        <row r="15">
          <cell r="D15" t="str">
            <v>ASHFORD HEALTH CENTRE</v>
          </cell>
        </row>
        <row r="16">
          <cell r="D16" t="str">
            <v>ASHFORD WALK-IN-CENTRE</v>
          </cell>
        </row>
        <row r="17">
          <cell r="D17" t="str">
            <v>ASSURA READING LLP</v>
          </cell>
        </row>
        <row r="18">
          <cell r="D18" t="str">
            <v>BARKING, HAVERING AND REDBRIDGE UNIVERSITY HOSPITALS NHS TRUST</v>
          </cell>
        </row>
        <row r="19">
          <cell r="D19" t="str">
            <v>BARNSLEY HOSPITAL NHS FOUNDATION TRUST</v>
          </cell>
        </row>
        <row r="20">
          <cell r="D20" t="str">
            <v>BARTS HEALTH NHS TRUST</v>
          </cell>
        </row>
        <row r="21">
          <cell r="D21" t="str">
            <v>BASILDON AND THURROCK UNIVERSITY HOSPITALS NHS FOUNDATION TRUST</v>
          </cell>
        </row>
        <row r="22">
          <cell r="D22" t="str">
            <v>BECKENHAM BEACON UCC</v>
          </cell>
        </row>
        <row r="23">
          <cell r="D23" t="str">
            <v>BEDFORD HOSPITAL NHS TRUST</v>
          </cell>
        </row>
        <row r="24">
          <cell r="D24" t="str">
            <v>BERKSHIRE HEALTHCARE NHS FOUNDATION TRUST</v>
          </cell>
        </row>
        <row r="25">
          <cell r="D25" t="str">
            <v>BIRMINGHAM WOMEN'S AND CHILDREN'S NHS FOUNDATION TRUST</v>
          </cell>
        </row>
        <row r="26">
          <cell r="D26" t="str">
            <v>BLACKPOOL TEACHING HOSPITALS NHS FOUNDATION TRUST</v>
          </cell>
        </row>
        <row r="27">
          <cell r="D27" t="str">
            <v>BOLTON NHS FOUNDATION TRUST</v>
          </cell>
        </row>
        <row r="28">
          <cell r="D28" t="str">
            <v>BRADFORD TEACHING HOSPITALS NHS FOUNDATION TRUST</v>
          </cell>
        </row>
        <row r="29">
          <cell r="D29" t="str">
            <v>BRANSHOLME HEALTH CENTRE</v>
          </cell>
        </row>
        <row r="30">
          <cell r="D30" t="str">
            <v>BRIDGEWATER COMMUNITY HEALTHCARE NHS FOUNDATION TRUST</v>
          </cell>
        </row>
        <row r="31">
          <cell r="D31" t="str">
            <v>BRIDLINGTON HOSPITAL</v>
          </cell>
        </row>
        <row r="32">
          <cell r="D32" t="str">
            <v>BRIGHTON AND SUSSEX UNIVERSITY HOSPITALS NHS TRUST</v>
          </cell>
        </row>
        <row r="33">
          <cell r="D33" t="str">
            <v>BUCKINGHAMSHIRE HEALTHCARE NHS TRUST</v>
          </cell>
        </row>
        <row r="34">
          <cell r="D34" t="str">
            <v>BUNNY HILL URGENT CARE CENTRE</v>
          </cell>
        </row>
        <row r="35">
          <cell r="D35" t="str">
            <v>CALDERDALE AND HUDDERSFIELD NHS FOUNDATION TRUST</v>
          </cell>
        </row>
        <row r="36">
          <cell r="D36" t="str">
            <v>CAMBRIDGE UNIVERSITY HOSPITALS NHS FOUNDATION TRUST</v>
          </cell>
        </row>
        <row r="37">
          <cell r="D37" t="str">
            <v>CENTRAL LONDON COMMUNITY HEALTHCARE NHS TRUST</v>
          </cell>
        </row>
        <row r="38">
          <cell r="D38" t="str">
            <v>CHELSEA AND WESTMINSTER HOSPITAL NHS FOUNDATION TRUST</v>
          </cell>
        </row>
        <row r="39">
          <cell r="D39" t="str">
            <v>CHESTERFIELD ROYAL HOSPITAL NHS FOUNDATION TRUST</v>
          </cell>
        </row>
        <row r="40">
          <cell r="D40" t="str">
            <v>CLACTON HOSPITAL</v>
          </cell>
        </row>
        <row r="41">
          <cell r="D41" t="str">
            <v>CORBY URGENT CARE CENTRE</v>
          </cell>
        </row>
        <row r="42">
          <cell r="D42" t="str">
            <v>COUNTESS OF CHESTER HOSPITAL NHS FOUNDATION TRUST</v>
          </cell>
        </row>
        <row r="43">
          <cell r="D43" t="str">
            <v>COUNTY DURHAM AND DARLINGTON NHS FOUNDATION TRUST</v>
          </cell>
        </row>
        <row r="44">
          <cell r="D44" t="str">
            <v>CROYDON HEALTH SERVICES NHS TRUST</v>
          </cell>
        </row>
        <row r="45">
          <cell r="D45" t="str">
            <v>DARTFORD AND GRAVESHAM NHS TRUST</v>
          </cell>
        </row>
        <row r="46">
          <cell r="D46" t="str">
            <v>DERBYSHIRE COMMUNITY HEALTH SERVICES NHS FOUNDATION TRUST</v>
          </cell>
        </row>
        <row r="47">
          <cell r="D47" t="str">
            <v>DONCASTER AND BASSETLAW TEACHING HOSPITALS NHS FOUNDATION TRUST</v>
          </cell>
        </row>
        <row r="48">
          <cell r="D48" t="str">
            <v>DORSET COUNTY HOSPITAL NHS FOUNDATION TRUST</v>
          </cell>
        </row>
        <row r="49">
          <cell r="D49" t="str">
            <v>EAST AND NORTH HERTFORDSHIRE NHS TRUST</v>
          </cell>
        </row>
        <row r="50">
          <cell r="D50" t="str">
            <v>EAST CHESHIRE NHS TRUST</v>
          </cell>
        </row>
        <row r="51">
          <cell r="D51" t="str">
            <v>EAST KENT HOSPITALS UNIVERSITY NHS FOUNDATION TRUST</v>
          </cell>
        </row>
        <row r="52">
          <cell r="D52" t="str">
            <v>EAST LANCASHIRE HOSPITALS NHS TRUST</v>
          </cell>
        </row>
        <row r="53">
          <cell r="D53" t="str">
            <v>EAST RIDING COMMUNITY HOSPITAL</v>
          </cell>
        </row>
        <row r="54">
          <cell r="D54" t="str">
            <v>EAST SUFFOLK AND NORTH ESSEX NHS FOUNDATION TRUST</v>
          </cell>
        </row>
        <row r="55">
          <cell r="D55" t="str">
            <v>EAST SUSSEX HEALTHCARE NHS TRUST</v>
          </cell>
        </row>
        <row r="56">
          <cell r="D56" t="str">
            <v>EPSOM AND ST HELIER UNIVERSITY HOSPITALS NHS TRUST</v>
          </cell>
        </row>
        <row r="57">
          <cell r="D57" t="str">
            <v>FRIMLEY HEALTH NHS FOUNDATION TRUST</v>
          </cell>
        </row>
        <row r="58">
          <cell r="D58" t="str">
            <v>FRYATT HOSPITAL</v>
          </cell>
        </row>
        <row r="59">
          <cell r="D59" t="str">
            <v>GATESHEAD HEALTH NHS FOUNDATION TRUST</v>
          </cell>
        </row>
        <row r="60">
          <cell r="D60" t="str">
            <v>GEORGE ELIOT HOSPITAL NHS TRUST</v>
          </cell>
        </row>
        <row r="61">
          <cell r="D61" t="str">
            <v>GLOUCESTERSHIRE HEALTH AND CARE NHS FOUNDATION TRUST</v>
          </cell>
        </row>
        <row r="62">
          <cell r="D62" t="str">
            <v>GLOUCESTERSHIRE HOSPITALS NHS FOUNDATION TRUST</v>
          </cell>
        </row>
        <row r="63">
          <cell r="D63" t="str">
            <v>GOOLE &amp; DISTRICT HOSPITAL</v>
          </cell>
        </row>
        <row r="64">
          <cell r="D64" t="str">
            <v>GREAT WESTERN HOSPITALS NHS FOUNDATION TRUST</v>
          </cell>
        </row>
        <row r="65">
          <cell r="D65" t="str">
            <v>GUY'S AND ST THOMAS' NHS FOUNDATION TRUST</v>
          </cell>
        </row>
        <row r="66">
          <cell r="D66" t="str">
            <v>HAMPSHIRE HOSPITALS NHS FOUNDATION TRUST</v>
          </cell>
        </row>
        <row r="67">
          <cell r="D67" t="str">
            <v>HARROGATE AND DISTRICT NHS FOUNDATION TRUST</v>
          </cell>
        </row>
        <row r="68">
          <cell r="D68" t="str">
            <v>HERTFORDSHIRE COMMUNITY NHS TRUST</v>
          </cell>
        </row>
        <row r="69">
          <cell r="D69" t="str">
            <v>HOMERTON UNIVERSITY HOSPITAL NHS FOUNDATION TRUST</v>
          </cell>
        </row>
        <row r="70">
          <cell r="D70" t="str">
            <v>HOUNSLOW AND RICHMOND COMMUNITY HEALTHCARE NHS TRUST</v>
          </cell>
        </row>
        <row r="71">
          <cell r="D71" t="str">
            <v>HULL UNIVERSITY TEACHING HOSPITALS NHS TRUST</v>
          </cell>
        </row>
        <row r="72">
          <cell r="D72" t="str">
            <v>HUMBER TEACHING NHS FOUNDATION TRUST</v>
          </cell>
        </row>
        <row r="73">
          <cell r="D73" t="str">
            <v>IMPERIAL COLLEGE HEALTHCARE NHS TRUST</v>
          </cell>
        </row>
        <row r="74">
          <cell r="D74" t="str">
            <v>INTERGRAL MEDICAL HOLDINGS IMH (ALBERT STREET)</v>
          </cell>
        </row>
        <row r="75">
          <cell r="D75" t="str">
            <v>INTERGRAL MEDICAL HOLDINGS IMH OR MALLING HEALTH</v>
          </cell>
        </row>
        <row r="76">
          <cell r="D76" t="str">
            <v>ISLE OF WIGHT NHS TRUST</v>
          </cell>
        </row>
        <row r="77">
          <cell r="D77" t="str">
            <v>JAMES PAGET UNIVERSITY HOSPITALS NHS FOUNDATION TRUST</v>
          </cell>
        </row>
        <row r="78">
          <cell r="D78" t="str">
            <v>KENT COMMUNITY HEALTH NHS FOUNDATION TRUST</v>
          </cell>
        </row>
        <row r="79">
          <cell r="D79" t="str">
            <v>KETTERING GENERAL HOSPITAL NHS FOUNDATION TRUST</v>
          </cell>
        </row>
        <row r="80">
          <cell r="D80" t="str">
            <v>KING'S COLLEGE HOSPITAL NHS FOUNDATION TRUST</v>
          </cell>
        </row>
        <row r="81">
          <cell r="D81" t="str">
            <v>KINGSTON HOSPITAL NHS FOUNDATION TRUST</v>
          </cell>
        </row>
        <row r="82">
          <cell r="D82" t="str">
            <v>LANCASHIRE TEACHING HOSPITALS NHS FOUNDATION TRUST</v>
          </cell>
        </row>
        <row r="83">
          <cell r="D83" t="str">
            <v>LEEDS TEACHING HOSPITALS NHS TRUST</v>
          </cell>
        </row>
        <row r="84">
          <cell r="D84" t="str">
            <v>LEWISHAM AND GREENWICH NHS TRUST</v>
          </cell>
        </row>
        <row r="85">
          <cell r="D85" t="str">
            <v>LINCOLNSHIRE COMMUNITY HEALTH SERVICES NHS TRUST</v>
          </cell>
        </row>
        <row r="86">
          <cell r="D86" t="str">
            <v>LIVERPOOL UNIVERSITY HOSPITALS NHS FOUNDATION TRUST</v>
          </cell>
        </row>
        <row r="87">
          <cell r="D87" t="str">
            <v>LIVERPOOL WOMEN'S NHS FOUNDATION TRUST</v>
          </cell>
        </row>
        <row r="88">
          <cell r="D88" t="str">
            <v>LONDON NORTH WEST UNIVERSITY HEALTHCARE NHS TRUST</v>
          </cell>
        </row>
        <row r="89">
          <cell r="D89" t="str">
            <v>LOUGHBOROUGH URGENT CARE CENTRE</v>
          </cell>
        </row>
        <row r="90">
          <cell r="D90" t="str">
            <v>LUTON AND DUNSTABLE UNIVERSITY HOSPITAL NHS FOUNDATION TRUST</v>
          </cell>
        </row>
        <row r="91">
          <cell r="D91" t="str">
            <v>MAIDSTONE AND TUNBRIDGE WELLS NHS TRUST</v>
          </cell>
        </row>
        <row r="92">
          <cell r="D92" t="str">
            <v>MANCHESTER UNIVERSITY NHS FOUNDATION TRUST</v>
          </cell>
        </row>
        <row r="93">
          <cell r="D93" t="str">
            <v>MEDWAY NHS FOUNDATION TRUST</v>
          </cell>
        </row>
        <row r="94">
          <cell r="D94" t="str">
            <v>MID CHESHIRE HOSPITALS NHS FOUNDATION TRUST</v>
          </cell>
        </row>
        <row r="95">
          <cell r="D95" t="str">
            <v>MID ESSEX HOSPITAL SERVICES NHS TRUST</v>
          </cell>
        </row>
        <row r="96">
          <cell r="D96" t="str">
            <v>MID YORKSHIRE HOSPITALS NHS TRUST</v>
          </cell>
        </row>
        <row r="97">
          <cell r="D97" t="str">
            <v>MILTON KEYNES UNIVERSITY HOSPITAL NHS FOUNDATION TRUST</v>
          </cell>
        </row>
        <row r="98">
          <cell r="D98" t="str">
            <v>MOORFIELDS EYE HOSPITAL NHS FOUNDATION TRUST</v>
          </cell>
        </row>
        <row r="99">
          <cell r="D99" t="str">
            <v>NORFOLK AND NORWICH UNIVERSITY HOSPITALS NHS FOUNDATION TRUST</v>
          </cell>
        </row>
        <row r="100">
          <cell r="D100" t="str">
            <v>NORTH BRISTOL NHS TRUST</v>
          </cell>
        </row>
        <row r="101">
          <cell r="D101" t="str">
            <v>NORTH CUMBRIA INTEGRATED CARE NHS FOUNDATION TRUST</v>
          </cell>
        </row>
        <row r="102">
          <cell r="D102" t="str">
            <v>NORTH EAST LONDON NHS FOUNDATION TRUST</v>
          </cell>
        </row>
        <row r="103">
          <cell r="D103" t="str">
            <v>NORTH MIDDLESEX UNIVERSITY HOSPITAL NHS TRUST</v>
          </cell>
        </row>
        <row r="104">
          <cell r="D104" t="str">
            <v>NORTH TEES AND HARTLEPOOL NHS FOUNDATION TRUST</v>
          </cell>
        </row>
        <row r="105">
          <cell r="D105" t="str">
            <v>NORTH WEST ANGLIA NHS FOUNDATION TRUST</v>
          </cell>
        </row>
        <row r="106">
          <cell r="D106" t="str">
            <v>NORTH WEST BOROUGHS HEALTHCARE NHS FOUNDATION TRUST</v>
          </cell>
        </row>
        <row r="107">
          <cell r="D107" t="str">
            <v>NORTHAMPTON GENERAL HOSPITAL NHS TRUST</v>
          </cell>
        </row>
        <row r="108">
          <cell r="D108" t="str">
            <v>NORTHERN DEVON HEALTHCARE NHS TRUST</v>
          </cell>
        </row>
        <row r="109">
          <cell r="D109" t="str">
            <v>NORTHERN DOCTORS URGENT CARE</v>
          </cell>
        </row>
        <row r="110">
          <cell r="D110" t="str">
            <v>NORTHERN LINCOLNSHIRE AND GOOLE NHS FOUNDATION TRUST</v>
          </cell>
        </row>
        <row r="111">
          <cell r="D111" t="str">
            <v>NORTHUMBRIA HEALTHCARE NHS FOUNDATION TRUST</v>
          </cell>
        </row>
        <row r="112">
          <cell r="D112" t="str">
            <v>NOTTINGHAM UNIVERSITY HOSPITALS NHS TRUST</v>
          </cell>
        </row>
        <row r="113">
          <cell r="D113" t="str">
            <v>ONE MEDICAL GROUP LIMITED</v>
          </cell>
        </row>
        <row r="114">
          <cell r="D114" t="str">
            <v>OXFORD HEALTH NHS FOUNDATION TRUST</v>
          </cell>
        </row>
        <row r="115">
          <cell r="D115" t="str">
            <v>OXFORD UNIVERSITY HOSPITALS NHS FOUNDATION TRUST</v>
          </cell>
        </row>
        <row r="116">
          <cell r="D116" t="str">
            <v>PARSONAGE STREET WALK IN CENTRE</v>
          </cell>
        </row>
        <row r="117">
          <cell r="D117" t="str">
            <v>PAULTON MEMORIAL HOSPITAL</v>
          </cell>
        </row>
        <row r="118">
          <cell r="D118" t="str">
            <v>PENNINE ACUTE HOSPITALS NHS TRUST</v>
          </cell>
        </row>
        <row r="119">
          <cell r="D119" t="str">
            <v>PHL LYMINGTON UTC</v>
          </cell>
        </row>
        <row r="120">
          <cell r="D120" t="str">
            <v>POOLE HOSPITAL NHS FOUNDATION TRUST</v>
          </cell>
        </row>
        <row r="121">
          <cell r="D121" t="str">
            <v>PORTSMOUTH HOSPITALS NHS TRUST</v>
          </cell>
        </row>
        <row r="122">
          <cell r="D122" t="str">
            <v>QUEEN VICTORIA HOSPITAL NHS FOUNDATION TRUST</v>
          </cell>
        </row>
        <row r="123">
          <cell r="D123" t="str">
            <v>ROYAL BERKSHIRE NHS FOUNDATION TRUST</v>
          </cell>
        </row>
        <row r="124">
          <cell r="D124" t="str">
            <v>ROYAL CORNWALL HOSPITALS NHS TRUST</v>
          </cell>
        </row>
        <row r="125">
          <cell r="D125" t="str">
            <v>ROYAL DEVON AND EXETER NHS FOUNDATION TRUST</v>
          </cell>
        </row>
        <row r="126">
          <cell r="D126" t="str">
            <v>ROYAL FREE LONDON NHS FOUNDATION TRUST</v>
          </cell>
        </row>
        <row r="127">
          <cell r="D127" t="str">
            <v>ROYAL STOKE UNIVERSITY HOSPITAL URGENT CARE CENTRE</v>
          </cell>
        </row>
        <row r="128">
          <cell r="D128" t="str">
            <v>ROYAL SURREY COUNTY HOSPITAL NHS FOUNDATION TRUST</v>
          </cell>
        </row>
        <row r="129">
          <cell r="D129" t="str">
            <v>ROYAL UNITED HOSPITALS BATH NHS FOUNDATION TRUST</v>
          </cell>
        </row>
        <row r="130">
          <cell r="D130" t="str">
            <v>SALFORD ROYAL NHS FOUNDATION TRUST</v>
          </cell>
        </row>
        <row r="131">
          <cell r="D131" t="str">
            <v>SALISBURY NHS FOUNDATION TRUST</v>
          </cell>
        </row>
        <row r="132">
          <cell r="D132" t="str">
            <v>SANDWELL AND WEST BIRMINGHAM HOSPITALS NHS TRUST</v>
          </cell>
        </row>
        <row r="133">
          <cell r="D133" t="str">
            <v>SCARBOROUGH URGENT CARE CENTRE</v>
          </cell>
        </row>
        <row r="134">
          <cell r="D134" t="str">
            <v>SEATON HOUSE</v>
          </cell>
        </row>
        <row r="135">
          <cell r="D135" t="str">
            <v>SHEFFIELD CHILDREN'S NHS FOUNDATION TRUST</v>
          </cell>
        </row>
        <row r="136">
          <cell r="D136" t="str">
            <v>SHEFFIELD TEACHING HOSPITALS NHS FOUNDATION TRUST</v>
          </cell>
        </row>
        <row r="137">
          <cell r="D137" t="str">
            <v>SHEPTON MALLET NHS TREATMENT CENTRE</v>
          </cell>
        </row>
        <row r="138">
          <cell r="D138" t="str">
            <v>SHERWOOD FOREST HOSPITALS NHS FOUNDATION TRUST</v>
          </cell>
        </row>
        <row r="139">
          <cell r="D139" t="str">
            <v>SHREWSBURY AND TELFORD HOSPITAL NHS TRUST</v>
          </cell>
        </row>
        <row r="140">
          <cell r="D140" t="str">
            <v>SHROPSHIRE COMMUNITY HEALTH NHS TRUST</v>
          </cell>
        </row>
        <row r="141">
          <cell r="D141" t="str">
            <v>SKELMERSDALE WALK IN CENTRE</v>
          </cell>
        </row>
        <row r="142">
          <cell r="D142" t="str">
            <v>SOMERSET PARTNERSHIP NHS FOUNDATION TRUST</v>
          </cell>
        </row>
        <row r="143">
          <cell r="D143" t="str">
            <v>SOUTH TEES HOSPITALS NHS FOUNDATION TRUST</v>
          </cell>
        </row>
        <row r="144">
          <cell r="D144" t="str">
            <v>SOUTH TYNESIDE AND SUNDERLAND NHS FOUNDATION TRUST</v>
          </cell>
        </row>
        <row r="145">
          <cell r="D145" t="str">
            <v>SOUTH TYNESIDE URGENT CARE HUB</v>
          </cell>
        </row>
        <row r="146">
          <cell r="D146" t="str">
            <v>SOUTH WARWICKSHIRE NHS FOUNDATION TRUST</v>
          </cell>
        </row>
        <row r="147">
          <cell r="D147" t="str">
            <v>SOUTH WESTERN AMBULANCE SERVICE NHS FOUNDATION TRUST</v>
          </cell>
        </row>
        <row r="148">
          <cell r="D148" t="str">
            <v>SOUTHAMPTON NHS TREATMENT CENTRE</v>
          </cell>
        </row>
        <row r="149">
          <cell r="D149" t="str">
            <v>SOUTHEND UNIVERSITY HOSPITAL NHS FOUNDATION TRUST</v>
          </cell>
        </row>
        <row r="150">
          <cell r="D150" t="str">
            <v>SOUTHERN HEALTH NHS FOUNDATION TRUST</v>
          </cell>
        </row>
        <row r="151">
          <cell r="D151" t="str">
            <v>SOUTHPORT AND ORMSKIRK HOSPITAL NHS TRUST</v>
          </cell>
        </row>
        <row r="152">
          <cell r="D152" t="str">
            <v>ST GEORGE'S UNIVERSITY HOSPITALS NHS FOUNDATION TRUST</v>
          </cell>
        </row>
        <row r="153">
          <cell r="D153" t="str">
            <v>ST HELENS AND KNOWSLEY TEACHING HOSPITALS NHS TRUST</v>
          </cell>
        </row>
        <row r="154">
          <cell r="D154" t="str">
            <v>ST MARY'S NHS TREATMENT CENTRE</v>
          </cell>
        </row>
        <row r="155">
          <cell r="D155" t="str">
            <v>ST MARY'S URGENT CARE CENTRE</v>
          </cell>
        </row>
        <row r="156">
          <cell r="D156" t="str">
            <v>STOCKPORT NHS FOUNDATION TRUST</v>
          </cell>
        </row>
        <row r="157">
          <cell r="D157" t="str">
            <v>SURREY AND SUSSEX HEALTHCARE NHS TRUST</v>
          </cell>
        </row>
        <row r="158">
          <cell r="D158" t="str">
            <v>SUSSEX COMMUNITY NHS FOUNDATION TRUST</v>
          </cell>
        </row>
        <row r="159">
          <cell r="D159" t="str">
            <v>TAMESIDE AND GLOSSOP INTEGRATED CARE NHS FOUNDATION TRUST</v>
          </cell>
        </row>
        <row r="160">
          <cell r="D160" t="str">
            <v>TAUNTON AND SOMERSET NHS FOUNDATION TRUST</v>
          </cell>
        </row>
        <row r="161">
          <cell r="D161" t="str">
            <v>TETBURY HOSPITAL TRUST</v>
          </cell>
        </row>
        <row r="162">
          <cell r="D162" t="str">
            <v>THE DUDLEY GROUP NHS FOUNDATION TRUST</v>
          </cell>
        </row>
        <row r="163">
          <cell r="D163" t="str">
            <v>THE HILLINGDON HOSPITALS NHS FOUNDATION TRUST</v>
          </cell>
        </row>
        <row r="164">
          <cell r="D164" t="str">
            <v>THE NEWCASTLE UPON TYNE HOSPITALS NHS FOUNDATION TRUST</v>
          </cell>
        </row>
        <row r="165">
          <cell r="D165" t="str">
            <v>THE PRINCESS ALEXANDRA HOSPITAL NHS TRUST</v>
          </cell>
        </row>
        <row r="166">
          <cell r="D166" t="str">
            <v>THE QUEEN ELIZABETH HOSPITAL, KING'S LYNN, NHS FOUNDATION TRUST</v>
          </cell>
        </row>
        <row r="167">
          <cell r="D167" t="str">
            <v>THE ROTHERHAM NHS FOUNDATION TRUST</v>
          </cell>
        </row>
        <row r="168">
          <cell r="D168" t="str">
            <v>THE ROYAL BOURNEMOUTH AND CHRISTCHURCH HOSPITALS NHS FOUNDATION TRUST</v>
          </cell>
        </row>
        <row r="169">
          <cell r="D169" t="str">
            <v>THE ROYAL WOLVERHAMPTON NHS TRUST</v>
          </cell>
        </row>
        <row r="170">
          <cell r="D170" t="str">
            <v>THE WILBERFORCE HEALTH CENTRE</v>
          </cell>
        </row>
        <row r="171">
          <cell r="D171" t="str">
            <v>TORBAY AND SOUTH DEVON NHS FOUNDATION TRUST</v>
          </cell>
        </row>
        <row r="172">
          <cell r="D172" t="str">
            <v>TROWBRIDGE COMMUNITY HOSPITAL</v>
          </cell>
        </row>
        <row r="173">
          <cell r="D173" t="str">
            <v>UCC - NORTHWICK PARK HOSPITAL</v>
          </cell>
        </row>
        <row r="174">
          <cell r="D174" t="str">
            <v>UCC - QUEEN ELIZABETH HOSPITAL</v>
          </cell>
        </row>
        <row r="175">
          <cell r="D175" t="str">
            <v>UCC AT HILLINGDON HOSPITAL</v>
          </cell>
        </row>
        <row r="176">
          <cell r="D176" t="str">
            <v>UNITED LINCOLNSHIRE HOSPITALS NHS TRUST</v>
          </cell>
        </row>
        <row r="177">
          <cell r="D177" t="str">
            <v>UNIVERSITY COLLEGE LONDON HOSPITALS NHS FOUNDATION TRUST</v>
          </cell>
        </row>
        <row r="178">
          <cell r="D178" t="str">
            <v>UNIVERSITY HOSPITAL SOUTHAMPTON NHS FOUNDATION TRUST</v>
          </cell>
        </row>
        <row r="179">
          <cell r="D179" t="str">
            <v>UNIVERSITY HOSPITALS BIRMINGHAM NHS FOUNDATION TRUST</v>
          </cell>
        </row>
        <row r="180">
          <cell r="D180" t="str">
            <v>UNIVERSITY HOSPITALS BRISTOL NHS FOUNDATION TRUST</v>
          </cell>
        </row>
        <row r="181">
          <cell r="D181" t="str">
            <v>UNIVERSITY HOSPITALS COVENTRY AND WARWICKSHIRE NHS TRUST</v>
          </cell>
        </row>
        <row r="182">
          <cell r="D182" t="str">
            <v>UNIVERSITY HOSPITALS OF DERBY AND BURTON NHS FOUNDATION TRUST</v>
          </cell>
        </row>
        <row r="183">
          <cell r="D183" t="str">
            <v>UNIVERSITY HOSPITALS OF LEICESTER NHS TRUST</v>
          </cell>
        </row>
        <row r="184">
          <cell r="D184" t="str">
            <v>UNIVERSITY HOSPITALS OF MORECAMBE BAY NHS FOUNDATION TRUST</v>
          </cell>
        </row>
        <row r="185">
          <cell r="D185" t="str">
            <v>UNIVERSITY HOSPITALS OF NORTH MIDLANDS NHS TRUST</v>
          </cell>
        </row>
        <row r="186">
          <cell r="D186" t="str">
            <v>UNIVERSITY HOSPITALS PLYMOUTH NHS TRUST</v>
          </cell>
        </row>
        <row r="187">
          <cell r="D187" t="str">
            <v>URGENT CARE CENTRE</v>
          </cell>
        </row>
        <row r="188">
          <cell r="D188" t="str">
            <v>URGENT CARE CENTRE</v>
          </cell>
        </row>
        <row r="189">
          <cell r="D189" t="str">
            <v>URGENT TREATMENT CENTRE</v>
          </cell>
        </row>
        <row r="190">
          <cell r="D190" t="str">
            <v>UTC - CENTRAL MIDDLESEX HOSPITAL</v>
          </cell>
        </row>
        <row r="191">
          <cell r="D191" t="str">
            <v>WALSALL HEALTHCARE NHS TRUST</v>
          </cell>
        </row>
        <row r="192">
          <cell r="D192" t="str">
            <v>WARRINGTON AND HALTON TEACHING HOSPITALS NHS FOUNDATION TRUST</v>
          </cell>
        </row>
        <row r="193">
          <cell r="D193" t="str">
            <v>WASHINGTON URGENT CARE CENTRE</v>
          </cell>
        </row>
        <row r="194">
          <cell r="D194" t="str">
            <v>WEST HERTFORDSHIRE HOSPITALS NHS TRUST</v>
          </cell>
        </row>
        <row r="195">
          <cell r="D195" t="str">
            <v>WEST MIDLANDS DOCTORS URGENT CARE</v>
          </cell>
        </row>
        <row r="196">
          <cell r="D196" t="str">
            <v>WEST SUFFOLK NHS FOUNDATION TRUST</v>
          </cell>
        </row>
        <row r="197">
          <cell r="D197" t="str">
            <v>WESTERN SUSSEX HOSPITALS NHS FOUNDATION TRUST</v>
          </cell>
        </row>
        <row r="198">
          <cell r="D198" t="str">
            <v>WESTON AREA HEALTH NHS TRUST</v>
          </cell>
        </row>
        <row r="199">
          <cell r="D199" t="str">
            <v>WHITTINGTON HEALTH NHS TRUST</v>
          </cell>
        </row>
        <row r="200">
          <cell r="D200" t="str">
            <v>WILTSHIRE HEALTH &amp; CARE (CHIPPENHAM)</v>
          </cell>
        </row>
        <row r="201">
          <cell r="D201" t="str">
            <v>WIRRAL COMMUNITY HEALTH AND CARE NHS FOUNDATION TRUST</v>
          </cell>
        </row>
        <row r="202">
          <cell r="D202" t="str">
            <v>WIRRAL UNIVERSITY TEACHING HOSPITAL NHS FOUNDATION TRUST</v>
          </cell>
        </row>
        <row r="203">
          <cell r="D203" t="str">
            <v>WOKING WALK IN CENTRE</v>
          </cell>
        </row>
        <row r="204">
          <cell r="D204" t="str">
            <v>WOKING WALK IN CENTRE</v>
          </cell>
        </row>
        <row r="205">
          <cell r="D205" t="str">
            <v>WORCESTERSHIRE ACUTE HOSPITALS NHS TRUST</v>
          </cell>
        </row>
        <row r="206">
          <cell r="D206" t="str">
            <v>WRIGHTINGTON, WIGAN AND LEIGH NHS FOUNDATION TRUST</v>
          </cell>
        </row>
        <row r="207">
          <cell r="D207" t="str">
            <v>WYE VALLEY NHS TRUST</v>
          </cell>
        </row>
        <row r="208">
          <cell r="D208" t="str">
            <v>YATE WEST GATE CENTRE</v>
          </cell>
        </row>
        <row r="209">
          <cell r="D209" t="str">
            <v>YEOVIL DISTRICT HOSPITAL NHS FOUNDATION TRUST</v>
          </cell>
        </row>
        <row r="210">
          <cell r="D210" t="str">
            <v>YORK TEACHING HOSPITAL NHS FOUNDATION TRUST</v>
          </cell>
        </row>
        <row r="211">
          <cell r="D211" t="str">
            <v>YORKSHIRE DOCTORS URGENT CARE - VALE OF YORK</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Output"/>
      <sheetName val="201415 DATA"/>
      <sheetName val="201516 DATA"/>
      <sheetName val="Table A_1516"/>
      <sheetName val="Table B_1516"/>
      <sheetName val="Table C_1516"/>
      <sheetName val="Table D_1516"/>
      <sheetName val="Table E_1516"/>
      <sheetName val="Table F_1516"/>
      <sheetName val="Table G_1516"/>
      <sheetName val="SHA and Provider List"/>
    </sheetNames>
    <sheetDataSet>
      <sheetData sheetId="0"/>
      <sheetData sheetId="1"/>
      <sheetData sheetId="2"/>
      <sheetData sheetId="3"/>
      <sheetData sheetId="4"/>
      <sheetData sheetId="5"/>
      <sheetData sheetId="6"/>
      <sheetData sheetId="7"/>
      <sheetData sheetId="8"/>
      <sheetData sheetId="9"/>
      <sheetData sheetId="10"/>
      <sheetData sheetId="11">
        <row r="1">
          <cell r="G1" t="str">
            <v>ENGLAND</v>
          </cell>
        </row>
        <row r="3">
          <cell r="G3" t="str">
            <v>North Of England (Y54)</v>
          </cell>
        </row>
        <row r="4">
          <cell r="G4" t="str">
            <v>Midlands and East of England (Y55)</v>
          </cell>
        </row>
        <row r="5">
          <cell r="G5" t="str">
            <v>London (Y56)</v>
          </cell>
        </row>
        <row r="6">
          <cell r="G6" t="str">
            <v>South of England (Y57)</v>
          </cell>
        </row>
        <row r="8">
          <cell r="G8" t="str">
            <v>2Gether NHS Foundation Trust (RTQ)</v>
          </cell>
        </row>
        <row r="9">
          <cell r="G9" t="str">
            <v>5 Boroughs Partnership NHS Foundation Trust (RTV)</v>
          </cell>
        </row>
        <row r="10">
          <cell r="G10" t="str">
            <v>Aintree University Hospital NHS Foundation Trust (REM)</v>
          </cell>
        </row>
        <row r="11">
          <cell r="G11" t="str">
            <v>Airedale NHS Foundation Trust (RCF)</v>
          </cell>
        </row>
        <row r="12">
          <cell r="G12" t="str">
            <v>Alder Hey Children's NHS Foundation Trust (RBS)</v>
          </cell>
        </row>
        <row r="13">
          <cell r="G13" t="str">
            <v>Arthur Rank Hospice (ARH01)</v>
          </cell>
        </row>
        <row r="14">
          <cell r="G14" t="str">
            <v>Ashford and St Peter's Hospitals NHS Foundation Trust (RTK)</v>
          </cell>
        </row>
        <row r="15">
          <cell r="G15" t="str">
            <v>Ashtead Hospital (NVC01)</v>
          </cell>
        </row>
        <row r="16">
          <cell r="G16" t="str">
            <v>Aspen - Claremont Hospital (NYW04)</v>
          </cell>
        </row>
        <row r="17">
          <cell r="G17" t="str">
            <v>Aspen - Highgate Hospital (NYW03)</v>
          </cell>
        </row>
        <row r="18">
          <cell r="G18" t="str">
            <v>Aspen - Parkside Hospital (NYW02)</v>
          </cell>
        </row>
        <row r="19">
          <cell r="G19" t="str">
            <v>Aspen - The Chelmsford (NYW20)</v>
          </cell>
        </row>
        <row r="20">
          <cell r="G20" t="str">
            <v>Aspen - The Holly (NYW01)</v>
          </cell>
        </row>
        <row r="21">
          <cell r="G21" t="str">
            <v>Aspen Healthcare - Midland Eye (NYW17)</v>
          </cell>
        </row>
        <row r="22">
          <cell r="G22" t="str">
            <v>Avon and Wiltshire Mental Health Partnership NHS Trust (RVN)</v>
          </cell>
        </row>
        <row r="23">
          <cell r="G23" t="str">
            <v>Barking, Havering and Redbridge University Hospitals NHS Trust (RF4)</v>
          </cell>
        </row>
        <row r="24">
          <cell r="G24" t="str">
            <v>Barlborough NHS Treatment Centre (NTP13)</v>
          </cell>
        </row>
        <row r="25">
          <cell r="G25" t="str">
            <v>Barnet, Enfield and Haringey Mental Health NHS Trust (RRP)</v>
          </cell>
        </row>
        <row r="26">
          <cell r="G26" t="str">
            <v>Barnsley Hospital NHS Foundation Trust (RFF)</v>
          </cell>
        </row>
        <row r="27">
          <cell r="G27" t="str">
            <v>Barts Health NHS Trust (R1H)</v>
          </cell>
        </row>
        <row r="28">
          <cell r="G28" t="str">
            <v>Basildon and Thurrock University Hospitals NHS Foundation Trust (RDD)</v>
          </cell>
        </row>
        <row r="29">
          <cell r="G29" t="str">
            <v>Bedford Hospital NHS Trust (RC1)</v>
          </cell>
        </row>
        <row r="30">
          <cell r="G30" t="str">
            <v>Benenden Hospital (NWF01)</v>
          </cell>
        </row>
        <row r="31">
          <cell r="G31" t="str">
            <v>Berkshire Healthcare NHS Foundation Trust (RWX)</v>
          </cell>
        </row>
        <row r="32">
          <cell r="G32" t="str">
            <v>BICS-Community (NWX11)</v>
          </cell>
        </row>
        <row r="33">
          <cell r="G33" t="str">
            <v>Birmingham and Solihull Mental Health NHS Foundation Trust (RXT)</v>
          </cell>
        </row>
        <row r="34">
          <cell r="G34" t="str">
            <v>Birmingham Children's Hospital NHS Foundation Trust (RQ3)</v>
          </cell>
        </row>
        <row r="35">
          <cell r="G35" t="str">
            <v>Birmingham Community Healthcare NHS Foundation Trust (RYW)</v>
          </cell>
        </row>
        <row r="36">
          <cell r="G36" t="str">
            <v>Birmingham Treatment Centre (RXKTC)</v>
          </cell>
        </row>
        <row r="37">
          <cell r="G37" t="str">
            <v>Birmingham Women's NHS Foundation Trust (RLU)</v>
          </cell>
        </row>
        <row r="38">
          <cell r="G38" t="str">
            <v>Black Country Partnership NHS Foundation Trust (TAJ)</v>
          </cell>
        </row>
        <row r="39">
          <cell r="G39" t="str">
            <v>Blackpool Teaching Hospitals NHS Foundation Trust (RXL)</v>
          </cell>
        </row>
        <row r="40">
          <cell r="G40" t="str">
            <v>Blakelands Hospital (NVC31)</v>
          </cell>
        </row>
        <row r="41">
          <cell r="G41" t="str">
            <v>BMI - Bath Clinic (NT402)</v>
          </cell>
        </row>
        <row r="42">
          <cell r="G42" t="str">
            <v>BMI - Bishops Wood (NT405)</v>
          </cell>
        </row>
        <row r="43">
          <cell r="G43" t="str">
            <v>BMI - Chelsfield Park Hospital (NT409)</v>
          </cell>
        </row>
        <row r="44">
          <cell r="G44" t="str">
            <v>BMI - Fawkham Manor Hospital (NT414)</v>
          </cell>
        </row>
        <row r="45">
          <cell r="G45" t="str">
            <v>BMI - Goring Hall Hospital (NT417)</v>
          </cell>
        </row>
        <row r="46">
          <cell r="G46" t="str">
            <v>BMI - Hendon Hospital (NT416)</v>
          </cell>
        </row>
        <row r="47">
          <cell r="G47" t="str">
            <v>BMI - Sarum Road Hospital (NT433)</v>
          </cell>
        </row>
        <row r="48">
          <cell r="G48" t="str">
            <v>BMI - Shirley Oaks Hospital (NT436)</v>
          </cell>
        </row>
        <row r="49">
          <cell r="G49" t="str">
            <v>BMI - The Alexandra Hospital (NT401)</v>
          </cell>
        </row>
        <row r="50">
          <cell r="G50" t="str">
            <v>BMI - The Beardwood Hospital (NT403)</v>
          </cell>
        </row>
        <row r="51">
          <cell r="G51" t="str">
            <v>BMI - The Beaumont Hospital (NT404)</v>
          </cell>
        </row>
        <row r="52">
          <cell r="G52" t="str">
            <v>BMI - The Blackheath Hospital (NT406)</v>
          </cell>
        </row>
        <row r="53">
          <cell r="G53" t="str">
            <v>BMI - The Chaucer Hospital (NT408)</v>
          </cell>
        </row>
        <row r="54">
          <cell r="G54" t="str">
            <v>BMI - The Chiltern Hospital (NT410)</v>
          </cell>
        </row>
        <row r="55">
          <cell r="G55" t="str">
            <v>BMI - The Clementine Churchill Hospital (NT411)</v>
          </cell>
        </row>
        <row r="56">
          <cell r="G56" t="str">
            <v>BMI - The Droitwich Spa Hospital (NT412)</v>
          </cell>
        </row>
        <row r="57">
          <cell r="G57" t="str">
            <v>BMI - The Esperance Hospital (NT413)</v>
          </cell>
        </row>
        <row r="58">
          <cell r="G58" t="str">
            <v>BMI - The Hampshire Clinic (NT418)</v>
          </cell>
        </row>
        <row r="59">
          <cell r="G59" t="str">
            <v>BMI - The Harbour Hospital (NT419)</v>
          </cell>
        </row>
        <row r="60">
          <cell r="G60" t="str">
            <v>BMI - The Highfield Hospital (NT420)</v>
          </cell>
        </row>
        <row r="61">
          <cell r="G61" t="str">
            <v>BMI - The Kings Oak Hospital (NT421)</v>
          </cell>
        </row>
        <row r="62">
          <cell r="G62" t="str">
            <v>BMI - The London Independent Hospital (NT422)</v>
          </cell>
        </row>
        <row r="63">
          <cell r="G63" t="str">
            <v>BMI - The Manor Hospital (NT423)</v>
          </cell>
        </row>
        <row r="64">
          <cell r="G64" t="str">
            <v>BMI - The Meriden Hospital (NT424)</v>
          </cell>
        </row>
        <row r="65">
          <cell r="G65" t="str">
            <v>BMI - The Park Hospital (NT427)</v>
          </cell>
        </row>
        <row r="66">
          <cell r="G66" t="str">
            <v>BMI - The Princess Margaret Hospital (NT428)</v>
          </cell>
        </row>
        <row r="67">
          <cell r="G67" t="str">
            <v>BMI - The Priory Hospital (NT429)</v>
          </cell>
        </row>
        <row r="68">
          <cell r="G68" t="str">
            <v>BMI - The Ridgeway Hospital (NT430)</v>
          </cell>
        </row>
        <row r="69">
          <cell r="G69" t="str">
            <v>BMI - The Runnymede Hospital (NT431)</v>
          </cell>
        </row>
        <row r="70">
          <cell r="G70" t="str">
            <v>BMI - The Sandringham Hospital (NT432)</v>
          </cell>
        </row>
        <row r="71">
          <cell r="G71" t="str">
            <v>BMI - The Saxon Clinic (NT434)</v>
          </cell>
        </row>
        <row r="72">
          <cell r="G72" t="str">
            <v>BMI - The Shelburne Hospital (NT435)</v>
          </cell>
        </row>
        <row r="73">
          <cell r="G73" t="str">
            <v>BMI - The Sloane Hospital (NT437)</v>
          </cell>
        </row>
        <row r="74">
          <cell r="G74" t="str">
            <v>BMI - The Somerfield Hospital (NT438)</v>
          </cell>
        </row>
        <row r="75">
          <cell r="G75" t="str">
            <v>BMI - The South Cheshire Private Hospital (NT439)</v>
          </cell>
        </row>
        <row r="76">
          <cell r="G76" t="str">
            <v>BMI - The Winterbourne Hospital (NT443)</v>
          </cell>
        </row>
        <row r="77">
          <cell r="G77" t="str">
            <v>BMI - Thornbury Hospital (NT440)</v>
          </cell>
        </row>
        <row r="78">
          <cell r="G78" t="str">
            <v>BMI - Three Shires Hospital (NT441)</v>
          </cell>
        </row>
        <row r="79">
          <cell r="G79" t="str">
            <v>BMI - Gisburne Park Hospital (NT497)</v>
          </cell>
        </row>
        <row r="80">
          <cell r="G80" t="str">
            <v>BMI - Mount Alvernia Hospital (NT455)</v>
          </cell>
        </row>
        <row r="81">
          <cell r="G81" t="str">
            <v>BMI - Southend Private Hospital (NT490)</v>
          </cell>
        </row>
        <row r="82">
          <cell r="G82" t="str">
            <v>BMI - St Edmunds Hospital (NT446)</v>
          </cell>
        </row>
        <row r="83">
          <cell r="G83" t="str">
            <v>BMI - The Cavell Hospital (NT451)</v>
          </cell>
        </row>
        <row r="84">
          <cell r="G84" t="str">
            <v>BMI - The Duchy Hospital (NT447)</v>
          </cell>
        </row>
        <row r="85">
          <cell r="G85" t="str">
            <v>BMI - The Edgbaston Hospital (NT445)</v>
          </cell>
        </row>
        <row r="86">
          <cell r="G86" t="str">
            <v>BMI - The Huddersfield Hospital (NT448)</v>
          </cell>
        </row>
        <row r="87">
          <cell r="G87" t="str">
            <v>BMI - The Lancaster Hospital (NT449)</v>
          </cell>
        </row>
        <row r="88">
          <cell r="G88" t="str">
            <v>BMI - The Lincoln Hospital (NT450)</v>
          </cell>
        </row>
        <row r="89">
          <cell r="G89" t="str">
            <v>BMI - Woodlands Hospital (NT457)</v>
          </cell>
        </row>
        <row r="90">
          <cell r="G90" t="str">
            <v>Bodmin Community Hospital (NLL11)</v>
          </cell>
        </row>
        <row r="91">
          <cell r="G91" t="str">
            <v>Bodmin NHS Treatment Centre (NVC24)</v>
          </cell>
        </row>
        <row r="92">
          <cell r="G92" t="str">
            <v>Bolton NHS Foundation Trust (RMC)</v>
          </cell>
        </row>
        <row r="93">
          <cell r="G93" t="str">
            <v>Boston West Hospital (NVC27)</v>
          </cell>
        </row>
        <row r="94">
          <cell r="G94" t="str">
            <v>Bradford District Care NHS Foundation Trust (TAD)</v>
          </cell>
        </row>
        <row r="95">
          <cell r="G95" t="str">
            <v>Bradford Teaching Hospitals NHS Foundation Trust (RAE)</v>
          </cell>
        </row>
        <row r="96">
          <cell r="G96" t="str">
            <v>Brighton and Sussex University Hospitals NHS Trust (RXH)</v>
          </cell>
        </row>
        <row r="97">
          <cell r="G97" t="str">
            <v>Buckinghamshire Healthcare NHS Trust (RXQ)</v>
          </cell>
        </row>
        <row r="98">
          <cell r="G98" t="str">
            <v>Burton Hospitals NHS Foundation Trust (RJF)</v>
          </cell>
        </row>
        <row r="99">
          <cell r="G99" t="str">
            <v>Calderdale and Huddersfield NHS Foundation Trust (RWY)</v>
          </cell>
        </row>
        <row r="100">
          <cell r="G100" t="str">
            <v>Cambourne Redruth Community Hospital (NLL17)</v>
          </cell>
        </row>
        <row r="101">
          <cell r="G101" t="str">
            <v>Cambridge University Hospitals NHS Foundation Trust (RGT)</v>
          </cell>
        </row>
        <row r="102">
          <cell r="G102" t="str">
            <v>Cambridgeshire and Peterborough NHS Foundation Trust (RT1)</v>
          </cell>
        </row>
        <row r="103">
          <cell r="G103" t="str">
            <v>Cambridgeshire Community Services NHS Trust (RYV)</v>
          </cell>
        </row>
        <row r="104">
          <cell r="G104" t="str">
            <v>Central and North West London NHS Foundation Trust (RV3)</v>
          </cell>
        </row>
        <row r="105">
          <cell r="G105" t="str">
            <v>Central Manchester University Hospitals NHS Foundation Trust (RW3-X)</v>
          </cell>
        </row>
        <row r="106">
          <cell r="G106" t="str">
            <v>Chelsea and Westminster Hospital NHS Foundation Trust (RQM)</v>
          </cell>
        </row>
        <row r="107">
          <cell r="G107" t="str">
            <v>Cheshire and Wirral Partnership NHS Foundation Trust (RXA)</v>
          </cell>
        </row>
        <row r="108">
          <cell r="G108" t="str">
            <v>Chesterfield Royal Hospital NHS Foundation Trust (RFS)</v>
          </cell>
        </row>
        <row r="109">
          <cell r="G109" t="str">
            <v>Circle - Nottingham NHS Treatment Centre (NV313)</v>
          </cell>
        </row>
        <row r="110">
          <cell r="G110" t="str">
            <v>Circle Bath Hospital (NV302)</v>
          </cell>
        </row>
        <row r="111">
          <cell r="G111" t="str">
            <v>Circle Reading Hospital (NV323)</v>
          </cell>
        </row>
        <row r="112">
          <cell r="G112" t="str">
            <v>Cirencester NHS Treatment Centre (NTPH4)</v>
          </cell>
        </row>
        <row r="113">
          <cell r="G113" t="str">
            <v>City Hospitals Sunderland NHS Foundation Trust (RLN)</v>
          </cell>
        </row>
        <row r="114">
          <cell r="G114" t="str">
            <v>Clacton Hospital (NQ108)</v>
          </cell>
        </row>
        <row r="115">
          <cell r="G115" t="str">
            <v>Clifton Park Hospital (NVC28)</v>
          </cell>
        </row>
        <row r="116">
          <cell r="G116" t="str">
            <v>Cobalt Hospital (NVC29)</v>
          </cell>
        </row>
        <row r="117">
          <cell r="G117" t="str">
            <v>Cobham Day Surgery Hospital (NVM01)</v>
          </cell>
        </row>
        <row r="118">
          <cell r="G118" t="str">
            <v>Colchester Hospital University NHS Foundation Trust (RDE)</v>
          </cell>
        </row>
        <row r="119">
          <cell r="G119" t="str">
            <v>Cornwall Partnership NHS Foundation Trust (RJ8)</v>
          </cell>
        </row>
        <row r="120">
          <cell r="G120" t="str">
            <v>Countess of Chester Hospital NHS Foundation Trust (RJR)</v>
          </cell>
        </row>
        <row r="121">
          <cell r="G121" t="str">
            <v>County Durham and Darlington NHS Foundation Trust (RXP)</v>
          </cell>
        </row>
        <row r="122">
          <cell r="G122" t="str">
            <v>Coventry and Warwickshire Partnership NHS Trust (RYG)</v>
          </cell>
        </row>
        <row r="123">
          <cell r="G123" t="str">
            <v>Croydon Health Services NHS Trust (RJ6)</v>
          </cell>
        </row>
        <row r="124">
          <cell r="G124" t="str">
            <v>Cumbria Partnership NHS Foundation Trust (RNN)</v>
          </cell>
        </row>
        <row r="125">
          <cell r="G125" t="str">
            <v>Dartford and Gravesham NHS Trust (RN7-X)</v>
          </cell>
        </row>
        <row r="126">
          <cell r="G126" t="str">
            <v>Derby Teaching Hospitals NHS Foundation Trust (RTG)</v>
          </cell>
        </row>
        <row r="127">
          <cell r="G127" t="str">
            <v>Derbyshire Community Health Services NHS Foundation Trust (RY8)</v>
          </cell>
        </row>
        <row r="128">
          <cell r="G128" t="str">
            <v>Derbyshire Healthcare NHS Foundation Trust (RXM)</v>
          </cell>
        </row>
        <row r="129">
          <cell r="G129" t="str">
            <v>Devizes NHS Treatment Centre (NTPH3)</v>
          </cell>
        </row>
        <row r="130">
          <cell r="G130" t="str">
            <v>Devon Partnership NHS Trust (RWV)</v>
          </cell>
        </row>
        <row r="131">
          <cell r="G131" t="str">
            <v>Doncaster and Bassetlaw Hospitals NHS Foundation Trust (RP5)</v>
          </cell>
        </row>
        <row r="132">
          <cell r="G132" t="str">
            <v>Dorking General Hospital (NNE02)</v>
          </cell>
        </row>
        <row r="133">
          <cell r="G133" t="str">
            <v>Dorset County Hospital NHS Foundation Trust (RBD)</v>
          </cell>
        </row>
        <row r="134">
          <cell r="G134" t="str">
            <v>Dorset Healthcare University NHS Foundation Trust (RDY)</v>
          </cell>
        </row>
        <row r="135">
          <cell r="G135" t="str">
            <v>Duchy Hospital (NVC04)</v>
          </cell>
        </row>
        <row r="136">
          <cell r="G136" t="str">
            <v>Dudley and Walsall Mental Health Partnership NHS Trust (RYK)</v>
          </cell>
        </row>
        <row r="137">
          <cell r="G137" t="str">
            <v>East and North Hertfordshire NHS Trust (RWH)</v>
          </cell>
        </row>
        <row r="138">
          <cell r="G138" t="str">
            <v>East Cheshire NHS Trust (RJN)</v>
          </cell>
        </row>
        <row r="139">
          <cell r="G139" t="str">
            <v>East Kent Hospitals University NHS Foundation Trust (RVV)</v>
          </cell>
        </row>
        <row r="140">
          <cell r="G140" t="str">
            <v>East Lancashire Hospitals NHS Trust (RXR)</v>
          </cell>
        </row>
        <row r="141">
          <cell r="G141" t="str">
            <v>East London NHS Foundation Trust (RWK)</v>
          </cell>
        </row>
        <row r="142">
          <cell r="G142" t="str">
            <v>East Sussex Healthcare NHS Trust (RXC)</v>
          </cell>
        </row>
        <row r="143">
          <cell r="G143" t="str">
            <v>Eastern Surgery Ltd (8HP32)</v>
          </cell>
        </row>
        <row r="144">
          <cell r="G144" t="str">
            <v>Edward Hain Community Hospital (NLL20)</v>
          </cell>
        </row>
        <row r="145">
          <cell r="G145" t="str">
            <v>Emersons Green NHS Treatment Centre (NTPH2)</v>
          </cell>
        </row>
        <row r="146">
          <cell r="G146" t="str">
            <v>Epsom and St Helier University Hospitals NHS Trust (RVR-X)</v>
          </cell>
        </row>
        <row r="147">
          <cell r="G147" t="str">
            <v>Epsom Day Surgery Limited (NVM02)</v>
          </cell>
        </row>
        <row r="148">
          <cell r="G148" t="str">
            <v>Euxton Hall Hospital (NVC05)</v>
          </cell>
        </row>
        <row r="149">
          <cell r="G149" t="str">
            <v>Fairfield Hospital (NVG01)</v>
          </cell>
        </row>
        <row r="150">
          <cell r="G150" t="str">
            <v>Falmouth Hospital (NLL16)</v>
          </cell>
        </row>
        <row r="151">
          <cell r="G151" t="str">
            <v>Farnham Hospital &amp; Centre For Health (NDA25)</v>
          </cell>
        </row>
        <row r="152">
          <cell r="G152" t="str">
            <v>Fitzwilliam Hospital (NVC06)</v>
          </cell>
        </row>
        <row r="153">
          <cell r="G153" t="str">
            <v>Forum House (NDJ01)</v>
          </cell>
        </row>
        <row r="154">
          <cell r="G154" t="str">
            <v>Foscote Court (Banbury) Trust (AHH01)</v>
          </cell>
        </row>
        <row r="155">
          <cell r="G155" t="str">
            <v>Fowey Hospital (NLL14)</v>
          </cell>
        </row>
        <row r="156">
          <cell r="G156" t="str">
            <v>Frimley Health NHS Foundation Trust (RDU)</v>
          </cell>
        </row>
        <row r="157">
          <cell r="G157" t="str">
            <v>Fryatt Hospital (NQ106)</v>
          </cell>
        </row>
        <row r="158">
          <cell r="G158" t="str">
            <v>Fulwood Hall Hospital (NVC07)</v>
          </cell>
        </row>
        <row r="159">
          <cell r="G159" t="str">
            <v>Gateshead Health NHS Foundation Trust (RR7-X)</v>
          </cell>
        </row>
        <row r="160">
          <cell r="G160" t="str">
            <v>George Eliot Hospital NHS Trust (RLT)</v>
          </cell>
        </row>
        <row r="161">
          <cell r="G161" t="str">
            <v>Gloucestershire Care Services NHS Trust (R1J)</v>
          </cell>
        </row>
        <row r="162">
          <cell r="G162" t="str">
            <v>Gloucestershire Hospitals NHS Foundation Trust (RTE)</v>
          </cell>
        </row>
        <row r="163">
          <cell r="G163" t="str">
            <v>Great Ormond Street Hospital For Children NHS Foundation Trust (RP4)</v>
          </cell>
        </row>
        <row r="164">
          <cell r="G164" t="str">
            <v>Great Western Hospitals NHS Foundation Trust (RN3)</v>
          </cell>
        </row>
        <row r="165">
          <cell r="G165" t="str">
            <v>Guy's and St Thomas' NHS Foundation Trust (RJ1-X)</v>
          </cell>
        </row>
        <row r="166">
          <cell r="G166" t="str">
            <v>Hampshire Hospitals NHS Foundation Trust (RN5-X)</v>
          </cell>
        </row>
        <row r="167">
          <cell r="G167" t="str">
            <v>Harrogate and District NHS Foundation Trust (RCD)</v>
          </cell>
        </row>
        <row r="168">
          <cell r="G168" t="str">
            <v>Haslemere and District Hospital OPD (NDA03)</v>
          </cell>
        </row>
        <row r="169">
          <cell r="G169" t="str">
            <v>Heart of England NHS Foundation Trust (RR1-X)</v>
          </cell>
        </row>
        <row r="170">
          <cell r="G170" t="str">
            <v>Helston Community Hospital (NLL18)</v>
          </cell>
        </row>
        <row r="171">
          <cell r="G171" t="str">
            <v>Hertfordshire Community NHS Trust (RY4)</v>
          </cell>
        </row>
        <row r="172">
          <cell r="G172" t="str">
            <v>Hertfordshire Partnership University NHS Foundation Trust (RWR)</v>
          </cell>
        </row>
        <row r="173">
          <cell r="G173" t="str">
            <v>Hinchingbrooke Health Care NHS Trust (RQQ-X)</v>
          </cell>
        </row>
        <row r="174">
          <cell r="G174" t="str">
            <v>Homerton University Hospital NHS Foundation Trust (RQX)</v>
          </cell>
        </row>
        <row r="175">
          <cell r="G175" t="str">
            <v>Horton NHS Treatment Centre (NVC25)</v>
          </cell>
        </row>
        <row r="176">
          <cell r="G176" t="str">
            <v>Hounslow and Richmond Community Healthcare NHS Trust (RY9)</v>
          </cell>
        </row>
        <row r="177">
          <cell r="G177" t="str">
            <v>Hull and East Yorkshire Hospitals NHS Trust (RWA)</v>
          </cell>
        </row>
        <row r="178">
          <cell r="G178" t="str">
            <v>Humber NHS Foundation Trust (RV9-X)</v>
          </cell>
        </row>
        <row r="179">
          <cell r="G179" t="str">
            <v>Imperial College Healthcare NHS Trust (RYJ)</v>
          </cell>
        </row>
        <row r="180">
          <cell r="G180" t="str">
            <v>Ipswich Hospital NHS Trust (RGQ)</v>
          </cell>
        </row>
        <row r="181">
          <cell r="G181" t="str">
            <v>Isle of Wight NHS Trust (R1F-X)</v>
          </cell>
        </row>
        <row r="182">
          <cell r="G182" t="str">
            <v>James Paget University Hospitals NHS Foundation Trust (RGP)</v>
          </cell>
        </row>
        <row r="183">
          <cell r="G183" t="str">
            <v>Kent and Medway NHS and Social Care Partnership Trust (RXY)</v>
          </cell>
        </row>
        <row r="184">
          <cell r="G184" t="str">
            <v>Kent Community Health NHS Foundation Trust (RYY)</v>
          </cell>
        </row>
        <row r="185">
          <cell r="G185" t="str">
            <v>Kettering General Hospital NHS Foundation Trust (RNQ)</v>
          </cell>
        </row>
        <row r="186">
          <cell r="G186" t="str">
            <v>Kims Hospital Ltd (ADP02)</v>
          </cell>
        </row>
        <row r="187">
          <cell r="G187" t="str">
            <v>King's College Hospital NHS Foundation Trust (RJZ)</v>
          </cell>
        </row>
        <row r="188">
          <cell r="G188" t="str">
            <v>Kingston Hospital NHS Foundation Trust (RAX)</v>
          </cell>
        </row>
        <row r="189">
          <cell r="G189" t="str">
            <v>Lancashire Care NHS Foundation Trust (RW5)</v>
          </cell>
        </row>
        <row r="190">
          <cell r="G190" t="str">
            <v>Lancashire Teaching Hospitals NHS Foundation Trust (RXN)</v>
          </cell>
        </row>
        <row r="191">
          <cell r="G191" t="str">
            <v>Launceston General Hospital (NLL04)</v>
          </cell>
        </row>
        <row r="192">
          <cell r="G192" t="str">
            <v>Leeds and York Partnership NHS Foundation Trust (RGD)</v>
          </cell>
        </row>
        <row r="193">
          <cell r="G193" t="str">
            <v>Leeds Community Healthcare NHS Trust (RY6)</v>
          </cell>
        </row>
        <row r="194">
          <cell r="G194" t="str">
            <v>Leeds Teaching Hospitals NHS Trust (RR8)</v>
          </cell>
        </row>
        <row r="195">
          <cell r="G195" t="str">
            <v>Leicestershire Partnership NHS Trust (RT5)</v>
          </cell>
        </row>
        <row r="196">
          <cell r="G196" t="str">
            <v>Lewisham and Greenwich NHS Trust (RJ2)</v>
          </cell>
        </row>
        <row r="197">
          <cell r="G197" t="str">
            <v>Lincolnshire Community Health Services NHS Trust (RY5)</v>
          </cell>
        </row>
        <row r="198">
          <cell r="G198" t="str">
            <v>Lincolnshire Partnership NHS Foundation Trust (RP7)</v>
          </cell>
        </row>
        <row r="199">
          <cell r="G199" t="str">
            <v>Liskeard Community Hospital (NLL07)</v>
          </cell>
        </row>
        <row r="200">
          <cell r="G200" t="str">
            <v>Liverpool Community Health NHS Trust (RY1)</v>
          </cell>
        </row>
        <row r="201">
          <cell r="G201" t="str">
            <v>Liverpool Heart and Chest Hospital NHS Foundation Trust (RBQ)</v>
          </cell>
        </row>
        <row r="202">
          <cell r="G202" t="str">
            <v>Liverpool Women's NHS Foundation Trust (REP)</v>
          </cell>
        </row>
        <row r="203">
          <cell r="G203" t="str">
            <v>Livewell Southwest (NR501)</v>
          </cell>
        </row>
        <row r="204">
          <cell r="G204" t="str">
            <v>London North West Healthcare NHS Trust (R1K)</v>
          </cell>
        </row>
        <row r="205">
          <cell r="G205" t="str">
            <v>Luton and Dunstable University Hospital NHS Foundation Trust (RC9)</v>
          </cell>
        </row>
        <row r="206">
          <cell r="G206" t="str">
            <v>Maidstone and Tunbridge Wells NHS Trust (RWF)</v>
          </cell>
        </row>
        <row r="207">
          <cell r="G207" t="str">
            <v>Manchester Mental Health and Social Care Trust (TAE)</v>
          </cell>
        </row>
        <row r="208">
          <cell r="G208" t="str">
            <v>Medway NHS Foundation Trust (RPA)</v>
          </cell>
        </row>
        <row r="209">
          <cell r="G209" t="str">
            <v>Mersey Care NHS Foundation Trust (RW4)</v>
          </cell>
        </row>
        <row r="210">
          <cell r="G210" t="str">
            <v>Mid Cheshire Hospitals NHS Foundation Trust (RBT)</v>
          </cell>
        </row>
        <row r="211">
          <cell r="G211" t="str">
            <v>Mid Essex Hospital Services NHS Trust (RQ8)</v>
          </cell>
        </row>
        <row r="212">
          <cell r="G212" t="str">
            <v>Mid Yorkshire Hospitals NHS Trust (RXF-X)</v>
          </cell>
        </row>
        <row r="213">
          <cell r="G213" t="str">
            <v>Milford Specialist Rehabilitation Hospital (NDA26)</v>
          </cell>
        </row>
        <row r="214">
          <cell r="G214" t="str">
            <v>Milton Keynes University Hospital NHS Foundation Trust (RD8)</v>
          </cell>
        </row>
        <row r="215">
          <cell r="G215" t="str">
            <v>Moorfields Eye Hospital NHS Foundation Trust (RP6)</v>
          </cell>
        </row>
        <row r="216">
          <cell r="G216" t="str">
            <v>Mount Gould Hospital (NR527)</v>
          </cell>
        </row>
        <row r="217">
          <cell r="G217" t="str">
            <v>Mount Stuart Hospital (NVC08)</v>
          </cell>
        </row>
        <row r="218">
          <cell r="G218" t="str">
            <v>Navigo HQ (NQL01)</v>
          </cell>
        </row>
        <row r="219">
          <cell r="G219" t="str">
            <v>New Hall Hospital (NVC09)</v>
          </cell>
        </row>
        <row r="220">
          <cell r="G220" t="str">
            <v>Newquay Hospital (NLL15)</v>
          </cell>
        </row>
        <row r="221">
          <cell r="G221" t="str">
            <v>Norfolk and Norwich University Hospitals NHS Foundation Trust (RM1)</v>
          </cell>
        </row>
        <row r="222">
          <cell r="G222" t="str">
            <v>Norfolk and Suffolk NHS Foundation Trust (RMY-X)</v>
          </cell>
        </row>
        <row r="223">
          <cell r="G223" t="str">
            <v>Norfolk Community Health and Care NHS Trust (RY3)</v>
          </cell>
        </row>
        <row r="224">
          <cell r="G224" t="str">
            <v>North Bristol NHS Trust (RVJ-X)</v>
          </cell>
        </row>
        <row r="225">
          <cell r="G225" t="str">
            <v>North Cumbria University Hospitals NHS Trust (RNL)</v>
          </cell>
        </row>
        <row r="226">
          <cell r="G226" t="str">
            <v>North Downs Hospital (NVC11)</v>
          </cell>
        </row>
        <row r="227">
          <cell r="G227" t="str">
            <v>North East London NHS Foundation Trust (RAT)</v>
          </cell>
        </row>
        <row r="228">
          <cell r="G228" t="str">
            <v>North East London Treatment Centre Care Uk (NTP15)</v>
          </cell>
        </row>
        <row r="229">
          <cell r="G229" t="str">
            <v>North Essex Partnership University NHS Foundation Trust (RRD)</v>
          </cell>
        </row>
        <row r="230">
          <cell r="G230" t="str">
            <v>North Middlesex University Hospital NHS Trust (RAP)</v>
          </cell>
        </row>
        <row r="231">
          <cell r="G231" t="str">
            <v>North Somerset Community Partnership CIC HQ (NLT01)</v>
          </cell>
        </row>
        <row r="232">
          <cell r="G232" t="str">
            <v>North Staffordshire Combined Healthcare NHS Trust (RLY)</v>
          </cell>
        </row>
        <row r="233">
          <cell r="G233" t="str">
            <v>North Tees and Hartlepool NHS Foundation Trust (RVW)</v>
          </cell>
        </row>
        <row r="234">
          <cell r="G234" t="str">
            <v>Northampton General Hospital NHS Trust (RNS)</v>
          </cell>
        </row>
        <row r="235">
          <cell r="G235" t="str">
            <v>Northamptonshire Healthcare NHS Foundation Trust (RP1)</v>
          </cell>
        </row>
        <row r="236">
          <cell r="G236" t="str">
            <v>Northern Devon Healthcare NHS Trust (RBZ)</v>
          </cell>
        </row>
        <row r="237">
          <cell r="G237" t="str">
            <v>Northern Lincolnshire and Goole NHS Foundation Trust (RJL-X)</v>
          </cell>
        </row>
        <row r="238">
          <cell r="G238" t="str">
            <v>Northumberland, Tyne and Wear NHS Foundation Trust (RX4)</v>
          </cell>
        </row>
        <row r="239">
          <cell r="G239" t="str">
            <v>Northumbria Healthcare NHS Foundation Trust (RTF)</v>
          </cell>
        </row>
        <row r="240">
          <cell r="G240" t="str">
            <v>Nottingham University Hospitals NHS Trust (RX1)</v>
          </cell>
        </row>
        <row r="241">
          <cell r="G241" t="str">
            <v>Nottinghamshire Healthcare NHS Foundation Trust (RHA)</v>
          </cell>
        </row>
        <row r="242">
          <cell r="G242" t="str">
            <v>Nuffield Health, Bournemouth Hospital (NT202)</v>
          </cell>
        </row>
        <row r="243">
          <cell r="G243" t="str">
            <v>Nuffield Health, Brentwood Hospital (NT204)</v>
          </cell>
        </row>
        <row r="244">
          <cell r="G244" t="str">
            <v>Nuffield Health, Brighton Hospital (NT205)</v>
          </cell>
        </row>
        <row r="245">
          <cell r="G245" t="str">
            <v>Nuffield Health, Bristol Hospital (Chesterfield) (NT206)</v>
          </cell>
        </row>
        <row r="246">
          <cell r="G246" t="str">
            <v>Nuffield Health, Cambridge Hospital (NT209)</v>
          </cell>
        </row>
        <row r="247">
          <cell r="G247" t="str">
            <v>Nuffield Health, Cheltenham Hospital (NT211)</v>
          </cell>
        </row>
        <row r="248">
          <cell r="G248" t="str">
            <v>Nuffield Health, Chichester Hospital (NT212)</v>
          </cell>
        </row>
        <row r="249">
          <cell r="G249" t="str">
            <v>Nuffield Health, Derby Hospital (NT213)</v>
          </cell>
        </row>
        <row r="250">
          <cell r="G250" t="str">
            <v>Nuffield Health, Exeter Hospital (NT215)</v>
          </cell>
        </row>
        <row r="251">
          <cell r="G251" t="str">
            <v>Nuffield Health, Haywards Heath Hospital (NT218)</v>
          </cell>
        </row>
        <row r="252">
          <cell r="G252" t="str">
            <v>Nuffield Health, Hereford Hospital (NT219)</v>
          </cell>
        </row>
        <row r="253">
          <cell r="G253" t="str">
            <v>Nuffield Health, Ipswich Hospital (NT222)</v>
          </cell>
        </row>
        <row r="254">
          <cell r="G254" t="str">
            <v>Nuffield Health, Leeds Hospital (NT225)</v>
          </cell>
        </row>
        <row r="255">
          <cell r="G255" t="str">
            <v>Nuffield Health, Leicester Hospital (NT226)</v>
          </cell>
        </row>
        <row r="256">
          <cell r="G256" t="str">
            <v>Nuffield Health, Newcastle Upon Tyne Hospital (NT229)</v>
          </cell>
        </row>
        <row r="257">
          <cell r="G257" t="str">
            <v>Nuffield Health, North Staffordshire Hospital (NT230)</v>
          </cell>
        </row>
        <row r="258">
          <cell r="G258" t="str">
            <v>Nuffield Health, Plymouth Hospital (NT233)</v>
          </cell>
        </row>
        <row r="259">
          <cell r="G259" t="str">
            <v>Nuffield Health, Shrewsbury Hospital (NT235)</v>
          </cell>
        </row>
        <row r="260">
          <cell r="G260" t="str">
            <v>Nuffield Health, Taunton Hospital (NT238)</v>
          </cell>
        </row>
        <row r="261">
          <cell r="G261" t="str">
            <v>Nuffield Health, Tees Hospital (NT237)</v>
          </cell>
        </row>
        <row r="262">
          <cell r="G262" t="str">
            <v>Nuffield Health, The Grosvenor Hospital, Chester (NT210)</v>
          </cell>
        </row>
        <row r="263">
          <cell r="G263" t="str">
            <v>Nuffield Health, Tunbridge Wells Hospital (NT239)</v>
          </cell>
        </row>
        <row r="264">
          <cell r="G264" t="str">
            <v>Nuffield Health, Warwickshire Hospital (NT224)</v>
          </cell>
        </row>
        <row r="265">
          <cell r="G265" t="str">
            <v>Nuffield Health, Wessex Hospital (NT214)</v>
          </cell>
        </row>
        <row r="266">
          <cell r="G266" t="str">
            <v>Nuffield Health, Woking Hospital (NT241)</v>
          </cell>
        </row>
        <row r="267">
          <cell r="G267" t="str">
            <v>Nuffield Health, Wolverhampton Hospital (NT242)</v>
          </cell>
        </row>
        <row r="268">
          <cell r="G268" t="str">
            <v>Nuffield Health, York Hospital (NT245)</v>
          </cell>
        </row>
        <row r="269">
          <cell r="G269" t="str">
            <v>Nuffield Hospital Oxford (The Manor) (NT244)</v>
          </cell>
        </row>
        <row r="270">
          <cell r="G270" t="str">
            <v>Oaklands Hospital (NVC12)</v>
          </cell>
        </row>
        <row r="271">
          <cell r="G271" t="str">
            <v>Oaks Hospital (NVC13)</v>
          </cell>
        </row>
        <row r="272">
          <cell r="G272" t="str">
            <v>One Health Group Clinic - Claremont (NTX12)</v>
          </cell>
        </row>
        <row r="273">
          <cell r="G273" t="str">
            <v>One Health Group Clinic - Thornbury (NTX11)</v>
          </cell>
        </row>
        <row r="274">
          <cell r="G274" t="str">
            <v>One Health Group Ltd (NTX01)</v>
          </cell>
        </row>
        <row r="275">
          <cell r="G275" t="str">
            <v>Optegra (Manchester Eye Hospital) (NNH04)</v>
          </cell>
        </row>
        <row r="276">
          <cell r="G276" t="str">
            <v>Optegra Yorkshire Eye Hospital (NNH02)</v>
          </cell>
        </row>
        <row r="277">
          <cell r="G277" t="str">
            <v>Oxford Health NHS Foundation Trust (RNU)</v>
          </cell>
        </row>
        <row r="278">
          <cell r="G278" t="str">
            <v>Oxford University Hospitals NHS Foundation Trust (RTH)</v>
          </cell>
        </row>
        <row r="279">
          <cell r="G279" t="str">
            <v>Oxleas NHS Foundation Trust (RPG)</v>
          </cell>
        </row>
        <row r="280">
          <cell r="G280" t="str">
            <v>Pain Management Solutions - Oaks Park PCC (NY601)</v>
          </cell>
        </row>
        <row r="281">
          <cell r="G281" t="str">
            <v>Papworth Hospital NHS Foundation Trust (RGM)</v>
          </cell>
        </row>
        <row r="282">
          <cell r="G282" t="str">
            <v>Park Hill Hospital (NVC14)</v>
          </cell>
        </row>
        <row r="283">
          <cell r="G283" t="str">
            <v>Paulton Memorial Hospital (NLX02)</v>
          </cell>
        </row>
        <row r="284">
          <cell r="G284" t="str">
            <v>Peninsula NHS Treatment Centre (NTPH5)</v>
          </cell>
        </row>
        <row r="285">
          <cell r="G285" t="str">
            <v>Pennine Acute Hospitals NHS Trust (RW6)</v>
          </cell>
        </row>
        <row r="286">
          <cell r="G286" t="str">
            <v>Pennine Care NHS Foundation Trust (RT2)</v>
          </cell>
        </row>
        <row r="287">
          <cell r="G287" t="str">
            <v>Peterborough and Stamford Hospitals NHS Foundation Trust (RGN)</v>
          </cell>
        </row>
        <row r="288">
          <cell r="G288" t="str">
            <v>Phoenix Health Solutions Limited (NEQ01)</v>
          </cell>
        </row>
        <row r="289">
          <cell r="G289" t="str">
            <v>Pinehill Hospital (NVC15)</v>
          </cell>
        </row>
        <row r="290">
          <cell r="G290" t="str">
            <v>Pioneer Healthcare Ltd - Claremont Hospital (NEY01)</v>
          </cell>
        </row>
        <row r="291">
          <cell r="G291" t="str">
            <v>Plymouth Hospitals NHS Trust (RK9)</v>
          </cell>
        </row>
        <row r="292">
          <cell r="G292" t="str">
            <v>Poole Hospital NHS Foundation Trust (RD3)</v>
          </cell>
        </row>
        <row r="293">
          <cell r="G293" t="str">
            <v>Portsmouth Hospitals NHS Trust (RHU)</v>
          </cell>
        </row>
        <row r="294">
          <cell r="G294" t="str">
            <v>Queen Victoria Hospital NHS Foundation Trust (RPC)</v>
          </cell>
        </row>
        <row r="295">
          <cell r="G295" t="str">
            <v>Renacres Hospital (NVC16)</v>
          </cell>
        </row>
        <row r="296">
          <cell r="G296" t="str">
            <v>Rivers Hospital (NVC19)</v>
          </cell>
        </row>
        <row r="297">
          <cell r="G297" t="str">
            <v>Rotherham Doncaster and South Humber NHS Foundation Trust (RXE)</v>
          </cell>
        </row>
        <row r="298">
          <cell r="G298" t="str">
            <v>Rowley Hall Hospital (NVC17)</v>
          </cell>
        </row>
        <row r="299">
          <cell r="G299" t="str">
            <v>Royal Berkshire NHS Foundation Trust (RHW)</v>
          </cell>
        </row>
        <row r="300">
          <cell r="G300" t="str">
            <v>Royal Brompton &amp; Harefield NHS Foundation Trust (RT3)</v>
          </cell>
        </row>
        <row r="301">
          <cell r="G301" t="str">
            <v>Royal Cornwall Hospitals NHS Trust (REF-X)</v>
          </cell>
        </row>
        <row r="302">
          <cell r="G302" t="str">
            <v>Royal Devon and Exeter NHS Foundation Trust (RH8)</v>
          </cell>
        </row>
        <row r="303">
          <cell r="G303" t="str">
            <v>Royal Free London NHS Foundation Trust (RAL)</v>
          </cell>
        </row>
        <row r="304">
          <cell r="G304" t="str">
            <v>Royal Liverpool and Broadgreen University Hospitals NHS Trust (RQ6)</v>
          </cell>
        </row>
        <row r="305">
          <cell r="G305" t="str">
            <v>Royal National Orthopaedic Hospital NHS Trust (RAN)</v>
          </cell>
        </row>
        <row r="306">
          <cell r="G306" t="str">
            <v>Royal Surrey County Hospital NHS Foundation Trust (RA2)</v>
          </cell>
        </row>
        <row r="307">
          <cell r="G307" t="str">
            <v>Royal United Hospitals Bath NHS Foundation Trust (RD1)</v>
          </cell>
        </row>
        <row r="308">
          <cell r="G308" t="str">
            <v>Salford Royal NHS Foundation Trust (RM3)</v>
          </cell>
        </row>
        <row r="309">
          <cell r="G309" t="str">
            <v>Salisbury NHS Foundation Trust (RNZ)</v>
          </cell>
        </row>
        <row r="310">
          <cell r="G310" t="str">
            <v>Sandwell and West Birmingham Hospitals NHS Trust (RXK-X)</v>
          </cell>
        </row>
        <row r="311">
          <cell r="G311" t="str">
            <v>Shaw Healthcare (Ledbury) Limited (8J285)</v>
          </cell>
        </row>
        <row r="312">
          <cell r="G312" t="str">
            <v>Sheffield Children's NHS Foundation Trust (RCU)</v>
          </cell>
        </row>
        <row r="313">
          <cell r="G313" t="str">
            <v>Sheffield Teaching Hospitals NHS Foundation Trust (RHQ)</v>
          </cell>
        </row>
        <row r="314">
          <cell r="G314" t="str">
            <v>Shepton Mallet NHS Treatment Centre (NTPH1)</v>
          </cell>
        </row>
        <row r="315">
          <cell r="G315" t="str">
            <v>Sherwood Forest Hospitals NHS Foundation Trust (RK5)</v>
          </cell>
        </row>
        <row r="316">
          <cell r="G316" t="str">
            <v>Shrewsbury and Telford Hospital NHS Trust (RXW)</v>
          </cell>
        </row>
        <row r="317">
          <cell r="G317" t="str">
            <v>Shropshire Community Health NHS Trust (R1D)</v>
          </cell>
        </row>
        <row r="318">
          <cell r="G318" t="str">
            <v>Solent NHS Trust (R1C)</v>
          </cell>
        </row>
        <row r="319">
          <cell r="G319" t="str">
            <v>Somerset Partnership NHS Foundation Trust (RH5)</v>
          </cell>
        </row>
        <row r="320">
          <cell r="G320" t="str">
            <v>Somerset Surgical Services (NFH01)</v>
          </cell>
        </row>
        <row r="321">
          <cell r="G321" t="str">
            <v>South Essex Partnership University NHS Foundation Trust (RWN)</v>
          </cell>
        </row>
        <row r="322">
          <cell r="G322" t="str">
            <v>South Hams (Kingsbridge) Hospital (NR526)</v>
          </cell>
        </row>
        <row r="323">
          <cell r="G323" t="str">
            <v>South London and Maudsley NHS Foundation Trust (RV5)</v>
          </cell>
        </row>
        <row r="324">
          <cell r="G324" t="str">
            <v>South Staffordshire and Shropshire Healthcare NHS Foundation Trust (RRE)</v>
          </cell>
        </row>
        <row r="325">
          <cell r="G325" t="str">
            <v>South Tees Hospitals NHS Foundation Trust (RTR)</v>
          </cell>
        </row>
        <row r="326">
          <cell r="G326" t="str">
            <v>South Tyneside NHS Foundation Trust (RE9)</v>
          </cell>
        </row>
        <row r="327">
          <cell r="G327" t="str">
            <v>South Warwickshire NHS Foundation Trust (RJC)</v>
          </cell>
        </row>
        <row r="328">
          <cell r="G328" t="str">
            <v>South West London and St George's Mental Health NHS Trust (RQY)</v>
          </cell>
        </row>
        <row r="329">
          <cell r="G329" t="str">
            <v>South West Yorkshire Partnership NHS Foundation Trust (RXG)</v>
          </cell>
        </row>
        <row r="330">
          <cell r="G330" t="str">
            <v>Southampton NHS Treatment Centre (NTP11)</v>
          </cell>
        </row>
        <row r="331">
          <cell r="G331" t="str">
            <v>Southend University Hospital NHS Foundation Trust (RAJ)</v>
          </cell>
        </row>
        <row r="332">
          <cell r="G332" t="str">
            <v>Southern Health NHS Foundation Trust (RW1)</v>
          </cell>
        </row>
        <row r="333">
          <cell r="G333" t="str">
            <v>Southport and Ormskirk Hospital NHS Trust (RVY)</v>
          </cell>
        </row>
        <row r="334">
          <cell r="G334" t="str">
            <v>Spamedica (Manchester) (NPG01)</v>
          </cell>
        </row>
        <row r="335">
          <cell r="G335" t="str">
            <v>Spire Alexandra Hospital (NT312)</v>
          </cell>
        </row>
        <row r="336">
          <cell r="G336" t="str">
            <v>Spire Bristol Hospital (NT302)</v>
          </cell>
        </row>
        <row r="337">
          <cell r="G337" t="str">
            <v>Spire Bushey Hospital (NT315)</v>
          </cell>
        </row>
        <row r="338">
          <cell r="G338" t="str">
            <v>Spire Cambridge Lea Hospital (NT317)</v>
          </cell>
        </row>
        <row r="339">
          <cell r="G339" t="str">
            <v>Spire Cheshire Hospital (NT324)</v>
          </cell>
        </row>
        <row r="340">
          <cell r="G340" t="str">
            <v>Spire Clare Park Hospital (NT345)</v>
          </cell>
        </row>
        <row r="341">
          <cell r="G341" t="str">
            <v>Spire Dunedin Hospital (NT344)</v>
          </cell>
        </row>
        <row r="342">
          <cell r="G342" t="str">
            <v>Spire Elland Hospital (NT348)</v>
          </cell>
        </row>
        <row r="343">
          <cell r="G343" t="str">
            <v>Spire Fylde Coast Hospital (NT347)</v>
          </cell>
        </row>
        <row r="344">
          <cell r="G344" t="str">
            <v>Spire Gatwick Park Hospital (NT308)</v>
          </cell>
        </row>
        <row r="345">
          <cell r="G345" t="str">
            <v>Spire Harpenden Hospital (NT316)</v>
          </cell>
        </row>
        <row r="346">
          <cell r="G346" t="str">
            <v>Spire Hartswood Hospital (NT319)</v>
          </cell>
        </row>
        <row r="347">
          <cell r="G347" t="str">
            <v>Spire Hull and East Riding Hospital (NT351)</v>
          </cell>
        </row>
        <row r="348">
          <cell r="G348" t="str">
            <v>Spire Leeds Hospital (NT332)</v>
          </cell>
        </row>
        <row r="349">
          <cell r="G349" t="str">
            <v>Spire Leicester Hospital (NT322)</v>
          </cell>
        </row>
        <row r="350">
          <cell r="G350" t="str">
            <v>Spire Little Aston Hospital (NT321)</v>
          </cell>
        </row>
        <row r="351">
          <cell r="G351" t="str">
            <v>Spire Liverpool Hospital (NT337)</v>
          </cell>
        </row>
        <row r="352">
          <cell r="G352" t="str">
            <v>Spire Manchester Hospital (NT327)</v>
          </cell>
        </row>
        <row r="353">
          <cell r="G353" t="str">
            <v>Spire Methley Park Hospital (NT350)</v>
          </cell>
        </row>
        <row r="354">
          <cell r="G354" t="str">
            <v>Spire Montefiore Hospital (NT364)</v>
          </cell>
        </row>
        <row r="355">
          <cell r="G355" t="str">
            <v>Spire Murrayfield Hospital (NT325)</v>
          </cell>
        </row>
        <row r="356">
          <cell r="G356" t="str">
            <v>Spire Norwich Hospital (NT318)</v>
          </cell>
        </row>
        <row r="357">
          <cell r="G357" t="str">
            <v>Spire Parkway Hospital (NT320)</v>
          </cell>
        </row>
        <row r="358">
          <cell r="G358" t="str">
            <v>Spire Portsmouth Hospital (NT305)</v>
          </cell>
        </row>
        <row r="359">
          <cell r="G359" t="str">
            <v>Spire Regency Hospital (NT339)</v>
          </cell>
        </row>
        <row r="360">
          <cell r="G360" t="str">
            <v>Spire Roding Hospital (NT314)</v>
          </cell>
        </row>
        <row r="361">
          <cell r="G361" t="str">
            <v>Spire South Bank Hospital (NT301)</v>
          </cell>
        </row>
        <row r="362">
          <cell r="G362" t="str">
            <v>Spire Southampton Hospital (NT304)</v>
          </cell>
        </row>
        <row r="363">
          <cell r="G363" t="str">
            <v>Spire St Saviours Hospital (NT346)</v>
          </cell>
        </row>
        <row r="364">
          <cell r="G364" t="str">
            <v>Spire Sussex Hospital (NT309)</v>
          </cell>
        </row>
        <row r="365">
          <cell r="G365" t="str">
            <v>Spire Thames Valley Hospital (NT343)</v>
          </cell>
        </row>
        <row r="366">
          <cell r="G366" t="str">
            <v>Spire Tunbridge Wells Hospital (NT310)</v>
          </cell>
        </row>
        <row r="367">
          <cell r="G367" t="str">
            <v>Spire Washington Hospital (NT333)</v>
          </cell>
        </row>
        <row r="368">
          <cell r="G368" t="str">
            <v>Spire Wellesley Hospital (NT313)</v>
          </cell>
        </row>
        <row r="369">
          <cell r="G369" t="str">
            <v>Springfield Hospital (NVC18)</v>
          </cell>
        </row>
        <row r="370">
          <cell r="G370" t="str">
            <v>St Austell Community Hospital (NLL13)</v>
          </cell>
        </row>
        <row r="371">
          <cell r="G371" t="str">
            <v>St Barnabas Hospital (NLL08)</v>
          </cell>
        </row>
        <row r="372">
          <cell r="G372" t="str">
            <v>St Bartholomew's Hospital (Rochester) (NQ713)</v>
          </cell>
        </row>
        <row r="373">
          <cell r="G373" t="str">
            <v>St George's University Hospitals NHS Foundation Trust (RJ7)</v>
          </cell>
        </row>
        <row r="374">
          <cell r="G374" t="str">
            <v>St Helens and Knowsley Hospital Services NHS Trust (RBN)</v>
          </cell>
        </row>
        <row r="375">
          <cell r="G375" t="str">
            <v>St Hugh's Hospital (NTE02)</v>
          </cell>
        </row>
        <row r="376">
          <cell r="G376" t="str">
            <v>St Luke's Hospice (Sheffield) (8A101)</v>
          </cell>
        </row>
        <row r="377">
          <cell r="G377" t="str">
            <v>St Martins Hospital (NLX01)</v>
          </cell>
        </row>
        <row r="378">
          <cell r="G378" t="str">
            <v>St Mary's Hospital (NLL21)</v>
          </cell>
        </row>
        <row r="379">
          <cell r="G379" t="str">
            <v>St Mary's NHS Treatment Centre (NTPAD)</v>
          </cell>
        </row>
        <row r="380">
          <cell r="G380" t="str">
            <v>Staffordshire and Stoke on Trent Partnership NHS Trust (R1E)</v>
          </cell>
        </row>
        <row r="381">
          <cell r="G381" t="str">
            <v>Standard Health (NHW01)</v>
          </cell>
        </row>
        <row r="382">
          <cell r="G382" t="str">
            <v>Stockport NHS Foundation Trust (RWJ)</v>
          </cell>
        </row>
        <row r="383">
          <cell r="G383" t="str">
            <v>Stratton Hospital (NLL09)</v>
          </cell>
        </row>
        <row r="384">
          <cell r="G384" t="str">
            <v>Suffolk Community Healthcare - Ipswich (NHM01)</v>
          </cell>
        </row>
        <row r="385">
          <cell r="G385" t="str">
            <v>Surrey and Borders Partnership NHS Foundation Trust (RXX)</v>
          </cell>
        </row>
        <row r="386">
          <cell r="G386" t="str">
            <v>Surrey and Sussex Healthcare NHS Trust (RTP)</v>
          </cell>
        </row>
        <row r="387">
          <cell r="G387" t="str">
            <v>Sussex Community NHS Foundation Trust (RDR)</v>
          </cell>
        </row>
        <row r="388">
          <cell r="G388" t="str">
            <v>Sussex Msk Partnership 2 Ltd (AJX01)</v>
          </cell>
        </row>
        <row r="389">
          <cell r="G389" t="str">
            <v>Sussex Partnership NHS Foundation Trust (RX2)</v>
          </cell>
        </row>
        <row r="390">
          <cell r="G390" t="str">
            <v>Tameside Hospital NHS Foundation Trust (RMP)</v>
          </cell>
        </row>
        <row r="391">
          <cell r="G391" t="str">
            <v>Taunton and Somerset NHS Foundation Trust (RBA)</v>
          </cell>
        </row>
        <row r="392">
          <cell r="G392" t="str">
            <v>Tavistock Hospital (NR525)</v>
          </cell>
        </row>
        <row r="393">
          <cell r="G393" t="str">
            <v>Tees Valley Treatment Centre (NVC35)</v>
          </cell>
        </row>
        <row r="394">
          <cell r="G394" t="str">
            <v>Tees, Esk and Wear Valleys NHS Foundation Trust (RX3)</v>
          </cell>
        </row>
        <row r="395">
          <cell r="G395" t="str">
            <v>Tetbury Hospital Trust (AAH01)</v>
          </cell>
        </row>
        <row r="396">
          <cell r="G396" t="str">
            <v>The Berkshire Independent Hospital (NVC02)</v>
          </cell>
        </row>
        <row r="397">
          <cell r="G397" t="str">
            <v>The Christie NHS Foundation Trust (RBV)</v>
          </cell>
        </row>
        <row r="398">
          <cell r="G398" t="str">
            <v>The Clatterbridge Cancer Centre NHS Foundation Trust (REN)</v>
          </cell>
        </row>
        <row r="399">
          <cell r="G399" t="str">
            <v>The Croft Shifa Health Centre (NTPAE)</v>
          </cell>
        </row>
        <row r="400">
          <cell r="G400" t="str">
            <v>The Dudley Group NHS Foundation Trust (RNA)</v>
          </cell>
        </row>
        <row r="401">
          <cell r="G401" t="str">
            <v>The Hillingdon Hospitals NHS Foundation Trust (RAS)</v>
          </cell>
        </row>
        <row r="402">
          <cell r="G402" t="str">
            <v>The Horder Centre - St Johns Road (NXM01)</v>
          </cell>
        </row>
        <row r="403">
          <cell r="G403" t="str">
            <v>The Newcastle Upon Tyne Hospitals NHS Foundation Trust (RTD)</v>
          </cell>
        </row>
        <row r="404">
          <cell r="G404" t="str">
            <v>The Phoenix Centre (NTP35)</v>
          </cell>
        </row>
        <row r="405">
          <cell r="G405" t="str">
            <v>The Princess Alexandra Hospital NHS Trust (RQW)</v>
          </cell>
        </row>
        <row r="406">
          <cell r="G406" t="str">
            <v>The Queen Elizabeth Hospital, King's Lynn, NHS Foundation Trust (RCX)</v>
          </cell>
        </row>
        <row r="407">
          <cell r="G407" t="str">
            <v>The Robert Jones and Agnes Hunt Orthopaedic Hospital NHS Foundation Trust (RL1)</v>
          </cell>
        </row>
        <row r="408">
          <cell r="G408" t="str">
            <v>The Rotherham NHS Foundation Trust (RFR)</v>
          </cell>
        </row>
        <row r="409">
          <cell r="G409" t="str">
            <v>The Royal Bournemouth and Christchurch Hospitals NHS Foundation Trust (RDZ)</v>
          </cell>
        </row>
        <row r="410">
          <cell r="G410" t="str">
            <v>The Royal Marsden NHS Foundation Trust (RPY)</v>
          </cell>
        </row>
        <row r="411">
          <cell r="G411" t="str">
            <v>The Royal Orthopaedic Hospital NHS Foundation Trust (RRJ)</v>
          </cell>
        </row>
        <row r="412">
          <cell r="G412" t="str">
            <v>The Royal Wolverhampton NHS Trust (RL4)</v>
          </cell>
        </row>
        <row r="413">
          <cell r="G413" t="str">
            <v>The Spencer Wing (Ramsgate Road) (NN801)</v>
          </cell>
        </row>
        <row r="414">
          <cell r="G414" t="str">
            <v>The Walton Centre NHS Foundation Trust (RET)</v>
          </cell>
        </row>
        <row r="415">
          <cell r="G415" t="str">
            <v>The Westbourne Centre (NVC44)</v>
          </cell>
        </row>
        <row r="416">
          <cell r="G416" t="str">
            <v>The Whittington Hospital NHS Trust (RKE)</v>
          </cell>
        </row>
        <row r="417">
          <cell r="G417" t="str">
            <v>The Yorkshire Clinic (NVC20)</v>
          </cell>
        </row>
        <row r="418">
          <cell r="G418" t="str">
            <v>Thornbury Hospital (NLX22)</v>
          </cell>
        </row>
        <row r="419">
          <cell r="G419" t="str">
            <v>Torbay and South Devon NHS Foundation Trust (RA9)</v>
          </cell>
        </row>
        <row r="420">
          <cell r="G420" t="str">
            <v>Trafford General Hospital (NN501)</v>
          </cell>
        </row>
        <row r="421">
          <cell r="G421" t="str">
            <v>Tyneside Surgical Services (NN401)</v>
          </cell>
        </row>
        <row r="422">
          <cell r="G422" t="str">
            <v>United Lincolnshire Hospitals NHS Trust (RWD)</v>
          </cell>
        </row>
        <row r="423">
          <cell r="G423" t="str">
            <v>University College London Hospitals NHS Foundation Trust (RRV)</v>
          </cell>
        </row>
        <row r="424">
          <cell r="G424" t="str">
            <v>University Hospital of South Manchester NHS Foundation Trust (RM2)</v>
          </cell>
        </row>
        <row r="425">
          <cell r="G425" t="str">
            <v>University Hospital Southampton NHS Foundation Trust (RHM)</v>
          </cell>
        </row>
        <row r="426">
          <cell r="G426" t="str">
            <v>University Hospitals Birmingham NHS Foundation Trust (RRK-X)</v>
          </cell>
        </row>
        <row r="427">
          <cell r="G427" t="str">
            <v>University Hospitals Bristol NHS Foundation Trust (RA7)</v>
          </cell>
        </row>
        <row r="428">
          <cell r="G428" t="str">
            <v>University Hospitals Coventry and Warwickshire NHS Trust (RKB)</v>
          </cell>
        </row>
        <row r="429">
          <cell r="G429" t="str">
            <v>University Hospitals of Leicester NHS Trust (RWE)</v>
          </cell>
        </row>
        <row r="430">
          <cell r="G430" t="str">
            <v>University Hospitals of Morecambe Bay NHS Foundation Trust (RTX)</v>
          </cell>
        </row>
        <row r="431">
          <cell r="G431" t="str">
            <v>University Hospitals of North Midlands NHS Trust (RJE)</v>
          </cell>
        </row>
        <row r="432">
          <cell r="G432" t="str">
            <v>Walsall Healthcare NHS Trust (RBK)</v>
          </cell>
        </row>
        <row r="433">
          <cell r="G433" t="str">
            <v>Walton Community Hospital (NDA07)</v>
          </cell>
        </row>
        <row r="434">
          <cell r="G434" t="str">
            <v>Warrington and Halton Hospitals NHS Foundation Trust (RWW)</v>
          </cell>
        </row>
        <row r="435">
          <cell r="G435" t="str">
            <v>West Hertfordshire Hospitals NHS Trust (RWG)</v>
          </cell>
        </row>
        <row r="436">
          <cell r="G436" t="str">
            <v>West London Mental Health NHS Trust (RKL)</v>
          </cell>
        </row>
        <row r="437">
          <cell r="G437" t="str">
            <v>West Midlands Hospital (NVC21)</v>
          </cell>
        </row>
        <row r="438">
          <cell r="G438" t="str">
            <v>West Suffolk NHS Foundation Trust (RGR)</v>
          </cell>
        </row>
        <row r="439">
          <cell r="G439" t="str">
            <v>Western Sussex Hospitals NHS Foundation Trust (RYR-X)</v>
          </cell>
        </row>
        <row r="440">
          <cell r="G440" t="str">
            <v>Weston Area Health NHS Trust (RA3)</v>
          </cell>
        </row>
        <row r="441">
          <cell r="G441" t="str">
            <v>Will Adams NHS Treatment Centre (NTP16)</v>
          </cell>
        </row>
        <row r="442">
          <cell r="G442" t="str">
            <v>Winfield Hospital (NVC22)</v>
          </cell>
        </row>
        <row r="443">
          <cell r="G443" t="str">
            <v>Wirral University Teaching Hospital NHS Foundation Trust (RBL)</v>
          </cell>
        </row>
        <row r="444">
          <cell r="G444" t="str">
            <v>Wisdom Hospice (NQ719)</v>
          </cell>
        </row>
        <row r="445">
          <cell r="G445" t="str">
            <v>Woking Community Hospital (NDA18)</v>
          </cell>
        </row>
        <row r="446">
          <cell r="G446" t="str">
            <v>Woodland Hospital (NVC23)</v>
          </cell>
        </row>
        <row r="447">
          <cell r="G447" t="str">
            <v>Woodlands Hospice Charitable Trust (8E339)</v>
          </cell>
        </row>
        <row r="448">
          <cell r="G448" t="str">
            <v>Woodthorpe Hospital (NVC40)</v>
          </cell>
        </row>
        <row r="449">
          <cell r="G449" t="str">
            <v>Worcestershire Acute Hospitals NHS Trust (RWP-X)</v>
          </cell>
        </row>
        <row r="450">
          <cell r="G450" t="str">
            <v>Worcestershire Health and Care NHS Trust (R1A)</v>
          </cell>
        </row>
        <row r="451">
          <cell r="G451" t="str">
            <v>Wrightington, Wigan and Leigh NHS Foundation Trust (RRF)</v>
          </cell>
        </row>
        <row r="452">
          <cell r="G452" t="str">
            <v>Wye Valley NHS Trust (RLQ)</v>
          </cell>
        </row>
        <row r="453">
          <cell r="G453" t="str">
            <v>Yeovil District Hospital NHS Foundation Trust (RA4)</v>
          </cell>
        </row>
        <row r="454">
          <cell r="G454" t="str">
            <v>York Teaching Hospital NHS Foundation Trust (RCB)</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Output"/>
      <sheetName val="201415 DATA"/>
      <sheetName val="201516 DATA"/>
      <sheetName val="Table A_1516"/>
      <sheetName val="Table B_1516"/>
      <sheetName val="Table C_1516"/>
      <sheetName val="Table D_1516"/>
      <sheetName val="Table E_1516"/>
      <sheetName val="Table F_1516"/>
      <sheetName val="Table G_1516"/>
      <sheetName val="SHA and Provider List"/>
    </sheetNames>
    <sheetDataSet>
      <sheetData sheetId="0"/>
      <sheetData sheetId="1"/>
      <sheetData sheetId="2"/>
      <sheetData sheetId="3"/>
      <sheetData sheetId="4"/>
      <sheetData sheetId="5"/>
      <sheetData sheetId="6"/>
      <sheetData sheetId="7"/>
      <sheetData sheetId="8"/>
      <sheetData sheetId="9"/>
      <sheetData sheetId="10"/>
      <sheetData sheetId="11">
        <row r="1">
          <cell r="G1" t="str">
            <v>ENGLAND</v>
          </cell>
        </row>
        <row r="3">
          <cell r="G3" t="str">
            <v>North Of England (Y54)</v>
          </cell>
        </row>
        <row r="4">
          <cell r="G4" t="str">
            <v>Midlands and East of England (Y55)</v>
          </cell>
        </row>
        <row r="5">
          <cell r="G5" t="str">
            <v>London (Y56)</v>
          </cell>
        </row>
        <row r="6">
          <cell r="G6" t="str">
            <v>South of England (Y57)</v>
          </cell>
        </row>
        <row r="8">
          <cell r="G8" t="str">
            <v>2Gether NHS Foundation Trust (RTQ)</v>
          </cell>
        </row>
        <row r="9">
          <cell r="G9" t="str">
            <v>5 Boroughs Partnership NHS Foundation Trust (RTV)</v>
          </cell>
        </row>
        <row r="10">
          <cell r="G10" t="str">
            <v>Aintree University Hospital NHS Foundation Trust (REM)</v>
          </cell>
        </row>
        <row r="11">
          <cell r="G11" t="str">
            <v>Airedale NHS Foundation Trust (RCF)</v>
          </cell>
        </row>
        <row r="12">
          <cell r="G12" t="str">
            <v>Alder Hey Children's NHS Foundation Trust (RBS)</v>
          </cell>
        </row>
        <row r="13">
          <cell r="G13" t="str">
            <v>Arthur Rank Hospice (ARH01)</v>
          </cell>
        </row>
        <row r="14">
          <cell r="G14" t="str">
            <v>Ashford and St Peter's Hospitals NHS Foundation Trust (RTK)</v>
          </cell>
        </row>
        <row r="15">
          <cell r="G15" t="str">
            <v>Ashtead Hospital (NVC01)</v>
          </cell>
        </row>
        <row r="16">
          <cell r="G16" t="str">
            <v>Aspen - Claremont Hospital (NYW04)</v>
          </cell>
        </row>
        <row r="17">
          <cell r="G17" t="str">
            <v>Aspen - Highgate Hospital (NYW03)</v>
          </cell>
        </row>
        <row r="18">
          <cell r="G18" t="str">
            <v>Aspen - Parkside Hospital (NYW02)</v>
          </cell>
        </row>
        <row r="19">
          <cell r="G19" t="str">
            <v>Aspen - The Chelmsford (NYW20)</v>
          </cell>
        </row>
        <row r="20">
          <cell r="G20" t="str">
            <v>Aspen - The Holly (NYW01)</v>
          </cell>
        </row>
        <row r="21">
          <cell r="G21" t="str">
            <v>Aspen Healthcare - Midland Eye (NYW17)</v>
          </cell>
        </row>
        <row r="22">
          <cell r="G22" t="str">
            <v>Avon and Wiltshire Mental Health Partnership NHS Trust (RVN)</v>
          </cell>
        </row>
        <row r="23">
          <cell r="G23" t="str">
            <v>Barking, Havering and Redbridge University Hospitals NHS Trust (RF4)</v>
          </cell>
        </row>
        <row r="24">
          <cell r="G24" t="str">
            <v>Barlborough NHS Treatment Centre (NTP13)</v>
          </cell>
        </row>
        <row r="25">
          <cell r="G25" t="str">
            <v>Barnet, Enfield and Haringey Mental Health NHS Trust (RRP)</v>
          </cell>
        </row>
        <row r="26">
          <cell r="G26" t="str">
            <v>Barnsley Hospital NHS Foundation Trust (RFF)</v>
          </cell>
        </row>
        <row r="27">
          <cell r="G27" t="str">
            <v>Barts Health NHS Trust (R1H)</v>
          </cell>
        </row>
        <row r="28">
          <cell r="G28" t="str">
            <v>Basildon and Thurrock University Hospitals NHS Foundation Trust (RDD)</v>
          </cell>
        </row>
        <row r="29">
          <cell r="G29" t="str">
            <v>Bedford Hospital NHS Trust (RC1)</v>
          </cell>
        </row>
        <row r="30">
          <cell r="G30" t="str">
            <v>Benenden Hospital (NWF01)</v>
          </cell>
        </row>
        <row r="31">
          <cell r="G31" t="str">
            <v>Berkshire Healthcare NHS Foundation Trust (RWX)</v>
          </cell>
        </row>
        <row r="32">
          <cell r="G32" t="str">
            <v>BICS-Community (NWX11)</v>
          </cell>
        </row>
        <row r="33">
          <cell r="G33" t="str">
            <v>Birmingham and Solihull Mental Health NHS Foundation Trust (RXT)</v>
          </cell>
        </row>
        <row r="34">
          <cell r="G34" t="str">
            <v>Birmingham Children's Hospital NHS Foundation Trust (RQ3)</v>
          </cell>
        </row>
        <row r="35">
          <cell r="G35" t="str">
            <v>Birmingham Community Healthcare NHS Foundation Trust (RYW)</v>
          </cell>
        </row>
        <row r="36">
          <cell r="G36" t="str">
            <v>Birmingham Treatment Centre (RXKTC)</v>
          </cell>
        </row>
        <row r="37">
          <cell r="G37" t="str">
            <v>Birmingham Women's NHS Foundation Trust (RLU)</v>
          </cell>
        </row>
        <row r="38">
          <cell r="G38" t="str">
            <v>Black Country Partnership NHS Foundation Trust (TAJ)</v>
          </cell>
        </row>
        <row r="39">
          <cell r="G39" t="str">
            <v>Blackpool Teaching Hospitals NHS Foundation Trust (RXL)</v>
          </cell>
        </row>
        <row r="40">
          <cell r="G40" t="str">
            <v>Blakelands Hospital (NVC31)</v>
          </cell>
        </row>
        <row r="41">
          <cell r="G41" t="str">
            <v>BMI - Bath Clinic (NT402)</v>
          </cell>
        </row>
        <row r="42">
          <cell r="G42" t="str">
            <v>BMI - Bishops Wood (NT405)</v>
          </cell>
        </row>
        <row r="43">
          <cell r="G43" t="str">
            <v>BMI - Chelsfield Park Hospital (NT409)</v>
          </cell>
        </row>
        <row r="44">
          <cell r="G44" t="str">
            <v>BMI - Fawkham Manor Hospital (NT414)</v>
          </cell>
        </row>
        <row r="45">
          <cell r="G45" t="str">
            <v>BMI - Goring Hall Hospital (NT417)</v>
          </cell>
        </row>
        <row r="46">
          <cell r="G46" t="str">
            <v>BMI - Hendon Hospital (NT416)</v>
          </cell>
        </row>
        <row r="47">
          <cell r="G47" t="str">
            <v>BMI - Sarum Road Hospital (NT433)</v>
          </cell>
        </row>
        <row r="48">
          <cell r="G48" t="str">
            <v>BMI - Shirley Oaks Hospital (NT436)</v>
          </cell>
        </row>
        <row r="49">
          <cell r="G49" t="str">
            <v>BMI - The Alexandra Hospital (NT401)</v>
          </cell>
        </row>
        <row r="50">
          <cell r="G50" t="str">
            <v>BMI - The Beardwood Hospital (NT403)</v>
          </cell>
        </row>
        <row r="51">
          <cell r="G51" t="str">
            <v>BMI - The Beaumont Hospital (NT404)</v>
          </cell>
        </row>
        <row r="52">
          <cell r="G52" t="str">
            <v>BMI - The Blackheath Hospital (NT406)</v>
          </cell>
        </row>
        <row r="53">
          <cell r="G53" t="str">
            <v>BMI - The Chaucer Hospital (NT408)</v>
          </cell>
        </row>
        <row r="54">
          <cell r="G54" t="str">
            <v>BMI - The Chiltern Hospital (NT410)</v>
          </cell>
        </row>
        <row r="55">
          <cell r="G55" t="str">
            <v>BMI - The Clementine Churchill Hospital (NT411)</v>
          </cell>
        </row>
        <row r="56">
          <cell r="G56" t="str">
            <v>BMI - The Droitwich Spa Hospital (NT412)</v>
          </cell>
        </row>
        <row r="57">
          <cell r="G57" t="str">
            <v>BMI - The Esperance Hospital (NT413)</v>
          </cell>
        </row>
        <row r="58">
          <cell r="G58" t="str">
            <v>BMI - The Hampshire Clinic (NT418)</v>
          </cell>
        </row>
        <row r="59">
          <cell r="G59" t="str">
            <v>BMI - The Harbour Hospital (NT419)</v>
          </cell>
        </row>
        <row r="60">
          <cell r="G60" t="str">
            <v>BMI - The Highfield Hospital (NT420)</v>
          </cell>
        </row>
        <row r="61">
          <cell r="G61" t="str">
            <v>BMI - The Kings Oak Hospital (NT421)</v>
          </cell>
        </row>
        <row r="62">
          <cell r="G62" t="str">
            <v>BMI - The London Independent Hospital (NT422)</v>
          </cell>
        </row>
        <row r="63">
          <cell r="G63" t="str">
            <v>BMI - The Manor Hospital (NT423)</v>
          </cell>
        </row>
        <row r="64">
          <cell r="G64" t="str">
            <v>BMI - The Meriden Hospital (NT424)</v>
          </cell>
        </row>
        <row r="65">
          <cell r="G65" t="str">
            <v>BMI - The Park Hospital (NT427)</v>
          </cell>
        </row>
        <row r="66">
          <cell r="G66" t="str">
            <v>BMI - The Princess Margaret Hospital (NT428)</v>
          </cell>
        </row>
        <row r="67">
          <cell r="G67" t="str">
            <v>BMI - The Priory Hospital (NT429)</v>
          </cell>
        </row>
        <row r="68">
          <cell r="G68" t="str">
            <v>BMI - The Ridgeway Hospital (NT430)</v>
          </cell>
        </row>
        <row r="69">
          <cell r="G69" t="str">
            <v>BMI - The Runnymede Hospital (NT431)</v>
          </cell>
        </row>
        <row r="70">
          <cell r="G70" t="str">
            <v>BMI - The Sandringham Hospital (NT432)</v>
          </cell>
        </row>
        <row r="71">
          <cell r="G71" t="str">
            <v>BMI - The Saxon Clinic (NT434)</v>
          </cell>
        </row>
        <row r="72">
          <cell r="G72" t="str">
            <v>BMI - The Shelburne Hospital (NT435)</v>
          </cell>
        </row>
        <row r="73">
          <cell r="G73" t="str">
            <v>BMI - The Sloane Hospital (NT437)</v>
          </cell>
        </row>
        <row r="74">
          <cell r="G74" t="str">
            <v>BMI - The Somerfield Hospital (NT438)</v>
          </cell>
        </row>
        <row r="75">
          <cell r="G75" t="str">
            <v>BMI - The South Cheshire Private Hospital (NT439)</v>
          </cell>
        </row>
        <row r="76">
          <cell r="G76" t="str">
            <v>BMI - The Winterbourne Hospital (NT443)</v>
          </cell>
        </row>
        <row r="77">
          <cell r="G77" t="str">
            <v>BMI - Thornbury Hospital (NT440)</v>
          </cell>
        </row>
        <row r="78">
          <cell r="G78" t="str">
            <v>BMI - Three Shires Hospital (NT441)</v>
          </cell>
        </row>
        <row r="79">
          <cell r="G79" t="str">
            <v>BMI - Gisburne Park Hospital (NT497)</v>
          </cell>
        </row>
        <row r="80">
          <cell r="G80" t="str">
            <v>BMI - Mount Alvernia Hospital (NT455)</v>
          </cell>
        </row>
        <row r="81">
          <cell r="G81" t="str">
            <v>BMI - Southend Private Hospital (NT490)</v>
          </cell>
        </row>
        <row r="82">
          <cell r="G82" t="str">
            <v>BMI - St Edmunds Hospital (NT446)</v>
          </cell>
        </row>
        <row r="83">
          <cell r="G83" t="str">
            <v>BMI - The Cavell Hospital (NT451)</v>
          </cell>
        </row>
        <row r="84">
          <cell r="G84" t="str">
            <v>BMI - The Duchy Hospital (NT447)</v>
          </cell>
        </row>
        <row r="85">
          <cell r="G85" t="str">
            <v>BMI - The Edgbaston Hospital (NT445)</v>
          </cell>
        </row>
        <row r="86">
          <cell r="G86" t="str">
            <v>BMI - The Huddersfield Hospital (NT448)</v>
          </cell>
        </row>
        <row r="87">
          <cell r="G87" t="str">
            <v>BMI - The Lancaster Hospital (NT449)</v>
          </cell>
        </row>
        <row r="88">
          <cell r="G88" t="str">
            <v>BMI - The Lincoln Hospital (NT450)</v>
          </cell>
        </row>
        <row r="89">
          <cell r="G89" t="str">
            <v>BMI - Woodlands Hospital (NT457)</v>
          </cell>
        </row>
        <row r="90">
          <cell r="G90" t="str">
            <v>Bodmin Community Hospital (NLL11)</v>
          </cell>
        </row>
        <row r="91">
          <cell r="G91" t="str">
            <v>Bodmin NHS Treatment Centre (NVC24)</v>
          </cell>
        </row>
        <row r="92">
          <cell r="G92" t="str">
            <v>Bolton NHS Foundation Trust (RMC)</v>
          </cell>
        </row>
        <row r="93">
          <cell r="G93" t="str">
            <v>Boston West Hospital (NVC27)</v>
          </cell>
        </row>
        <row r="94">
          <cell r="G94" t="str">
            <v>Bradford District Care NHS Foundation Trust (TAD)</v>
          </cell>
        </row>
        <row r="95">
          <cell r="G95" t="str">
            <v>Bradford Teaching Hospitals NHS Foundation Trust (RAE)</v>
          </cell>
        </row>
        <row r="96">
          <cell r="G96" t="str">
            <v>Brighton and Sussex University Hospitals NHS Trust (RXH)</v>
          </cell>
        </row>
        <row r="97">
          <cell r="G97" t="str">
            <v>Buckinghamshire Healthcare NHS Trust (RXQ)</v>
          </cell>
        </row>
        <row r="98">
          <cell r="G98" t="str">
            <v>Burton Hospitals NHS Foundation Trust (RJF)</v>
          </cell>
        </row>
        <row r="99">
          <cell r="G99" t="str">
            <v>Calderdale and Huddersfield NHS Foundation Trust (RWY)</v>
          </cell>
        </row>
        <row r="100">
          <cell r="G100" t="str">
            <v>Cambourne Redruth Community Hospital (NLL17)</v>
          </cell>
        </row>
        <row r="101">
          <cell r="G101" t="str">
            <v>Cambridge University Hospitals NHS Foundation Trust (RGT)</v>
          </cell>
        </row>
        <row r="102">
          <cell r="G102" t="str">
            <v>Cambridgeshire and Peterborough NHS Foundation Trust (RT1)</v>
          </cell>
        </row>
        <row r="103">
          <cell r="G103" t="str">
            <v>Cambridgeshire Community Services NHS Trust (RYV)</v>
          </cell>
        </row>
        <row r="104">
          <cell r="G104" t="str">
            <v>Central and North West London NHS Foundation Trust (RV3)</v>
          </cell>
        </row>
        <row r="105">
          <cell r="G105" t="str">
            <v>Central Manchester University Hospitals NHS Foundation Trust (RW3-X)</v>
          </cell>
        </row>
        <row r="106">
          <cell r="G106" t="str">
            <v>Chelsea and Westminster Hospital NHS Foundation Trust (RQM)</v>
          </cell>
        </row>
        <row r="107">
          <cell r="G107" t="str">
            <v>Cheshire and Wirral Partnership NHS Foundation Trust (RXA)</v>
          </cell>
        </row>
        <row r="108">
          <cell r="G108" t="str">
            <v>Chesterfield Royal Hospital NHS Foundation Trust (RFS)</v>
          </cell>
        </row>
        <row r="109">
          <cell r="G109" t="str">
            <v>Circle - Nottingham NHS Treatment Centre (NV313)</v>
          </cell>
        </row>
        <row r="110">
          <cell r="G110" t="str">
            <v>Circle Bath Hospital (NV302)</v>
          </cell>
        </row>
        <row r="111">
          <cell r="G111" t="str">
            <v>Circle Reading Hospital (NV323)</v>
          </cell>
        </row>
        <row r="112">
          <cell r="G112" t="str">
            <v>Cirencester NHS Treatment Centre (NTPH4)</v>
          </cell>
        </row>
        <row r="113">
          <cell r="G113" t="str">
            <v>City Hospitals Sunderland NHS Foundation Trust (RLN)</v>
          </cell>
        </row>
        <row r="114">
          <cell r="G114" t="str">
            <v>Clacton Hospital (NQ108)</v>
          </cell>
        </row>
        <row r="115">
          <cell r="G115" t="str">
            <v>Clifton Park Hospital (NVC28)</v>
          </cell>
        </row>
        <row r="116">
          <cell r="G116" t="str">
            <v>Cobalt Hospital (NVC29)</v>
          </cell>
        </row>
        <row r="117">
          <cell r="G117" t="str">
            <v>Cobham Day Surgery Hospital (NVM01)</v>
          </cell>
        </row>
        <row r="118">
          <cell r="G118" t="str">
            <v>Colchester Hospital University NHS Foundation Trust (RDE)</v>
          </cell>
        </row>
        <row r="119">
          <cell r="G119" t="str">
            <v>Cornwall Partnership NHS Foundation Trust (RJ8)</v>
          </cell>
        </row>
        <row r="120">
          <cell r="G120" t="str">
            <v>Countess of Chester Hospital NHS Foundation Trust (RJR)</v>
          </cell>
        </row>
        <row r="121">
          <cell r="G121" t="str">
            <v>County Durham and Darlington NHS Foundation Trust (RXP)</v>
          </cell>
        </row>
        <row r="122">
          <cell r="G122" t="str">
            <v>Coventry and Warwickshire Partnership NHS Trust (RYG)</v>
          </cell>
        </row>
        <row r="123">
          <cell r="G123" t="str">
            <v>Croydon Health Services NHS Trust (RJ6)</v>
          </cell>
        </row>
        <row r="124">
          <cell r="G124" t="str">
            <v>Cumbria Partnership NHS Foundation Trust (RNN)</v>
          </cell>
        </row>
        <row r="125">
          <cell r="G125" t="str">
            <v>Dartford and Gravesham NHS Trust (RN7-X)</v>
          </cell>
        </row>
        <row r="126">
          <cell r="G126" t="str">
            <v>Derby Teaching Hospitals NHS Foundation Trust (RTG)</v>
          </cell>
        </row>
        <row r="127">
          <cell r="G127" t="str">
            <v>Derbyshire Community Health Services NHS Foundation Trust (RY8)</v>
          </cell>
        </row>
        <row r="128">
          <cell r="G128" t="str">
            <v>Derbyshire Healthcare NHS Foundation Trust (RXM)</v>
          </cell>
        </row>
        <row r="129">
          <cell r="G129" t="str">
            <v>Devizes NHS Treatment Centre (NTPH3)</v>
          </cell>
        </row>
        <row r="130">
          <cell r="G130" t="str">
            <v>Devon Partnership NHS Trust (RWV)</v>
          </cell>
        </row>
        <row r="131">
          <cell r="G131" t="str">
            <v>Doncaster and Bassetlaw Hospitals NHS Foundation Trust (RP5)</v>
          </cell>
        </row>
        <row r="132">
          <cell r="G132" t="str">
            <v>Dorking General Hospital (NNE02)</v>
          </cell>
        </row>
        <row r="133">
          <cell r="G133" t="str">
            <v>Dorset County Hospital NHS Foundation Trust (RBD)</v>
          </cell>
        </row>
        <row r="134">
          <cell r="G134" t="str">
            <v>Dorset Healthcare University NHS Foundation Trust (RDY)</v>
          </cell>
        </row>
        <row r="135">
          <cell r="G135" t="str">
            <v>Duchy Hospital (NVC04)</v>
          </cell>
        </row>
        <row r="136">
          <cell r="G136" t="str">
            <v>Dudley and Walsall Mental Health Partnership NHS Trust (RYK)</v>
          </cell>
        </row>
        <row r="137">
          <cell r="G137" t="str">
            <v>East and North Hertfordshire NHS Trust (RWH)</v>
          </cell>
        </row>
        <row r="138">
          <cell r="G138" t="str">
            <v>East Cheshire NHS Trust (RJN)</v>
          </cell>
        </row>
        <row r="139">
          <cell r="G139" t="str">
            <v>East Kent Hospitals University NHS Foundation Trust (RVV)</v>
          </cell>
        </row>
        <row r="140">
          <cell r="G140" t="str">
            <v>East Lancashire Hospitals NHS Trust (RXR)</v>
          </cell>
        </row>
        <row r="141">
          <cell r="G141" t="str">
            <v>East London NHS Foundation Trust (RWK)</v>
          </cell>
        </row>
        <row r="142">
          <cell r="G142" t="str">
            <v>East Sussex Healthcare NHS Trust (RXC)</v>
          </cell>
        </row>
        <row r="143">
          <cell r="G143" t="str">
            <v>Eastern Surgery Ltd (8HP32)</v>
          </cell>
        </row>
        <row r="144">
          <cell r="G144" t="str">
            <v>Edward Hain Community Hospital (NLL20)</v>
          </cell>
        </row>
        <row r="145">
          <cell r="G145" t="str">
            <v>Emersons Green NHS Treatment Centre (NTPH2)</v>
          </cell>
        </row>
        <row r="146">
          <cell r="G146" t="str">
            <v>Epsom and St Helier University Hospitals NHS Trust (RVR-X)</v>
          </cell>
        </row>
        <row r="147">
          <cell r="G147" t="str">
            <v>Epsom Day Surgery Limited (NVM02)</v>
          </cell>
        </row>
        <row r="148">
          <cell r="G148" t="str">
            <v>Euxton Hall Hospital (NVC05)</v>
          </cell>
        </row>
        <row r="149">
          <cell r="G149" t="str">
            <v>Fairfield Hospital (NVG01)</v>
          </cell>
        </row>
        <row r="150">
          <cell r="G150" t="str">
            <v>Falmouth Hospital (NLL16)</v>
          </cell>
        </row>
        <row r="151">
          <cell r="G151" t="str">
            <v>Farnham Hospital &amp; Centre For Health (NDA25)</v>
          </cell>
        </row>
        <row r="152">
          <cell r="G152" t="str">
            <v>Fitzwilliam Hospital (NVC06)</v>
          </cell>
        </row>
        <row r="153">
          <cell r="G153" t="str">
            <v>Forum House (NDJ01)</v>
          </cell>
        </row>
        <row r="154">
          <cell r="G154" t="str">
            <v>Foscote Court (Banbury) Trust (AHH01)</v>
          </cell>
        </row>
        <row r="155">
          <cell r="G155" t="str">
            <v>Fowey Hospital (NLL14)</v>
          </cell>
        </row>
        <row r="156">
          <cell r="G156" t="str">
            <v>Frimley Health NHS Foundation Trust (RDU)</v>
          </cell>
        </row>
        <row r="157">
          <cell r="G157" t="str">
            <v>Fryatt Hospital (NQ106)</v>
          </cell>
        </row>
        <row r="158">
          <cell r="G158" t="str">
            <v>Fulwood Hall Hospital (NVC07)</v>
          </cell>
        </row>
        <row r="159">
          <cell r="G159" t="str">
            <v>Gateshead Health NHS Foundation Trust (RR7-X)</v>
          </cell>
        </row>
        <row r="160">
          <cell r="G160" t="str">
            <v>George Eliot Hospital NHS Trust (RLT)</v>
          </cell>
        </row>
        <row r="161">
          <cell r="G161" t="str">
            <v>Gloucestershire Care Services NHS Trust (R1J)</v>
          </cell>
        </row>
        <row r="162">
          <cell r="G162" t="str">
            <v>Gloucestershire Hospitals NHS Foundation Trust (RTE)</v>
          </cell>
        </row>
        <row r="163">
          <cell r="G163" t="str">
            <v>Great Ormond Street Hospital For Children NHS Foundation Trust (RP4)</v>
          </cell>
        </row>
        <row r="164">
          <cell r="G164" t="str">
            <v>Great Western Hospitals NHS Foundation Trust (RN3)</v>
          </cell>
        </row>
        <row r="165">
          <cell r="G165" t="str">
            <v>Guy's and St Thomas' NHS Foundation Trust (RJ1-X)</v>
          </cell>
        </row>
        <row r="166">
          <cell r="G166" t="str">
            <v>Hampshire Hospitals NHS Foundation Trust (RN5-X)</v>
          </cell>
        </row>
        <row r="167">
          <cell r="G167" t="str">
            <v>Harrogate and District NHS Foundation Trust (RCD)</v>
          </cell>
        </row>
        <row r="168">
          <cell r="G168" t="str">
            <v>Haslemere and District Hospital OPD (NDA03)</v>
          </cell>
        </row>
        <row r="169">
          <cell r="G169" t="str">
            <v>Heart of England NHS Foundation Trust (RR1-X)</v>
          </cell>
        </row>
        <row r="170">
          <cell r="G170" t="str">
            <v>Helston Community Hospital (NLL18)</v>
          </cell>
        </row>
        <row r="171">
          <cell r="G171" t="str">
            <v>Hertfordshire Community NHS Trust (RY4)</v>
          </cell>
        </row>
        <row r="172">
          <cell r="G172" t="str">
            <v>Hertfordshire Partnership University NHS Foundation Trust (RWR)</v>
          </cell>
        </row>
        <row r="173">
          <cell r="G173" t="str">
            <v>Hinchingbrooke Health Care NHS Trust (RQQ-X)</v>
          </cell>
        </row>
        <row r="174">
          <cell r="G174" t="str">
            <v>Homerton University Hospital NHS Foundation Trust (RQX)</v>
          </cell>
        </row>
        <row r="175">
          <cell r="G175" t="str">
            <v>Horton NHS Treatment Centre (NVC25)</v>
          </cell>
        </row>
        <row r="176">
          <cell r="G176" t="str">
            <v>Hounslow and Richmond Community Healthcare NHS Trust (RY9)</v>
          </cell>
        </row>
        <row r="177">
          <cell r="G177" t="str">
            <v>Hull and East Yorkshire Hospitals NHS Trust (RWA)</v>
          </cell>
        </row>
        <row r="178">
          <cell r="G178" t="str">
            <v>Humber NHS Foundation Trust (RV9-X)</v>
          </cell>
        </row>
        <row r="179">
          <cell r="G179" t="str">
            <v>Imperial College Healthcare NHS Trust (RYJ)</v>
          </cell>
        </row>
        <row r="180">
          <cell r="G180" t="str">
            <v>Ipswich Hospital NHS Trust (RGQ)</v>
          </cell>
        </row>
        <row r="181">
          <cell r="G181" t="str">
            <v>Isle of Wight NHS Trust (R1F-X)</v>
          </cell>
        </row>
        <row r="182">
          <cell r="G182" t="str">
            <v>James Paget University Hospitals NHS Foundation Trust (RGP)</v>
          </cell>
        </row>
        <row r="183">
          <cell r="G183" t="str">
            <v>Kent and Medway NHS and Social Care Partnership Trust (RXY)</v>
          </cell>
        </row>
        <row r="184">
          <cell r="G184" t="str">
            <v>Kent Community Health NHS Foundation Trust (RYY)</v>
          </cell>
        </row>
        <row r="185">
          <cell r="G185" t="str">
            <v>Kettering General Hospital NHS Foundation Trust (RNQ)</v>
          </cell>
        </row>
        <row r="186">
          <cell r="G186" t="str">
            <v>Kims Hospital Ltd (ADP02)</v>
          </cell>
        </row>
        <row r="187">
          <cell r="G187" t="str">
            <v>King's College Hospital NHS Foundation Trust (RJZ)</v>
          </cell>
        </row>
        <row r="188">
          <cell r="G188" t="str">
            <v>Kingston Hospital NHS Foundation Trust (RAX)</v>
          </cell>
        </row>
        <row r="189">
          <cell r="G189" t="str">
            <v>Lancashire Care NHS Foundation Trust (RW5)</v>
          </cell>
        </row>
        <row r="190">
          <cell r="G190" t="str">
            <v>Lancashire Teaching Hospitals NHS Foundation Trust (RXN)</v>
          </cell>
        </row>
        <row r="191">
          <cell r="G191" t="str">
            <v>Launceston General Hospital (NLL04)</v>
          </cell>
        </row>
        <row r="192">
          <cell r="G192" t="str">
            <v>Leeds and York Partnership NHS Foundation Trust (RGD)</v>
          </cell>
        </row>
        <row r="193">
          <cell r="G193" t="str">
            <v>Leeds Community Healthcare NHS Trust (RY6)</v>
          </cell>
        </row>
        <row r="194">
          <cell r="G194" t="str">
            <v>Leeds Teaching Hospitals NHS Trust (RR8)</v>
          </cell>
        </row>
        <row r="195">
          <cell r="G195" t="str">
            <v>Leicestershire Partnership NHS Trust (RT5)</v>
          </cell>
        </row>
        <row r="196">
          <cell r="G196" t="str">
            <v>Lewisham and Greenwich NHS Trust (RJ2)</v>
          </cell>
        </row>
        <row r="197">
          <cell r="G197" t="str">
            <v>Lincolnshire Community Health Services NHS Trust (RY5)</v>
          </cell>
        </row>
        <row r="198">
          <cell r="G198" t="str">
            <v>Lincolnshire Partnership NHS Foundation Trust (RP7)</v>
          </cell>
        </row>
        <row r="199">
          <cell r="G199" t="str">
            <v>Liskeard Community Hospital (NLL07)</v>
          </cell>
        </row>
        <row r="200">
          <cell r="G200" t="str">
            <v>Liverpool Community Health NHS Trust (RY1)</v>
          </cell>
        </row>
        <row r="201">
          <cell r="G201" t="str">
            <v>Liverpool Heart and Chest Hospital NHS Foundation Trust (RBQ)</v>
          </cell>
        </row>
        <row r="202">
          <cell r="G202" t="str">
            <v>Liverpool Women's NHS Foundation Trust (REP)</v>
          </cell>
        </row>
        <row r="203">
          <cell r="G203" t="str">
            <v>Livewell Southwest (NR501)</v>
          </cell>
        </row>
        <row r="204">
          <cell r="G204" t="str">
            <v>London North West Healthcare NHS Trust (R1K)</v>
          </cell>
        </row>
        <row r="205">
          <cell r="G205" t="str">
            <v>Luton and Dunstable University Hospital NHS Foundation Trust (RC9)</v>
          </cell>
        </row>
        <row r="206">
          <cell r="G206" t="str">
            <v>Maidstone and Tunbridge Wells NHS Trust (RWF)</v>
          </cell>
        </row>
        <row r="207">
          <cell r="G207" t="str">
            <v>Manchester Mental Health and Social Care Trust (TAE)</v>
          </cell>
        </row>
        <row r="208">
          <cell r="G208" t="str">
            <v>Medway NHS Foundation Trust (RPA)</v>
          </cell>
        </row>
        <row r="209">
          <cell r="G209" t="str">
            <v>Mersey Care NHS Foundation Trust (RW4)</v>
          </cell>
        </row>
        <row r="210">
          <cell r="G210" t="str">
            <v>Mid Cheshire Hospitals NHS Foundation Trust (RBT)</v>
          </cell>
        </row>
        <row r="211">
          <cell r="G211" t="str">
            <v>Mid Essex Hospital Services NHS Trust (RQ8)</v>
          </cell>
        </row>
        <row r="212">
          <cell r="G212" t="str">
            <v>Mid Yorkshire Hospitals NHS Trust (RXF-X)</v>
          </cell>
        </row>
        <row r="213">
          <cell r="G213" t="str">
            <v>Milford Specialist Rehabilitation Hospital (NDA26)</v>
          </cell>
        </row>
        <row r="214">
          <cell r="G214" t="str">
            <v>Milton Keynes University Hospital NHS Foundation Trust (RD8)</v>
          </cell>
        </row>
        <row r="215">
          <cell r="G215" t="str">
            <v>Moorfields Eye Hospital NHS Foundation Trust (RP6)</v>
          </cell>
        </row>
        <row r="216">
          <cell r="G216" t="str">
            <v>Mount Gould Hospital (NR527)</v>
          </cell>
        </row>
        <row r="217">
          <cell r="G217" t="str">
            <v>Mount Stuart Hospital (NVC08)</v>
          </cell>
        </row>
        <row r="218">
          <cell r="G218" t="str">
            <v>Navigo HQ (NQL01)</v>
          </cell>
        </row>
        <row r="219">
          <cell r="G219" t="str">
            <v>New Hall Hospital (NVC09)</v>
          </cell>
        </row>
        <row r="220">
          <cell r="G220" t="str">
            <v>Newquay Hospital (NLL15)</v>
          </cell>
        </row>
        <row r="221">
          <cell r="G221" t="str">
            <v>Norfolk and Norwich University Hospitals NHS Foundation Trust (RM1)</v>
          </cell>
        </row>
        <row r="222">
          <cell r="G222" t="str">
            <v>Norfolk and Suffolk NHS Foundation Trust (RMY-X)</v>
          </cell>
        </row>
        <row r="223">
          <cell r="G223" t="str">
            <v>Norfolk Community Health and Care NHS Trust (RY3)</v>
          </cell>
        </row>
        <row r="224">
          <cell r="G224" t="str">
            <v>North Bristol NHS Trust (RVJ-X)</v>
          </cell>
        </row>
        <row r="225">
          <cell r="G225" t="str">
            <v>North Cumbria University Hospitals NHS Trust (RNL)</v>
          </cell>
        </row>
        <row r="226">
          <cell r="G226" t="str">
            <v>North Downs Hospital (NVC11)</v>
          </cell>
        </row>
        <row r="227">
          <cell r="G227" t="str">
            <v>North East London NHS Foundation Trust (RAT)</v>
          </cell>
        </row>
        <row r="228">
          <cell r="G228" t="str">
            <v>North East London Treatment Centre Care Uk (NTP15)</v>
          </cell>
        </row>
        <row r="229">
          <cell r="G229" t="str">
            <v>North Essex Partnership University NHS Foundation Trust (RRD)</v>
          </cell>
        </row>
        <row r="230">
          <cell r="G230" t="str">
            <v>North Middlesex University Hospital NHS Trust (RAP)</v>
          </cell>
        </row>
        <row r="231">
          <cell r="G231" t="str">
            <v>North Somerset Community Partnership CIC HQ (NLT01)</v>
          </cell>
        </row>
        <row r="232">
          <cell r="G232" t="str">
            <v>North Staffordshire Combined Healthcare NHS Trust (RLY)</v>
          </cell>
        </row>
        <row r="233">
          <cell r="G233" t="str">
            <v>North Tees and Hartlepool NHS Foundation Trust (RVW)</v>
          </cell>
        </row>
        <row r="234">
          <cell r="G234" t="str">
            <v>Northampton General Hospital NHS Trust (RNS)</v>
          </cell>
        </row>
        <row r="235">
          <cell r="G235" t="str">
            <v>Northamptonshire Healthcare NHS Foundation Trust (RP1)</v>
          </cell>
        </row>
        <row r="236">
          <cell r="G236" t="str">
            <v>Northern Devon Healthcare NHS Trust (RBZ)</v>
          </cell>
        </row>
        <row r="237">
          <cell r="G237" t="str">
            <v>Northern Lincolnshire and Goole NHS Foundation Trust (RJL-X)</v>
          </cell>
        </row>
        <row r="238">
          <cell r="G238" t="str">
            <v>Northumberland, Tyne and Wear NHS Foundation Trust (RX4)</v>
          </cell>
        </row>
        <row r="239">
          <cell r="G239" t="str">
            <v>Northumbria Healthcare NHS Foundation Trust (RTF)</v>
          </cell>
        </row>
        <row r="240">
          <cell r="G240" t="str">
            <v>Nottingham University Hospitals NHS Trust (RX1)</v>
          </cell>
        </row>
        <row r="241">
          <cell r="G241" t="str">
            <v>Nottinghamshire Healthcare NHS Foundation Trust (RHA)</v>
          </cell>
        </row>
        <row r="242">
          <cell r="G242" t="str">
            <v>Nuffield Health, Bournemouth Hospital (NT202)</v>
          </cell>
        </row>
        <row r="243">
          <cell r="G243" t="str">
            <v>Nuffield Health, Brentwood Hospital (NT204)</v>
          </cell>
        </row>
        <row r="244">
          <cell r="G244" t="str">
            <v>Nuffield Health, Brighton Hospital (NT205)</v>
          </cell>
        </row>
        <row r="245">
          <cell r="G245" t="str">
            <v>Nuffield Health, Bristol Hospital (Chesterfield) (NT206)</v>
          </cell>
        </row>
        <row r="246">
          <cell r="G246" t="str">
            <v>Nuffield Health, Cambridge Hospital (NT209)</v>
          </cell>
        </row>
        <row r="247">
          <cell r="G247" t="str">
            <v>Nuffield Health, Cheltenham Hospital (NT211)</v>
          </cell>
        </row>
        <row r="248">
          <cell r="G248" t="str">
            <v>Nuffield Health, Chichester Hospital (NT212)</v>
          </cell>
        </row>
        <row r="249">
          <cell r="G249" t="str">
            <v>Nuffield Health, Derby Hospital (NT213)</v>
          </cell>
        </row>
        <row r="250">
          <cell r="G250" t="str">
            <v>Nuffield Health, Exeter Hospital (NT215)</v>
          </cell>
        </row>
        <row r="251">
          <cell r="G251" t="str">
            <v>Nuffield Health, Haywards Heath Hospital (NT218)</v>
          </cell>
        </row>
        <row r="252">
          <cell r="G252" t="str">
            <v>Nuffield Health, Hereford Hospital (NT219)</v>
          </cell>
        </row>
        <row r="253">
          <cell r="G253" t="str">
            <v>Nuffield Health, Ipswich Hospital (NT222)</v>
          </cell>
        </row>
        <row r="254">
          <cell r="G254" t="str">
            <v>Nuffield Health, Leeds Hospital (NT225)</v>
          </cell>
        </row>
        <row r="255">
          <cell r="G255" t="str">
            <v>Nuffield Health, Leicester Hospital (NT226)</v>
          </cell>
        </row>
        <row r="256">
          <cell r="G256" t="str">
            <v>Nuffield Health, Newcastle Upon Tyne Hospital (NT229)</v>
          </cell>
        </row>
        <row r="257">
          <cell r="G257" t="str">
            <v>Nuffield Health, North Staffordshire Hospital (NT230)</v>
          </cell>
        </row>
        <row r="258">
          <cell r="G258" t="str">
            <v>Nuffield Health, Plymouth Hospital (NT233)</v>
          </cell>
        </row>
        <row r="259">
          <cell r="G259" t="str">
            <v>Nuffield Health, Shrewsbury Hospital (NT235)</v>
          </cell>
        </row>
        <row r="260">
          <cell r="G260" t="str">
            <v>Nuffield Health, Taunton Hospital (NT238)</v>
          </cell>
        </row>
        <row r="261">
          <cell r="G261" t="str">
            <v>Nuffield Health, Tees Hospital (NT237)</v>
          </cell>
        </row>
        <row r="262">
          <cell r="G262" t="str">
            <v>Nuffield Health, The Grosvenor Hospital, Chester (NT210)</v>
          </cell>
        </row>
        <row r="263">
          <cell r="G263" t="str">
            <v>Nuffield Health, Tunbridge Wells Hospital (NT239)</v>
          </cell>
        </row>
        <row r="264">
          <cell r="G264" t="str">
            <v>Nuffield Health, Warwickshire Hospital (NT224)</v>
          </cell>
        </row>
        <row r="265">
          <cell r="G265" t="str">
            <v>Nuffield Health, Wessex Hospital (NT214)</v>
          </cell>
        </row>
        <row r="266">
          <cell r="G266" t="str">
            <v>Nuffield Health, Woking Hospital (NT241)</v>
          </cell>
        </row>
        <row r="267">
          <cell r="G267" t="str">
            <v>Nuffield Health, Wolverhampton Hospital (NT242)</v>
          </cell>
        </row>
        <row r="268">
          <cell r="G268" t="str">
            <v>Nuffield Health, York Hospital (NT245)</v>
          </cell>
        </row>
        <row r="269">
          <cell r="G269" t="str">
            <v>Nuffield Hospital Oxford (The Manor) (NT244)</v>
          </cell>
        </row>
        <row r="270">
          <cell r="G270" t="str">
            <v>Oaklands Hospital (NVC12)</v>
          </cell>
        </row>
        <row r="271">
          <cell r="G271" t="str">
            <v>Oaks Hospital (NVC13)</v>
          </cell>
        </row>
        <row r="272">
          <cell r="G272" t="str">
            <v>One Health Group Clinic - Claremont (NTX12)</v>
          </cell>
        </row>
        <row r="273">
          <cell r="G273" t="str">
            <v>One Health Group Clinic - Thornbury (NTX11)</v>
          </cell>
        </row>
        <row r="274">
          <cell r="G274" t="str">
            <v>One Health Group Ltd (NTX01)</v>
          </cell>
        </row>
        <row r="275">
          <cell r="G275" t="str">
            <v>Optegra (Manchester Eye Hospital) (NNH04)</v>
          </cell>
        </row>
        <row r="276">
          <cell r="G276" t="str">
            <v>Optegra Yorkshire Eye Hospital (NNH02)</v>
          </cell>
        </row>
        <row r="277">
          <cell r="G277" t="str">
            <v>Oxford Health NHS Foundation Trust (RNU)</v>
          </cell>
        </row>
        <row r="278">
          <cell r="G278" t="str">
            <v>Oxford University Hospitals NHS Foundation Trust (RTH)</v>
          </cell>
        </row>
        <row r="279">
          <cell r="G279" t="str">
            <v>Oxleas NHS Foundation Trust (RPG)</v>
          </cell>
        </row>
        <row r="280">
          <cell r="G280" t="str">
            <v>Pain Management Solutions - Oaks Park PCC (NY601)</v>
          </cell>
        </row>
        <row r="281">
          <cell r="G281" t="str">
            <v>Papworth Hospital NHS Foundation Trust (RGM)</v>
          </cell>
        </row>
        <row r="282">
          <cell r="G282" t="str">
            <v>Park Hill Hospital (NVC14)</v>
          </cell>
        </row>
        <row r="283">
          <cell r="G283" t="str">
            <v>Paulton Memorial Hospital (NLX02)</v>
          </cell>
        </row>
        <row r="284">
          <cell r="G284" t="str">
            <v>Peninsula NHS Treatment Centre (NTPH5)</v>
          </cell>
        </row>
        <row r="285">
          <cell r="G285" t="str">
            <v>Pennine Acute Hospitals NHS Trust (RW6)</v>
          </cell>
        </row>
        <row r="286">
          <cell r="G286" t="str">
            <v>Pennine Care NHS Foundation Trust (RT2)</v>
          </cell>
        </row>
        <row r="287">
          <cell r="G287" t="str">
            <v>Peterborough and Stamford Hospitals NHS Foundation Trust (RGN)</v>
          </cell>
        </row>
        <row r="288">
          <cell r="G288" t="str">
            <v>Phoenix Health Solutions Limited (NEQ01)</v>
          </cell>
        </row>
        <row r="289">
          <cell r="G289" t="str">
            <v>Pinehill Hospital (NVC15)</v>
          </cell>
        </row>
        <row r="290">
          <cell r="G290" t="str">
            <v>Pioneer Healthcare Ltd - Claremont Hospital (NEY01)</v>
          </cell>
        </row>
        <row r="291">
          <cell r="G291" t="str">
            <v>Plymouth Hospitals NHS Trust (RK9)</v>
          </cell>
        </row>
        <row r="292">
          <cell r="G292" t="str">
            <v>Poole Hospital NHS Foundation Trust (RD3)</v>
          </cell>
        </row>
        <row r="293">
          <cell r="G293" t="str">
            <v>Portsmouth Hospitals NHS Trust (RHU)</v>
          </cell>
        </row>
        <row r="294">
          <cell r="G294" t="str">
            <v>Queen Victoria Hospital NHS Foundation Trust (RPC)</v>
          </cell>
        </row>
        <row r="295">
          <cell r="G295" t="str">
            <v>Renacres Hospital (NVC16)</v>
          </cell>
        </row>
        <row r="296">
          <cell r="G296" t="str">
            <v>Rivers Hospital (NVC19)</v>
          </cell>
        </row>
        <row r="297">
          <cell r="G297" t="str">
            <v>Rotherham Doncaster and South Humber NHS Foundation Trust (RXE)</v>
          </cell>
        </row>
        <row r="298">
          <cell r="G298" t="str">
            <v>Rowley Hall Hospital (NVC17)</v>
          </cell>
        </row>
        <row r="299">
          <cell r="G299" t="str">
            <v>Royal Berkshire NHS Foundation Trust (RHW)</v>
          </cell>
        </row>
        <row r="300">
          <cell r="G300" t="str">
            <v>Royal Brompton &amp; Harefield NHS Foundation Trust (RT3)</v>
          </cell>
        </row>
        <row r="301">
          <cell r="G301" t="str">
            <v>Royal Cornwall Hospitals NHS Trust (REF-X)</v>
          </cell>
        </row>
        <row r="302">
          <cell r="G302" t="str">
            <v>Royal Devon and Exeter NHS Foundation Trust (RH8)</v>
          </cell>
        </row>
        <row r="303">
          <cell r="G303" t="str">
            <v>Royal Free London NHS Foundation Trust (RAL)</v>
          </cell>
        </row>
        <row r="304">
          <cell r="G304" t="str">
            <v>Royal Liverpool and Broadgreen University Hospitals NHS Trust (RQ6)</v>
          </cell>
        </row>
        <row r="305">
          <cell r="G305" t="str">
            <v>Royal National Orthopaedic Hospital NHS Trust (RAN)</v>
          </cell>
        </row>
        <row r="306">
          <cell r="G306" t="str">
            <v>Royal Surrey County Hospital NHS Foundation Trust (RA2)</v>
          </cell>
        </row>
        <row r="307">
          <cell r="G307" t="str">
            <v>Royal United Hospitals Bath NHS Foundation Trust (RD1)</v>
          </cell>
        </row>
        <row r="308">
          <cell r="G308" t="str">
            <v>Salford Royal NHS Foundation Trust (RM3)</v>
          </cell>
        </row>
        <row r="309">
          <cell r="G309" t="str">
            <v>Salisbury NHS Foundation Trust (RNZ)</v>
          </cell>
        </row>
        <row r="310">
          <cell r="G310" t="str">
            <v>Sandwell and West Birmingham Hospitals NHS Trust (RXK-X)</v>
          </cell>
        </row>
        <row r="311">
          <cell r="G311" t="str">
            <v>Shaw Healthcare (Ledbury) Limited (8J285)</v>
          </cell>
        </row>
        <row r="312">
          <cell r="G312" t="str">
            <v>Sheffield Children's NHS Foundation Trust (RCU)</v>
          </cell>
        </row>
        <row r="313">
          <cell r="G313" t="str">
            <v>Sheffield Teaching Hospitals NHS Foundation Trust (RHQ)</v>
          </cell>
        </row>
        <row r="314">
          <cell r="G314" t="str">
            <v>Shepton Mallet NHS Treatment Centre (NTPH1)</v>
          </cell>
        </row>
        <row r="315">
          <cell r="G315" t="str">
            <v>Sherwood Forest Hospitals NHS Foundation Trust (RK5)</v>
          </cell>
        </row>
        <row r="316">
          <cell r="G316" t="str">
            <v>Shrewsbury and Telford Hospital NHS Trust (RXW)</v>
          </cell>
        </row>
        <row r="317">
          <cell r="G317" t="str">
            <v>Shropshire Community Health NHS Trust (R1D)</v>
          </cell>
        </row>
        <row r="318">
          <cell r="G318" t="str">
            <v>Solent NHS Trust (R1C)</v>
          </cell>
        </row>
        <row r="319">
          <cell r="G319" t="str">
            <v>Somerset Partnership NHS Foundation Trust (RH5)</v>
          </cell>
        </row>
        <row r="320">
          <cell r="G320" t="str">
            <v>Somerset Surgical Services (NFH01)</v>
          </cell>
        </row>
        <row r="321">
          <cell r="G321" t="str">
            <v>South Essex Partnership University NHS Foundation Trust (RWN)</v>
          </cell>
        </row>
        <row r="322">
          <cell r="G322" t="str">
            <v>South Hams (Kingsbridge) Hospital (NR526)</v>
          </cell>
        </row>
        <row r="323">
          <cell r="G323" t="str">
            <v>South London and Maudsley NHS Foundation Trust (RV5)</v>
          </cell>
        </row>
        <row r="324">
          <cell r="G324" t="str">
            <v>South Staffordshire and Shropshire Healthcare NHS Foundation Trust (RRE)</v>
          </cell>
        </row>
        <row r="325">
          <cell r="G325" t="str">
            <v>South Tees Hospitals NHS Foundation Trust (RTR)</v>
          </cell>
        </row>
        <row r="326">
          <cell r="G326" t="str">
            <v>South Tyneside NHS Foundation Trust (RE9)</v>
          </cell>
        </row>
        <row r="327">
          <cell r="G327" t="str">
            <v>South Warwickshire NHS Foundation Trust (RJC)</v>
          </cell>
        </row>
        <row r="328">
          <cell r="G328" t="str">
            <v>South West London and St George's Mental Health NHS Trust (RQY)</v>
          </cell>
        </row>
        <row r="329">
          <cell r="G329" t="str">
            <v>South West Yorkshire Partnership NHS Foundation Trust (RXG)</v>
          </cell>
        </row>
        <row r="330">
          <cell r="G330" t="str">
            <v>Southampton NHS Treatment Centre (NTP11)</v>
          </cell>
        </row>
        <row r="331">
          <cell r="G331" t="str">
            <v>Southend University Hospital NHS Foundation Trust (RAJ)</v>
          </cell>
        </row>
        <row r="332">
          <cell r="G332" t="str">
            <v>Southern Health NHS Foundation Trust (RW1)</v>
          </cell>
        </row>
        <row r="333">
          <cell r="G333" t="str">
            <v>Southport and Ormskirk Hospital NHS Trust (RVY)</v>
          </cell>
        </row>
        <row r="334">
          <cell r="G334" t="str">
            <v>Spamedica (Manchester) (NPG01)</v>
          </cell>
        </row>
        <row r="335">
          <cell r="G335" t="str">
            <v>Spire Alexandra Hospital (NT312)</v>
          </cell>
        </row>
        <row r="336">
          <cell r="G336" t="str">
            <v>Spire Bristol Hospital (NT302)</v>
          </cell>
        </row>
        <row r="337">
          <cell r="G337" t="str">
            <v>Spire Bushey Hospital (NT315)</v>
          </cell>
        </row>
        <row r="338">
          <cell r="G338" t="str">
            <v>Spire Cambridge Lea Hospital (NT317)</v>
          </cell>
        </row>
        <row r="339">
          <cell r="G339" t="str">
            <v>Spire Cheshire Hospital (NT324)</v>
          </cell>
        </row>
        <row r="340">
          <cell r="G340" t="str">
            <v>Spire Clare Park Hospital (NT345)</v>
          </cell>
        </row>
        <row r="341">
          <cell r="G341" t="str">
            <v>Spire Dunedin Hospital (NT344)</v>
          </cell>
        </row>
        <row r="342">
          <cell r="G342" t="str">
            <v>Spire Elland Hospital (NT348)</v>
          </cell>
        </row>
        <row r="343">
          <cell r="G343" t="str">
            <v>Spire Fylde Coast Hospital (NT347)</v>
          </cell>
        </row>
        <row r="344">
          <cell r="G344" t="str">
            <v>Spire Gatwick Park Hospital (NT308)</v>
          </cell>
        </row>
        <row r="345">
          <cell r="G345" t="str">
            <v>Spire Harpenden Hospital (NT316)</v>
          </cell>
        </row>
        <row r="346">
          <cell r="G346" t="str">
            <v>Spire Hartswood Hospital (NT319)</v>
          </cell>
        </row>
        <row r="347">
          <cell r="G347" t="str">
            <v>Spire Hull and East Riding Hospital (NT351)</v>
          </cell>
        </row>
        <row r="348">
          <cell r="G348" t="str">
            <v>Spire Leeds Hospital (NT332)</v>
          </cell>
        </row>
        <row r="349">
          <cell r="G349" t="str">
            <v>Spire Leicester Hospital (NT322)</v>
          </cell>
        </row>
        <row r="350">
          <cell r="G350" t="str">
            <v>Spire Little Aston Hospital (NT321)</v>
          </cell>
        </row>
        <row r="351">
          <cell r="G351" t="str">
            <v>Spire Liverpool Hospital (NT337)</v>
          </cell>
        </row>
        <row r="352">
          <cell r="G352" t="str">
            <v>Spire Manchester Hospital (NT327)</v>
          </cell>
        </row>
        <row r="353">
          <cell r="G353" t="str">
            <v>Spire Methley Park Hospital (NT350)</v>
          </cell>
        </row>
        <row r="354">
          <cell r="G354" t="str">
            <v>Spire Montefiore Hospital (NT364)</v>
          </cell>
        </row>
        <row r="355">
          <cell r="G355" t="str">
            <v>Spire Murrayfield Hospital (NT325)</v>
          </cell>
        </row>
        <row r="356">
          <cell r="G356" t="str">
            <v>Spire Norwich Hospital (NT318)</v>
          </cell>
        </row>
        <row r="357">
          <cell r="G357" t="str">
            <v>Spire Parkway Hospital (NT320)</v>
          </cell>
        </row>
        <row r="358">
          <cell r="G358" t="str">
            <v>Spire Portsmouth Hospital (NT305)</v>
          </cell>
        </row>
        <row r="359">
          <cell r="G359" t="str">
            <v>Spire Regency Hospital (NT339)</v>
          </cell>
        </row>
        <row r="360">
          <cell r="G360" t="str">
            <v>Spire Roding Hospital (NT314)</v>
          </cell>
        </row>
        <row r="361">
          <cell r="G361" t="str">
            <v>Spire South Bank Hospital (NT301)</v>
          </cell>
        </row>
        <row r="362">
          <cell r="G362" t="str">
            <v>Spire Southampton Hospital (NT304)</v>
          </cell>
        </row>
        <row r="363">
          <cell r="G363" t="str">
            <v>Spire St Saviours Hospital (NT346)</v>
          </cell>
        </row>
        <row r="364">
          <cell r="G364" t="str">
            <v>Spire Sussex Hospital (NT309)</v>
          </cell>
        </row>
        <row r="365">
          <cell r="G365" t="str">
            <v>Spire Thames Valley Hospital (NT343)</v>
          </cell>
        </row>
        <row r="366">
          <cell r="G366" t="str">
            <v>Spire Tunbridge Wells Hospital (NT310)</v>
          </cell>
        </row>
        <row r="367">
          <cell r="G367" t="str">
            <v>Spire Washington Hospital (NT333)</v>
          </cell>
        </row>
        <row r="368">
          <cell r="G368" t="str">
            <v>Spire Wellesley Hospital (NT313)</v>
          </cell>
        </row>
        <row r="369">
          <cell r="G369" t="str">
            <v>Springfield Hospital (NVC18)</v>
          </cell>
        </row>
        <row r="370">
          <cell r="G370" t="str">
            <v>St Austell Community Hospital (NLL13)</v>
          </cell>
        </row>
        <row r="371">
          <cell r="G371" t="str">
            <v>St Barnabas Hospital (NLL08)</v>
          </cell>
        </row>
        <row r="372">
          <cell r="G372" t="str">
            <v>St Bartholomew's Hospital (Rochester) (NQ713)</v>
          </cell>
        </row>
        <row r="373">
          <cell r="G373" t="str">
            <v>St George's University Hospitals NHS Foundation Trust (RJ7)</v>
          </cell>
        </row>
        <row r="374">
          <cell r="G374" t="str">
            <v>St Helens and Knowsley Hospital Services NHS Trust (RBN)</v>
          </cell>
        </row>
        <row r="375">
          <cell r="G375" t="str">
            <v>St Hugh's Hospital (NTE02)</v>
          </cell>
        </row>
        <row r="376">
          <cell r="G376" t="str">
            <v>St Luke's Hospice (Sheffield) (8A101)</v>
          </cell>
        </row>
        <row r="377">
          <cell r="G377" t="str">
            <v>St Martins Hospital (NLX01)</v>
          </cell>
        </row>
        <row r="378">
          <cell r="G378" t="str">
            <v>St Mary's Hospital (NLL21)</v>
          </cell>
        </row>
        <row r="379">
          <cell r="G379" t="str">
            <v>St Mary's NHS Treatment Centre (NTPAD)</v>
          </cell>
        </row>
        <row r="380">
          <cell r="G380" t="str">
            <v>Staffordshire and Stoke on Trent Partnership NHS Trust (R1E)</v>
          </cell>
        </row>
        <row r="381">
          <cell r="G381" t="str">
            <v>Standard Health (NHW01)</v>
          </cell>
        </row>
        <row r="382">
          <cell r="G382" t="str">
            <v>Stockport NHS Foundation Trust (RWJ)</v>
          </cell>
        </row>
        <row r="383">
          <cell r="G383" t="str">
            <v>Stratton Hospital (NLL09)</v>
          </cell>
        </row>
        <row r="384">
          <cell r="G384" t="str">
            <v>Suffolk Community Healthcare - Ipswich (NHM01)</v>
          </cell>
        </row>
        <row r="385">
          <cell r="G385" t="str">
            <v>Surrey and Borders Partnership NHS Foundation Trust (RXX)</v>
          </cell>
        </row>
        <row r="386">
          <cell r="G386" t="str">
            <v>Surrey and Sussex Healthcare NHS Trust (RTP)</v>
          </cell>
        </row>
        <row r="387">
          <cell r="G387" t="str">
            <v>Sussex Community NHS Foundation Trust (RDR)</v>
          </cell>
        </row>
        <row r="388">
          <cell r="G388" t="str">
            <v>Sussex Msk Partnership 2 Ltd (AJX01)</v>
          </cell>
        </row>
        <row r="389">
          <cell r="G389" t="str">
            <v>Sussex Partnership NHS Foundation Trust (RX2)</v>
          </cell>
        </row>
        <row r="390">
          <cell r="G390" t="str">
            <v>Tameside Hospital NHS Foundation Trust (RMP)</v>
          </cell>
        </row>
        <row r="391">
          <cell r="G391" t="str">
            <v>Taunton and Somerset NHS Foundation Trust (RBA)</v>
          </cell>
        </row>
        <row r="392">
          <cell r="G392" t="str">
            <v>Tavistock Hospital (NR525)</v>
          </cell>
        </row>
        <row r="393">
          <cell r="G393" t="str">
            <v>Tees Valley Treatment Centre (NVC35)</v>
          </cell>
        </row>
        <row r="394">
          <cell r="G394" t="str">
            <v>Tees, Esk and Wear Valleys NHS Foundation Trust (RX3)</v>
          </cell>
        </row>
        <row r="395">
          <cell r="G395" t="str">
            <v>Tetbury Hospital Trust (AAH01)</v>
          </cell>
        </row>
        <row r="396">
          <cell r="G396" t="str">
            <v>The Berkshire Independent Hospital (NVC02)</v>
          </cell>
        </row>
        <row r="397">
          <cell r="G397" t="str">
            <v>The Christie NHS Foundation Trust (RBV)</v>
          </cell>
        </row>
        <row r="398">
          <cell r="G398" t="str">
            <v>The Clatterbridge Cancer Centre NHS Foundation Trust (REN)</v>
          </cell>
        </row>
        <row r="399">
          <cell r="G399" t="str">
            <v>The Croft Shifa Health Centre (NTPAE)</v>
          </cell>
        </row>
        <row r="400">
          <cell r="G400" t="str">
            <v>The Dudley Group NHS Foundation Trust (RNA)</v>
          </cell>
        </row>
        <row r="401">
          <cell r="G401" t="str">
            <v>The Hillingdon Hospitals NHS Foundation Trust (RAS)</v>
          </cell>
        </row>
        <row r="402">
          <cell r="G402" t="str">
            <v>The Horder Centre - St Johns Road (NXM01)</v>
          </cell>
        </row>
        <row r="403">
          <cell r="G403" t="str">
            <v>The Newcastle Upon Tyne Hospitals NHS Foundation Trust (RTD)</v>
          </cell>
        </row>
        <row r="404">
          <cell r="G404" t="str">
            <v>The Phoenix Centre (NTP35)</v>
          </cell>
        </row>
        <row r="405">
          <cell r="G405" t="str">
            <v>The Princess Alexandra Hospital NHS Trust (RQW)</v>
          </cell>
        </row>
        <row r="406">
          <cell r="G406" t="str">
            <v>The Queen Elizabeth Hospital, King's Lynn, NHS Foundation Trust (RCX)</v>
          </cell>
        </row>
        <row r="407">
          <cell r="G407" t="str">
            <v>The Robert Jones and Agnes Hunt Orthopaedic Hospital NHS Foundation Trust (RL1)</v>
          </cell>
        </row>
        <row r="408">
          <cell r="G408" t="str">
            <v>The Rotherham NHS Foundation Trust (RFR)</v>
          </cell>
        </row>
        <row r="409">
          <cell r="G409" t="str">
            <v>The Royal Bournemouth and Christchurch Hospitals NHS Foundation Trust (RDZ)</v>
          </cell>
        </row>
        <row r="410">
          <cell r="G410" t="str">
            <v>The Royal Marsden NHS Foundation Trust (RPY)</v>
          </cell>
        </row>
        <row r="411">
          <cell r="G411" t="str">
            <v>The Royal Orthopaedic Hospital NHS Foundation Trust (RRJ)</v>
          </cell>
        </row>
        <row r="412">
          <cell r="G412" t="str">
            <v>The Royal Wolverhampton NHS Trust (RL4)</v>
          </cell>
        </row>
        <row r="413">
          <cell r="G413" t="str">
            <v>The Spencer Wing (Ramsgate Road) (NN801)</v>
          </cell>
        </row>
        <row r="414">
          <cell r="G414" t="str">
            <v>The Walton Centre NHS Foundation Trust (RET)</v>
          </cell>
        </row>
        <row r="415">
          <cell r="G415" t="str">
            <v>The Westbourne Centre (NVC44)</v>
          </cell>
        </row>
        <row r="416">
          <cell r="G416" t="str">
            <v>The Whittington Hospital NHS Trust (RKE)</v>
          </cell>
        </row>
        <row r="417">
          <cell r="G417" t="str">
            <v>The Yorkshire Clinic (NVC20)</v>
          </cell>
        </row>
        <row r="418">
          <cell r="G418" t="str">
            <v>Thornbury Hospital (NLX22)</v>
          </cell>
        </row>
        <row r="419">
          <cell r="G419" t="str">
            <v>Torbay and South Devon NHS Foundation Trust (RA9)</v>
          </cell>
        </row>
        <row r="420">
          <cell r="G420" t="str">
            <v>Trafford General Hospital (NN501)</v>
          </cell>
        </row>
        <row r="421">
          <cell r="G421" t="str">
            <v>Tyneside Surgical Services (NN401)</v>
          </cell>
        </row>
        <row r="422">
          <cell r="G422" t="str">
            <v>United Lincolnshire Hospitals NHS Trust (RWD)</v>
          </cell>
        </row>
        <row r="423">
          <cell r="G423" t="str">
            <v>University College London Hospitals NHS Foundation Trust (RRV)</v>
          </cell>
        </row>
        <row r="424">
          <cell r="G424" t="str">
            <v>University Hospital of South Manchester NHS Foundation Trust (RM2)</v>
          </cell>
        </row>
        <row r="425">
          <cell r="G425" t="str">
            <v>University Hospital Southampton NHS Foundation Trust (RHM)</v>
          </cell>
        </row>
        <row r="426">
          <cell r="G426" t="str">
            <v>University Hospitals Birmingham NHS Foundation Trust (RRK-X)</v>
          </cell>
        </row>
        <row r="427">
          <cell r="G427" t="str">
            <v>University Hospitals Bristol NHS Foundation Trust (RA7)</v>
          </cell>
        </row>
        <row r="428">
          <cell r="G428" t="str">
            <v>University Hospitals Coventry and Warwickshire NHS Trust (RKB)</v>
          </cell>
        </row>
        <row r="429">
          <cell r="G429" t="str">
            <v>University Hospitals of Leicester NHS Trust (RWE)</v>
          </cell>
        </row>
        <row r="430">
          <cell r="G430" t="str">
            <v>University Hospitals of Morecambe Bay NHS Foundation Trust (RTX)</v>
          </cell>
        </row>
        <row r="431">
          <cell r="G431" t="str">
            <v>University Hospitals of North Midlands NHS Trust (RJE)</v>
          </cell>
        </row>
        <row r="432">
          <cell r="G432" t="str">
            <v>Walsall Healthcare NHS Trust (RBK)</v>
          </cell>
        </row>
        <row r="433">
          <cell r="G433" t="str">
            <v>Walton Community Hospital (NDA07)</v>
          </cell>
        </row>
        <row r="434">
          <cell r="G434" t="str">
            <v>Warrington and Halton Hospitals NHS Foundation Trust (RWW)</v>
          </cell>
        </row>
        <row r="435">
          <cell r="G435" t="str">
            <v>West Hertfordshire Hospitals NHS Trust (RWG)</v>
          </cell>
        </row>
        <row r="436">
          <cell r="G436" t="str">
            <v>West London Mental Health NHS Trust (RKL)</v>
          </cell>
        </row>
        <row r="437">
          <cell r="G437" t="str">
            <v>West Midlands Hospital (NVC21)</v>
          </cell>
        </row>
        <row r="438">
          <cell r="G438" t="str">
            <v>West Suffolk NHS Foundation Trust (RGR)</v>
          </cell>
        </row>
        <row r="439">
          <cell r="G439" t="str">
            <v>Western Sussex Hospitals NHS Foundation Trust (RYR-X)</v>
          </cell>
        </row>
        <row r="440">
          <cell r="G440" t="str">
            <v>Weston Area Health NHS Trust (RA3)</v>
          </cell>
        </row>
        <row r="441">
          <cell r="G441" t="str">
            <v>Will Adams NHS Treatment Centre (NTP16)</v>
          </cell>
        </row>
        <row r="442">
          <cell r="G442" t="str">
            <v>Winfield Hospital (NVC22)</v>
          </cell>
        </row>
        <row r="443">
          <cell r="G443" t="str">
            <v>Wirral University Teaching Hospital NHS Foundation Trust (RBL)</v>
          </cell>
        </row>
        <row r="444">
          <cell r="G444" t="str">
            <v>Wisdom Hospice (NQ719)</v>
          </cell>
        </row>
        <row r="445">
          <cell r="G445" t="str">
            <v>Woking Community Hospital (NDA18)</v>
          </cell>
        </row>
        <row r="446">
          <cell r="G446" t="str">
            <v>Woodland Hospital (NVC23)</v>
          </cell>
        </row>
        <row r="447">
          <cell r="G447" t="str">
            <v>Woodlands Hospice Charitable Trust (8E339)</v>
          </cell>
        </row>
        <row r="448">
          <cell r="G448" t="str">
            <v>Woodthorpe Hospital (NVC40)</v>
          </cell>
        </row>
        <row r="449">
          <cell r="G449" t="str">
            <v>Worcestershire Acute Hospitals NHS Trust (RWP-X)</v>
          </cell>
        </row>
        <row r="450">
          <cell r="G450" t="str">
            <v>Worcestershire Health and Care NHS Trust (R1A)</v>
          </cell>
        </row>
        <row r="451">
          <cell r="G451" t="str">
            <v>Wrightington, Wigan and Leigh NHS Foundation Trust (RRF)</v>
          </cell>
        </row>
        <row r="452">
          <cell r="G452" t="str">
            <v>Wye Valley NHS Trust (RLQ)</v>
          </cell>
        </row>
        <row r="453">
          <cell r="G453" t="str">
            <v>Yeovil District Hospital NHS Foundation Trust (RA4)</v>
          </cell>
        </row>
        <row r="454">
          <cell r="G454" t="str">
            <v>York Teaching Hospital NHS Foundation Trust (RCB)</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igital.nhs.uk/data-and-information/publications/statistical/nhs-workforce-statistic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nhs-workforce-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digital.nhs.uk/data-and-information/publications/statistical/nhs-workforce-statistics"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digital.nhs.uk/data-and-information/publications/statistical/nhs-workforce-statistics"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digital.nhs.uk/data-and-information/publications/statistical/nhs-workforc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56BF-1C67-4615-970D-4976310FEE6A}">
  <dimension ref="A1:X44"/>
  <sheetViews>
    <sheetView showGridLines="0" tabSelected="1" zoomScaleNormal="100" workbookViewId="0">
      <selection activeCell="A10" sqref="A10:B10"/>
    </sheetView>
  </sheetViews>
  <sheetFormatPr defaultColWidth="7.69140625" defaultRowHeight="12.5" x14ac:dyDescent="0.25"/>
  <cols>
    <col min="1" max="1" width="7.69140625" style="1"/>
    <col min="2" max="2" width="94.84375" style="1" customWidth="1"/>
    <col min="3" max="16384" width="7.69140625" style="1"/>
  </cols>
  <sheetData>
    <row r="1" spans="1:24" ht="11.25" customHeight="1" x14ac:dyDescent="0.25">
      <c r="A1" s="119"/>
      <c r="B1" s="119"/>
    </row>
    <row r="2" spans="1:24" ht="11.25" customHeight="1" x14ac:dyDescent="0.25">
      <c r="A2" s="119"/>
      <c r="B2" s="119"/>
    </row>
    <row r="3" spans="1:24" ht="11.25" customHeight="1" x14ac:dyDescent="0.25">
      <c r="A3" s="119"/>
      <c r="B3" s="119"/>
    </row>
    <row r="4" spans="1:24" ht="11.25" customHeight="1" x14ac:dyDescent="0.25">
      <c r="A4" s="119"/>
      <c r="B4" s="119"/>
    </row>
    <row r="5" spans="1:24" ht="12" customHeight="1" x14ac:dyDescent="0.25">
      <c r="A5" s="119"/>
      <c r="B5" s="119"/>
    </row>
    <row r="6" spans="1:24" ht="12" customHeight="1" x14ac:dyDescent="0.25">
      <c r="A6" s="119"/>
      <c r="B6" s="119"/>
    </row>
    <row r="7" spans="1:24" ht="12" customHeight="1" x14ac:dyDescent="0.25">
      <c r="A7" s="119"/>
      <c r="B7" s="119"/>
    </row>
    <row r="8" spans="1:24" ht="12" customHeight="1" x14ac:dyDescent="0.25">
      <c r="A8" s="119"/>
      <c r="B8" s="119"/>
    </row>
    <row r="9" spans="1:24" ht="12" customHeight="1" x14ac:dyDescent="0.25">
      <c r="A9" s="119"/>
      <c r="B9" s="119"/>
    </row>
    <row r="10" spans="1:24" s="5" customFormat="1" ht="37.5" x14ac:dyDescent="0.75">
      <c r="A10" s="120" t="s">
        <v>342</v>
      </c>
      <c r="B10" s="120"/>
      <c r="C10" s="2"/>
      <c r="D10" s="2"/>
      <c r="E10" s="2"/>
      <c r="F10" s="2"/>
      <c r="G10" s="2"/>
      <c r="H10" s="3"/>
      <c r="I10" s="4"/>
      <c r="J10" s="4"/>
      <c r="K10" s="4"/>
      <c r="L10" s="4"/>
      <c r="M10" s="4"/>
      <c r="N10" s="4"/>
      <c r="O10" s="4"/>
      <c r="P10" s="4"/>
      <c r="Q10" s="4"/>
      <c r="R10" s="4"/>
      <c r="S10" s="4"/>
      <c r="T10" s="4"/>
      <c r="U10" s="4"/>
      <c r="V10" s="4"/>
      <c r="W10" s="4"/>
      <c r="X10" s="4"/>
    </row>
    <row r="11" spans="1:24" ht="12" customHeight="1" x14ac:dyDescent="0.25">
      <c r="A11" s="121"/>
      <c r="B11" s="121"/>
    </row>
    <row r="12" spans="1:24" x14ac:dyDescent="0.25">
      <c r="A12" s="122" t="s">
        <v>343</v>
      </c>
      <c r="B12" s="122"/>
    </row>
    <row r="13" spans="1:24" x14ac:dyDescent="0.25">
      <c r="A13" s="100" t="s">
        <v>344</v>
      </c>
      <c r="B13" s="100"/>
    </row>
    <row r="14" spans="1:24" ht="14" x14ac:dyDescent="0.3">
      <c r="A14" s="114"/>
      <c r="B14" s="114"/>
    </row>
    <row r="15" spans="1:24" ht="14" x14ac:dyDescent="0.3">
      <c r="A15" s="112" t="s">
        <v>0</v>
      </c>
      <c r="B15" s="112"/>
    </row>
    <row r="16" spans="1:24" ht="44.25" customHeight="1" x14ac:dyDescent="0.25">
      <c r="A16" s="113" t="s">
        <v>36</v>
      </c>
      <c r="B16" s="113"/>
    </row>
    <row r="17" spans="1:9" s="7" customFormat="1" x14ac:dyDescent="0.25">
      <c r="A17" s="117" t="s">
        <v>12</v>
      </c>
      <c r="B17" s="118"/>
      <c r="C17" s="6"/>
      <c r="D17" s="6"/>
      <c r="E17" s="6"/>
      <c r="F17" s="6"/>
      <c r="G17" s="6"/>
      <c r="H17" s="6"/>
      <c r="I17" s="6"/>
    </row>
    <row r="18" spans="1:9" ht="14" x14ac:dyDescent="0.3">
      <c r="A18" s="114"/>
      <c r="B18" s="114"/>
    </row>
    <row r="19" spans="1:9" ht="14" x14ac:dyDescent="0.3">
      <c r="A19" s="115" t="s">
        <v>1</v>
      </c>
      <c r="B19" s="115"/>
      <c r="C19" s="8"/>
    </row>
    <row r="20" spans="1:9" ht="14" x14ac:dyDescent="0.3">
      <c r="A20" s="116" t="s">
        <v>2</v>
      </c>
      <c r="B20" s="116"/>
      <c r="C20" s="8"/>
    </row>
    <row r="21" spans="1:9" ht="14.25" customHeight="1" x14ac:dyDescent="0.3">
      <c r="A21" s="111" t="s">
        <v>345</v>
      </c>
      <c r="B21" s="111"/>
      <c r="C21" s="8"/>
    </row>
    <row r="22" spans="1:9" ht="15" customHeight="1" x14ac:dyDescent="0.3">
      <c r="A22" s="111" t="s">
        <v>346</v>
      </c>
      <c r="B22" s="111"/>
      <c r="C22" s="8"/>
    </row>
    <row r="23" spans="1:9" ht="14" x14ac:dyDescent="0.3">
      <c r="A23" s="111" t="s">
        <v>347</v>
      </c>
      <c r="B23" s="111"/>
      <c r="C23" s="8"/>
    </row>
    <row r="24" spans="1:9" ht="14" x14ac:dyDescent="0.3">
      <c r="A24" s="111" t="s">
        <v>348</v>
      </c>
      <c r="B24" s="111"/>
      <c r="C24" s="8"/>
    </row>
    <row r="25" spans="1:9" ht="15" customHeight="1" x14ac:dyDescent="0.3">
      <c r="A25" s="111" t="s">
        <v>349</v>
      </c>
      <c r="B25" s="111"/>
      <c r="C25" s="8"/>
    </row>
    <row r="26" spans="1:9" ht="15" customHeight="1" x14ac:dyDescent="0.3">
      <c r="A26" s="9"/>
      <c r="B26" s="9"/>
      <c r="C26" s="8"/>
    </row>
    <row r="27" spans="1:9" x14ac:dyDescent="0.25">
      <c r="A27" s="110"/>
      <c r="B27" s="110"/>
    </row>
    <row r="28" spans="1:9" s="66" customFormat="1" ht="14" x14ac:dyDescent="0.3">
      <c r="A28" s="68" t="s">
        <v>37</v>
      </c>
      <c r="B28" s="69"/>
      <c r="C28" s="69"/>
      <c r="D28" s="69"/>
      <c r="E28" s="70"/>
      <c r="F28" s="70"/>
      <c r="G28" s="70"/>
      <c r="H28" s="70"/>
      <c r="I28" s="70"/>
    </row>
    <row r="29" spans="1:9" s="66" customFormat="1" ht="14" x14ac:dyDescent="0.3">
      <c r="A29" s="69" t="s">
        <v>38</v>
      </c>
      <c r="B29" s="69"/>
      <c r="C29" s="69"/>
      <c r="D29" s="69"/>
      <c r="E29" s="70"/>
      <c r="F29" s="70"/>
      <c r="G29" s="70"/>
      <c r="H29" s="70"/>
      <c r="I29" s="70"/>
    </row>
    <row r="30" spans="1:9" s="66" customFormat="1" ht="14" x14ac:dyDescent="0.3">
      <c r="A30" s="69" t="s">
        <v>42</v>
      </c>
      <c r="B30" s="69"/>
      <c r="C30" s="69"/>
      <c r="D30" s="69"/>
      <c r="E30" s="70"/>
      <c r="F30" s="70"/>
      <c r="G30" s="70"/>
      <c r="H30" s="70"/>
      <c r="I30" s="70"/>
    </row>
    <row r="31" spans="1:9" s="66" customFormat="1" ht="14" x14ac:dyDescent="0.3">
      <c r="A31" s="69" t="s">
        <v>3</v>
      </c>
      <c r="B31" s="69"/>
      <c r="C31" s="69"/>
      <c r="D31" s="69"/>
      <c r="E31" s="70"/>
      <c r="F31" s="70"/>
      <c r="G31" s="70"/>
      <c r="H31" s="70"/>
      <c r="I31" s="70"/>
    </row>
    <row r="32" spans="1:9" s="66" customFormat="1" ht="14" x14ac:dyDescent="0.3">
      <c r="A32" s="69" t="s">
        <v>39</v>
      </c>
      <c r="B32" s="69"/>
      <c r="C32" s="69"/>
      <c r="D32" s="69"/>
      <c r="E32" s="70"/>
      <c r="F32" s="70"/>
      <c r="G32" s="70"/>
      <c r="H32" s="70"/>
      <c r="I32" s="70"/>
    </row>
    <row r="33" spans="1:9" s="66" customFormat="1" ht="14" x14ac:dyDescent="0.3">
      <c r="A33" s="69"/>
      <c r="B33" s="69"/>
      <c r="C33" s="69"/>
      <c r="D33" s="69"/>
      <c r="E33" s="70"/>
      <c r="F33" s="70"/>
      <c r="G33" s="70"/>
      <c r="H33" s="70"/>
      <c r="I33" s="70"/>
    </row>
    <row r="34" spans="1:9" s="66" customFormat="1" ht="14" x14ac:dyDescent="0.3">
      <c r="A34" s="69" t="s">
        <v>40</v>
      </c>
      <c r="B34" s="69"/>
      <c r="C34" s="69"/>
      <c r="D34" s="69"/>
      <c r="E34" s="70"/>
      <c r="F34" s="70"/>
      <c r="G34" s="70"/>
      <c r="H34" s="70"/>
      <c r="I34" s="70"/>
    </row>
    <row r="35" spans="1:9" s="66" customFormat="1" ht="14" x14ac:dyDescent="0.3">
      <c r="A35" s="69" t="s">
        <v>41</v>
      </c>
      <c r="B35" s="69"/>
      <c r="C35" s="69"/>
      <c r="D35" s="69"/>
      <c r="E35" s="70"/>
      <c r="F35" s="70"/>
      <c r="G35" s="70"/>
      <c r="H35" s="70"/>
      <c r="I35" s="70"/>
    </row>
    <row r="36" spans="1:9" s="66" customFormat="1" ht="14" x14ac:dyDescent="0.3">
      <c r="A36" s="71" t="s">
        <v>350</v>
      </c>
      <c r="B36" s="69"/>
      <c r="C36" s="69"/>
      <c r="D36" s="69"/>
      <c r="E36" s="70"/>
      <c r="F36" s="70"/>
      <c r="G36" s="70"/>
      <c r="H36" s="70"/>
      <c r="I36" s="70"/>
    </row>
    <row r="37" spans="1:9" ht="15.5" x14ac:dyDescent="0.3">
      <c r="A37" s="108"/>
      <c r="B37" s="108"/>
      <c r="C37" s="10"/>
      <c r="D37" s="10"/>
      <c r="E37" s="10"/>
      <c r="F37" s="10"/>
      <c r="G37" s="11"/>
    </row>
    <row r="38" spans="1:9" ht="14" x14ac:dyDescent="0.3">
      <c r="A38" s="108"/>
      <c r="B38" s="108"/>
      <c r="C38" s="10"/>
      <c r="D38" s="10"/>
      <c r="E38" s="10"/>
      <c r="F38" s="10"/>
      <c r="G38" s="12"/>
    </row>
    <row r="39" spans="1:9" ht="15.5" x14ac:dyDescent="0.3">
      <c r="A39" s="108" t="s">
        <v>4</v>
      </c>
      <c r="B39" s="108"/>
      <c r="C39" s="10"/>
      <c r="D39" s="10"/>
      <c r="E39" s="10"/>
      <c r="F39" s="10"/>
      <c r="G39" s="11"/>
    </row>
    <row r="40" spans="1:9" ht="15.5" x14ac:dyDescent="0.3">
      <c r="A40" s="108" t="s">
        <v>5</v>
      </c>
      <c r="B40" s="108" t="s">
        <v>5</v>
      </c>
      <c r="C40" s="10"/>
      <c r="D40" s="10"/>
      <c r="E40" s="10"/>
      <c r="F40" s="10"/>
      <c r="G40" s="11"/>
    </row>
    <row r="41" spans="1:9" ht="15.5" x14ac:dyDescent="0.3">
      <c r="A41" s="109" t="s">
        <v>6</v>
      </c>
      <c r="B41" s="109" t="s">
        <v>6</v>
      </c>
      <c r="C41" s="10"/>
      <c r="D41" s="10"/>
      <c r="E41" s="10"/>
      <c r="F41" s="10"/>
      <c r="G41" s="11"/>
    </row>
    <row r="42" spans="1:9" ht="15.5" x14ac:dyDescent="0.3">
      <c r="A42" s="108" t="s">
        <v>7</v>
      </c>
      <c r="B42" s="108" t="s">
        <v>7</v>
      </c>
      <c r="C42" s="10"/>
      <c r="D42" s="10"/>
      <c r="E42" s="10"/>
      <c r="F42" s="10"/>
      <c r="G42" s="11"/>
    </row>
    <row r="43" spans="1:9" ht="14" x14ac:dyDescent="0.3">
      <c r="A43" s="108" t="s">
        <v>8</v>
      </c>
      <c r="B43" s="108" t="s">
        <v>8</v>
      </c>
      <c r="C43" s="10"/>
      <c r="D43" s="10"/>
      <c r="E43" s="10"/>
      <c r="F43" s="10"/>
      <c r="G43" s="13"/>
    </row>
    <row r="44" spans="1:9" ht="15.5" x14ac:dyDescent="0.3">
      <c r="A44" s="108" t="s">
        <v>9</v>
      </c>
      <c r="B44" s="108" t="s">
        <v>10</v>
      </c>
      <c r="C44" s="10"/>
      <c r="D44" s="10"/>
      <c r="E44" s="10"/>
      <c r="F44" s="10"/>
      <c r="G44" s="11"/>
    </row>
  </sheetData>
  <mergeCells count="25">
    <mergeCell ref="A14:B14"/>
    <mergeCell ref="A1:B9"/>
    <mergeCell ref="A10:B10"/>
    <mergeCell ref="A11:B11"/>
    <mergeCell ref="A12:B12"/>
    <mergeCell ref="A27:B27"/>
    <mergeCell ref="A25:B25"/>
    <mergeCell ref="A15:B15"/>
    <mergeCell ref="A16:B16"/>
    <mergeCell ref="A18:B18"/>
    <mergeCell ref="A19:B19"/>
    <mergeCell ref="A20:B20"/>
    <mergeCell ref="A21:B21"/>
    <mergeCell ref="A22:B22"/>
    <mergeCell ref="A23:B23"/>
    <mergeCell ref="A24:B24"/>
    <mergeCell ref="A17:B17"/>
    <mergeCell ref="A43:B43"/>
    <mergeCell ref="A44:B44"/>
    <mergeCell ref="A37:B37"/>
    <mergeCell ref="A38:B38"/>
    <mergeCell ref="A39:B39"/>
    <mergeCell ref="A40:B40"/>
    <mergeCell ref="A41:B41"/>
    <mergeCell ref="A42:B42"/>
  </mergeCells>
  <hyperlinks>
    <hyperlink ref="B44" r:id="rId1" display="mailto:psi@nationalarchives.gsi.gov.uk" xr:uid="{E1DF5435-937A-4DB0-95ED-3392CE6BC451}"/>
    <hyperlink ref="A44" r:id="rId2" display="mailto:psi@nationalarchives.gsi.gov.uk" xr:uid="{671C25EC-A5BA-45F3-8044-749776E74530}"/>
    <hyperlink ref="B41" r:id="rId3" display="http://www.nationalarchives.gov.uk/doc/open-government-licence" xr:uid="{13F7F050-FC50-4C40-B562-61AFF9B97038}"/>
    <hyperlink ref="A41" r:id="rId4" display="http://www.nationalarchives.gov.uk/doc/open-government-licence" xr:uid="{5ADBE4DE-CE27-46B0-B917-1CBA1A37330A}"/>
    <hyperlink ref="A22:B22" location="Table_1b!A1" display="Table 1b: Full Time Equivalent (FTE) Figures for Consultants, 2021-22" xr:uid="{8FEFF065-DA02-40B5-9965-4671FE8D22C0}"/>
    <hyperlink ref="A23:B23" location="Table_1c!A1" display="Table 1c: Full Time Equivalent (FTE) Figures for Nurses, 2021-22" xr:uid="{FB5C01C9-EB59-4491-8353-ED4EE7DC46F5}"/>
    <hyperlink ref="A24:B24" location="Table_1d!A1" display="Table 1d: Full Time Equivalent (FTE) Figures for Care Providers, 2021-22" xr:uid="{8CE2D900-DA2F-4E54-997C-6EB32134B72D}"/>
    <hyperlink ref="A25:B25" location="Table_2!A1" display="Table 2: Stability Index of Staff for NHS Trusts, 2021-22" xr:uid="{6B0CD66C-B330-4F46-87B8-8ADBE58B4361}"/>
    <hyperlink ref="A21:B21" location="Table_1a!A1" display="Table 1a: Full Time Equivalent (FTE) Figures for Doctors (excluding Consultants), 2021-22" xr:uid="{CB02D745-3226-4125-B0B5-3C4D54B2065D}"/>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1B45-6C2F-47FC-B2E1-39834EFF416E}">
  <dimension ref="A1:J153"/>
  <sheetViews>
    <sheetView showGridLines="0" zoomScaleNormal="100" workbookViewId="0">
      <selection activeCell="A2" sqref="A2:F2"/>
    </sheetView>
  </sheetViews>
  <sheetFormatPr defaultColWidth="7.69140625" defaultRowHeight="12.5" x14ac:dyDescent="0.25"/>
  <cols>
    <col min="1" max="1" width="5.84375" style="1" customWidth="1"/>
    <col min="2" max="2" width="54.07421875" style="1" customWidth="1"/>
    <col min="3" max="5" width="10.69140625" style="1" customWidth="1"/>
    <col min="6" max="6" width="11.84375" style="1" customWidth="1"/>
    <col min="7" max="7" width="9.84375" style="1" customWidth="1"/>
    <col min="8" max="16384" width="7.69140625" style="1"/>
  </cols>
  <sheetData>
    <row r="1" spans="1:8" ht="105" customHeight="1" x14ac:dyDescent="0.25">
      <c r="A1" s="119"/>
      <c r="B1" s="119"/>
      <c r="C1" s="119"/>
      <c r="D1" s="119"/>
      <c r="E1" s="119"/>
      <c r="F1" s="119"/>
      <c r="G1" s="119"/>
      <c r="H1" s="119"/>
    </row>
    <row r="2" spans="1:8" ht="52.5" customHeight="1" x14ac:dyDescent="0.25">
      <c r="A2" s="123" t="s">
        <v>345</v>
      </c>
      <c r="B2" s="123"/>
      <c r="C2" s="123"/>
      <c r="D2" s="123"/>
      <c r="E2" s="123"/>
      <c r="F2" s="123"/>
    </row>
    <row r="3" spans="1:8" s="72" customFormat="1" ht="14.5" x14ac:dyDescent="0.35">
      <c r="A3" s="134" t="s">
        <v>351</v>
      </c>
      <c r="B3" s="134"/>
      <c r="C3" s="134"/>
      <c r="D3" s="134"/>
      <c r="E3" s="134"/>
      <c r="F3" s="134"/>
      <c r="G3" s="134"/>
    </row>
    <row r="4" spans="1:8" ht="13.5" customHeight="1" x14ac:dyDescent="0.25">
      <c r="A4" s="124" t="s">
        <v>11</v>
      </c>
      <c r="B4" s="124"/>
      <c r="C4" s="124"/>
      <c r="D4" s="124"/>
      <c r="E4" s="124"/>
      <c r="F4" s="124"/>
    </row>
    <row r="5" spans="1:8" ht="13.5" customHeight="1" x14ac:dyDescent="0.25">
      <c r="A5" s="14" t="s">
        <v>12</v>
      </c>
      <c r="B5" s="15"/>
      <c r="C5" s="15"/>
      <c r="D5" s="15"/>
      <c r="E5" s="15"/>
      <c r="F5" s="15"/>
    </row>
    <row r="6" spans="1:8" ht="13.5" customHeight="1" x14ac:dyDescent="0.25">
      <c r="A6" s="16" t="s">
        <v>13</v>
      </c>
      <c r="B6" s="15"/>
      <c r="C6" s="15"/>
      <c r="D6" s="15"/>
      <c r="E6" s="15"/>
      <c r="F6" s="15"/>
    </row>
    <row r="7" spans="1:8" ht="13.5" customHeight="1" x14ac:dyDescent="0.25">
      <c r="A7" s="16"/>
      <c r="B7" s="15"/>
      <c r="C7" s="15"/>
      <c r="D7" s="15"/>
      <c r="E7" s="15"/>
      <c r="F7" s="15"/>
    </row>
    <row r="8" spans="1:8" ht="13.5" customHeight="1" x14ac:dyDescent="0.3">
      <c r="A8" s="96" t="s">
        <v>325</v>
      </c>
      <c r="B8" s="15"/>
      <c r="C8" s="15"/>
      <c r="D8" s="15"/>
      <c r="E8" s="15"/>
      <c r="F8" s="15"/>
    </row>
    <row r="9" spans="1:8" ht="13.5" customHeight="1" x14ac:dyDescent="0.25">
      <c r="A9" s="16" t="s">
        <v>323</v>
      </c>
      <c r="B9" s="17"/>
      <c r="C9" s="17"/>
      <c r="D9" s="17"/>
      <c r="E9" s="17"/>
      <c r="F9" s="17"/>
    </row>
    <row r="10" spans="1:8" ht="13.5" customHeight="1" x14ac:dyDescent="0.25">
      <c r="A10" s="16" t="s">
        <v>329</v>
      </c>
      <c r="B10" s="17"/>
      <c r="C10" s="17"/>
      <c r="D10" s="17"/>
      <c r="E10" s="17"/>
      <c r="F10" s="17"/>
    </row>
    <row r="11" spans="1:8" ht="13.5" customHeight="1" x14ac:dyDescent="0.25">
      <c r="A11" s="16" t="s">
        <v>330</v>
      </c>
      <c r="B11" s="17"/>
      <c r="C11" s="17"/>
      <c r="D11" s="17"/>
      <c r="E11" s="17"/>
      <c r="F11" s="17"/>
    </row>
    <row r="12" spans="1:8" ht="13.5" customHeight="1" x14ac:dyDescent="0.25">
      <c r="A12" s="16"/>
      <c r="B12" s="18"/>
      <c r="C12" s="18"/>
      <c r="D12" s="18"/>
      <c r="E12" s="18"/>
      <c r="F12" s="18"/>
    </row>
    <row r="13" spans="1:8" ht="13.5" customHeight="1" x14ac:dyDescent="0.25">
      <c r="A13" s="132" t="s">
        <v>24</v>
      </c>
      <c r="B13" s="132"/>
      <c r="C13" s="132"/>
      <c r="D13" s="132"/>
      <c r="E13" s="132"/>
      <c r="F13" s="132"/>
    </row>
    <row r="14" spans="1:8" ht="29.5" customHeight="1" x14ac:dyDescent="0.25">
      <c r="A14" s="133" t="s">
        <v>25</v>
      </c>
      <c r="B14" s="133"/>
      <c r="C14" s="133"/>
      <c r="D14" s="133"/>
      <c r="E14" s="133"/>
      <c r="F14" s="133"/>
    </row>
    <row r="15" spans="1:8" s="97" customFormat="1" x14ac:dyDescent="0.25"/>
    <row r="16" spans="1:8" customFormat="1" ht="15.5" x14ac:dyDescent="0.35">
      <c r="A16" s="132" t="s">
        <v>324</v>
      </c>
      <c r="B16" s="132"/>
      <c r="C16" s="132"/>
      <c r="D16" s="132"/>
      <c r="E16" s="132"/>
      <c r="F16" s="132"/>
    </row>
    <row r="17" spans="1:10" customFormat="1" ht="31.5" customHeight="1" x14ac:dyDescent="0.35">
      <c r="A17" s="135" t="s">
        <v>326</v>
      </c>
      <c r="B17" s="135"/>
      <c r="C17" s="135"/>
      <c r="D17" s="135"/>
      <c r="E17" s="135"/>
      <c r="F17" s="135"/>
      <c r="G17" s="135"/>
    </row>
    <row r="18" spans="1:10" ht="14.15" customHeight="1" thickBot="1" x14ac:dyDescent="0.3">
      <c r="A18" s="67"/>
      <c r="B18" s="67"/>
      <c r="C18" s="67"/>
      <c r="D18" s="67"/>
      <c r="E18" s="67"/>
      <c r="F18" s="67"/>
    </row>
    <row r="19" spans="1:10" ht="13.5" customHeight="1" thickBot="1" x14ac:dyDescent="0.3">
      <c r="A19" s="125" t="s">
        <v>14</v>
      </c>
      <c r="B19" s="127" t="s">
        <v>15</v>
      </c>
      <c r="C19" s="129">
        <v>2024</v>
      </c>
      <c r="D19" s="130"/>
      <c r="E19" s="130"/>
      <c r="F19" s="19">
        <v>2025</v>
      </c>
      <c r="G19" s="131" t="s">
        <v>16</v>
      </c>
    </row>
    <row r="20" spans="1:10" ht="13.5" thickBot="1" x14ac:dyDescent="0.3">
      <c r="A20" s="126"/>
      <c r="B20" s="128"/>
      <c r="C20" s="20" t="s">
        <v>17</v>
      </c>
      <c r="D20" s="21" t="s">
        <v>18</v>
      </c>
      <c r="E20" s="22" t="s">
        <v>19</v>
      </c>
      <c r="F20" s="22" t="s">
        <v>20</v>
      </c>
      <c r="G20" s="131"/>
    </row>
    <row r="21" spans="1:10" ht="13.5" thickBot="1" x14ac:dyDescent="0.35">
      <c r="A21" s="54" t="s">
        <v>21</v>
      </c>
      <c r="B21" s="55" t="s">
        <v>22</v>
      </c>
      <c r="C21" s="74">
        <v>7146.979440000001</v>
      </c>
      <c r="D21" s="74">
        <v>7586.0880699999998</v>
      </c>
      <c r="E21" s="74">
        <v>7665.4199500000013</v>
      </c>
      <c r="F21" s="74">
        <v>7683.0884699999997</v>
      </c>
      <c r="G21" s="85" cm="1">
        <f t="array" ref="G21">SUM(C21:F21/4)</f>
        <v>7520.3939825000007</v>
      </c>
      <c r="H21" s="25"/>
      <c r="I21" s="26"/>
    </row>
    <row r="22" spans="1:10" ht="13" thickBot="1" x14ac:dyDescent="0.3">
      <c r="A22" s="56"/>
      <c r="B22" s="57" t="s">
        <v>23</v>
      </c>
      <c r="C22" s="75"/>
      <c r="D22" s="75"/>
      <c r="E22" s="75"/>
      <c r="F22" s="75"/>
      <c r="G22" s="86"/>
      <c r="J22" s="28"/>
    </row>
    <row r="23" spans="1:10" x14ac:dyDescent="0.25">
      <c r="A23" s="58" t="s">
        <v>243</v>
      </c>
      <c r="B23" s="59" t="s">
        <v>244</v>
      </c>
      <c r="C23" s="76">
        <v>173.57686999999999</v>
      </c>
      <c r="D23" s="77">
        <v>183.79687000000001</v>
      </c>
      <c r="E23" s="77">
        <v>183.75312</v>
      </c>
      <c r="F23" s="78">
        <v>177.64477000000002</v>
      </c>
      <c r="G23" s="87">
        <v>179.69290749999999</v>
      </c>
      <c r="J23" s="30"/>
    </row>
    <row r="24" spans="1:10" x14ac:dyDescent="0.25">
      <c r="A24" s="60" t="s">
        <v>223</v>
      </c>
      <c r="B24" s="61" t="s">
        <v>224</v>
      </c>
      <c r="C24" s="79">
        <v>64.756249999999994</v>
      </c>
      <c r="D24" s="80">
        <v>62.381249999999994</v>
      </c>
      <c r="E24" s="80">
        <v>65.46875</v>
      </c>
      <c r="F24" s="81">
        <v>72.662499999999994</v>
      </c>
      <c r="G24" s="88">
        <v>66.317187499999989</v>
      </c>
      <c r="J24" s="30"/>
    </row>
    <row r="25" spans="1:10" x14ac:dyDescent="0.25">
      <c r="A25" s="60" t="s">
        <v>121</v>
      </c>
      <c r="B25" s="61" t="s">
        <v>122</v>
      </c>
      <c r="C25" s="79">
        <v>75.81477000000001</v>
      </c>
      <c r="D25" s="80">
        <v>79.777270000000001</v>
      </c>
      <c r="E25" s="80">
        <v>82.35</v>
      </c>
      <c r="F25" s="81">
        <v>78.918750000000003</v>
      </c>
      <c r="G25" s="88">
        <v>79.215197500000002</v>
      </c>
      <c r="J25" s="30"/>
    </row>
    <row r="26" spans="1:10" x14ac:dyDescent="0.25">
      <c r="A26" s="60" t="s">
        <v>125</v>
      </c>
      <c r="B26" s="61" t="s">
        <v>126</v>
      </c>
      <c r="C26" s="79">
        <v>28.8</v>
      </c>
      <c r="D26" s="80">
        <v>29.8</v>
      </c>
      <c r="E26" s="80">
        <v>40.167650000000002</v>
      </c>
      <c r="F26" s="81">
        <v>43.199460000000002</v>
      </c>
      <c r="G26" s="88">
        <v>35.491777499999998</v>
      </c>
      <c r="J26" s="30"/>
    </row>
    <row r="27" spans="1:10" x14ac:dyDescent="0.25">
      <c r="A27" s="60" t="s">
        <v>167</v>
      </c>
      <c r="B27" s="61" t="s">
        <v>168</v>
      </c>
      <c r="C27" s="79">
        <v>184.6695</v>
      </c>
      <c r="D27" s="80">
        <v>193.95699999999999</v>
      </c>
      <c r="E27" s="80">
        <v>187.09575000000001</v>
      </c>
      <c r="F27" s="81">
        <v>195.21249999999998</v>
      </c>
      <c r="G27" s="88">
        <v>190.2336875</v>
      </c>
      <c r="J27" s="30"/>
    </row>
    <row r="28" spans="1:10" x14ac:dyDescent="0.25">
      <c r="A28" s="60" t="s">
        <v>149</v>
      </c>
      <c r="B28" s="61" t="s">
        <v>150</v>
      </c>
      <c r="C28" s="79">
        <v>117.13124999999999</v>
      </c>
      <c r="D28" s="80">
        <v>119.8</v>
      </c>
      <c r="E28" s="80">
        <v>120.04375</v>
      </c>
      <c r="F28" s="81">
        <v>115.85999999999999</v>
      </c>
      <c r="G28" s="88">
        <v>118.20874999999998</v>
      </c>
      <c r="J28" s="30"/>
    </row>
    <row r="29" spans="1:10" x14ac:dyDescent="0.25">
      <c r="A29" s="60" t="s">
        <v>201</v>
      </c>
      <c r="B29" s="61" t="s">
        <v>202</v>
      </c>
      <c r="C29" s="79">
        <v>44.3</v>
      </c>
      <c r="D29" s="80">
        <v>44.037500000000001</v>
      </c>
      <c r="E29" s="80">
        <v>47.512500000000003</v>
      </c>
      <c r="F29" s="81">
        <v>51.062499999999993</v>
      </c>
      <c r="G29" s="88">
        <v>46.728125000000006</v>
      </c>
      <c r="J29" s="30"/>
    </row>
    <row r="30" spans="1:10" x14ac:dyDescent="0.25">
      <c r="A30" s="60" t="s">
        <v>313</v>
      </c>
      <c r="B30" s="61" t="s">
        <v>314</v>
      </c>
      <c r="C30" s="79">
        <v>84.281199999999998</v>
      </c>
      <c r="D30" s="80">
        <v>82.27494999999999</v>
      </c>
      <c r="E30" s="80">
        <v>86.847650000000002</v>
      </c>
      <c r="F30" s="81">
        <v>87.997649999999993</v>
      </c>
      <c r="G30" s="88">
        <v>85.350362499999989</v>
      </c>
      <c r="J30" s="30"/>
    </row>
    <row r="31" spans="1:10" x14ac:dyDescent="0.25">
      <c r="A31" s="60" t="s">
        <v>311</v>
      </c>
      <c r="B31" s="61" t="s">
        <v>312</v>
      </c>
      <c r="C31" s="79">
        <v>30.495000000000001</v>
      </c>
      <c r="D31" s="80">
        <v>33.032499999999999</v>
      </c>
      <c r="E31" s="80">
        <v>32.295000000000002</v>
      </c>
      <c r="F31" s="81">
        <v>32.763750000000002</v>
      </c>
      <c r="G31" s="88">
        <v>32.146562500000002</v>
      </c>
      <c r="J31" s="30"/>
    </row>
    <row r="32" spans="1:10" x14ac:dyDescent="0.25">
      <c r="A32" s="60" t="s">
        <v>93</v>
      </c>
      <c r="B32" s="61" t="s">
        <v>94</v>
      </c>
      <c r="C32" s="79">
        <v>44.65</v>
      </c>
      <c r="D32" s="80">
        <v>42.712499999999999</v>
      </c>
      <c r="E32" s="80">
        <v>42.768749999999997</v>
      </c>
      <c r="F32" s="81">
        <v>42.837499999999999</v>
      </c>
      <c r="G32" s="88">
        <v>43.2421875</v>
      </c>
      <c r="J32" s="30"/>
    </row>
    <row r="33" spans="1:10" x14ac:dyDescent="0.25">
      <c r="A33" s="60" t="s">
        <v>75</v>
      </c>
      <c r="B33" s="61" t="s">
        <v>76</v>
      </c>
      <c r="C33" s="79">
        <v>119.57773</v>
      </c>
      <c r="D33" s="80">
        <v>140.42113999999998</v>
      </c>
      <c r="E33" s="80">
        <v>143.05114</v>
      </c>
      <c r="F33" s="81">
        <v>148.03239000000002</v>
      </c>
      <c r="G33" s="88">
        <v>137.7706</v>
      </c>
      <c r="J33" s="30"/>
    </row>
    <row r="34" spans="1:10" x14ac:dyDescent="0.25">
      <c r="A34" s="60" t="s">
        <v>175</v>
      </c>
      <c r="B34" s="61" t="s">
        <v>176</v>
      </c>
      <c r="C34" s="79">
        <v>95.659659999999988</v>
      </c>
      <c r="D34" s="80">
        <v>92.728409999999997</v>
      </c>
      <c r="E34" s="80">
        <v>89.128409999999988</v>
      </c>
      <c r="F34" s="81">
        <v>155.60466</v>
      </c>
      <c r="G34" s="88">
        <v>108.28028499999999</v>
      </c>
      <c r="J34" s="30"/>
    </row>
    <row r="35" spans="1:10" x14ac:dyDescent="0.25">
      <c r="A35" s="60" t="s">
        <v>173</v>
      </c>
      <c r="B35" s="61" t="s">
        <v>174</v>
      </c>
      <c r="C35" s="79">
        <v>71.364000000000004</v>
      </c>
      <c r="D35" s="80">
        <v>74.113749999999996</v>
      </c>
      <c r="E35" s="80">
        <v>67.532499999999999</v>
      </c>
      <c r="F35" s="81"/>
      <c r="G35" s="88">
        <v>53.252562500000003</v>
      </c>
      <c r="J35" s="30"/>
    </row>
    <row r="36" spans="1:10" x14ac:dyDescent="0.25">
      <c r="A36" s="60" t="s">
        <v>145</v>
      </c>
      <c r="B36" s="61" t="s">
        <v>146</v>
      </c>
      <c r="C36" s="79">
        <v>54.075000000000003</v>
      </c>
      <c r="D36" s="80">
        <v>54.231250000000003</v>
      </c>
      <c r="E36" s="80">
        <v>53.831249999999997</v>
      </c>
      <c r="F36" s="81">
        <v>54.2</v>
      </c>
      <c r="G36" s="88">
        <v>54.084374999999994</v>
      </c>
      <c r="J36" s="30"/>
    </row>
    <row r="37" spans="1:10" x14ac:dyDescent="0.25">
      <c r="A37" s="60" t="s">
        <v>159</v>
      </c>
      <c r="B37" s="61" t="s">
        <v>160</v>
      </c>
      <c r="C37" s="79">
        <v>45.018749999999997</v>
      </c>
      <c r="D37" s="80">
        <v>43.412500000000001</v>
      </c>
      <c r="E37" s="80">
        <v>46.674999999999997</v>
      </c>
      <c r="F37" s="81">
        <v>46.65625</v>
      </c>
      <c r="G37" s="88">
        <v>45.440624999999997</v>
      </c>
      <c r="J37" s="30"/>
    </row>
    <row r="38" spans="1:10" x14ac:dyDescent="0.25">
      <c r="A38" s="60" t="s">
        <v>117</v>
      </c>
      <c r="B38" s="61" t="s">
        <v>118</v>
      </c>
      <c r="C38" s="79">
        <v>28.225000000000001</v>
      </c>
      <c r="D38" s="80">
        <v>31.4</v>
      </c>
      <c r="E38" s="80">
        <v>30.4</v>
      </c>
      <c r="F38" s="81">
        <v>29.03</v>
      </c>
      <c r="G38" s="88">
        <v>29.763750000000002</v>
      </c>
      <c r="J38" s="30"/>
    </row>
    <row r="39" spans="1:10" x14ac:dyDescent="0.25">
      <c r="A39" s="60" t="s">
        <v>291</v>
      </c>
      <c r="B39" s="61" t="s">
        <v>292</v>
      </c>
      <c r="C39" s="79">
        <v>34.106250000000003</v>
      </c>
      <c r="D39" s="80">
        <v>31.318750000000001</v>
      </c>
      <c r="E39" s="80">
        <v>31.34375</v>
      </c>
      <c r="F39" s="81">
        <v>30.96875</v>
      </c>
      <c r="G39" s="88">
        <v>31.934375000000003</v>
      </c>
      <c r="J39" s="30"/>
    </row>
    <row r="40" spans="1:10" x14ac:dyDescent="0.25">
      <c r="A40" s="60" t="s">
        <v>263</v>
      </c>
      <c r="B40" s="61" t="s">
        <v>264</v>
      </c>
      <c r="C40" s="79">
        <v>40.456249999999997</v>
      </c>
      <c r="D40" s="80">
        <v>50.849999999999994</v>
      </c>
      <c r="E40" s="80">
        <v>47.775829999999999</v>
      </c>
      <c r="F40" s="81">
        <v>49.8</v>
      </c>
      <c r="G40" s="88">
        <v>47.220519999999993</v>
      </c>
      <c r="J40" s="30"/>
    </row>
    <row r="41" spans="1:10" x14ac:dyDescent="0.25">
      <c r="A41" s="60" t="s">
        <v>245</v>
      </c>
      <c r="B41" s="61" t="s">
        <v>246</v>
      </c>
      <c r="C41" s="79">
        <v>79.09675</v>
      </c>
      <c r="D41" s="80">
        <v>78.590499999999992</v>
      </c>
      <c r="E41" s="80">
        <v>75.878</v>
      </c>
      <c r="F41" s="81">
        <v>75.328000000000003</v>
      </c>
      <c r="G41" s="88">
        <v>77.223312499999992</v>
      </c>
      <c r="J41" s="30"/>
    </row>
    <row r="42" spans="1:10" x14ac:dyDescent="0.25">
      <c r="A42" s="60" t="s">
        <v>227</v>
      </c>
      <c r="B42" s="61" t="s">
        <v>228</v>
      </c>
      <c r="C42" s="79">
        <v>10.112500000000001</v>
      </c>
      <c r="D42" s="80">
        <v>14.331250000000001</v>
      </c>
      <c r="E42" s="80">
        <v>13.44375</v>
      </c>
      <c r="F42" s="81">
        <v>12.356249999999999</v>
      </c>
      <c r="G42" s="88">
        <v>12.560937500000001</v>
      </c>
      <c r="J42" s="30"/>
    </row>
    <row r="43" spans="1:10" x14ac:dyDescent="0.25">
      <c r="A43" s="60" t="s">
        <v>247</v>
      </c>
      <c r="B43" s="61" t="s">
        <v>248</v>
      </c>
      <c r="C43" s="79">
        <v>32.702919999999999</v>
      </c>
      <c r="D43" s="80">
        <v>30.160419999999998</v>
      </c>
      <c r="E43" s="80">
        <v>30.560670000000002</v>
      </c>
      <c r="F43" s="81">
        <v>30.347750000000001</v>
      </c>
      <c r="G43" s="88">
        <v>30.94294</v>
      </c>
      <c r="J43" s="30"/>
    </row>
    <row r="44" spans="1:10" x14ac:dyDescent="0.25">
      <c r="A44" s="60" t="s">
        <v>63</v>
      </c>
      <c r="B44" s="61" t="s">
        <v>64</v>
      </c>
      <c r="C44" s="79">
        <v>96.59375</v>
      </c>
      <c r="D44" s="80">
        <v>95.224999999999994</v>
      </c>
      <c r="E44" s="80">
        <v>104.77500000000001</v>
      </c>
      <c r="F44" s="81">
        <v>109.78125</v>
      </c>
      <c r="G44" s="88">
        <v>101.59375</v>
      </c>
      <c r="J44" s="30"/>
    </row>
    <row r="45" spans="1:10" x14ac:dyDescent="0.25">
      <c r="A45" s="60" t="s">
        <v>115</v>
      </c>
      <c r="B45" s="61" t="s">
        <v>116</v>
      </c>
      <c r="C45" s="79">
        <v>19.243749999999999</v>
      </c>
      <c r="D45" s="80">
        <v>24.8</v>
      </c>
      <c r="E45" s="80">
        <v>21.181249999999999</v>
      </c>
      <c r="F45" s="81">
        <v>20.9</v>
      </c>
      <c r="G45" s="88">
        <v>21.53125</v>
      </c>
      <c r="J45" s="30"/>
    </row>
    <row r="46" spans="1:10" x14ac:dyDescent="0.25">
      <c r="A46" s="60" t="s">
        <v>99</v>
      </c>
      <c r="B46" s="61" t="s">
        <v>100</v>
      </c>
      <c r="C46" s="79">
        <v>18.737500000000001</v>
      </c>
      <c r="D46" s="80">
        <v>25.05</v>
      </c>
      <c r="E46" s="80">
        <v>25.65</v>
      </c>
      <c r="F46" s="81">
        <v>24.40625</v>
      </c>
      <c r="G46" s="88">
        <v>23.4609375</v>
      </c>
      <c r="J46" s="30"/>
    </row>
    <row r="47" spans="1:10" x14ac:dyDescent="0.25">
      <c r="A47" s="60" t="s">
        <v>89</v>
      </c>
      <c r="B47" s="61" t="s">
        <v>90</v>
      </c>
      <c r="C47" s="79">
        <v>26.131250000000001</v>
      </c>
      <c r="D47" s="80">
        <v>33.237500000000004</v>
      </c>
      <c r="E47" s="80">
        <v>33.371250000000003</v>
      </c>
      <c r="F47" s="81">
        <v>30.240000000000002</v>
      </c>
      <c r="G47" s="88">
        <v>30.745000000000005</v>
      </c>
      <c r="J47" s="30"/>
    </row>
    <row r="48" spans="1:10" x14ac:dyDescent="0.25">
      <c r="A48" s="60" t="s">
        <v>111</v>
      </c>
      <c r="B48" s="61" t="s">
        <v>112</v>
      </c>
      <c r="C48" s="79">
        <v>23.625</v>
      </c>
      <c r="D48" s="80">
        <v>31.327500000000001</v>
      </c>
      <c r="E48" s="80">
        <v>30.552500000000002</v>
      </c>
      <c r="F48" s="81">
        <v>29.331249999999997</v>
      </c>
      <c r="G48" s="88">
        <v>28.709062499999998</v>
      </c>
      <c r="J48" s="30"/>
    </row>
    <row r="49" spans="1:10" x14ac:dyDescent="0.25">
      <c r="A49" s="60" t="s">
        <v>83</v>
      </c>
      <c r="B49" s="61" t="s">
        <v>84</v>
      </c>
      <c r="C49" s="79">
        <v>27.202249999999999</v>
      </c>
      <c r="D49" s="80">
        <v>29.808499999999999</v>
      </c>
      <c r="E49" s="80">
        <v>29.446000000000002</v>
      </c>
      <c r="F49" s="81">
        <v>28.014749999999999</v>
      </c>
      <c r="G49" s="88">
        <v>28.617874999999998</v>
      </c>
      <c r="J49" s="30"/>
    </row>
    <row r="50" spans="1:10" s="7" customFormat="1" x14ac:dyDescent="0.25">
      <c r="A50" s="60" t="s">
        <v>307</v>
      </c>
      <c r="B50" s="61" t="s">
        <v>308</v>
      </c>
      <c r="C50" s="79">
        <v>35.774999999999999</v>
      </c>
      <c r="D50" s="80">
        <v>35.90625</v>
      </c>
      <c r="E50" s="80">
        <v>35.012499999999996</v>
      </c>
      <c r="F50" s="81">
        <v>35.0625</v>
      </c>
      <c r="G50" s="88">
        <v>35.439062499999999</v>
      </c>
      <c r="J50" s="6"/>
    </row>
    <row r="51" spans="1:10" x14ac:dyDescent="0.25">
      <c r="A51" s="60" t="s">
        <v>139</v>
      </c>
      <c r="B51" s="61" t="s">
        <v>140</v>
      </c>
      <c r="C51" s="79">
        <v>37.787500000000001</v>
      </c>
      <c r="D51" s="80">
        <v>38.306249999999999</v>
      </c>
      <c r="E51" s="80">
        <v>42.087499999999999</v>
      </c>
      <c r="F51" s="81">
        <v>38.418750000000003</v>
      </c>
      <c r="G51" s="88">
        <v>39.150000000000006</v>
      </c>
      <c r="J51" s="30"/>
    </row>
    <row r="52" spans="1:10" x14ac:dyDescent="0.25">
      <c r="A52" s="60" t="s">
        <v>71</v>
      </c>
      <c r="B52" s="61" t="s">
        <v>72</v>
      </c>
      <c r="C52" s="79">
        <v>81.142899999999997</v>
      </c>
      <c r="D52" s="80">
        <v>90.37415</v>
      </c>
      <c r="E52" s="80">
        <v>97.49915</v>
      </c>
      <c r="F52" s="81">
        <v>96.862479999999991</v>
      </c>
      <c r="G52" s="88">
        <v>91.469669999999994</v>
      </c>
      <c r="J52" s="30"/>
    </row>
    <row r="53" spans="1:10" x14ac:dyDescent="0.25">
      <c r="A53" s="60" t="s">
        <v>189</v>
      </c>
      <c r="B53" s="61" t="s">
        <v>190</v>
      </c>
      <c r="C53" s="79">
        <v>104.72499999999999</v>
      </c>
      <c r="D53" s="80">
        <v>95.03125</v>
      </c>
      <c r="E53" s="80">
        <v>86.012500000000003</v>
      </c>
      <c r="F53" s="81">
        <v>79.456249999999997</v>
      </c>
      <c r="G53" s="88">
        <v>91.306250000000006</v>
      </c>
      <c r="J53" s="30"/>
    </row>
    <row r="54" spans="1:10" x14ac:dyDescent="0.25">
      <c r="A54" s="60" t="s">
        <v>303</v>
      </c>
      <c r="B54" s="61" t="s">
        <v>304</v>
      </c>
      <c r="C54" s="79">
        <v>47.9</v>
      </c>
      <c r="D54" s="80">
        <v>53.9</v>
      </c>
      <c r="E54" s="80">
        <v>52.268750000000004</v>
      </c>
      <c r="F54" s="81">
        <v>51.9</v>
      </c>
      <c r="G54" s="88">
        <v>51.4921875</v>
      </c>
      <c r="J54" s="30"/>
    </row>
    <row r="55" spans="1:10" x14ac:dyDescent="0.25">
      <c r="A55" s="60" t="s">
        <v>241</v>
      </c>
      <c r="B55" s="61" t="s">
        <v>242</v>
      </c>
      <c r="C55" s="79">
        <v>99.443749999999994</v>
      </c>
      <c r="D55" s="80">
        <v>99.131249999999994</v>
      </c>
      <c r="E55" s="80">
        <v>97.818749999999994</v>
      </c>
      <c r="F55" s="81">
        <v>96.693749999999994</v>
      </c>
      <c r="G55" s="88">
        <v>98.271874999999994</v>
      </c>
      <c r="J55" s="30"/>
    </row>
    <row r="56" spans="1:10" x14ac:dyDescent="0.25">
      <c r="A56" s="60" t="s">
        <v>165</v>
      </c>
      <c r="B56" s="61" t="s">
        <v>166</v>
      </c>
      <c r="C56" s="79">
        <v>83.474999999999994</v>
      </c>
      <c r="D56" s="80">
        <v>86.84375</v>
      </c>
      <c r="E56" s="80">
        <v>90.793750000000003</v>
      </c>
      <c r="F56" s="81">
        <v>93.268750000000011</v>
      </c>
      <c r="G56" s="88">
        <v>88.595312500000006</v>
      </c>
      <c r="J56" s="30"/>
    </row>
    <row r="57" spans="1:10" x14ac:dyDescent="0.25">
      <c r="A57" s="60" t="s">
        <v>91</v>
      </c>
      <c r="B57" s="61" t="s">
        <v>92</v>
      </c>
      <c r="C57" s="79">
        <v>31.362499999999997</v>
      </c>
      <c r="D57" s="80">
        <v>29.237500000000001</v>
      </c>
      <c r="E57" s="80">
        <v>32.200000000000003</v>
      </c>
      <c r="F57" s="81">
        <v>31.199999999999996</v>
      </c>
      <c r="G57" s="88">
        <v>31</v>
      </c>
      <c r="J57" s="30"/>
    </row>
    <row r="58" spans="1:10" x14ac:dyDescent="0.25">
      <c r="A58" s="60" t="s">
        <v>109</v>
      </c>
      <c r="B58" s="61" t="s">
        <v>110</v>
      </c>
      <c r="C58" s="79">
        <v>24.653750000000002</v>
      </c>
      <c r="D58" s="80">
        <v>34.893749999999997</v>
      </c>
      <c r="E58" s="80">
        <v>33.831249999999997</v>
      </c>
      <c r="F58" s="81">
        <v>33.34375</v>
      </c>
      <c r="G58" s="88">
        <v>31.680624999999999</v>
      </c>
      <c r="J58" s="30"/>
    </row>
    <row r="59" spans="1:10" x14ac:dyDescent="0.25">
      <c r="A59" s="60" t="s">
        <v>43</v>
      </c>
      <c r="B59" s="61" t="s">
        <v>44</v>
      </c>
      <c r="C59" s="79">
        <v>32.137500000000003</v>
      </c>
      <c r="D59" s="80">
        <v>33.639749999999999</v>
      </c>
      <c r="E59" s="80">
        <v>30.5335</v>
      </c>
      <c r="F59" s="81">
        <v>30.521000000000001</v>
      </c>
      <c r="G59" s="88">
        <v>31.707937500000003</v>
      </c>
      <c r="J59" s="30"/>
    </row>
    <row r="60" spans="1:10" x14ac:dyDescent="0.25">
      <c r="A60" s="60" t="s">
        <v>79</v>
      </c>
      <c r="B60" s="61" t="s">
        <v>80</v>
      </c>
      <c r="C60" s="79">
        <v>79.780349999999999</v>
      </c>
      <c r="D60" s="80">
        <v>100.64035000000001</v>
      </c>
      <c r="E60" s="80">
        <v>104.39215</v>
      </c>
      <c r="F60" s="81">
        <v>102.2734</v>
      </c>
      <c r="G60" s="88">
        <v>96.771562500000002</v>
      </c>
      <c r="J60" s="30"/>
    </row>
    <row r="61" spans="1:10" x14ac:dyDescent="0.25">
      <c r="A61" s="60" t="s">
        <v>73</v>
      </c>
      <c r="B61" s="61" t="s">
        <v>74</v>
      </c>
      <c r="C61" s="79">
        <v>28.7135</v>
      </c>
      <c r="D61" s="80">
        <v>29.063499999999998</v>
      </c>
      <c r="E61" s="80">
        <v>32.063499999999998</v>
      </c>
      <c r="F61" s="81">
        <v>33.078150000000001</v>
      </c>
      <c r="G61" s="88">
        <v>30.729662499999996</v>
      </c>
      <c r="J61" s="30"/>
    </row>
    <row r="62" spans="1:10" x14ac:dyDescent="0.25">
      <c r="A62" s="60" t="s">
        <v>87</v>
      </c>
      <c r="B62" s="61" t="s">
        <v>88</v>
      </c>
      <c r="C62" s="79">
        <v>41.403849999999998</v>
      </c>
      <c r="D62" s="80">
        <v>43.8125</v>
      </c>
      <c r="E62" s="80">
        <v>43.65</v>
      </c>
      <c r="F62" s="81">
        <v>40.206249999999997</v>
      </c>
      <c r="G62" s="88">
        <v>42.268150000000006</v>
      </c>
      <c r="J62" s="30"/>
    </row>
    <row r="63" spans="1:10" x14ac:dyDescent="0.25">
      <c r="A63" s="60" t="s">
        <v>65</v>
      </c>
      <c r="B63" s="61" t="s">
        <v>66</v>
      </c>
      <c r="C63" s="79">
        <v>66.662499999999994</v>
      </c>
      <c r="D63" s="80">
        <v>61.306249999999999</v>
      </c>
      <c r="E63" s="80">
        <v>61.831249999999997</v>
      </c>
      <c r="F63" s="81">
        <v>58.793749999999996</v>
      </c>
      <c r="G63" s="88">
        <v>62.1484375</v>
      </c>
      <c r="J63" s="30"/>
    </row>
    <row r="64" spans="1:10" x14ac:dyDescent="0.25">
      <c r="A64" s="60" t="s">
        <v>309</v>
      </c>
      <c r="B64" s="61" t="s">
        <v>310</v>
      </c>
      <c r="C64" s="79">
        <v>51.686750000000004</v>
      </c>
      <c r="D64" s="80">
        <v>55.705500000000001</v>
      </c>
      <c r="E64" s="80">
        <v>54.280499999999996</v>
      </c>
      <c r="F64" s="81">
        <v>51.630499999999998</v>
      </c>
      <c r="G64" s="88">
        <v>53.325812499999998</v>
      </c>
      <c r="J64" s="30"/>
    </row>
    <row r="65" spans="1:10" x14ac:dyDescent="0.25">
      <c r="A65" s="60" t="s">
        <v>305</v>
      </c>
      <c r="B65" s="61" t="s">
        <v>306</v>
      </c>
      <c r="C65" s="79">
        <v>81.168499999999995</v>
      </c>
      <c r="D65" s="80">
        <v>80.9435</v>
      </c>
      <c r="E65" s="80">
        <v>77.429249999999996</v>
      </c>
      <c r="F65" s="81">
        <v>84.724249999999998</v>
      </c>
      <c r="G65" s="88">
        <v>81.066374999999994</v>
      </c>
      <c r="J65" s="30"/>
    </row>
    <row r="66" spans="1:10" x14ac:dyDescent="0.25">
      <c r="A66" s="60" t="s">
        <v>129</v>
      </c>
      <c r="B66" s="61" t="s">
        <v>130</v>
      </c>
      <c r="C66" s="79">
        <v>79.056250000000006</v>
      </c>
      <c r="D66" s="80">
        <v>88.025000000000006</v>
      </c>
      <c r="E66" s="80">
        <v>87.3125</v>
      </c>
      <c r="F66" s="81">
        <v>87.8</v>
      </c>
      <c r="G66" s="88">
        <v>85.548437500000006</v>
      </c>
      <c r="J66" s="30"/>
    </row>
    <row r="67" spans="1:10" x14ac:dyDescent="0.25">
      <c r="A67" s="60" t="s">
        <v>113</v>
      </c>
      <c r="B67" s="61" t="s">
        <v>114</v>
      </c>
      <c r="C67" s="79">
        <v>67.931250000000006</v>
      </c>
      <c r="D67" s="80">
        <v>69.131250000000009</v>
      </c>
      <c r="E67" s="80">
        <v>70.068749999999994</v>
      </c>
      <c r="F67" s="81">
        <v>71.193749999999994</v>
      </c>
      <c r="G67" s="88">
        <v>69.581249999999997</v>
      </c>
      <c r="J67" s="30"/>
    </row>
    <row r="68" spans="1:10" x14ac:dyDescent="0.25">
      <c r="A68" s="60" t="s">
        <v>127</v>
      </c>
      <c r="B68" s="61" t="s">
        <v>128</v>
      </c>
      <c r="C68" s="79">
        <v>85.001249999999999</v>
      </c>
      <c r="D68" s="80">
        <v>85.456249999999997</v>
      </c>
      <c r="E68" s="80">
        <v>93.218749999999986</v>
      </c>
      <c r="F68" s="81">
        <v>87.931250000000006</v>
      </c>
      <c r="G68" s="88">
        <v>87.90187499999999</v>
      </c>
      <c r="J68" s="30"/>
    </row>
    <row r="69" spans="1:10" x14ac:dyDescent="0.25">
      <c r="A69" s="60" t="s">
        <v>135</v>
      </c>
      <c r="B69" s="61" t="s">
        <v>136</v>
      </c>
      <c r="C69" s="79">
        <v>50.268749999999997</v>
      </c>
      <c r="D69" s="80">
        <v>51.787500000000001</v>
      </c>
      <c r="E69" s="80">
        <v>51.281249999999993</v>
      </c>
      <c r="F69" s="81">
        <v>55.331250000000004</v>
      </c>
      <c r="G69" s="88">
        <v>52.167187500000004</v>
      </c>
      <c r="J69" s="30"/>
    </row>
    <row r="70" spans="1:10" x14ac:dyDescent="0.25">
      <c r="A70" s="60" t="s">
        <v>155</v>
      </c>
      <c r="B70" s="61" t="s">
        <v>156</v>
      </c>
      <c r="C70" s="79">
        <v>88.5625</v>
      </c>
      <c r="D70" s="80">
        <v>86.325000000000003</v>
      </c>
      <c r="E70" s="80">
        <v>82.575000000000003</v>
      </c>
      <c r="F70" s="81">
        <v>81.736249999999998</v>
      </c>
      <c r="G70" s="88">
        <v>84.79968749999999</v>
      </c>
      <c r="J70" s="30"/>
    </row>
    <row r="71" spans="1:10" x14ac:dyDescent="0.25">
      <c r="A71" s="60" t="s">
        <v>161</v>
      </c>
      <c r="B71" s="61" t="s">
        <v>162</v>
      </c>
      <c r="C71" s="79">
        <v>118.36375</v>
      </c>
      <c r="D71" s="80">
        <v>124.35875</v>
      </c>
      <c r="E71" s="80">
        <v>124.87750000000001</v>
      </c>
      <c r="F71" s="81">
        <v>127.5025</v>
      </c>
      <c r="G71" s="88">
        <v>123.77562500000001</v>
      </c>
      <c r="J71" s="30"/>
    </row>
    <row r="72" spans="1:10" x14ac:dyDescent="0.25">
      <c r="A72" s="60" t="s">
        <v>151</v>
      </c>
      <c r="B72" s="61" t="s">
        <v>152</v>
      </c>
      <c r="C72" s="79">
        <v>60.21875</v>
      </c>
      <c r="D72" s="80">
        <v>57.33625</v>
      </c>
      <c r="E72" s="80">
        <v>56.204999999999998</v>
      </c>
      <c r="F72" s="81">
        <v>56.46125</v>
      </c>
      <c r="G72" s="88">
        <v>57.555312499999999</v>
      </c>
      <c r="J72" s="30"/>
    </row>
    <row r="73" spans="1:10" x14ac:dyDescent="0.25">
      <c r="A73" s="60" t="s">
        <v>163</v>
      </c>
      <c r="B73" s="61" t="s">
        <v>164</v>
      </c>
      <c r="C73" s="79">
        <v>66.905000000000001</v>
      </c>
      <c r="D73" s="80">
        <v>76.900000000000006</v>
      </c>
      <c r="E73" s="80">
        <v>76.03725</v>
      </c>
      <c r="F73" s="81">
        <v>80.922750000000008</v>
      </c>
      <c r="G73" s="88">
        <v>75.191249999999997</v>
      </c>
      <c r="J73" s="30"/>
    </row>
    <row r="74" spans="1:10" x14ac:dyDescent="0.25">
      <c r="A74" s="60" t="s">
        <v>283</v>
      </c>
      <c r="B74" s="61" t="s">
        <v>284</v>
      </c>
      <c r="C74" s="79">
        <v>28.048749999999998</v>
      </c>
      <c r="D74" s="80">
        <v>36.840249999999997</v>
      </c>
      <c r="E74" s="80">
        <v>38.621499999999997</v>
      </c>
      <c r="F74" s="81">
        <v>39.227499999999999</v>
      </c>
      <c r="G74" s="88">
        <v>35.6845</v>
      </c>
      <c r="J74" s="30"/>
    </row>
    <row r="75" spans="1:10" x14ac:dyDescent="0.25">
      <c r="A75" s="60" t="s">
        <v>289</v>
      </c>
      <c r="B75" s="61" t="s">
        <v>290</v>
      </c>
      <c r="C75" s="79">
        <v>118.85</v>
      </c>
      <c r="D75" s="80">
        <v>117.90625</v>
      </c>
      <c r="E75" s="80">
        <v>121.83750000000001</v>
      </c>
      <c r="F75" s="81">
        <v>115.72500000000001</v>
      </c>
      <c r="G75" s="88">
        <v>118.57968750000001</v>
      </c>
      <c r="J75" s="30"/>
    </row>
    <row r="76" spans="1:10" x14ac:dyDescent="0.25">
      <c r="A76" s="60" t="s">
        <v>107</v>
      </c>
      <c r="B76" s="61" t="s">
        <v>108</v>
      </c>
      <c r="C76" s="79">
        <v>69.811700000000002</v>
      </c>
      <c r="D76" s="80">
        <v>61.80545</v>
      </c>
      <c r="E76" s="80">
        <v>62.205449999999999</v>
      </c>
      <c r="F76" s="81">
        <v>68.036699999999996</v>
      </c>
      <c r="G76" s="88">
        <v>65.464825000000005</v>
      </c>
      <c r="J76" s="30"/>
    </row>
    <row r="77" spans="1:10" x14ac:dyDescent="0.25">
      <c r="A77" s="60" t="s">
        <v>235</v>
      </c>
      <c r="B77" s="61" t="s">
        <v>236</v>
      </c>
      <c r="C77" s="79">
        <v>19.079999999999998</v>
      </c>
      <c r="D77" s="80">
        <v>19.94875</v>
      </c>
      <c r="E77" s="80">
        <v>20.298750000000002</v>
      </c>
      <c r="F77" s="81">
        <v>20.258749999999999</v>
      </c>
      <c r="G77" s="88">
        <v>19.896562500000002</v>
      </c>
      <c r="J77" s="30"/>
    </row>
    <row r="78" spans="1:10" x14ac:dyDescent="0.25">
      <c r="A78" s="60" t="s">
        <v>233</v>
      </c>
      <c r="B78" s="61" t="s">
        <v>234</v>
      </c>
      <c r="C78" s="79">
        <v>34.768749999999997</v>
      </c>
      <c r="D78" s="80">
        <v>41.362499999999997</v>
      </c>
      <c r="E78" s="80">
        <v>40.3125</v>
      </c>
      <c r="F78" s="81">
        <v>38.381249999999994</v>
      </c>
      <c r="G78" s="88">
        <v>38.706249999999997</v>
      </c>
      <c r="J78" s="30"/>
    </row>
    <row r="79" spans="1:10" x14ac:dyDescent="0.25">
      <c r="A79" s="60" t="s">
        <v>157</v>
      </c>
      <c r="B79" s="61" t="s">
        <v>158</v>
      </c>
      <c r="C79" s="79">
        <v>109.39075</v>
      </c>
      <c r="D79" s="80">
        <v>107.672</v>
      </c>
      <c r="E79" s="80">
        <v>113.56100000000001</v>
      </c>
      <c r="F79" s="81">
        <v>117.94225</v>
      </c>
      <c r="G79" s="88">
        <v>112.14149999999999</v>
      </c>
      <c r="J79" s="30"/>
    </row>
    <row r="80" spans="1:10" x14ac:dyDescent="0.25">
      <c r="A80" s="60" t="s">
        <v>55</v>
      </c>
      <c r="B80" s="61" t="s">
        <v>56</v>
      </c>
      <c r="C80" s="79">
        <v>61.518750000000004</v>
      </c>
      <c r="D80" s="80">
        <v>61.15625</v>
      </c>
      <c r="E80" s="80">
        <v>62.787500000000001</v>
      </c>
      <c r="F80" s="81">
        <v>60.068750000000001</v>
      </c>
      <c r="G80" s="88">
        <v>61.3828125</v>
      </c>
      <c r="J80" s="30"/>
    </row>
    <row r="81" spans="1:10" x14ac:dyDescent="0.25">
      <c r="A81" s="60" t="s">
        <v>315</v>
      </c>
      <c r="B81" s="61" t="s">
        <v>316</v>
      </c>
      <c r="C81" s="79">
        <v>32.968780000000002</v>
      </c>
      <c r="D81" s="80">
        <v>27.982770000000002</v>
      </c>
      <c r="E81" s="80">
        <v>32.939019999999999</v>
      </c>
      <c r="F81" s="81">
        <v>33.672150000000002</v>
      </c>
      <c r="G81" s="88">
        <v>31.89068</v>
      </c>
      <c r="J81" s="30"/>
    </row>
    <row r="82" spans="1:10" x14ac:dyDescent="0.25">
      <c r="A82" s="60" t="s">
        <v>287</v>
      </c>
      <c r="B82" s="61" t="s">
        <v>288</v>
      </c>
      <c r="C82" s="79">
        <v>50.981749999999998</v>
      </c>
      <c r="D82" s="80">
        <v>51.200500000000005</v>
      </c>
      <c r="E82" s="80">
        <v>53.313000000000002</v>
      </c>
      <c r="F82" s="81">
        <v>51.619250000000001</v>
      </c>
      <c r="G82" s="88">
        <v>51.778624999999998</v>
      </c>
      <c r="J82" s="30"/>
    </row>
    <row r="83" spans="1:10" x14ac:dyDescent="0.25">
      <c r="A83" s="60" t="s">
        <v>179</v>
      </c>
      <c r="B83" s="61" t="s">
        <v>180</v>
      </c>
      <c r="C83" s="79">
        <v>34.237499999999997</v>
      </c>
      <c r="D83" s="80">
        <v>38.487499999999997</v>
      </c>
      <c r="E83" s="80">
        <v>43.962500000000006</v>
      </c>
      <c r="F83" s="81">
        <v>42.918750000000003</v>
      </c>
      <c r="G83" s="88">
        <v>39.901562499999997</v>
      </c>
      <c r="J83" s="30"/>
    </row>
    <row r="84" spans="1:10" x14ac:dyDescent="0.25">
      <c r="A84" s="60" t="s">
        <v>277</v>
      </c>
      <c r="B84" s="61" t="s">
        <v>278</v>
      </c>
      <c r="C84" s="79">
        <v>49.9375</v>
      </c>
      <c r="D84" s="80">
        <v>48.45</v>
      </c>
      <c r="E84" s="80">
        <v>48.25</v>
      </c>
      <c r="F84" s="81">
        <v>43.956249999999997</v>
      </c>
      <c r="G84" s="88">
        <v>47.6484375</v>
      </c>
      <c r="J84" s="30"/>
    </row>
    <row r="85" spans="1:10" x14ac:dyDescent="0.25">
      <c r="A85" s="60" t="s">
        <v>295</v>
      </c>
      <c r="B85" s="61" t="s">
        <v>296</v>
      </c>
      <c r="C85" s="79">
        <v>27.774999999999999</v>
      </c>
      <c r="D85" s="80">
        <v>30.456249999999997</v>
      </c>
      <c r="E85" s="80">
        <v>31.606249999999999</v>
      </c>
      <c r="F85" s="81">
        <v>29.3125</v>
      </c>
      <c r="G85" s="88">
        <v>29.787499999999998</v>
      </c>
      <c r="J85" s="30"/>
    </row>
    <row r="86" spans="1:10" x14ac:dyDescent="0.25">
      <c r="A86" s="60" t="s">
        <v>273</v>
      </c>
      <c r="B86" s="61" t="s">
        <v>274</v>
      </c>
      <c r="C86" s="79">
        <v>20.399999999999999</v>
      </c>
      <c r="D86" s="80">
        <v>19</v>
      </c>
      <c r="E86" s="80">
        <v>24.974999999999998</v>
      </c>
      <c r="F86" s="81">
        <v>27.975000000000001</v>
      </c>
      <c r="G86" s="88">
        <v>23.087499999999999</v>
      </c>
      <c r="J86" s="30"/>
    </row>
    <row r="87" spans="1:10" x14ac:dyDescent="0.25">
      <c r="A87" s="60" t="s">
        <v>77</v>
      </c>
      <c r="B87" s="61" t="s">
        <v>78</v>
      </c>
      <c r="C87" s="79">
        <v>15.6875</v>
      </c>
      <c r="D87" s="80">
        <v>23.34375</v>
      </c>
      <c r="E87" s="80">
        <v>23.237500000000001</v>
      </c>
      <c r="F87" s="81">
        <v>22.137499999999999</v>
      </c>
      <c r="G87" s="88">
        <v>21.1015625</v>
      </c>
      <c r="J87" s="30"/>
    </row>
    <row r="88" spans="1:10" x14ac:dyDescent="0.25">
      <c r="A88" s="60" t="s">
        <v>251</v>
      </c>
      <c r="B88" s="61" t="s">
        <v>252</v>
      </c>
      <c r="C88" s="79">
        <v>109.39384</v>
      </c>
      <c r="D88" s="80">
        <v>122.05577</v>
      </c>
      <c r="E88" s="80">
        <v>148.24776999999997</v>
      </c>
      <c r="F88" s="81">
        <v>145.71708999999998</v>
      </c>
      <c r="G88" s="88">
        <v>131.35361749999998</v>
      </c>
      <c r="J88" s="30"/>
    </row>
    <row r="89" spans="1:10" x14ac:dyDescent="0.25">
      <c r="A89" s="60" t="s">
        <v>231</v>
      </c>
      <c r="B89" s="61" t="s">
        <v>232</v>
      </c>
      <c r="C89" s="79">
        <v>24.9815</v>
      </c>
      <c r="D89" s="80">
        <v>28.787749999999999</v>
      </c>
      <c r="E89" s="80">
        <v>28.037750000000003</v>
      </c>
      <c r="F89" s="81">
        <v>25.803000000000001</v>
      </c>
      <c r="G89" s="88">
        <v>26.9025</v>
      </c>
      <c r="J89" s="30"/>
    </row>
    <row r="90" spans="1:10" x14ac:dyDescent="0.25">
      <c r="A90" s="60" t="s">
        <v>257</v>
      </c>
      <c r="B90" s="61" t="s">
        <v>258</v>
      </c>
      <c r="C90" s="79">
        <v>29</v>
      </c>
      <c r="D90" s="80">
        <v>27.8125</v>
      </c>
      <c r="E90" s="80">
        <v>32.8125</v>
      </c>
      <c r="F90" s="81">
        <v>44.8125</v>
      </c>
      <c r="G90" s="88">
        <v>33.609375</v>
      </c>
      <c r="J90" s="30"/>
    </row>
    <row r="91" spans="1:10" x14ac:dyDescent="0.25">
      <c r="A91" s="60" t="s">
        <v>299</v>
      </c>
      <c r="B91" s="61" t="s">
        <v>300</v>
      </c>
      <c r="C91" s="79">
        <v>44.798749999999998</v>
      </c>
      <c r="D91" s="80">
        <v>41.905000000000001</v>
      </c>
      <c r="E91" s="80">
        <v>42.342500000000001</v>
      </c>
      <c r="F91" s="81">
        <v>41.873750000000001</v>
      </c>
      <c r="G91" s="88">
        <v>42.73</v>
      </c>
      <c r="J91" s="30"/>
    </row>
    <row r="92" spans="1:10" x14ac:dyDescent="0.25">
      <c r="A92" s="60" t="s">
        <v>123</v>
      </c>
      <c r="B92" s="61" t="s">
        <v>124</v>
      </c>
      <c r="C92" s="79">
        <v>67.127499999999998</v>
      </c>
      <c r="D92" s="80">
        <v>69.421250000000001</v>
      </c>
      <c r="E92" s="80">
        <v>73.052500000000009</v>
      </c>
      <c r="F92" s="81">
        <v>71.3125</v>
      </c>
      <c r="G92" s="88">
        <v>70.228437499999998</v>
      </c>
      <c r="J92" s="30"/>
    </row>
    <row r="93" spans="1:10" x14ac:dyDescent="0.25">
      <c r="A93" s="60" t="s">
        <v>183</v>
      </c>
      <c r="B93" s="61" t="s">
        <v>184</v>
      </c>
      <c r="C93" s="79">
        <v>51.375</v>
      </c>
      <c r="D93" s="80">
        <v>55.825000000000003</v>
      </c>
      <c r="E93" s="80">
        <v>56.024999999999999</v>
      </c>
      <c r="F93" s="81">
        <v>61.85</v>
      </c>
      <c r="G93" s="88">
        <v>56.268749999999997</v>
      </c>
      <c r="J93" s="30"/>
    </row>
    <row r="94" spans="1:10" x14ac:dyDescent="0.25">
      <c r="A94" s="60" t="s">
        <v>271</v>
      </c>
      <c r="B94" s="61" t="s">
        <v>272</v>
      </c>
      <c r="C94" s="79">
        <v>33.406999999999996</v>
      </c>
      <c r="D94" s="80">
        <v>37.563250000000004</v>
      </c>
      <c r="E94" s="80">
        <v>36.906999999999996</v>
      </c>
      <c r="F94" s="81">
        <v>36.288249999999998</v>
      </c>
      <c r="G94" s="88">
        <v>36.041374999999995</v>
      </c>
      <c r="J94" s="30"/>
    </row>
    <row r="95" spans="1:10" x14ac:dyDescent="0.25">
      <c r="A95" s="60" t="s">
        <v>267</v>
      </c>
      <c r="B95" s="61" t="s">
        <v>268</v>
      </c>
      <c r="C95" s="79">
        <v>54.918750000000003</v>
      </c>
      <c r="D95" s="80">
        <v>55.774999999999999</v>
      </c>
      <c r="E95" s="80">
        <v>46.720000000000006</v>
      </c>
      <c r="F95" s="81">
        <v>44.370000000000005</v>
      </c>
      <c r="G95" s="88">
        <v>50.445937499999999</v>
      </c>
      <c r="J95" s="30"/>
    </row>
    <row r="96" spans="1:10" x14ac:dyDescent="0.25">
      <c r="A96" s="60" t="s">
        <v>49</v>
      </c>
      <c r="B96" s="61" t="s">
        <v>50</v>
      </c>
      <c r="C96" s="79">
        <v>42.6</v>
      </c>
      <c r="D96" s="80">
        <v>44.418750000000003</v>
      </c>
      <c r="E96" s="80">
        <v>48.006250000000001</v>
      </c>
      <c r="F96" s="81">
        <v>50.206249999999997</v>
      </c>
      <c r="G96" s="88">
        <v>46.307812499999997</v>
      </c>
      <c r="J96" s="30"/>
    </row>
    <row r="97" spans="1:10" x14ac:dyDescent="0.25">
      <c r="A97" s="60" t="s">
        <v>51</v>
      </c>
      <c r="B97" s="61" t="s">
        <v>52</v>
      </c>
      <c r="C97" s="79">
        <v>39.943750000000001</v>
      </c>
      <c r="D97" s="80">
        <v>43.412499999999994</v>
      </c>
      <c r="E97" s="80">
        <v>44.024999999999999</v>
      </c>
      <c r="F97" s="81">
        <v>53.924999999999997</v>
      </c>
      <c r="G97" s="88">
        <v>45.326562499999994</v>
      </c>
      <c r="J97" s="30"/>
    </row>
    <row r="98" spans="1:10" x14ac:dyDescent="0.25">
      <c r="A98" s="60" t="s">
        <v>119</v>
      </c>
      <c r="B98" s="61" t="s">
        <v>120</v>
      </c>
      <c r="C98" s="79">
        <v>26.549999999999997</v>
      </c>
      <c r="D98" s="80">
        <v>29.737500000000001</v>
      </c>
      <c r="E98" s="80">
        <v>28.237500000000001</v>
      </c>
      <c r="F98" s="81">
        <v>29.875</v>
      </c>
      <c r="G98" s="88">
        <v>28.599999999999998</v>
      </c>
      <c r="J98" s="30"/>
    </row>
    <row r="99" spans="1:10" x14ac:dyDescent="0.25">
      <c r="A99" s="60" t="s">
        <v>97</v>
      </c>
      <c r="B99" s="61" t="s">
        <v>98</v>
      </c>
      <c r="C99" s="79">
        <v>67.667609999999996</v>
      </c>
      <c r="D99" s="80">
        <v>73.986359999999991</v>
      </c>
      <c r="E99" s="80">
        <v>78.242609999999985</v>
      </c>
      <c r="F99" s="81">
        <v>64.3</v>
      </c>
      <c r="G99" s="88">
        <v>71.049144999999996</v>
      </c>
      <c r="J99" s="30"/>
    </row>
    <row r="100" spans="1:10" x14ac:dyDescent="0.25">
      <c r="A100" s="60" t="s">
        <v>171</v>
      </c>
      <c r="B100" s="61" t="s">
        <v>172</v>
      </c>
      <c r="C100" s="79">
        <v>0.24</v>
      </c>
      <c r="D100" s="80">
        <v>0.24</v>
      </c>
      <c r="E100" s="80">
        <v>0.24</v>
      </c>
      <c r="F100" s="81">
        <v>4</v>
      </c>
      <c r="G100" s="88">
        <v>1.18</v>
      </c>
      <c r="J100" s="30"/>
    </row>
    <row r="101" spans="1:10" x14ac:dyDescent="0.25">
      <c r="A101" s="60" t="s">
        <v>197</v>
      </c>
      <c r="B101" s="61" t="s">
        <v>198</v>
      </c>
      <c r="C101" s="79">
        <v>69.831249999999997</v>
      </c>
      <c r="D101" s="80">
        <v>73.40625</v>
      </c>
      <c r="E101" s="80">
        <v>75.943749999999994</v>
      </c>
      <c r="F101" s="81">
        <v>78.699999999999989</v>
      </c>
      <c r="G101" s="88">
        <v>74.470312500000006</v>
      </c>
      <c r="J101" s="30"/>
    </row>
    <row r="102" spans="1:10" x14ac:dyDescent="0.25">
      <c r="A102" s="60" t="s">
        <v>269</v>
      </c>
      <c r="B102" s="61" t="s">
        <v>270</v>
      </c>
      <c r="C102" s="79">
        <v>23.498860000000001</v>
      </c>
      <c r="D102" s="80">
        <v>23.54261</v>
      </c>
      <c r="E102" s="80">
        <v>26.086359999999999</v>
      </c>
      <c r="F102" s="81">
        <v>24.636360000000003</v>
      </c>
      <c r="G102" s="88">
        <v>24.441047500000003</v>
      </c>
      <c r="J102" s="30"/>
    </row>
    <row r="103" spans="1:10" x14ac:dyDescent="0.25">
      <c r="A103" s="60" t="s">
        <v>143</v>
      </c>
      <c r="B103" s="61" t="s">
        <v>144</v>
      </c>
      <c r="C103" s="79">
        <v>137.07375000000002</v>
      </c>
      <c r="D103" s="80">
        <v>138.08500000000001</v>
      </c>
      <c r="E103" s="80">
        <v>136.19125</v>
      </c>
      <c r="F103" s="81">
        <v>138.17250000000001</v>
      </c>
      <c r="G103" s="88">
        <v>137.38062500000001</v>
      </c>
      <c r="J103" s="30"/>
    </row>
    <row r="104" spans="1:10" x14ac:dyDescent="0.25">
      <c r="A104" s="60" t="s">
        <v>81</v>
      </c>
      <c r="B104" s="61" t="s">
        <v>82</v>
      </c>
      <c r="C104" s="79">
        <v>45.155249999999995</v>
      </c>
      <c r="D104" s="80">
        <v>47.725000000000009</v>
      </c>
      <c r="E104" s="80">
        <v>46.893750000000004</v>
      </c>
      <c r="F104" s="81">
        <v>48.193750000000001</v>
      </c>
      <c r="G104" s="88">
        <v>46.991937499999999</v>
      </c>
      <c r="J104" s="30"/>
    </row>
    <row r="105" spans="1:10" x14ac:dyDescent="0.25">
      <c r="A105" s="60" t="s">
        <v>169</v>
      </c>
      <c r="B105" s="61" t="s">
        <v>170</v>
      </c>
      <c r="C105" s="79">
        <v>41.006250000000001</v>
      </c>
      <c r="D105" s="80">
        <v>50.067499999999995</v>
      </c>
      <c r="E105" s="80">
        <v>46.567499999999995</v>
      </c>
      <c r="F105" s="81">
        <v>45.998749999999994</v>
      </c>
      <c r="G105" s="88">
        <v>45.91</v>
      </c>
      <c r="J105" s="30"/>
    </row>
    <row r="106" spans="1:10" x14ac:dyDescent="0.25">
      <c r="A106" s="60" t="s">
        <v>213</v>
      </c>
      <c r="B106" s="61" t="s">
        <v>214</v>
      </c>
      <c r="C106" s="79">
        <v>29.981249999999999</v>
      </c>
      <c r="D106" s="80">
        <v>37.024999999999999</v>
      </c>
      <c r="E106" s="80">
        <v>35.112499999999997</v>
      </c>
      <c r="F106" s="81">
        <v>33.4</v>
      </c>
      <c r="G106" s="88">
        <v>33.879687499999996</v>
      </c>
      <c r="J106" s="30"/>
    </row>
    <row r="107" spans="1:10" x14ac:dyDescent="0.25">
      <c r="A107" s="60" t="s">
        <v>103</v>
      </c>
      <c r="B107" s="61" t="s">
        <v>104</v>
      </c>
      <c r="C107" s="79">
        <v>101.3875</v>
      </c>
      <c r="D107" s="80">
        <v>106.71249999999999</v>
      </c>
      <c r="E107" s="80">
        <v>103.25624999999999</v>
      </c>
      <c r="F107" s="81">
        <v>99.018750000000011</v>
      </c>
      <c r="G107" s="88">
        <v>102.59375</v>
      </c>
      <c r="J107" s="30"/>
    </row>
    <row r="108" spans="1:10" x14ac:dyDescent="0.25">
      <c r="A108" s="60" t="s">
        <v>265</v>
      </c>
      <c r="B108" s="61" t="s">
        <v>266</v>
      </c>
      <c r="C108" s="79">
        <v>38.443750000000001</v>
      </c>
      <c r="D108" s="80">
        <v>45.05</v>
      </c>
      <c r="E108" s="80">
        <v>41.05</v>
      </c>
      <c r="F108" s="81">
        <v>43.893749999999997</v>
      </c>
      <c r="G108" s="88">
        <v>42.109375</v>
      </c>
      <c r="J108" s="30"/>
    </row>
    <row r="109" spans="1:10" x14ac:dyDescent="0.25">
      <c r="A109" s="60" t="s">
        <v>285</v>
      </c>
      <c r="B109" s="61" t="s">
        <v>286</v>
      </c>
      <c r="C109" s="79">
        <v>126.71875</v>
      </c>
      <c r="D109" s="80">
        <v>122.19375000000001</v>
      </c>
      <c r="E109" s="80">
        <v>119.00625000000001</v>
      </c>
      <c r="F109" s="81">
        <v>121.72499999999999</v>
      </c>
      <c r="G109" s="88">
        <v>122.41093750000002</v>
      </c>
      <c r="J109" s="30"/>
    </row>
    <row r="110" spans="1:10" x14ac:dyDescent="0.25">
      <c r="A110" s="60" t="s">
        <v>177</v>
      </c>
      <c r="B110" s="61" t="s">
        <v>178</v>
      </c>
      <c r="C110" s="79">
        <v>57.941000000000003</v>
      </c>
      <c r="D110" s="80">
        <v>65.283500000000004</v>
      </c>
      <c r="E110" s="80">
        <v>63.898499999999999</v>
      </c>
      <c r="F110" s="81">
        <v>65.975250000000003</v>
      </c>
      <c r="G110" s="88">
        <v>63.274562500000002</v>
      </c>
      <c r="J110" s="30"/>
    </row>
    <row r="111" spans="1:10" x14ac:dyDescent="0.25">
      <c r="A111" s="60" t="s">
        <v>215</v>
      </c>
      <c r="B111" s="61" t="s">
        <v>216</v>
      </c>
      <c r="C111" s="79">
        <v>39.422499999999999</v>
      </c>
      <c r="D111" s="80">
        <v>50.828749999999999</v>
      </c>
      <c r="E111" s="80">
        <v>51.741250000000001</v>
      </c>
      <c r="F111" s="81">
        <v>51.760000000000005</v>
      </c>
      <c r="G111" s="88">
        <v>48.438124999999999</v>
      </c>
      <c r="J111" s="30"/>
    </row>
    <row r="112" spans="1:10" x14ac:dyDescent="0.25">
      <c r="A112" s="60" t="s">
        <v>297</v>
      </c>
      <c r="B112" s="61" t="s">
        <v>298</v>
      </c>
      <c r="C112" s="79">
        <v>51.197949999999999</v>
      </c>
      <c r="D112" s="80">
        <v>53.247950000000003</v>
      </c>
      <c r="E112" s="80">
        <v>50.247950000000003</v>
      </c>
      <c r="F112" s="81">
        <v>41.98545</v>
      </c>
      <c r="G112" s="88">
        <v>49.169825000000003</v>
      </c>
      <c r="J112" s="30"/>
    </row>
    <row r="113" spans="1:10" x14ac:dyDescent="0.25">
      <c r="A113" s="60" t="s">
        <v>219</v>
      </c>
      <c r="B113" s="61" t="s">
        <v>220</v>
      </c>
      <c r="C113" s="79">
        <v>64.787499999999994</v>
      </c>
      <c r="D113" s="80">
        <v>64.325000000000003</v>
      </c>
      <c r="E113" s="80">
        <v>65.737499999999997</v>
      </c>
      <c r="F113" s="81">
        <v>64.303750000000008</v>
      </c>
      <c r="G113" s="88">
        <v>64.788437500000015</v>
      </c>
      <c r="J113" s="30"/>
    </row>
    <row r="114" spans="1:10" x14ac:dyDescent="0.25">
      <c r="A114" s="60" t="s">
        <v>59</v>
      </c>
      <c r="B114" s="61" t="s">
        <v>60</v>
      </c>
      <c r="C114" s="79">
        <v>66.862499999999997</v>
      </c>
      <c r="D114" s="80">
        <v>73.493749999999991</v>
      </c>
      <c r="E114" s="80">
        <v>73.174999999999997</v>
      </c>
      <c r="F114" s="81">
        <v>76.09375</v>
      </c>
      <c r="G114" s="88">
        <v>72.40625</v>
      </c>
      <c r="J114" s="30"/>
    </row>
    <row r="115" spans="1:10" x14ac:dyDescent="0.25">
      <c r="A115" s="60" t="s">
        <v>133</v>
      </c>
      <c r="B115" s="61" t="s">
        <v>134</v>
      </c>
      <c r="C115" s="79">
        <v>71.05</v>
      </c>
      <c r="D115" s="80">
        <v>72.006249999999994</v>
      </c>
      <c r="E115" s="80">
        <v>72.3125</v>
      </c>
      <c r="F115" s="81">
        <v>67.706249999999997</v>
      </c>
      <c r="G115" s="88">
        <v>70.768749999999997</v>
      </c>
      <c r="J115" s="30"/>
    </row>
    <row r="116" spans="1:10" x14ac:dyDescent="0.25">
      <c r="A116" s="60" t="s">
        <v>181</v>
      </c>
      <c r="B116" s="61" t="s">
        <v>182</v>
      </c>
      <c r="C116" s="79">
        <v>45.825000000000003</v>
      </c>
      <c r="D116" s="80">
        <v>45.375</v>
      </c>
      <c r="E116" s="80">
        <v>44.575000000000003</v>
      </c>
      <c r="F116" s="81">
        <v>47</v>
      </c>
      <c r="G116" s="88">
        <v>45.693750000000001</v>
      </c>
      <c r="J116" s="30"/>
    </row>
    <row r="117" spans="1:10" x14ac:dyDescent="0.25">
      <c r="A117" s="60" t="s">
        <v>207</v>
      </c>
      <c r="B117" s="61" t="s">
        <v>208</v>
      </c>
      <c r="C117" s="79">
        <v>38.643749999999997</v>
      </c>
      <c r="D117" s="80">
        <v>39.087499999999999</v>
      </c>
      <c r="E117" s="80">
        <v>36.506250000000001</v>
      </c>
      <c r="F117" s="81">
        <v>38.443750000000001</v>
      </c>
      <c r="G117" s="88">
        <v>38.170312499999994</v>
      </c>
      <c r="J117" s="30"/>
    </row>
    <row r="118" spans="1:10" x14ac:dyDescent="0.25">
      <c r="A118" s="60" t="s">
        <v>221</v>
      </c>
      <c r="B118" s="61" t="s">
        <v>222</v>
      </c>
      <c r="C118" s="79">
        <v>39.6875</v>
      </c>
      <c r="D118" s="80">
        <v>37.693750000000001</v>
      </c>
      <c r="E118" s="80">
        <v>35.918750000000003</v>
      </c>
      <c r="F118" s="81">
        <v>34.96875</v>
      </c>
      <c r="G118" s="88">
        <v>37.067187500000003</v>
      </c>
      <c r="J118" s="30"/>
    </row>
    <row r="119" spans="1:10" x14ac:dyDescent="0.25">
      <c r="A119" s="60" t="s">
        <v>259</v>
      </c>
      <c r="B119" s="61" t="s">
        <v>260</v>
      </c>
      <c r="C119" s="79">
        <v>39.524999999999999</v>
      </c>
      <c r="D119" s="80">
        <v>43.243749999999999</v>
      </c>
      <c r="E119" s="80">
        <v>47.243749999999999</v>
      </c>
      <c r="F119" s="81">
        <v>46.424999999999997</v>
      </c>
      <c r="G119" s="88">
        <v>44.109375</v>
      </c>
      <c r="J119" s="30"/>
    </row>
    <row r="120" spans="1:10" x14ac:dyDescent="0.25">
      <c r="A120" s="60" t="s">
        <v>301</v>
      </c>
      <c r="B120" s="61" t="s">
        <v>302</v>
      </c>
      <c r="C120" s="79">
        <v>40.062950000000001</v>
      </c>
      <c r="D120" s="80">
        <v>42.624499999999998</v>
      </c>
      <c r="E120" s="80">
        <v>48.161700000000003</v>
      </c>
      <c r="F120" s="81">
        <v>45.403350000000003</v>
      </c>
      <c r="G120" s="88">
        <v>44.063124999999999</v>
      </c>
      <c r="J120" s="30"/>
    </row>
    <row r="121" spans="1:10" x14ac:dyDescent="0.25">
      <c r="A121" s="60" t="s">
        <v>153</v>
      </c>
      <c r="B121" s="61" t="s">
        <v>154</v>
      </c>
      <c r="C121" s="79">
        <v>79.42</v>
      </c>
      <c r="D121" s="80">
        <v>76.85333</v>
      </c>
      <c r="E121" s="80">
        <v>74.52000000000001</v>
      </c>
      <c r="F121" s="81">
        <v>72.320000000000007</v>
      </c>
      <c r="G121" s="88">
        <v>75.778332500000005</v>
      </c>
      <c r="J121" s="30"/>
    </row>
    <row r="122" spans="1:10" x14ac:dyDescent="0.25">
      <c r="A122" s="60" t="s">
        <v>185</v>
      </c>
      <c r="B122" s="61" t="s">
        <v>186</v>
      </c>
      <c r="C122" s="79">
        <v>74.918750000000003</v>
      </c>
      <c r="D122" s="80">
        <v>75.599999999999994</v>
      </c>
      <c r="E122" s="80">
        <v>78.012500000000003</v>
      </c>
      <c r="F122" s="81">
        <v>78.15625</v>
      </c>
      <c r="G122" s="88">
        <v>76.671875</v>
      </c>
      <c r="J122" s="30"/>
    </row>
    <row r="123" spans="1:10" x14ac:dyDescent="0.25">
      <c r="A123" s="60" t="s">
        <v>217</v>
      </c>
      <c r="B123" s="61" t="s">
        <v>218</v>
      </c>
      <c r="C123" s="79">
        <v>27.925000000000001</v>
      </c>
      <c r="D123" s="80">
        <v>29.931249999999999</v>
      </c>
      <c r="E123" s="80">
        <v>28.731249999999999</v>
      </c>
      <c r="F123" s="81">
        <v>27.931249999999999</v>
      </c>
      <c r="G123" s="88">
        <v>28.629687500000003</v>
      </c>
      <c r="J123" s="30"/>
    </row>
    <row r="124" spans="1:10" x14ac:dyDescent="0.25">
      <c r="A124" s="60" t="s">
        <v>101</v>
      </c>
      <c r="B124" s="61" t="s">
        <v>102</v>
      </c>
      <c r="C124" s="79">
        <v>38.34375</v>
      </c>
      <c r="D124" s="80">
        <v>50.28125</v>
      </c>
      <c r="E124" s="80">
        <v>52.368750000000006</v>
      </c>
      <c r="F124" s="81">
        <v>60.118749999999999</v>
      </c>
      <c r="G124" s="88">
        <v>50.278125000000003</v>
      </c>
      <c r="J124" s="30"/>
    </row>
    <row r="125" spans="1:10" x14ac:dyDescent="0.25">
      <c r="A125" s="60" t="s">
        <v>57</v>
      </c>
      <c r="B125" s="61" t="s">
        <v>58</v>
      </c>
      <c r="C125" s="79">
        <v>110.55680000000001</v>
      </c>
      <c r="D125" s="80">
        <v>117.69845000000001</v>
      </c>
      <c r="E125" s="80">
        <v>124.0839</v>
      </c>
      <c r="F125" s="81">
        <v>124.0539</v>
      </c>
      <c r="G125" s="88">
        <v>119.0982625</v>
      </c>
      <c r="J125" s="30"/>
    </row>
    <row r="126" spans="1:10" x14ac:dyDescent="0.25">
      <c r="A126" s="60" t="s">
        <v>61</v>
      </c>
      <c r="B126" s="61" t="s">
        <v>62</v>
      </c>
      <c r="C126" s="79">
        <v>100.52791999999999</v>
      </c>
      <c r="D126" s="80">
        <v>107.83584</v>
      </c>
      <c r="E126" s="80">
        <v>117.71084</v>
      </c>
      <c r="F126" s="81">
        <v>114.47959</v>
      </c>
      <c r="G126" s="88">
        <v>110.13854750000002</v>
      </c>
      <c r="J126" s="30"/>
    </row>
    <row r="127" spans="1:10" x14ac:dyDescent="0.25">
      <c r="A127" s="60" t="s">
        <v>195</v>
      </c>
      <c r="B127" s="61" t="s">
        <v>196</v>
      </c>
      <c r="C127" s="79">
        <v>92.666249999999991</v>
      </c>
      <c r="D127" s="80">
        <v>92.96</v>
      </c>
      <c r="E127" s="80">
        <v>93.147500000000008</v>
      </c>
      <c r="F127" s="81">
        <v>93.641249999999999</v>
      </c>
      <c r="G127" s="88">
        <v>93.103749999999991</v>
      </c>
      <c r="J127" s="30"/>
    </row>
    <row r="128" spans="1:10" x14ac:dyDescent="0.25">
      <c r="A128" s="60" t="s">
        <v>85</v>
      </c>
      <c r="B128" s="61" t="s">
        <v>86</v>
      </c>
      <c r="C128" s="79">
        <v>49.043750000000003</v>
      </c>
      <c r="D128" s="80">
        <v>49.147500000000001</v>
      </c>
      <c r="E128" s="80">
        <v>51.412500000000001</v>
      </c>
      <c r="F128" s="81">
        <v>51.337499999999999</v>
      </c>
      <c r="G128" s="88">
        <v>50.235312499999999</v>
      </c>
      <c r="J128" s="30"/>
    </row>
    <row r="129" spans="1:10" x14ac:dyDescent="0.25">
      <c r="A129" s="60" t="s">
        <v>67</v>
      </c>
      <c r="B129" s="61" t="s">
        <v>68</v>
      </c>
      <c r="C129" s="79">
        <v>45.048249999999996</v>
      </c>
      <c r="D129" s="80">
        <v>46.942250000000001</v>
      </c>
      <c r="E129" s="80">
        <v>45.396000000000001</v>
      </c>
      <c r="F129" s="81">
        <v>47.087249999999997</v>
      </c>
      <c r="G129" s="88">
        <v>46.118437499999999</v>
      </c>
      <c r="J129" s="30"/>
    </row>
    <row r="130" spans="1:10" x14ac:dyDescent="0.25">
      <c r="A130" s="60" t="s">
        <v>255</v>
      </c>
      <c r="B130" s="61" t="s">
        <v>256</v>
      </c>
      <c r="C130" s="79">
        <v>36.200000000000003</v>
      </c>
      <c r="D130" s="80">
        <v>38.35</v>
      </c>
      <c r="E130" s="80">
        <v>41.174999999999997</v>
      </c>
      <c r="F130" s="81">
        <v>43.88</v>
      </c>
      <c r="G130" s="88">
        <v>39.901250000000005</v>
      </c>
      <c r="J130" s="30"/>
    </row>
    <row r="131" spans="1:10" x14ac:dyDescent="0.25">
      <c r="A131" s="60" t="s">
        <v>293</v>
      </c>
      <c r="B131" s="61" t="s">
        <v>294</v>
      </c>
      <c r="C131" s="79">
        <v>36.192320000000002</v>
      </c>
      <c r="D131" s="80">
        <v>45.736070000000005</v>
      </c>
      <c r="E131" s="80">
        <v>45.736070000000005</v>
      </c>
      <c r="F131" s="81">
        <v>43.336069999999999</v>
      </c>
      <c r="G131" s="88">
        <v>42.750132500000007</v>
      </c>
      <c r="J131" s="30"/>
    </row>
    <row r="132" spans="1:10" x14ac:dyDescent="0.25">
      <c r="A132" s="60" t="s">
        <v>261</v>
      </c>
      <c r="B132" s="61" t="s">
        <v>262</v>
      </c>
      <c r="C132" s="79">
        <v>25.502600000000001</v>
      </c>
      <c r="D132" s="80">
        <v>27.870899999999999</v>
      </c>
      <c r="E132" s="80">
        <v>28.226700000000001</v>
      </c>
      <c r="F132" s="81">
        <v>28.226700000000001</v>
      </c>
      <c r="G132" s="88">
        <v>27.456724999999999</v>
      </c>
      <c r="J132" s="30"/>
    </row>
    <row r="133" spans="1:10" x14ac:dyDescent="0.25">
      <c r="A133" s="60" t="s">
        <v>95</v>
      </c>
      <c r="B133" s="61" t="s">
        <v>96</v>
      </c>
      <c r="C133" s="79">
        <v>44.117999999999995</v>
      </c>
      <c r="D133" s="80">
        <v>51.624250000000004</v>
      </c>
      <c r="E133" s="80">
        <v>52.036749999999998</v>
      </c>
      <c r="F133" s="81">
        <v>52.636749999999999</v>
      </c>
      <c r="G133" s="88">
        <v>50.103937500000001</v>
      </c>
      <c r="J133" s="30"/>
    </row>
    <row r="134" spans="1:10" x14ac:dyDescent="0.25">
      <c r="A134" s="60" t="s">
        <v>53</v>
      </c>
      <c r="B134" s="61" t="s">
        <v>54</v>
      </c>
      <c r="C134" s="79">
        <v>37.431249999999999</v>
      </c>
      <c r="D134" s="80">
        <v>38.606250000000003</v>
      </c>
      <c r="E134" s="80">
        <v>33.581249999999997</v>
      </c>
      <c r="F134" s="81">
        <v>34.787500000000001</v>
      </c>
      <c r="G134" s="88">
        <v>36.1015625</v>
      </c>
      <c r="J134" s="30"/>
    </row>
    <row r="135" spans="1:10" x14ac:dyDescent="0.25">
      <c r="A135" s="60" t="s">
        <v>187</v>
      </c>
      <c r="B135" s="61" t="s">
        <v>188</v>
      </c>
      <c r="C135" s="79">
        <v>75.774450000000002</v>
      </c>
      <c r="D135" s="80">
        <v>80.200199999999995</v>
      </c>
      <c r="E135" s="80">
        <v>73.350200000000001</v>
      </c>
      <c r="F135" s="81">
        <v>78.890450000000001</v>
      </c>
      <c r="G135" s="88">
        <v>77.053825000000003</v>
      </c>
      <c r="J135" s="30"/>
    </row>
    <row r="136" spans="1:10" x14ac:dyDescent="0.25">
      <c r="A136" s="60" t="s">
        <v>105</v>
      </c>
      <c r="B136" s="61" t="s">
        <v>106</v>
      </c>
      <c r="C136" s="79"/>
      <c r="D136" s="80">
        <v>80.997399999999999</v>
      </c>
      <c r="E136" s="80">
        <v>46.904949999999999</v>
      </c>
      <c r="F136" s="81">
        <v>45.179949999999998</v>
      </c>
      <c r="G136" s="88">
        <v>43.270575000000001</v>
      </c>
      <c r="J136" s="30"/>
    </row>
    <row r="137" spans="1:10" x14ac:dyDescent="0.25">
      <c r="A137" s="60" t="s">
        <v>279</v>
      </c>
      <c r="B137" s="61" t="s">
        <v>280</v>
      </c>
      <c r="C137" s="79">
        <v>56.111249999999998</v>
      </c>
      <c r="D137" s="80">
        <v>59.706249999999997</v>
      </c>
      <c r="E137" s="80">
        <v>60.262500000000003</v>
      </c>
      <c r="F137" s="81">
        <v>59.375</v>
      </c>
      <c r="G137" s="88">
        <v>58.863749999999996</v>
      </c>
      <c r="J137" s="30"/>
    </row>
    <row r="138" spans="1:10" x14ac:dyDescent="0.25">
      <c r="A138" s="60" t="s">
        <v>229</v>
      </c>
      <c r="B138" s="61" t="s">
        <v>230</v>
      </c>
      <c r="C138" s="79">
        <v>38.912500000000001</v>
      </c>
      <c r="D138" s="80">
        <v>50.293750000000003</v>
      </c>
      <c r="E138" s="80">
        <v>44.931249999999999</v>
      </c>
      <c r="F138" s="81">
        <v>50.4</v>
      </c>
      <c r="G138" s="88">
        <v>46.134375000000006</v>
      </c>
      <c r="J138" s="30"/>
    </row>
    <row r="139" spans="1:10" x14ac:dyDescent="0.25">
      <c r="A139" s="60" t="s">
        <v>239</v>
      </c>
      <c r="B139" s="61" t="s">
        <v>240</v>
      </c>
      <c r="C139" s="79">
        <v>53.545000000000002</v>
      </c>
      <c r="D139" s="80">
        <v>44.8825</v>
      </c>
      <c r="E139" s="80">
        <v>53.776250000000005</v>
      </c>
      <c r="F139" s="81">
        <v>54.238000000000007</v>
      </c>
      <c r="G139" s="88">
        <v>51.610437500000003</v>
      </c>
      <c r="J139" s="30"/>
    </row>
    <row r="140" spans="1:10" x14ac:dyDescent="0.25">
      <c r="A140" s="60" t="s">
        <v>211</v>
      </c>
      <c r="B140" s="61" t="s">
        <v>212</v>
      </c>
      <c r="C140" s="79">
        <v>81.2</v>
      </c>
      <c r="D140" s="80">
        <v>83.806250000000006</v>
      </c>
      <c r="E140" s="80">
        <v>89.743750000000006</v>
      </c>
      <c r="F140" s="81">
        <v>90.3125</v>
      </c>
      <c r="G140" s="88">
        <v>86.265625</v>
      </c>
      <c r="J140" s="30"/>
    </row>
    <row r="141" spans="1:10" x14ac:dyDescent="0.25">
      <c r="A141" s="60" t="s">
        <v>131</v>
      </c>
      <c r="B141" s="61" t="s">
        <v>132</v>
      </c>
      <c r="C141" s="79">
        <v>28.606250000000003</v>
      </c>
      <c r="D141" s="80">
        <v>28.950000000000003</v>
      </c>
      <c r="E141" s="80">
        <v>26.631250000000001</v>
      </c>
      <c r="F141" s="81">
        <v>26.643750000000001</v>
      </c>
      <c r="G141" s="88">
        <v>27.707812499999999</v>
      </c>
      <c r="J141" s="30"/>
    </row>
    <row r="142" spans="1:10" x14ac:dyDescent="0.25">
      <c r="A142" s="60" t="s">
        <v>237</v>
      </c>
      <c r="B142" s="61" t="s">
        <v>238</v>
      </c>
      <c r="C142" s="79">
        <v>85.773750000000007</v>
      </c>
      <c r="D142" s="80">
        <v>84.811250000000001</v>
      </c>
      <c r="E142" s="80">
        <v>103.4725</v>
      </c>
      <c r="F142" s="81">
        <v>108.71</v>
      </c>
      <c r="G142" s="88">
        <v>95.691874999999996</v>
      </c>
      <c r="J142" s="30"/>
    </row>
    <row r="143" spans="1:10" x14ac:dyDescent="0.25">
      <c r="A143" s="60" t="s">
        <v>281</v>
      </c>
      <c r="B143" s="61" t="s">
        <v>282</v>
      </c>
      <c r="C143" s="79">
        <v>82.628999999999991</v>
      </c>
      <c r="D143" s="80">
        <v>88.579000000000008</v>
      </c>
      <c r="E143" s="80">
        <v>87.161999999999992</v>
      </c>
      <c r="F143" s="81">
        <v>86.899999999999991</v>
      </c>
      <c r="G143" s="88">
        <v>86.317499999999995</v>
      </c>
      <c r="J143" s="30"/>
    </row>
    <row r="144" spans="1:10" x14ac:dyDescent="0.25">
      <c r="A144" s="60" t="s">
        <v>147</v>
      </c>
      <c r="B144" s="61" t="s">
        <v>148</v>
      </c>
      <c r="C144" s="79">
        <v>94.337500000000006</v>
      </c>
      <c r="D144" s="80">
        <v>104.85625</v>
      </c>
      <c r="E144" s="80">
        <v>116.61875000000001</v>
      </c>
      <c r="F144" s="81">
        <v>113.76875000000001</v>
      </c>
      <c r="G144" s="88">
        <v>107.3953125</v>
      </c>
      <c r="J144" s="30"/>
    </row>
    <row r="145" spans="1:10" ht="13" thickBot="1" x14ac:dyDescent="0.3">
      <c r="A145" s="62" t="s">
        <v>209</v>
      </c>
      <c r="B145" s="63" t="s">
        <v>210</v>
      </c>
      <c r="C145" s="82">
        <v>104.10341</v>
      </c>
      <c r="D145" s="83">
        <v>121.36590999999999</v>
      </c>
      <c r="E145" s="83">
        <v>119.81841</v>
      </c>
      <c r="F145" s="84">
        <v>117.83874999999999</v>
      </c>
      <c r="G145" s="89">
        <v>115.78162</v>
      </c>
      <c r="J145" s="30"/>
    </row>
    <row r="146" spans="1:10" ht="15.5" x14ac:dyDescent="0.35">
      <c r="A146" s="30"/>
      <c r="C146" s="31"/>
      <c r="D146" s="31"/>
      <c r="E146" s="31"/>
      <c r="F146" s="31"/>
      <c r="J146" s="30"/>
    </row>
    <row r="147" spans="1:10" ht="15.5" x14ac:dyDescent="0.35">
      <c r="A147" s="30"/>
      <c r="C147" s="31"/>
      <c r="D147" s="31"/>
      <c r="E147" s="31"/>
      <c r="F147" s="31"/>
      <c r="J147" s="30"/>
    </row>
    <row r="148" spans="1:10" ht="15.5" x14ac:dyDescent="0.35">
      <c r="A148" s="30"/>
      <c r="C148" s="31"/>
      <c r="D148" s="31"/>
      <c r="E148" s="31"/>
      <c r="F148" s="31"/>
      <c r="J148" s="30"/>
    </row>
    <row r="149" spans="1:10" ht="15.5" x14ac:dyDescent="0.35">
      <c r="A149" s="30"/>
      <c r="C149" s="31"/>
      <c r="D149" s="31"/>
      <c r="E149" s="31"/>
      <c r="F149" s="31"/>
      <c r="J149" s="30"/>
    </row>
    <row r="150" spans="1:10" ht="15.5" x14ac:dyDescent="0.35">
      <c r="A150" s="30"/>
      <c r="C150" s="31"/>
      <c r="D150" s="31"/>
      <c r="E150" s="31"/>
      <c r="F150" s="31"/>
    </row>
    <row r="151" spans="1:10" ht="15.5" x14ac:dyDescent="0.35">
      <c r="A151" s="30"/>
      <c r="C151" s="31"/>
      <c r="D151" s="31"/>
      <c r="E151" s="31"/>
      <c r="F151" s="31"/>
    </row>
    <row r="152" spans="1:10" ht="12.75" customHeight="1" x14ac:dyDescent="0.35">
      <c r="A152" s="30"/>
      <c r="C152" s="31"/>
      <c r="D152" s="31"/>
      <c r="E152" s="31"/>
      <c r="F152" s="31"/>
    </row>
    <row r="153" spans="1:10" ht="12.75" customHeight="1" x14ac:dyDescent="0.25">
      <c r="A153" s="30"/>
      <c r="B153" s="30"/>
      <c r="C153" s="30"/>
      <c r="D153" s="30"/>
      <c r="E153" s="30"/>
      <c r="F153" s="30"/>
    </row>
  </sheetData>
  <sortState xmlns:xlrd2="http://schemas.microsoft.com/office/spreadsheetml/2017/richdata2" ref="A23:G149">
    <sortCondition ref="B23:B149"/>
  </sortState>
  <mergeCells count="12">
    <mergeCell ref="A1:H1"/>
    <mergeCell ref="A2:F2"/>
    <mergeCell ref="A4:F4"/>
    <mergeCell ref="A19:A20"/>
    <mergeCell ref="B19:B20"/>
    <mergeCell ref="C19:E19"/>
    <mergeCell ref="G19:G20"/>
    <mergeCell ref="A13:F13"/>
    <mergeCell ref="A14:F14"/>
    <mergeCell ref="A3:G3"/>
    <mergeCell ref="A16:F16"/>
    <mergeCell ref="A17:G17"/>
  </mergeCells>
  <hyperlinks>
    <hyperlink ref="A5" r:id="rId1" display="https://digital.nhs.uk/data-and-information/publications/statistical/nhs-workforce-statistics" xr:uid="{2C263B1B-5E4A-4AD2-859F-0001DE84BFBD}"/>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41BBD-99DC-4B44-9BBF-3E4CC4DC70FB}">
  <dimension ref="A1:K172"/>
  <sheetViews>
    <sheetView showGridLines="0" zoomScaleNormal="100" workbookViewId="0">
      <selection activeCell="A2" sqref="A2:F2"/>
    </sheetView>
  </sheetViews>
  <sheetFormatPr defaultColWidth="7.69140625" defaultRowHeight="12.5" x14ac:dyDescent="0.25"/>
  <cols>
    <col min="1" max="1" width="5.84375" style="1" customWidth="1"/>
    <col min="2" max="2" width="54.07421875" style="1" customWidth="1"/>
    <col min="3" max="5" width="10.69140625" style="1" customWidth="1"/>
    <col min="6" max="6" width="11.84375" style="1" customWidth="1"/>
    <col min="7" max="7" width="9.84375" style="1" customWidth="1"/>
    <col min="8" max="16384" width="7.69140625" style="1"/>
  </cols>
  <sheetData>
    <row r="1" spans="1:8" ht="105" customHeight="1" x14ac:dyDescent="0.25">
      <c r="A1" s="119"/>
      <c r="B1" s="119"/>
      <c r="C1" s="119"/>
      <c r="D1" s="119"/>
      <c r="E1" s="119"/>
      <c r="F1" s="119"/>
      <c r="G1" s="119"/>
      <c r="H1" s="119"/>
    </row>
    <row r="2" spans="1:8" ht="29.25" customHeight="1" x14ac:dyDescent="0.25">
      <c r="A2" s="123" t="s">
        <v>346</v>
      </c>
      <c r="B2" s="123"/>
      <c r="C2" s="123"/>
      <c r="D2" s="123"/>
      <c r="E2" s="123"/>
      <c r="F2" s="123"/>
    </row>
    <row r="3" spans="1:8" s="72" customFormat="1" ht="14.5" x14ac:dyDescent="0.35">
      <c r="A3" s="134" t="s">
        <v>351</v>
      </c>
      <c r="B3" s="134"/>
      <c r="C3" s="134"/>
      <c r="D3" s="134"/>
      <c r="E3" s="134"/>
      <c r="F3" s="134"/>
      <c r="G3" s="134"/>
    </row>
    <row r="4" spans="1:8" ht="13.5" customHeight="1" x14ac:dyDescent="0.25">
      <c r="A4" s="124" t="s">
        <v>11</v>
      </c>
      <c r="B4" s="124"/>
      <c r="C4" s="124"/>
      <c r="D4" s="124"/>
      <c r="E4" s="124"/>
      <c r="F4" s="124"/>
    </row>
    <row r="5" spans="1:8" ht="13.5" customHeight="1" x14ac:dyDescent="0.25">
      <c r="A5" s="14" t="s">
        <v>12</v>
      </c>
      <c r="B5" s="15"/>
      <c r="C5" s="15"/>
      <c r="D5" s="15"/>
      <c r="E5" s="15"/>
      <c r="F5" s="15"/>
    </row>
    <row r="6" spans="1:8" ht="13.5" customHeight="1" x14ac:dyDescent="0.25">
      <c r="A6" s="16" t="s">
        <v>13</v>
      </c>
      <c r="B6" s="15"/>
      <c r="C6" s="15"/>
      <c r="D6" s="15"/>
      <c r="E6" s="15"/>
      <c r="F6" s="15"/>
    </row>
    <row r="7" spans="1:8" ht="13.5" customHeight="1" x14ac:dyDescent="0.25">
      <c r="A7" s="16"/>
      <c r="B7" s="15"/>
      <c r="C7" s="15"/>
      <c r="D7" s="15"/>
      <c r="E7" s="15"/>
      <c r="F7" s="15"/>
    </row>
    <row r="8" spans="1:8" ht="13.5" customHeight="1" x14ac:dyDescent="0.3">
      <c r="A8" s="96" t="s">
        <v>325</v>
      </c>
      <c r="B8" s="15"/>
      <c r="C8" s="15"/>
      <c r="D8" s="15"/>
      <c r="E8" s="15"/>
      <c r="F8" s="15"/>
    </row>
    <row r="9" spans="1:8" ht="13.5" customHeight="1" x14ac:dyDescent="0.25">
      <c r="A9" s="16" t="s">
        <v>323</v>
      </c>
      <c r="B9" s="15"/>
      <c r="C9" s="15"/>
      <c r="D9" s="15"/>
      <c r="E9" s="15"/>
      <c r="F9" s="15"/>
    </row>
    <row r="10" spans="1:8" ht="13.5" customHeight="1" x14ac:dyDescent="0.25">
      <c r="A10" s="16" t="s">
        <v>328</v>
      </c>
      <c r="B10" s="17"/>
      <c r="C10" s="17"/>
      <c r="D10" s="17"/>
      <c r="E10" s="17"/>
      <c r="F10" s="17"/>
    </row>
    <row r="11" spans="1:8" ht="13.5" customHeight="1" x14ac:dyDescent="0.25">
      <c r="A11" s="16" t="s">
        <v>327</v>
      </c>
      <c r="B11" s="17"/>
      <c r="C11" s="17"/>
      <c r="D11" s="17"/>
      <c r="E11" s="17"/>
      <c r="F11" s="17"/>
    </row>
    <row r="12" spans="1:8" ht="13.5" customHeight="1" x14ac:dyDescent="0.25">
      <c r="A12" s="16"/>
      <c r="B12" s="17"/>
      <c r="C12" s="17"/>
      <c r="D12" s="17"/>
      <c r="E12" s="17"/>
      <c r="F12" s="17"/>
    </row>
    <row r="13" spans="1:8" ht="13" x14ac:dyDescent="0.25">
      <c r="A13" s="132" t="s">
        <v>24</v>
      </c>
      <c r="B13" s="132"/>
      <c r="C13" s="132"/>
      <c r="D13" s="132"/>
      <c r="E13" s="132"/>
      <c r="F13" s="132"/>
    </row>
    <row r="14" spans="1:8" ht="27.75" customHeight="1" x14ac:dyDescent="0.25">
      <c r="A14" s="133" t="s">
        <v>25</v>
      </c>
      <c r="B14" s="133"/>
      <c r="C14" s="133"/>
      <c r="D14" s="133"/>
      <c r="E14" s="133"/>
      <c r="F14" s="133"/>
    </row>
    <row r="15" spans="1:8" s="97" customFormat="1" x14ac:dyDescent="0.25"/>
    <row r="16" spans="1:8" customFormat="1" ht="15.5" x14ac:dyDescent="0.35">
      <c r="A16" s="132" t="s">
        <v>324</v>
      </c>
      <c r="B16" s="132"/>
      <c r="C16" s="132"/>
      <c r="D16" s="132"/>
      <c r="E16" s="132"/>
      <c r="F16" s="132"/>
    </row>
    <row r="17" spans="1:11" customFormat="1" ht="31.5" customHeight="1" x14ac:dyDescent="0.35">
      <c r="A17" s="135" t="s">
        <v>326</v>
      </c>
      <c r="B17" s="135"/>
      <c r="C17" s="135"/>
      <c r="D17" s="135"/>
      <c r="E17" s="135"/>
      <c r="F17" s="135"/>
      <c r="G17" s="135"/>
    </row>
    <row r="18" spans="1:11" ht="14.15" customHeight="1" thickBot="1" x14ac:dyDescent="0.3">
      <c r="A18" s="67"/>
      <c r="B18" s="67"/>
      <c r="C18" s="67"/>
      <c r="D18" s="67"/>
      <c r="E18" s="67"/>
      <c r="F18" s="67"/>
    </row>
    <row r="19" spans="1:11" ht="13.5" customHeight="1" thickBot="1" x14ac:dyDescent="0.3">
      <c r="A19" s="125" t="s">
        <v>14</v>
      </c>
      <c r="B19" s="127" t="s">
        <v>15</v>
      </c>
      <c r="C19" s="129">
        <v>2024</v>
      </c>
      <c r="D19" s="130"/>
      <c r="E19" s="130"/>
      <c r="F19" s="19">
        <v>2025</v>
      </c>
      <c r="G19" s="131" t="s">
        <v>16</v>
      </c>
    </row>
    <row r="20" spans="1:11" ht="13.5" thickBot="1" x14ac:dyDescent="0.3">
      <c r="A20" s="126"/>
      <c r="B20" s="128"/>
      <c r="C20" s="20" t="s">
        <v>17</v>
      </c>
      <c r="D20" s="21" t="s">
        <v>18</v>
      </c>
      <c r="E20" s="22" t="s">
        <v>19</v>
      </c>
      <c r="F20" s="22" t="s">
        <v>20</v>
      </c>
      <c r="G20" s="131"/>
    </row>
    <row r="21" spans="1:11" ht="13.5" thickBot="1" x14ac:dyDescent="0.35">
      <c r="A21" s="54" t="s">
        <v>21</v>
      </c>
      <c r="B21" s="55" t="s">
        <v>22</v>
      </c>
      <c r="C21" s="74">
        <v>2518.3764999999999</v>
      </c>
      <c r="D21" s="74">
        <v>2591.5659000000001</v>
      </c>
      <c r="E21" s="74">
        <v>2625.8550999999979</v>
      </c>
      <c r="F21" s="74">
        <v>2670.1741999999995</v>
      </c>
      <c r="G21" s="85">
        <v>2601.4929249999996</v>
      </c>
      <c r="H21" s="25"/>
      <c r="I21" s="26"/>
      <c r="J21" s="26"/>
      <c r="K21" s="26"/>
    </row>
    <row r="22" spans="1:11" ht="13" thickBot="1" x14ac:dyDescent="0.3">
      <c r="A22" s="90"/>
      <c r="B22" s="91" t="s">
        <v>23</v>
      </c>
      <c r="C22" s="75"/>
      <c r="D22" s="75"/>
      <c r="E22" s="75"/>
      <c r="F22" s="75"/>
      <c r="G22" s="86"/>
    </row>
    <row r="23" spans="1:11" ht="15.5" x14ac:dyDescent="0.35">
      <c r="A23" s="58" t="s">
        <v>243</v>
      </c>
      <c r="B23" s="59" t="s">
        <v>244</v>
      </c>
      <c r="C23" s="76">
        <v>59.174999999999997</v>
      </c>
      <c r="D23" s="77">
        <v>61.174999999999997</v>
      </c>
      <c r="E23" s="77">
        <v>61.975000000000001</v>
      </c>
      <c r="F23" s="78">
        <v>62.625</v>
      </c>
      <c r="G23" s="87">
        <v>61.237499999999997</v>
      </c>
      <c r="H23" s="32"/>
      <c r="I23" s="29"/>
      <c r="J23" s="29"/>
      <c r="K23" s="29"/>
    </row>
    <row r="24" spans="1:11" ht="15.5" x14ac:dyDescent="0.35">
      <c r="A24" s="60" t="s">
        <v>223</v>
      </c>
      <c r="B24" s="61" t="s">
        <v>224</v>
      </c>
      <c r="C24" s="79">
        <v>24.5075</v>
      </c>
      <c r="D24" s="80">
        <v>25.64</v>
      </c>
      <c r="E24" s="80">
        <v>25.724</v>
      </c>
      <c r="F24" s="81">
        <v>26.724</v>
      </c>
      <c r="G24" s="88">
        <v>25.648875</v>
      </c>
      <c r="H24" s="29"/>
      <c r="I24" s="29"/>
      <c r="J24" s="29"/>
      <c r="K24" s="29"/>
    </row>
    <row r="25" spans="1:11" ht="15.5" x14ac:dyDescent="0.35">
      <c r="A25" s="60" t="s">
        <v>121</v>
      </c>
      <c r="B25" s="61" t="s">
        <v>122</v>
      </c>
      <c r="C25" s="79">
        <v>27</v>
      </c>
      <c r="D25" s="80">
        <v>26.4</v>
      </c>
      <c r="E25" s="80">
        <v>25.1</v>
      </c>
      <c r="F25" s="81">
        <v>28.55</v>
      </c>
      <c r="G25" s="88">
        <v>26.762499999999999</v>
      </c>
      <c r="H25" s="29"/>
      <c r="I25" s="29"/>
      <c r="J25" s="29"/>
      <c r="K25" s="29"/>
    </row>
    <row r="26" spans="1:11" ht="15.5" x14ac:dyDescent="0.35">
      <c r="A26" s="60" t="s">
        <v>125</v>
      </c>
      <c r="B26" s="61" t="s">
        <v>126</v>
      </c>
      <c r="C26" s="79">
        <v>7.57</v>
      </c>
      <c r="D26" s="80">
        <v>7.57</v>
      </c>
      <c r="E26" s="80">
        <v>7.57</v>
      </c>
      <c r="F26" s="81">
        <v>7.55</v>
      </c>
      <c r="G26" s="88">
        <v>7.5650000000000004</v>
      </c>
      <c r="H26" s="29"/>
      <c r="I26" s="29"/>
      <c r="J26" s="29"/>
      <c r="K26" s="29"/>
    </row>
    <row r="27" spans="1:11" x14ac:dyDescent="0.25">
      <c r="A27" s="60" t="s">
        <v>167</v>
      </c>
      <c r="B27" s="61" t="s">
        <v>168</v>
      </c>
      <c r="C27" s="79">
        <v>81.974999999999994</v>
      </c>
      <c r="D27" s="80">
        <v>83.224999999999994</v>
      </c>
      <c r="E27" s="80">
        <v>84.474999999999994</v>
      </c>
      <c r="F27" s="81">
        <v>85.775000000000006</v>
      </c>
      <c r="G27" s="88">
        <v>83.862499999999997</v>
      </c>
    </row>
    <row r="28" spans="1:11" x14ac:dyDescent="0.25">
      <c r="A28" s="60" t="s">
        <v>149</v>
      </c>
      <c r="B28" s="61" t="s">
        <v>150</v>
      </c>
      <c r="C28" s="79">
        <v>33.049999999999997</v>
      </c>
      <c r="D28" s="80">
        <v>33.15</v>
      </c>
      <c r="E28" s="80">
        <v>32.75</v>
      </c>
      <c r="F28" s="81">
        <v>33.75</v>
      </c>
      <c r="G28" s="88">
        <v>33.174999999999997</v>
      </c>
    </row>
    <row r="29" spans="1:11" x14ac:dyDescent="0.25">
      <c r="A29" s="60" t="s">
        <v>201</v>
      </c>
      <c r="B29" s="61" t="s">
        <v>202</v>
      </c>
      <c r="C29" s="79">
        <v>12</v>
      </c>
      <c r="D29" s="80">
        <v>14</v>
      </c>
      <c r="E29" s="80">
        <v>15</v>
      </c>
      <c r="F29" s="81">
        <v>14</v>
      </c>
      <c r="G29" s="88">
        <v>13.75</v>
      </c>
    </row>
    <row r="30" spans="1:11" x14ac:dyDescent="0.25">
      <c r="A30" s="60" t="s">
        <v>313</v>
      </c>
      <c r="B30" s="61" t="s">
        <v>314</v>
      </c>
      <c r="C30" s="79">
        <v>43.033499999999997</v>
      </c>
      <c r="D30" s="80">
        <v>44.945999999999998</v>
      </c>
      <c r="E30" s="80">
        <v>46.622</v>
      </c>
      <c r="F30" s="81">
        <v>47.564799999999998</v>
      </c>
      <c r="G30" s="88">
        <v>45.541574999999995</v>
      </c>
    </row>
    <row r="31" spans="1:11" x14ac:dyDescent="0.25">
      <c r="A31" s="60" t="s">
        <v>311</v>
      </c>
      <c r="B31" s="61" t="s">
        <v>312</v>
      </c>
      <c r="C31" s="79">
        <v>14.6</v>
      </c>
      <c r="D31" s="80">
        <v>15.65</v>
      </c>
      <c r="E31" s="80">
        <v>15.65</v>
      </c>
      <c r="F31" s="81">
        <v>15.65</v>
      </c>
      <c r="G31" s="88">
        <v>15.387499999999999</v>
      </c>
    </row>
    <row r="32" spans="1:11" x14ac:dyDescent="0.25">
      <c r="A32" s="60" t="s">
        <v>93</v>
      </c>
      <c r="B32" s="61" t="s">
        <v>94</v>
      </c>
      <c r="C32" s="79">
        <v>23.062000000000001</v>
      </c>
      <c r="D32" s="80">
        <v>23.236999999999998</v>
      </c>
      <c r="E32" s="80">
        <v>23.036999999999999</v>
      </c>
      <c r="F32" s="81">
        <v>23.749500000000001</v>
      </c>
      <c r="G32" s="88">
        <v>23.271374999999999</v>
      </c>
    </row>
    <row r="33" spans="1:7" x14ac:dyDescent="0.25">
      <c r="A33" s="60" t="s">
        <v>75</v>
      </c>
      <c r="B33" s="61" t="s">
        <v>76</v>
      </c>
      <c r="C33" s="79">
        <v>33.795999999999999</v>
      </c>
      <c r="D33" s="80">
        <v>34.795999999999999</v>
      </c>
      <c r="E33" s="80">
        <v>35.795999999999999</v>
      </c>
      <c r="F33" s="81">
        <v>38.415999999999997</v>
      </c>
      <c r="G33" s="88">
        <v>35.701000000000001</v>
      </c>
    </row>
    <row r="34" spans="1:7" x14ac:dyDescent="0.25">
      <c r="A34" s="60" t="s">
        <v>175</v>
      </c>
      <c r="B34" s="61" t="s">
        <v>176</v>
      </c>
      <c r="C34" s="79">
        <v>25.4</v>
      </c>
      <c r="D34" s="80">
        <v>28.4</v>
      </c>
      <c r="E34" s="80">
        <v>29.25</v>
      </c>
      <c r="F34" s="81">
        <v>51.35</v>
      </c>
      <c r="G34" s="88">
        <v>33.6</v>
      </c>
    </row>
    <row r="35" spans="1:7" x14ac:dyDescent="0.25">
      <c r="A35" s="60" t="s">
        <v>173</v>
      </c>
      <c r="B35" s="61" t="s">
        <v>174</v>
      </c>
      <c r="C35" s="79">
        <v>15.8</v>
      </c>
      <c r="D35" s="80">
        <v>18.7</v>
      </c>
      <c r="E35" s="80">
        <v>18.2</v>
      </c>
      <c r="F35" s="81"/>
      <c r="G35" s="88">
        <v>13.175000000000001</v>
      </c>
    </row>
    <row r="36" spans="1:7" x14ac:dyDescent="0.25">
      <c r="A36" s="60" t="s">
        <v>145</v>
      </c>
      <c r="B36" s="61" t="s">
        <v>146</v>
      </c>
      <c r="C36" s="79">
        <v>9</v>
      </c>
      <c r="D36" s="80">
        <v>9</v>
      </c>
      <c r="E36" s="80">
        <v>9</v>
      </c>
      <c r="F36" s="81">
        <v>10</v>
      </c>
      <c r="G36" s="88">
        <v>9.25</v>
      </c>
    </row>
    <row r="37" spans="1:7" x14ac:dyDescent="0.25">
      <c r="A37" s="60" t="s">
        <v>159</v>
      </c>
      <c r="B37" s="61" t="s">
        <v>160</v>
      </c>
      <c r="C37" s="79">
        <v>11.925000000000001</v>
      </c>
      <c r="D37" s="80">
        <v>12.95</v>
      </c>
      <c r="E37" s="80">
        <v>13.15</v>
      </c>
      <c r="F37" s="81">
        <v>13.15</v>
      </c>
      <c r="G37" s="88">
        <v>12.793749999999999</v>
      </c>
    </row>
    <row r="38" spans="1:7" x14ac:dyDescent="0.25">
      <c r="A38" s="60" t="s">
        <v>117</v>
      </c>
      <c r="B38" s="61" t="s">
        <v>118</v>
      </c>
      <c r="C38" s="79">
        <v>10.4475</v>
      </c>
      <c r="D38" s="80">
        <v>10.1975</v>
      </c>
      <c r="E38" s="80">
        <v>9.1974999999999998</v>
      </c>
      <c r="F38" s="81">
        <v>8.3475000000000001</v>
      </c>
      <c r="G38" s="88">
        <v>9.5474999999999994</v>
      </c>
    </row>
    <row r="39" spans="1:7" x14ac:dyDescent="0.25">
      <c r="A39" s="60" t="s">
        <v>291</v>
      </c>
      <c r="B39" s="61" t="s">
        <v>292</v>
      </c>
      <c r="C39" s="79">
        <v>15.8</v>
      </c>
      <c r="D39" s="80">
        <v>15</v>
      </c>
      <c r="E39" s="80">
        <v>15</v>
      </c>
      <c r="F39" s="81">
        <v>15</v>
      </c>
      <c r="G39" s="88">
        <v>15.2</v>
      </c>
    </row>
    <row r="40" spans="1:7" x14ac:dyDescent="0.25">
      <c r="A40" s="60" t="s">
        <v>263</v>
      </c>
      <c r="B40" s="61" t="s">
        <v>264</v>
      </c>
      <c r="C40" s="79">
        <v>15.6</v>
      </c>
      <c r="D40" s="80">
        <v>17.600000000000001</v>
      </c>
      <c r="E40" s="80">
        <v>17.600000000000001</v>
      </c>
      <c r="F40" s="81">
        <v>17.600000000000001</v>
      </c>
      <c r="G40" s="88">
        <v>17.100000000000001</v>
      </c>
    </row>
    <row r="41" spans="1:7" x14ac:dyDescent="0.25">
      <c r="A41" s="60" t="s">
        <v>245</v>
      </c>
      <c r="B41" s="61" t="s">
        <v>246</v>
      </c>
      <c r="C41" s="79">
        <v>37.258000000000003</v>
      </c>
      <c r="D41" s="80">
        <v>37.258000000000003</v>
      </c>
      <c r="E41" s="80">
        <v>36.658000000000001</v>
      </c>
      <c r="F41" s="81">
        <v>36.658000000000001</v>
      </c>
      <c r="G41" s="88">
        <v>36.957999999999998</v>
      </c>
    </row>
    <row r="42" spans="1:7" x14ac:dyDescent="0.25">
      <c r="A42" s="60" t="s">
        <v>227</v>
      </c>
      <c r="B42" s="61" t="s">
        <v>228</v>
      </c>
      <c r="C42" s="79">
        <v>14.45</v>
      </c>
      <c r="D42" s="80">
        <v>14.512499999999999</v>
      </c>
      <c r="E42" s="80">
        <v>16.512499999999999</v>
      </c>
      <c r="F42" s="81">
        <v>16.45</v>
      </c>
      <c r="G42" s="88">
        <v>15.481249999999999</v>
      </c>
    </row>
    <row r="43" spans="1:7" x14ac:dyDescent="0.25">
      <c r="A43" s="60" t="s">
        <v>247</v>
      </c>
      <c r="B43" s="61" t="s">
        <v>248</v>
      </c>
      <c r="C43" s="79">
        <v>10.65</v>
      </c>
      <c r="D43" s="80">
        <v>9.65</v>
      </c>
      <c r="E43" s="80">
        <v>10.65</v>
      </c>
      <c r="F43" s="81">
        <v>12.15</v>
      </c>
      <c r="G43" s="88">
        <v>10.775</v>
      </c>
    </row>
    <row r="44" spans="1:7" x14ac:dyDescent="0.25">
      <c r="A44" s="60" t="s">
        <v>63</v>
      </c>
      <c r="B44" s="61" t="s">
        <v>64</v>
      </c>
      <c r="C44" s="79">
        <v>27.492000000000001</v>
      </c>
      <c r="D44" s="80">
        <v>27.492000000000001</v>
      </c>
      <c r="E44" s="80">
        <v>27.516999999999999</v>
      </c>
      <c r="F44" s="81">
        <v>28.584</v>
      </c>
      <c r="G44" s="88">
        <v>27.771250000000002</v>
      </c>
    </row>
    <row r="45" spans="1:7" x14ac:dyDescent="0.25">
      <c r="A45" s="60" t="s">
        <v>115</v>
      </c>
      <c r="B45" s="61" t="s">
        <v>116</v>
      </c>
      <c r="C45" s="79">
        <v>23.295000000000002</v>
      </c>
      <c r="D45" s="80">
        <v>23.632000000000001</v>
      </c>
      <c r="E45" s="80">
        <v>24.132000000000001</v>
      </c>
      <c r="F45" s="81">
        <v>23.8</v>
      </c>
      <c r="G45" s="88">
        <v>23.714750000000002</v>
      </c>
    </row>
    <row r="46" spans="1:7" x14ac:dyDescent="0.25">
      <c r="A46" s="60" t="s">
        <v>99</v>
      </c>
      <c r="B46" s="61" t="s">
        <v>100</v>
      </c>
      <c r="C46" s="79">
        <v>6.375</v>
      </c>
      <c r="D46" s="80">
        <v>7.375</v>
      </c>
      <c r="E46" s="80">
        <v>6.8</v>
      </c>
      <c r="F46" s="81">
        <v>6.8</v>
      </c>
      <c r="G46" s="88">
        <v>6.8375000000000004</v>
      </c>
    </row>
    <row r="47" spans="1:7" x14ac:dyDescent="0.25">
      <c r="A47" s="60" t="s">
        <v>89</v>
      </c>
      <c r="B47" s="61" t="s">
        <v>90</v>
      </c>
      <c r="C47" s="79">
        <v>10.925000000000001</v>
      </c>
      <c r="D47" s="80">
        <v>11.951000000000001</v>
      </c>
      <c r="E47" s="80">
        <v>13.651</v>
      </c>
      <c r="F47" s="81">
        <v>13.451000000000001</v>
      </c>
      <c r="G47" s="88">
        <v>12.4945</v>
      </c>
    </row>
    <row r="48" spans="1:7" x14ac:dyDescent="0.25">
      <c r="A48" s="60" t="s">
        <v>111</v>
      </c>
      <c r="B48" s="61" t="s">
        <v>112</v>
      </c>
      <c r="C48" s="79">
        <v>10.3231</v>
      </c>
      <c r="D48" s="80">
        <v>10.543100000000001</v>
      </c>
      <c r="E48" s="80">
        <v>10.543100000000001</v>
      </c>
      <c r="F48" s="81">
        <v>11.193099999999999</v>
      </c>
      <c r="G48" s="88">
        <v>10.650600000000001</v>
      </c>
    </row>
    <row r="49" spans="1:7" x14ac:dyDescent="0.25">
      <c r="A49" s="60" t="s">
        <v>83</v>
      </c>
      <c r="B49" s="61" t="s">
        <v>84</v>
      </c>
      <c r="C49" s="79">
        <v>8.8154000000000003</v>
      </c>
      <c r="D49" s="80">
        <v>10.815200000000001</v>
      </c>
      <c r="E49" s="80">
        <v>9.9998000000000005</v>
      </c>
      <c r="F49" s="81">
        <v>9</v>
      </c>
      <c r="G49" s="88">
        <v>9.6576000000000004</v>
      </c>
    </row>
    <row r="50" spans="1:7" x14ac:dyDescent="0.25">
      <c r="A50" s="60" t="s">
        <v>307</v>
      </c>
      <c r="B50" s="61" t="s">
        <v>308</v>
      </c>
      <c r="C50" s="79">
        <v>16.662500000000001</v>
      </c>
      <c r="D50" s="80">
        <v>13.7875</v>
      </c>
      <c r="E50" s="80">
        <v>15.625</v>
      </c>
      <c r="F50" s="81">
        <v>15.225</v>
      </c>
      <c r="G50" s="88">
        <v>15.325000000000001</v>
      </c>
    </row>
    <row r="51" spans="1:7" x14ac:dyDescent="0.25">
      <c r="A51" s="60" t="s">
        <v>139</v>
      </c>
      <c r="B51" s="61" t="s">
        <v>140</v>
      </c>
      <c r="C51" s="79">
        <v>11.55</v>
      </c>
      <c r="D51" s="80">
        <v>10.55</v>
      </c>
      <c r="E51" s="80">
        <v>10.55</v>
      </c>
      <c r="F51" s="81">
        <v>9.65</v>
      </c>
      <c r="G51" s="88">
        <v>10.575000000000001</v>
      </c>
    </row>
    <row r="52" spans="1:7" x14ac:dyDescent="0.25">
      <c r="A52" s="60" t="s">
        <v>71</v>
      </c>
      <c r="B52" s="61" t="s">
        <v>72</v>
      </c>
      <c r="C52" s="79">
        <v>25.494399999999999</v>
      </c>
      <c r="D52" s="80">
        <v>25.494399999999999</v>
      </c>
      <c r="E52" s="80">
        <v>26.4694</v>
      </c>
      <c r="F52" s="81">
        <v>26.4694</v>
      </c>
      <c r="G52" s="88">
        <v>25.981900000000003</v>
      </c>
    </row>
    <row r="53" spans="1:7" x14ac:dyDescent="0.25">
      <c r="A53" s="60" t="s">
        <v>189</v>
      </c>
      <c r="B53" s="61" t="s">
        <v>190</v>
      </c>
      <c r="C53" s="79">
        <v>29.05</v>
      </c>
      <c r="D53" s="80">
        <v>31.225000000000001</v>
      </c>
      <c r="E53" s="80">
        <v>30.274999999999999</v>
      </c>
      <c r="F53" s="81">
        <v>30.024999999999999</v>
      </c>
      <c r="G53" s="88">
        <v>30.143750000000004</v>
      </c>
    </row>
    <row r="54" spans="1:7" x14ac:dyDescent="0.25">
      <c r="A54" s="60" t="s">
        <v>303</v>
      </c>
      <c r="B54" s="61" t="s">
        <v>304</v>
      </c>
      <c r="C54" s="79">
        <v>14.3375</v>
      </c>
      <c r="D54" s="80">
        <v>14.4375</v>
      </c>
      <c r="E54" s="80">
        <v>16.337499999999999</v>
      </c>
      <c r="F54" s="81">
        <v>15.9732</v>
      </c>
      <c r="G54" s="88">
        <v>15.271424999999999</v>
      </c>
    </row>
    <row r="55" spans="1:7" x14ac:dyDescent="0.25">
      <c r="A55" s="60" t="s">
        <v>241</v>
      </c>
      <c r="B55" s="61" t="s">
        <v>242</v>
      </c>
      <c r="C55" s="79">
        <v>40.15</v>
      </c>
      <c r="D55" s="80">
        <v>38.15</v>
      </c>
      <c r="E55" s="80">
        <v>38.15</v>
      </c>
      <c r="F55" s="81">
        <v>37.15</v>
      </c>
      <c r="G55" s="88">
        <v>38.4</v>
      </c>
    </row>
    <row r="56" spans="1:7" x14ac:dyDescent="0.25">
      <c r="A56" s="60" t="s">
        <v>165</v>
      </c>
      <c r="B56" s="61" t="s">
        <v>166</v>
      </c>
      <c r="C56" s="79">
        <v>25.572399999999998</v>
      </c>
      <c r="D56" s="80">
        <v>25.367999999999999</v>
      </c>
      <c r="E56" s="80">
        <v>27.568000000000001</v>
      </c>
      <c r="F56" s="81">
        <v>25.568000000000001</v>
      </c>
      <c r="G56" s="88">
        <v>26.019099999999998</v>
      </c>
    </row>
    <row r="57" spans="1:7" x14ac:dyDescent="0.25">
      <c r="A57" s="60" t="s">
        <v>91</v>
      </c>
      <c r="B57" s="61" t="s">
        <v>92</v>
      </c>
      <c r="C57" s="79">
        <v>20.196400000000001</v>
      </c>
      <c r="D57" s="80">
        <v>19.204699999999999</v>
      </c>
      <c r="E57" s="80">
        <v>20.266500000000001</v>
      </c>
      <c r="F57" s="81">
        <v>20.241499999999998</v>
      </c>
      <c r="G57" s="88">
        <v>19.977274999999999</v>
      </c>
    </row>
    <row r="58" spans="1:7" x14ac:dyDescent="0.25">
      <c r="A58" s="60" t="s">
        <v>109</v>
      </c>
      <c r="B58" s="61" t="s">
        <v>110</v>
      </c>
      <c r="C58" s="79">
        <v>13.465</v>
      </c>
      <c r="D58" s="80">
        <v>13.664999999999999</v>
      </c>
      <c r="E58" s="80">
        <v>14.5</v>
      </c>
      <c r="F58" s="81">
        <v>16.25</v>
      </c>
      <c r="G58" s="88">
        <v>14.469999999999999</v>
      </c>
    </row>
    <row r="59" spans="1:7" x14ac:dyDescent="0.25">
      <c r="A59" s="60" t="s">
        <v>43</v>
      </c>
      <c r="B59" s="61" t="s">
        <v>44</v>
      </c>
      <c r="C59" s="79">
        <v>14.5</v>
      </c>
      <c r="D59" s="80">
        <v>15.3</v>
      </c>
      <c r="E59" s="80">
        <v>16.232500000000002</v>
      </c>
      <c r="F59" s="81">
        <v>16.232500000000002</v>
      </c>
      <c r="G59" s="88">
        <v>15.56625</v>
      </c>
    </row>
    <row r="60" spans="1:7" x14ac:dyDescent="0.25">
      <c r="A60" s="60" t="s">
        <v>79</v>
      </c>
      <c r="B60" s="61" t="s">
        <v>80</v>
      </c>
      <c r="C60" s="79">
        <v>26.277000000000001</v>
      </c>
      <c r="D60" s="80">
        <v>30.518899999999999</v>
      </c>
      <c r="E60" s="80">
        <v>28.988199999999999</v>
      </c>
      <c r="F60" s="81">
        <v>30.511299999999999</v>
      </c>
      <c r="G60" s="88">
        <v>29.07385</v>
      </c>
    </row>
    <row r="61" spans="1:7" x14ac:dyDescent="0.25">
      <c r="A61" s="60" t="s">
        <v>73</v>
      </c>
      <c r="B61" s="61" t="s">
        <v>74</v>
      </c>
      <c r="C61" s="79">
        <v>10.954599999999999</v>
      </c>
      <c r="D61" s="80">
        <v>10.7926</v>
      </c>
      <c r="E61" s="80">
        <v>10.7926</v>
      </c>
      <c r="F61" s="81">
        <v>10.7926</v>
      </c>
      <c r="G61" s="88">
        <v>10.8331</v>
      </c>
    </row>
    <row r="62" spans="1:7" x14ac:dyDescent="0.25">
      <c r="A62" s="60" t="s">
        <v>87</v>
      </c>
      <c r="B62" s="61" t="s">
        <v>88</v>
      </c>
      <c r="C62" s="79">
        <v>10.188000000000001</v>
      </c>
      <c r="D62" s="80">
        <v>10.288</v>
      </c>
      <c r="E62" s="80">
        <v>11.288</v>
      </c>
      <c r="F62" s="81">
        <v>10.301</v>
      </c>
      <c r="G62" s="88">
        <v>10.516249999999999</v>
      </c>
    </row>
    <row r="63" spans="1:7" x14ac:dyDescent="0.25">
      <c r="A63" s="60" t="s">
        <v>65</v>
      </c>
      <c r="B63" s="61" t="s">
        <v>66</v>
      </c>
      <c r="C63" s="79">
        <v>29.3</v>
      </c>
      <c r="D63" s="80">
        <v>31.45</v>
      </c>
      <c r="E63" s="80">
        <v>31.25</v>
      </c>
      <c r="F63" s="81">
        <v>31.35</v>
      </c>
      <c r="G63" s="88">
        <v>30.837499999999999</v>
      </c>
    </row>
    <row r="64" spans="1:7" x14ac:dyDescent="0.25">
      <c r="A64" s="60" t="s">
        <v>309</v>
      </c>
      <c r="B64" s="61" t="s">
        <v>310</v>
      </c>
      <c r="C64" s="79">
        <v>19.642499999999998</v>
      </c>
      <c r="D64" s="80">
        <v>19.324999999999999</v>
      </c>
      <c r="E64" s="80">
        <v>18.675000000000001</v>
      </c>
      <c r="F64" s="81">
        <v>20.074999999999999</v>
      </c>
      <c r="G64" s="88">
        <v>19.429375</v>
      </c>
    </row>
    <row r="65" spans="1:7" x14ac:dyDescent="0.25">
      <c r="A65" s="60" t="s">
        <v>305</v>
      </c>
      <c r="B65" s="61" t="s">
        <v>306</v>
      </c>
      <c r="C65" s="79">
        <v>29.082000000000001</v>
      </c>
      <c r="D65" s="80">
        <v>29.398</v>
      </c>
      <c r="E65" s="80">
        <v>27.945</v>
      </c>
      <c r="F65" s="81">
        <v>27.068999999999999</v>
      </c>
      <c r="G65" s="88">
        <v>28.373500000000003</v>
      </c>
    </row>
    <row r="66" spans="1:7" x14ac:dyDescent="0.25">
      <c r="A66" s="60" t="s">
        <v>129</v>
      </c>
      <c r="B66" s="61" t="s">
        <v>130</v>
      </c>
      <c r="C66" s="79">
        <v>26.15</v>
      </c>
      <c r="D66" s="80">
        <v>26</v>
      </c>
      <c r="E66" s="80">
        <v>25.3</v>
      </c>
      <c r="F66" s="81">
        <v>25.3</v>
      </c>
      <c r="G66" s="88">
        <v>25.6875</v>
      </c>
    </row>
    <row r="67" spans="1:7" x14ac:dyDescent="0.25">
      <c r="A67" s="60" t="s">
        <v>113</v>
      </c>
      <c r="B67" s="61" t="s">
        <v>114</v>
      </c>
      <c r="C67" s="79">
        <v>24.55</v>
      </c>
      <c r="D67" s="80">
        <v>25.55</v>
      </c>
      <c r="E67" s="80">
        <v>25.55</v>
      </c>
      <c r="F67" s="81">
        <v>25.5</v>
      </c>
      <c r="G67" s="88">
        <v>25.287500000000001</v>
      </c>
    </row>
    <row r="68" spans="1:7" x14ac:dyDescent="0.25">
      <c r="A68" s="60" t="s">
        <v>127</v>
      </c>
      <c r="B68" s="61" t="s">
        <v>128</v>
      </c>
      <c r="C68" s="79">
        <v>25.035</v>
      </c>
      <c r="D68" s="80">
        <v>25.434999999999999</v>
      </c>
      <c r="E68" s="80">
        <v>26.16</v>
      </c>
      <c r="F68" s="81">
        <v>26.16</v>
      </c>
      <c r="G68" s="88">
        <v>25.697499999999998</v>
      </c>
    </row>
    <row r="69" spans="1:7" x14ac:dyDescent="0.25">
      <c r="A69" s="60" t="s">
        <v>135</v>
      </c>
      <c r="B69" s="61" t="s">
        <v>136</v>
      </c>
      <c r="C69" s="79">
        <v>17.925000000000001</v>
      </c>
      <c r="D69" s="80">
        <v>18.175000000000001</v>
      </c>
      <c r="E69" s="80">
        <v>17.074999999999999</v>
      </c>
      <c r="F69" s="81">
        <v>19.675000000000001</v>
      </c>
      <c r="G69" s="88">
        <v>18.212499999999999</v>
      </c>
    </row>
    <row r="70" spans="1:7" x14ac:dyDescent="0.25">
      <c r="A70" s="60" t="s">
        <v>155</v>
      </c>
      <c r="B70" s="61" t="s">
        <v>156</v>
      </c>
      <c r="C70" s="79">
        <v>39.4</v>
      </c>
      <c r="D70" s="80">
        <v>39.25</v>
      </c>
      <c r="E70" s="80">
        <v>40.25</v>
      </c>
      <c r="F70" s="81">
        <v>39.950000000000003</v>
      </c>
      <c r="G70" s="88">
        <v>39.712500000000006</v>
      </c>
    </row>
    <row r="71" spans="1:7" x14ac:dyDescent="0.25">
      <c r="A71" s="60" t="s">
        <v>161</v>
      </c>
      <c r="B71" s="61" t="s">
        <v>162</v>
      </c>
      <c r="C71" s="79">
        <v>31.2667</v>
      </c>
      <c r="D71" s="80">
        <v>32.066699999999997</v>
      </c>
      <c r="E71" s="80">
        <v>31.241700000000002</v>
      </c>
      <c r="F71" s="81">
        <v>31.959299999999999</v>
      </c>
      <c r="G71" s="88">
        <v>31.633599999999998</v>
      </c>
    </row>
    <row r="72" spans="1:7" x14ac:dyDescent="0.25">
      <c r="A72" s="60" t="s">
        <v>151</v>
      </c>
      <c r="B72" s="61" t="s">
        <v>152</v>
      </c>
      <c r="C72" s="79">
        <v>11.629</v>
      </c>
      <c r="D72" s="80">
        <v>11.629</v>
      </c>
      <c r="E72" s="80">
        <v>11.629</v>
      </c>
      <c r="F72" s="81">
        <v>11.629</v>
      </c>
      <c r="G72" s="88">
        <v>11.629</v>
      </c>
    </row>
    <row r="73" spans="1:7" x14ac:dyDescent="0.25">
      <c r="A73" s="60" t="s">
        <v>163</v>
      </c>
      <c r="B73" s="61" t="s">
        <v>164</v>
      </c>
      <c r="C73" s="79">
        <v>24.998999999999999</v>
      </c>
      <c r="D73" s="80">
        <v>24.1</v>
      </c>
      <c r="E73" s="80">
        <v>24.1</v>
      </c>
      <c r="F73" s="81">
        <v>25.9375</v>
      </c>
      <c r="G73" s="88">
        <v>24.784125000000003</v>
      </c>
    </row>
    <row r="74" spans="1:7" x14ac:dyDescent="0.25">
      <c r="A74" s="60" t="s">
        <v>283</v>
      </c>
      <c r="B74" s="61" t="s">
        <v>284</v>
      </c>
      <c r="C74" s="79">
        <v>10.000999999999999</v>
      </c>
      <c r="D74" s="80">
        <v>10.951000000000001</v>
      </c>
      <c r="E74" s="80">
        <v>10.9885</v>
      </c>
      <c r="F74" s="81">
        <v>10.788500000000001</v>
      </c>
      <c r="G74" s="88">
        <v>10.68225</v>
      </c>
    </row>
    <row r="75" spans="1:7" x14ac:dyDescent="0.25">
      <c r="A75" s="60" t="s">
        <v>289</v>
      </c>
      <c r="B75" s="61" t="s">
        <v>290</v>
      </c>
      <c r="C75" s="79">
        <v>20.475000000000001</v>
      </c>
      <c r="D75" s="80">
        <v>21.875</v>
      </c>
      <c r="E75" s="80">
        <v>20.875</v>
      </c>
      <c r="F75" s="81">
        <v>20.875</v>
      </c>
      <c r="G75" s="88">
        <v>21.024999999999999</v>
      </c>
    </row>
    <row r="76" spans="1:7" x14ac:dyDescent="0.25">
      <c r="A76" s="60" t="s">
        <v>107</v>
      </c>
      <c r="B76" s="61" t="s">
        <v>108</v>
      </c>
      <c r="C76" s="79">
        <v>17.575299999999999</v>
      </c>
      <c r="D76" s="80">
        <v>17.575299999999999</v>
      </c>
      <c r="E76" s="80">
        <v>17.575299999999999</v>
      </c>
      <c r="F76" s="81">
        <v>17.755400000000002</v>
      </c>
      <c r="G76" s="88">
        <v>17.620325000000001</v>
      </c>
    </row>
    <row r="77" spans="1:7" x14ac:dyDescent="0.25">
      <c r="A77" s="60" t="s">
        <v>235</v>
      </c>
      <c r="B77" s="61" t="s">
        <v>236</v>
      </c>
      <c r="C77" s="79">
        <v>8.3249999999999993</v>
      </c>
      <c r="D77" s="80">
        <v>9.2750000000000004</v>
      </c>
      <c r="E77" s="80">
        <v>9.08</v>
      </c>
      <c r="F77" s="81">
        <v>8.1300000000000008</v>
      </c>
      <c r="G77" s="88">
        <v>8.7025000000000006</v>
      </c>
    </row>
    <row r="78" spans="1:7" x14ac:dyDescent="0.25">
      <c r="A78" s="60" t="s">
        <v>233</v>
      </c>
      <c r="B78" s="61" t="s">
        <v>234</v>
      </c>
      <c r="C78" s="79">
        <v>10</v>
      </c>
      <c r="D78" s="80">
        <v>11</v>
      </c>
      <c r="E78" s="80">
        <v>11</v>
      </c>
      <c r="F78" s="81">
        <v>12</v>
      </c>
      <c r="G78" s="88">
        <v>11</v>
      </c>
    </row>
    <row r="79" spans="1:7" x14ac:dyDescent="0.25">
      <c r="A79" s="60" t="s">
        <v>157</v>
      </c>
      <c r="B79" s="61" t="s">
        <v>158</v>
      </c>
      <c r="C79" s="79">
        <v>27.9</v>
      </c>
      <c r="D79" s="80">
        <v>27</v>
      </c>
      <c r="E79" s="80">
        <v>27</v>
      </c>
      <c r="F79" s="81">
        <v>27.8</v>
      </c>
      <c r="G79" s="88">
        <v>27.425000000000001</v>
      </c>
    </row>
    <row r="80" spans="1:7" x14ac:dyDescent="0.25">
      <c r="A80" s="60" t="s">
        <v>55</v>
      </c>
      <c r="B80" s="61" t="s">
        <v>56</v>
      </c>
      <c r="C80" s="79">
        <v>15.225</v>
      </c>
      <c r="D80" s="80">
        <v>16.024999999999999</v>
      </c>
      <c r="E80" s="80">
        <v>15.175000000000001</v>
      </c>
      <c r="F80" s="81">
        <v>17.175000000000001</v>
      </c>
      <c r="G80" s="88">
        <v>15.899999999999999</v>
      </c>
    </row>
    <row r="81" spans="1:7" x14ac:dyDescent="0.25">
      <c r="A81" s="60" t="s">
        <v>315</v>
      </c>
      <c r="B81" s="61" t="s">
        <v>316</v>
      </c>
      <c r="C81" s="79">
        <v>15.74</v>
      </c>
      <c r="D81" s="80">
        <v>18.39</v>
      </c>
      <c r="E81" s="80">
        <v>18.39</v>
      </c>
      <c r="F81" s="81">
        <v>20.239999999999998</v>
      </c>
      <c r="G81" s="88">
        <v>18.190000000000001</v>
      </c>
    </row>
    <row r="82" spans="1:7" x14ac:dyDescent="0.25">
      <c r="A82" s="60" t="s">
        <v>287</v>
      </c>
      <c r="B82" s="61" t="s">
        <v>288</v>
      </c>
      <c r="C82" s="79">
        <v>17.5</v>
      </c>
      <c r="D82" s="80">
        <v>20</v>
      </c>
      <c r="E82" s="80">
        <v>23.35</v>
      </c>
      <c r="F82" s="81">
        <v>23.45</v>
      </c>
      <c r="G82" s="88">
        <v>21.074999999999999</v>
      </c>
    </row>
    <row r="83" spans="1:7" x14ac:dyDescent="0.25">
      <c r="A83" s="60" t="s">
        <v>179</v>
      </c>
      <c r="B83" s="61" t="s">
        <v>180</v>
      </c>
      <c r="C83" s="79">
        <v>13.55</v>
      </c>
      <c r="D83" s="80">
        <v>13.45</v>
      </c>
      <c r="E83" s="80">
        <v>13.45</v>
      </c>
      <c r="F83" s="81">
        <v>13.35</v>
      </c>
      <c r="G83" s="88">
        <v>13.450000000000001</v>
      </c>
    </row>
    <row r="84" spans="1:7" x14ac:dyDescent="0.25">
      <c r="A84" s="60" t="s">
        <v>277</v>
      </c>
      <c r="B84" s="61" t="s">
        <v>278</v>
      </c>
      <c r="C84" s="79">
        <v>29</v>
      </c>
      <c r="D84" s="80">
        <v>30.05</v>
      </c>
      <c r="E84" s="80">
        <v>31.85</v>
      </c>
      <c r="F84" s="81">
        <v>25.85</v>
      </c>
      <c r="G84" s="88">
        <v>29.1875</v>
      </c>
    </row>
    <row r="85" spans="1:7" x14ac:dyDescent="0.25">
      <c r="A85" s="60" t="s">
        <v>295</v>
      </c>
      <c r="B85" s="61" t="s">
        <v>296</v>
      </c>
      <c r="C85" s="79">
        <v>4</v>
      </c>
      <c r="D85" s="80">
        <v>4</v>
      </c>
      <c r="E85" s="80">
        <v>5</v>
      </c>
      <c r="F85" s="81">
        <v>5</v>
      </c>
      <c r="G85" s="88">
        <v>4.5</v>
      </c>
    </row>
    <row r="86" spans="1:7" x14ac:dyDescent="0.25">
      <c r="A86" s="60" t="s">
        <v>273</v>
      </c>
      <c r="B86" s="61" t="s">
        <v>274</v>
      </c>
      <c r="C86" s="79">
        <v>12</v>
      </c>
      <c r="D86" s="80">
        <v>12</v>
      </c>
      <c r="E86" s="80">
        <v>11</v>
      </c>
      <c r="F86" s="81">
        <v>12</v>
      </c>
      <c r="G86" s="88">
        <v>11.75</v>
      </c>
    </row>
    <row r="87" spans="1:7" x14ac:dyDescent="0.25">
      <c r="A87" s="60" t="s">
        <v>77</v>
      </c>
      <c r="B87" s="61" t="s">
        <v>78</v>
      </c>
      <c r="C87" s="79">
        <v>1</v>
      </c>
      <c r="D87" s="80">
        <v>0.4</v>
      </c>
      <c r="E87" s="80">
        <v>0.4</v>
      </c>
      <c r="F87" s="81">
        <v>0.4</v>
      </c>
      <c r="G87" s="88">
        <v>0.54999999999999993</v>
      </c>
    </row>
    <row r="88" spans="1:7" x14ac:dyDescent="0.25">
      <c r="A88" s="60" t="s">
        <v>251</v>
      </c>
      <c r="B88" s="61" t="s">
        <v>252</v>
      </c>
      <c r="C88" s="79">
        <v>59.752000000000002</v>
      </c>
      <c r="D88" s="80">
        <v>66.001999999999995</v>
      </c>
      <c r="E88" s="80">
        <v>69.927000000000007</v>
      </c>
      <c r="F88" s="81">
        <v>69.876999999999995</v>
      </c>
      <c r="G88" s="88">
        <v>66.389499999999998</v>
      </c>
    </row>
    <row r="89" spans="1:7" x14ac:dyDescent="0.25">
      <c r="A89" s="60" t="s">
        <v>231</v>
      </c>
      <c r="B89" s="61" t="s">
        <v>232</v>
      </c>
      <c r="C89" s="79">
        <v>16.278700000000001</v>
      </c>
      <c r="D89" s="80">
        <v>15.991300000000001</v>
      </c>
      <c r="E89" s="80">
        <v>15.991300000000001</v>
      </c>
      <c r="F89" s="81">
        <v>17.991299999999999</v>
      </c>
      <c r="G89" s="88">
        <v>16.56315</v>
      </c>
    </row>
    <row r="90" spans="1:7" x14ac:dyDescent="0.25">
      <c r="A90" s="60" t="s">
        <v>257</v>
      </c>
      <c r="B90" s="61" t="s">
        <v>258</v>
      </c>
      <c r="C90" s="79">
        <v>11.8</v>
      </c>
      <c r="D90" s="80">
        <v>11.8</v>
      </c>
      <c r="E90" s="80">
        <v>11.8</v>
      </c>
      <c r="F90" s="81">
        <v>12.8</v>
      </c>
      <c r="G90" s="88">
        <v>12.05</v>
      </c>
    </row>
    <row r="91" spans="1:7" x14ac:dyDescent="0.25">
      <c r="A91" s="60" t="s">
        <v>299</v>
      </c>
      <c r="B91" s="61" t="s">
        <v>300</v>
      </c>
      <c r="C91" s="79">
        <v>13.146699999999999</v>
      </c>
      <c r="D91" s="80">
        <v>15.246700000000001</v>
      </c>
      <c r="E91" s="80">
        <v>15.496700000000001</v>
      </c>
      <c r="F91" s="81">
        <v>17.6967</v>
      </c>
      <c r="G91" s="88">
        <v>15.396700000000001</v>
      </c>
    </row>
    <row r="92" spans="1:7" x14ac:dyDescent="0.25">
      <c r="A92" s="60" t="s">
        <v>123</v>
      </c>
      <c r="B92" s="61" t="s">
        <v>124</v>
      </c>
      <c r="C92" s="79">
        <v>24.25</v>
      </c>
      <c r="D92" s="80">
        <v>24.85</v>
      </c>
      <c r="E92" s="80">
        <v>24.35</v>
      </c>
      <c r="F92" s="81">
        <v>24.35</v>
      </c>
      <c r="G92" s="88">
        <v>24.450000000000003</v>
      </c>
    </row>
    <row r="93" spans="1:7" x14ac:dyDescent="0.25">
      <c r="A93" s="60" t="s">
        <v>183</v>
      </c>
      <c r="B93" s="61" t="s">
        <v>184</v>
      </c>
      <c r="C93" s="79">
        <v>13</v>
      </c>
      <c r="D93" s="80">
        <v>14</v>
      </c>
      <c r="E93" s="80">
        <v>13</v>
      </c>
      <c r="F93" s="81">
        <v>13</v>
      </c>
      <c r="G93" s="88">
        <v>13.25</v>
      </c>
    </row>
    <row r="94" spans="1:7" x14ac:dyDescent="0.25">
      <c r="A94" s="60" t="s">
        <v>271</v>
      </c>
      <c r="B94" s="61" t="s">
        <v>272</v>
      </c>
      <c r="C94" s="79">
        <v>15.6</v>
      </c>
      <c r="D94" s="80">
        <v>14.6</v>
      </c>
      <c r="E94" s="80">
        <v>14.5</v>
      </c>
      <c r="F94" s="81">
        <v>14.5</v>
      </c>
      <c r="G94" s="88">
        <v>14.8</v>
      </c>
    </row>
    <row r="95" spans="1:7" x14ac:dyDescent="0.25">
      <c r="A95" s="60" t="s">
        <v>267</v>
      </c>
      <c r="B95" s="61" t="s">
        <v>268</v>
      </c>
      <c r="C95" s="79">
        <v>16.55</v>
      </c>
      <c r="D95" s="80">
        <v>17.7</v>
      </c>
      <c r="E95" s="80">
        <v>17.55</v>
      </c>
      <c r="F95" s="81">
        <v>16.55</v>
      </c>
      <c r="G95" s="88">
        <v>17.087499999999999</v>
      </c>
    </row>
    <row r="96" spans="1:7" x14ac:dyDescent="0.25">
      <c r="A96" s="60" t="s">
        <v>49</v>
      </c>
      <c r="B96" s="61" t="s">
        <v>50</v>
      </c>
      <c r="C96" s="79">
        <v>13</v>
      </c>
      <c r="D96" s="80">
        <v>13</v>
      </c>
      <c r="E96" s="80">
        <v>13</v>
      </c>
      <c r="F96" s="81">
        <v>13</v>
      </c>
      <c r="G96" s="88">
        <v>13</v>
      </c>
    </row>
    <row r="97" spans="1:7" x14ac:dyDescent="0.25">
      <c r="A97" s="60" t="s">
        <v>51</v>
      </c>
      <c r="B97" s="61" t="s">
        <v>52</v>
      </c>
      <c r="C97" s="79">
        <v>16.55</v>
      </c>
      <c r="D97" s="80">
        <v>16.55</v>
      </c>
      <c r="E97" s="80">
        <v>16.524999999999999</v>
      </c>
      <c r="F97" s="81">
        <v>18.524999999999999</v>
      </c>
      <c r="G97" s="88">
        <v>17.037500000000001</v>
      </c>
    </row>
    <row r="98" spans="1:7" x14ac:dyDescent="0.25">
      <c r="A98" s="60" t="s">
        <v>119</v>
      </c>
      <c r="B98" s="61" t="s">
        <v>120</v>
      </c>
      <c r="C98" s="79">
        <v>11.7</v>
      </c>
      <c r="D98" s="80">
        <v>11.75</v>
      </c>
      <c r="E98" s="80">
        <v>11.85</v>
      </c>
      <c r="F98" s="81">
        <v>10.725</v>
      </c>
      <c r="G98" s="88">
        <v>11.50625</v>
      </c>
    </row>
    <row r="99" spans="1:7" x14ac:dyDescent="0.25">
      <c r="A99" s="60" t="s">
        <v>97</v>
      </c>
      <c r="B99" s="61" t="s">
        <v>98</v>
      </c>
      <c r="C99" s="79">
        <v>20.295000000000002</v>
      </c>
      <c r="D99" s="80">
        <v>21.295000000000002</v>
      </c>
      <c r="E99" s="80">
        <v>20.295000000000002</v>
      </c>
      <c r="F99" s="81">
        <v>20.245000000000001</v>
      </c>
      <c r="G99" s="88">
        <v>20.532500000000002</v>
      </c>
    </row>
    <row r="100" spans="1:7" x14ac:dyDescent="0.25">
      <c r="A100" s="60" t="s">
        <v>171</v>
      </c>
      <c r="B100" s="61" t="s">
        <v>172</v>
      </c>
      <c r="C100" s="79">
        <v>4.7125000000000004</v>
      </c>
      <c r="D100" s="80">
        <v>4.7125000000000004</v>
      </c>
      <c r="E100" s="80">
        <v>4.7125000000000004</v>
      </c>
      <c r="F100" s="81">
        <v>4.9625000000000004</v>
      </c>
      <c r="G100" s="88">
        <v>4.7750000000000004</v>
      </c>
    </row>
    <row r="101" spans="1:7" x14ac:dyDescent="0.25">
      <c r="A101" s="60" t="s">
        <v>197</v>
      </c>
      <c r="B101" s="61" t="s">
        <v>198</v>
      </c>
      <c r="C101" s="79">
        <v>14.9</v>
      </c>
      <c r="D101" s="80">
        <v>13.71</v>
      </c>
      <c r="E101" s="80">
        <v>12.71</v>
      </c>
      <c r="F101" s="81">
        <v>11.61</v>
      </c>
      <c r="G101" s="88">
        <v>13.2325</v>
      </c>
    </row>
    <row r="102" spans="1:7" x14ac:dyDescent="0.25">
      <c r="A102" s="60" t="s">
        <v>269</v>
      </c>
      <c r="B102" s="61" t="s">
        <v>270</v>
      </c>
      <c r="C102" s="79">
        <v>9.9499999999999993</v>
      </c>
      <c r="D102" s="80">
        <v>9.9499999999999993</v>
      </c>
      <c r="E102" s="80">
        <v>9.9499999999999993</v>
      </c>
      <c r="F102" s="81">
        <v>9.9499999999999993</v>
      </c>
      <c r="G102" s="88">
        <v>9.9499999999999993</v>
      </c>
    </row>
    <row r="103" spans="1:7" x14ac:dyDescent="0.25">
      <c r="A103" s="60" t="s">
        <v>143</v>
      </c>
      <c r="B103" s="61" t="s">
        <v>144</v>
      </c>
      <c r="C103" s="79">
        <v>30.59</v>
      </c>
      <c r="D103" s="80">
        <v>30.49</v>
      </c>
      <c r="E103" s="80">
        <v>30.49</v>
      </c>
      <c r="F103" s="81">
        <v>31.49</v>
      </c>
      <c r="G103" s="88">
        <v>30.764999999999997</v>
      </c>
    </row>
    <row r="104" spans="1:7" x14ac:dyDescent="0.25">
      <c r="A104" s="60" t="s">
        <v>81</v>
      </c>
      <c r="B104" s="61" t="s">
        <v>82</v>
      </c>
      <c r="C104" s="79">
        <v>12</v>
      </c>
      <c r="D104" s="80">
        <v>11</v>
      </c>
      <c r="E104" s="80">
        <v>12</v>
      </c>
      <c r="F104" s="81">
        <v>13</v>
      </c>
      <c r="G104" s="88">
        <v>12</v>
      </c>
    </row>
    <row r="105" spans="1:7" x14ac:dyDescent="0.25">
      <c r="A105" s="60" t="s">
        <v>169</v>
      </c>
      <c r="B105" s="61" t="s">
        <v>170</v>
      </c>
      <c r="C105" s="79">
        <v>14.2</v>
      </c>
      <c r="D105" s="80">
        <v>14.2</v>
      </c>
      <c r="E105" s="80">
        <v>14</v>
      </c>
      <c r="F105" s="81">
        <v>13.8</v>
      </c>
      <c r="G105" s="88">
        <v>14.05</v>
      </c>
    </row>
    <row r="106" spans="1:7" x14ac:dyDescent="0.25">
      <c r="A106" s="60" t="s">
        <v>213</v>
      </c>
      <c r="B106" s="61" t="s">
        <v>214</v>
      </c>
      <c r="C106" s="79">
        <v>10.2302</v>
      </c>
      <c r="D106" s="80">
        <v>12.2302</v>
      </c>
      <c r="E106" s="80">
        <v>12.2302</v>
      </c>
      <c r="F106" s="81">
        <v>12.2302</v>
      </c>
      <c r="G106" s="88">
        <v>11.7302</v>
      </c>
    </row>
    <row r="107" spans="1:7" x14ac:dyDescent="0.25">
      <c r="A107" s="60" t="s">
        <v>103</v>
      </c>
      <c r="B107" s="61" t="s">
        <v>104</v>
      </c>
      <c r="C107" s="79">
        <v>43.65</v>
      </c>
      <c r="D107" s="80">
        <v>44.65</v>
      </c>
      <c r="E107" s="80">
        <v>44.7</v>
      </c>
      <c r="F107" s="81">
        <v>44.524999999999999</v>
      </c>
      <c r="G107" s="88">
        <v>44.381250000000001</v>
      </c>
    </row>
    <row r="108" spans="1:7" x14ac:dyDescent="0.25">
      <c r="A108" s="60" t="s">
        <v>265</v>
      </c>
      <c r="B108" s="61" t="s">
        <v>266</v>
      </c>
      <c r="C108" s="79">
        <v>10</v>
      </c>
      <c r="D108" s="80">
        <v>10</v>
      </c>
      <c r="E108" s="80">
        <v>10</v>
      </c>
      <c r="F108" s="81">
        <v>10</v>
      </c>
      <c r="G108" s="88">
        <v>10</v>
      </c>
    </row>
    <row r="109" spans="1:7" x14ac:dyDescent="0.25">
      <c r="A109" s="60" t="s">
        <v>285</v>
      </c>
      <c r="B109" s="61" t="s">
        <v>286</v>
      </c>
      <c r="C109" s="79">
        <v>45.9</v>
      </c>
      <c r="D109" s="80">
        <v>48.25</v>
      </c>
      <c r="E109" s="80">
        <v>52.55</v>
      </c>
      <c r="F109" s="81">
        <v>50.25</v>
      </c>
      <c r="G109" s="88">
        <v>49.237499999999997</v>
      </c>
    </row>
    <row r="110" spans="1:7" x14ac:dyDescent="0.25">
      <c r="A110" s="60" t="s">
        <v>177</v>
      </c>
      <c r="B110" s="61" t="s">
        <v>178</v>
      </c>
      <c r="C110" s="79">
        <v>13.925000000000001</v>
      </c>
      <c r="D110" s="80">
        <v>13.824999999999999</v>
      </c>
      <c r="E110" s="80">
        <v>13.8</v>
      </c>
      <c r="F110" s="81">
        <v>13.4</v>
      </c>
      <c r="G110" s="88">
        <v>13.737499999999999</v>
      </c>
    </row>
    <row r="111" spans="1:7" x14ac:dyDescent="0.25">
      <c r="A111" s="60" t="s">
        <v>215</v>
      </c>
      <c r="B111" s="61" t="s">
        <v>216</v>
      </c>
      <c r="C111" s="79">
        <v>21.925000000000001</v>
      </c>
      <c r="D111" s="80">
        <v>21.925000000000001</v>
      </c>
      <c r="E111" s="80">
        <v>22.125</v>
      </c>
      <c r="F111" s="81">
        <v>23.175000000000001</v>
      </c>
      <c r="G111" s="88">
        <v>22.287499999999998</v>
      </c>
    </row>
    <row r="112" spans="1:7" x14ac:dyDescent="0.25">
      <c r="A112" s="60" t="s">
        <v>297</v>
      </c>
      <c r="B112" s="61" t="s">
        <v>298</v>
      </c>
      <c r="C112" s="79">
        <v>20.598400000000002</v>
      </c>
      <c r="D112" s="80">
        <v>20.698399999999999</v>
      </c>
      <c r="E112" s="80">
        <v>17.845800000000001</v>
      </c>
      <c r="F112" s="81">
        <v>22.102399999999999</v>
      </c>
      <c r="G112" s="88">
        <v>20.311250000000001</v>
      </c>
    </row>
    <row r="113" spans="1:7" x14ac:dyDescent="0.25">
      <c r="A113" s="60" t="s">
        <v>219</v>
      </c>
      <c r="B113" s="61" t="s">
        <v>220</v>
      </c>
      <c r="C113" s="79">
        <v>25.225000000000001</v>
      </c>
      <c r="D113" s="80">
        <v>25.074999999999999</v>
      </c>
      <c r="E113" s="80">
        <v>26.024999999999999</v>
      </c>
      <c r="F113" s="81">
        <v>26.024999999999999</v>
      </c>
      <c r="G113" s="88">
        <v>25.587499999999999</v>
      </c>
    </row>
    <row r="114" spans="1:7" x14ac:dyDescent="0.25">
      <c r="A114" s="60" t="s">
        <v>59</v>
      </c>
      <c r="B114" s="61" t="s">
        <v>60</v>
      </c>
      <c r="C114" s="79">
        <v>38.674999999999997</v>
      </c>
      <c r="D114" s="80">
        <v>38.450000000000003</v>
      </c>
      <c r="E114" s="80">
        <v>38.024999999999999</v>
      </c>
      <c r="F114" s="81">
        <v>40.174999999999997</v>
      </c>
      <c r="G114" s="88">
        <v>38.831249999999997</v>
      </c>
    </row>
    <row r="115" spans="1:7" x14ac:dyDescent="0.25">
      <c r="A115" s="60" t="s">
        <v>133</v>
      </c>
      <c r="B115" s="61" t="s">
        <v>134</v>
      </c>
      <c r="C115" s="79">
        <v>29.7852</v>
      </c>
      <c r="D115" s="80">
        <v>31.685199999999998</v>
      </c>
      <c r="E115" s="80">
        <v>33.785200000000003</v>
      </c>
      <c r="F115" s="81">
        <v>38.284999999999997</v>
      </c>
      <c r="G115" s="88">
        <v>33.385149999999996</v>
      </c>
    </row>
    <row r="116" spans="1:7" x14ac:dyDescent="0.25">
      <c r="A116" s="60" t="s">
        <v>181</v>
      </c>
      <c r="B116" s="61" t="s">
        <v>182</v>
      </c>
      <c r="C116" s="79">
        <v>12.65</v>
      </c>
      <c r="D116" s="80">
        <v>14.65</v>
      </c>
      <c r="E116" s="80">
        <v>13.65</v>
      </c>
      <c r="F116" s="81">
        <v>14.8</v>
      </c>
      <c r="G116" s="88">
        <v>13.9375</v>
      </c>
    </row>
    <row r="117" spans="1:7" x14ac:dyDescent="0.25">
      <c r="A117" s="60" t="s">
        <v>207</v>
      </c>
      <c r="B117" s="61" t="s">
        <v>208</v>
      </c>
      <c r="C117" s="79">
        <v>11</v>
      </c>
      <c r="D117" s="80">
        <v>12</v>
      </c>
      <c r="E117" s="80">
        <v>13</v>
      </c>
      <c r="F117" s="81">
        <v>13</v>
      </c>
      <c r="G117" s="88">
        <v>12.25</v>
      </c>
    </row>
    <row r="118" spans="1:7" x14ac:dyDescent="0.25">
      <c r="A118" s="60" t="s">
        <v>221</v>
      </c>
      <c r="B118" s="61" t="s">
        <v>222</v>
      </c>
      <c r="C118" s="79">
        <v>23.895900000000001</v>
      </c>
      <c r="D118" s="80">
        <v>23.895900000000001</v>
      </c>
      <c r="E118" s="80">
        <v>22.895900000000001</v>
      </c>
      <c r="F118" s="81">
        <v>22.7376</v>
      </c>
      <c r="G118" s="88">
        <v>23.356325000000002</v>
      </c>
    </row>
    <row r="119" spans="1:7" x14ac:dyDescent="0.25">
      <c r="A119" s="60" t="s">
        <v>259</v>
      </c>
      <c r="B119" s="61" t="s">
        <v>260</v>
      </c>
      <c r="C119" s="79">
        <v>15.775</v>
      </c>
      <c r="D119" s="80">
        <v>15.775</v>
      </c>
      <c r="E119" s="80">
        <v>15.775</v>
      </c>
      <c r="F119" s="81">
        <v>16</v>
      </c>
      <c r="G119" s="88">
        <v>15.831250000000001</v>
      </c>
    </row>
    <row r="120" spans="1:7" x14ac:dyDescent="0.25">
      <c r="A120" s="60" t="s">
        <v>301</v>
      </c>
      <c r="B120" s="61" t="s">
        <v>302</v>
      </c>
      <c r="C120" s="79">
        <v>21.265899999999998</v>
      </c>
      <c r="D120" s="80">
        <v>21.25</v>
      </c>
      <c r="E120" s="80">
        <v>22.305399999999999</v>
      </c>
      <c r="F120" s="81">
        <v>22.305399999999999</v>
      </c>
      <c r="G120" s="88">
        <v>21.781675</v>
      </c>
    </row>
    <row r="121" spans="1:7" x14ac:dyDescent="0.25">
      <c r="A121" s="60" t="s">
        <v>153</v>
      </c>
      <c r="B121" s="61" t="s">
        <v>154</v>
      </c>
      <c r="C121" s="79">
        <v>12.35</v>
      </c>
      <c r="D121" s="80">
        <v>13.35</v>
      </c>
      <c r="E121" s="80">
        <v>14.35</v>
      </c>
      <c r="F121" s="81">
        <v>14.15</v>
      </c>
      <c r="G121" s="88">
        <v>13.549999999999999</v>
      </c>
    </row>
    <row r="122" spans="1:7" x14ac:dyDescent="0.25">
      <c r="A122" s="60" t="s">
        <v>185</v>
      </c>
      <c r="B122" s="61" t="s">
        <v>186</v>
      </c>
      <c r="C122" s="79">
        <v>16.399999999999999</v>
      </c>
      <c r="D122" s="80">
        <v>18.399999999999999</v>
      </c>
      <c r="E122" s="80">
        <v>20.9</v>
      </c>
      <c r="F122" s="81">
        <v>21.9</v>
      </c>
      <c r="G122" s="88">
        <v>19.399999999999999</v>
      </c>
    </row>
    <row r="123" spans="1:7" x14ac:dyDescent="0.25">
      <c r="A123" s="60" t="s">
        <v>217</v>
      </c>
      <c r="B123" s="61" t="s">
        <v>218</v>
      </c>
      <c r="C123" s="79">
        <v>9.5500000000000007</v>
      </c>
      <c r="D123" s="80">
        <v>8.5500000000000007</v>
      </c>
      <c r="E123" s="80">
        <v>8.4499999999999993</v>
      </c>
      <c r="F123" s="81">
        <v>8.5500000000000007</v>
      </c>
      <c r="G123" s="88">
        <v>8.7750000000000004</v>
      </c>
    </row>
    <row r="124" spans="1:7" x14ac:dyDescent="0.25">
      <c r="A124" s="60" t="s">
        <v>101</v>
      </c>
      <c r="B124" s="61" t="s">
        <v>102</v>
      </c>
      <c r="C124" s="79">
        <v>21.7</v>
      </c>
      <c r="D124" s="80">
        <v>21.7</v>
      </c>
      <c r="E124" s="80">
        <v>21.7</v>
      </c>
      <c r="F124" s="81">
        <v>23.7</v>
      </c>
      <c r="G124" s="88">
        <v>22.2</v>
      </c>
    </row>
    <row r="125" spans="1:7" x14ac:dyDescent="0.25">
      <c r="A125" s="60" t="s">
        <v>57</v>
      </c>
      <c r="B125" s="61" t="s">
        <v>58</v>
      </c>
      <c r="C125" s="79">
        <v>26.7105</v>
      </c>
      <c r="D125" s="80">
        <v>27.7105</v>
      </c>
      <c r="E125" s="80">
        <v>28.7105</v>
      </c>
      <c r="F125" s="81">
        <v>28.7105</v>
      </c>
      <c r="G125" s="88">
        <v>27.9605</v>
      </c>
    </row>
    <row r="126" spans="1:7" x14ac:dyDescent="0.25">
      <c r="A126" s="60" t="s">
        <v>61</v>
      </c>
      <c r="B126" s="61" t="s">
        <v>62</v>
      </c>
      <c r="C126" s="79">
        <v>34.674999999999997</v>
      </c>
      <c r="D126" s="80">
        <v>38.575000000000003</v>
      </c>
      <c r="E126" s="80">
        <v>40.450000000000003</v>
      </c>
      <c r="F126" s="81">
        <v>40.450000000000003</v>
      </c>
      <c r="G126" s="88">
        <v>38.537500000000001</v>
      </c>
    </row>
    <row r="127" spans="1:7" x14ac:dyDescent="0.25">
      <c r="A127" s="60" t="s">
        <v>195</v>
      </c>
      <c r="B127" s="61" t="s">
        <v>196</v>
      </c>
      <c r="C127" s="79">
        <v>21.1</v>
      </c>
      <c r="D127" s="80">
        <v>23.6</v>
      </c>
      <c r="E127" s="80">
        <v>22.95</v>
      </c>
      <c r="F127" s="81">
        <v>23.25</v>
      </c>
      <c r="G127" s="88">
        <v>22.725000000000001</v>
      </c>
    </row>
    <row r="128" spans="1:7" x14ac:dyDescent="0.25">
      <c r="A128" s="60" t="s">
        <v>85</v>
      </c>
      <c r="B128" s="61" t="s">
        <v>86</v>
      </c>
      <c r="C128" s="79">
        <v>18.57</v>
      </c>
      <c r="D128" s="80">
        <v>18.52</v>
      </c>
      <c r="E128" s="80">
        <v>17.437000000000001</v>
      </c>
      <c r="F128" s="81">
        <v>17.486999999999998</v>
      </c>
      <c r="G128" s="88">
        <v>18.003499999999999</v>
      </c>
    </row>
    <row r="129" spans="1:7" x14ac:dyDescent="0.25">
      <c r="A129" s="60" t="s">
        <v>67</v>
      </c>
      <c r="B129" s="61" t="s">
        <v>68</v>
      </c>
      <c r="C129" s="79">
        <v>12.775</v>
      </c>
      <c r="D129" s="80">
        <v>12.775</v>
      </c>
      <c r="E129" s="80">
        <v>14.574999999999999</v>
      </c>
      <c r="F129" s="81">
        <v>14.574999999999999</v>
      </c>
      <c r="G129" s="88">
        <v>13.675000000000001</v>
      </c>
    </row>
    <row r="130" spans="1:7" x14ac:dyDescent="0.25">
      <c r="A130" s="60" t="s">
        <v>255</v>
      </c>
      <c r="B130" s="61" t="s">
        <v>256</v>
      </c>
      <c r="C130" s="79">
        <v>12.5</v>
      </c>
      <c r="D130" s="80">
        <v>12.3</v>
      </c>
      <c r="E130" s="80">
        <v>12.2</v>
      </c>
      <c r="F130" s="81">
        <v>12.25</v>
      </c>
      <c r="G130" s="88">
        <v>12.3125</v>
      </c>
    </row>
    <row r="131" spans="1:7" x14ac:dyDescent="0.25">
      <c r="A131" s="60" t="s">
        <v>293</v>
      </c>
      <c r="B131" s="61" t="s">
        <v>294</v>
      </c>
      <c r="C131" s="79">
        <v>14.7</v>
      </c>
      <c r="D131" s="80">
        <v>14</v>
      </c>
      <c r="E131" s="80">
        <v>15</v>
      </c>
      <c r="F131" s="81">
        <v>17</v>
      </c>
      <c r="G131" s="88">
        <v>15.175000000000001</v>
      </c>
    </row>
    <row r="132" spans="1:7" x14ac:dyDescent="0.25">
      <c r="A132" s="60" t="s">
        <v>261</v>
      </c>
      <c r="B132" s="61" t="s">
        <v>262</v>
      </c>
      <c r="C132" s="79">
        <v>12.8635</v>
      </c>
      <c r="D132" s="80">
        <v>13.7378</v>
      </c>
      <c r="E132" s="80">
        <v>13.7378</v>
      </c>
      <c r="F132" s="81">
        <v>13.7378</v>
      </c>
      <c r="G132" s="88">
        <v>13.519225</v>
      </c>
    </row>
    <row r="133" spans="1:7" x14ac:dyDescent="0.25">
      <c r="A133" s="60" t="s">
        <v>95</v>
      </c>
      <c r="B133" s="61" t="s">
        <v>96</v>
      </c>
      <c r="C133" s="79">
        <v>22.95</v>
      </c>
      <c r="D133" s="80">
        <v>27.95</v>
      </c>
      <c r="E133" s="80">
        <v>27.95</v>
      </c>
      <c r="F133" s="81">
        <v>27.95</v>
      </c>
      <c r="G133" s="88">
        <v>26.7</v>
      </c>
    </row>
    <row r="134" spans="1:7" x14ac:dyDescent="0.25">
      <c r="A134" s="60" t="s">
        <v>53</v>
      </c>
      <c r="B134" s="61" t="s">
        <v>54</v>
      </c>
      <c r="C134" s="79">
        <v>25.574999999999999</v>
      </c>
      <c r="D134" s="80">
        <v>26.574999999999999</v>
      </c>
      <c r="E134" s="80">
        <v>25.75</v>
      </c>
      <c r="F134" s="81">
        <v>25.45</v>
      </c>
      <c r="G134" s="88">
        <v>25.837500000000002</v>
      </c>
    </row>
    <row r="135" spans="1:7" x14ac:dyDescent="0.25">
      <c r="A135" s="60" t="s">
        <v>187</v>
      </c>
      <c r="B135" s="61" t="s">
        <v>188</v>
      </c>
      <c r="C135" s="79">
        <v>19.188700000000001</v>
      </c>
      <c r="D135" s="80">
        <v>20.993500000000001</v>
      </c>
      <c r="E135" s="80">
        <v>22.322700000000001</v>
      </c>
      <c r="F135" s="81">
        <v>24.922699999999999</v>
      </c>
      <c r="G135" s="88">
        <v>21.856900000000003</v>
      </c>
    </row>
    <row r="136" spans="1:7" x14ac:dyDescent="0.25">
      <c r="A136" s="60" t="s">
        <v>105</v>
      </c>
      <c r="B136" s="61" t="s">
        <v>106</v>
      </c>
      <c r="C136" s="79">
        <v>28.167000000000002</v>
      </c>
      <c r="D136" s="80">
        <v>27.919</v>
      </c>
      <c r="E136" s="80">
        <v>28.518999999999998</v>
      </c>
      <c r="F136" s="81">
        <v>28.6</v>
      </c>
      <c r="G136" s="88">
        <v>28.301249999999996</v>
      </c>
    </row>
    <row r="137" spans="1:7" x14ac:dyDescent="0.25">
      <c r="A137" s="60" t="s">
        <v>279</v>
      </c>
      <c r="B137" s="61" t="s">
        <v>280</v>
      </c>
      <c r="C137" s="79">
        <v>16.05</v>
      </c>
      <c r="D137" s="80">
        <v>17.100000000000001</v>
      </c>
      <c r="E137" s="80">
        <v>20.100000000000001</v>
      </c>
      <c r="F137" s="81">
        <v>20.100000000000001</v>
      </c>
      <c r="G137" s="88">
        <v>18.337500000000002</v>
      </c>
    </row>
    <row r="138" spans="1:7" x14ac:dyDescent="0.25">
      <c r="A138" s="60" t="s">
        <v>229</v>
      </c>
      <c r="B138" s="61" t="s">
        <v>230</v>
      </c>
      <c r="C138" s="79">
        <v>11.891999999999999</v>
      </c>
      <c r="D138" s="80">
        <v>11.645</v>
      </c>
      <c r="E138" s="80">
        <v>11.645</v>
      </c>
      <c r="F138" s="81">
        <v>13.645</v>
      </c>
      <c r="G138" s="88">
        <v>12.20675</v>
      </c>
    </row>
    <row r="139" spans="1:7" x14ac:dyDescent="0.25">
      <c r="A139" s="60" t="s">
        <v>239</v>
      </c>
      <c r="B139" s="61" t="s">
        <v>240</v>
      </c>
      <c r="C139" s="79">
        <v>19.21</v>
      </c>
      <c r="D139" s="80">
        <v>19.11</v>
      </c>
      <c r="E139" s="80">
        <v>19.38</v>
      </c>
      <c r="F139" s="81">
        <v>21.31</v>
      </c>
      <c r="G139" s="88">
        <v>19.752500000000001</v>
      </c>
    </row>
    <row r="140" spans="1:7" x14ac:dyDescent="0.25">
      <c r="A140" s="60" t="s">
        <v>211</v>
      </c>
      <c r="B140" s="61" t="s">
        <v>212</v>
      </c>
      <c r="C140" s="79">
        <v>20.341000000000001</v>
      </c>
      <c r="D140" s="80">
        <v>21.341000000000001</v>
      </c>
      <c r="E140" s="80">
        <v>21.366</v>
      </c>
      <c r="F140" s="81">
        <v>21.106999999999999</v>
      </c>
      <c r="G140" s="88">
        <v>21.03875</v>
      </c>
    </row>
    <row r="141" spans="1:7" x14ac:dyDescent="0.25">
      <c r="A141" s="60" t="s">
        <v>131</v>
      </c>
      <c r="B141" s="61" t="s">
        <v>132</v>
      </c>
      <c r="C141" s="79">
        <v>11.35</v>
      </c>
      <c r="D141" s="80">
        <v>10.35</v>
      </c>
      <c r="E141" s="80">
        <v>9.9499999999999993</v>
      </c>
      <c r="F141" s="81">
        <v>9.9</v>
      </c>
      <c r="G141" s="88">
        <v>10.387499999999999</v>
      </c>
    </row>
    <row r="142" spans="1:7" x14ac:dyDescent="0.25">
      <c r="A142" s="60" t="s">
        <v>237</v>
      </c>
      <c r="B142" s="61" t="s">
        <v>238</v>
      </c>
      <c r="C142" s="79">
        <v>18</v>
      </c>
      <c r="D142" s="80">
        <v>18</v>
      </c>
      <c r="E142" s="80">
        <v>18</v>
      </c>
      <c r="F142" s="81">
        <v>16</v>
      </c>
      <c r="G142" s="88">
        <v>17.5</v>
      </c>
    </row>
    <row r="143" spans="1:7" x14ac:dyDescent="0.25">
      <c r="A143" s="60" t="s">
        <v>281</v>
      </c>
      <c r="B143" s="61" t="s">
        <v>282</v>
      </c>
      <c r="C143" s="79">
        <v>10.84</v>
      </c>
      <c r="D143" s="80">
        <v>8.84</v>
      </c>
      <c r="E143" s="80">
        <v>11.94</v>
      </c>
      <c r="F143" s="81">
        <v>12.925000000000001</v>
      </c>
      <c r="G143" s="88">
        <v>11.13625</v>
      </c>
    </row>
    <row r="144" spans="1:7" x14ac:dyDescent="0.25">
      <c r="A144" s="60" t="s">
        <v>147</v>
      </c>
      <c r="B144" s="61" t="s">
        <v>148</v>
      </c>
      <c r="C144" s="79">
        <v>37.299999999999997</v>
      </c>
      <c r="D144" s="80">
        <v>38.299999999999997</v>
      </c>
      <c r="E144" s="80">
        <v>37.6</v>
      </c>
      <c r="F144" s="81">
        <v>36.6</v>
      </c>
      <c r="G144" s="88">
        <v>37.449999999999996</v>
      </c>
    </row>
    <row r="145" spans="1:7" ht="13" thickBot="1" x14ac:dyDescent="0.3">
      <c r="A145" s="62" t="s">
        <v>209</v>
      </c>
      <c r="B145" s="63" t="s">
        <v>210</v>
      </c>
      <c r="C145" s="82">
        <v>47.85</v>
      </c>
      <c r="D145" s="83">
        <v>51</v>
      </c>
      <c r="E145" s="83">
        <v>51.1</v>
      </c>
      <c r="F145" s="84">
        <v>51.125</v>
      </c>
      <c r="G145" s="89">
        <v>50.268749999999997</v>
      </c>
    </row>
    <row r="146" spans="1:7" ht="15.5" x14ac:dyDescent="0.35">
      <c r="A146" s="30"/>
      <c r="C146" s="31"/>
      <c r="D146" s="31"/>
      <c r="E146" s="31"/>
      <c r="F146" s="31"/>
    </row>
    <row r="147" spans="1:7" ht="15.5" x14ac:dyDescent="0.35">
      <c r="A147" s="30"/>
      <c r="C147" s="31"/>
      <c r="D147" s="31"/>
      <c r="E147" s="31"/>
      <c r="F147" s="31"/>
    </row>
    <row r="148" spans="1:7" ht="15.5" x14ac:dyDescent="0.35">
      <c r="A148" s="30"/>
      <c r="C148" s="31"/>
      <c r="D148" s="31"/>
      <c r="E148" s="31"/>
      <c r="F148" s="31"/>
    </row>
    <row r="149" spans="1:7" x14ac:dyDescent="0.25">
      <c r="A149" s="30"/>
      <c r="B149" s="30"/>
      <c r="C149" s="30"/>
      <c r="D149" s="30"/>
      <c r="E149" s="30"/>
      <c r="F149" s="30"/>
    </row>
    <row r="171" ht="26.15" customHeight="1" x14ac:dyDescent="0.25"/>
    <row r="172" ht="12.75" customHeight="1" x14ac:dyDescent="0.25"/>
  </sheetData>
  <sortState xmlns:xlrd2="http://schemas.microsoft.com/office/spreadsheetml/2017/richdata2" ref="A23:G146">
    <sortCondition ref="B23:B146"/>
  </sortState>
  <mergeCells count="12">
    <mergeCell ref="A1:H1"/>
    <mergeCell ref="A2:F2"/>
    <mergeCell ref="A4:F4"/>
    <mergeCell ref="A19:A20"/>
    <mergeCell ref="B19:B20"/>
    <mergeCell ref="C19:E19"/>
    <mergeCell ref="G19:G20"/>
    <mergeCell ref="A13:F13"/>
    <mergeCell ref="A14:F14"/>
    <mergeCell ref="A3:G3"/>
    <mergeCell ref="A16:F16"/>
    <mergeCell ref="A17:G17"/>
  </mergeCells>
  <hyperlinks>
    <hyperlink ref="A5" r:id="rId1" display="https://digital.nhs.uk/data-and-information/publications/statistical/nhs-workforce-statistics" xr:uid="{DBEE6249-3EAD-4D8A-8F11-FD401D2ECFA3}"/>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3DE7-35B4-4590-A78D-8E0BE64B3605}">
  <dimension ref="A1:K160"/>
  <sheetViews>
    <sheetView showGridLines="0" zoomScaleNormal="100" workbookViewId="0">
      <selection activeCell="A2" sqref="A2:F2"/>
    </sheetView>
  </sheetViews>
  <sheetFormatPr defaultColWidth="7.69140625" defaultRowHeight="12.5" x14ac:dyDescent="0.25"/>
  <cols>
    <col min="1" max="1" width="5.84375" style="1" customWidth="1"/>
    <col min="2" max="2" width="54.07421875" style="1" customWidth="1"/>
    <col min="3" max="5" width="10.69140625" style="1" customWidth="1"/>
    <col min="6" max="6" width="11.84375" style="1" customWidth="1"/>
    <col min="7" max="7" width="9.84375" style="1" customWidth="1"/>
    <col min="8" max="16384" width="7.69140625" style="1"/>
  </cols>
  <sheetData>
    <row r="1" spans="1:8" ht="105" customHeight="1" x14ac:dyDescent="0.25">
      <c r="A1" s="119"/>
      <c r="B1" s="119"/>
      <c r="C1" s="119"/>
      <c r="D1" s="119"/>
      <c r="E1" s="119"/>
      <c r="F1" s="119"/>
      <c r="G1" s="119"/>
      <c r="H1" s="119"/>
    </row>
    <row r="2" spans="1:8" ht="29.25" customHeight="1" x14ac:dyDescent="0.25">
      <c r="A2" s="123" t="s">
        <v>347</v>
      </c>
      <c r="B2" s="123"/>
      <c r="C2" s="123"/>
      <c r="D2" s="123"/>
      <c r="E2" s="123"/>
      <c r="F2" s="123"/>
    </row>
    <row r="3" spans="1:8" s="72" customFormat="1" ht="14.5" x14ac:dyDescent="0.35">
      <c r="A3" s="134" t="s">
        <v>351</v>
      </c>
      <c r="B3" s="134"/>
      <c r="C3" s="134"/>
      <c r="D3" s="134"/>
      <c r="E3" s="134"/>
      <c r="F3" s="134"/>
      <c r="G3" s="134"/>
    </row>
    <row r="4" spans="1:8" ht="13.5" customHeight="1" x14ac:dyDescent="0.25">
      <c r="A4" s="124" t="s">
        <v>11</v>
      </c>
      <c r="B4" s="124"/>
      <c r="C4" s="124"/>
      <c r="D4" s="124"/>
      <c r="E4" s="124"/>
      <c r="F4" s="124"/>
    </row>
    <row r="5" spans="1:8" ht="13.5" customHeight="1" x14ac:dyDescent="0.25">
      <c r="A5" s="14" t="s">
        <v>12</v>
      </c>
      <c r="B5" s="15"/>
      <c r="C5" s="15"/>
      <c r="D5" s="15"/>
      <c r="E5" s="15"/>
      <c r="F5" s="15"/>
    </row>
    <row r="6" spans="1:8" ht="13.5" customHeight="1" x14ac:dyDescent="0.25">
      <c r="A6" s="16" t="s">
        <v>13</v>
      </c>
      <c r="B6" s="15"/>
      <c r="C6" s="15"/>
      <c r="D6" s="15"/>
      <c r="E6" s="15"/>
      <c r="F6" s="15"/>
    </row>
    <row r="7" spans="1:8" ht="13.5" customHeight="1" x14ac:dyDescent="0.25">
      <c r="A7" s="16"/>
      <c r="B7" s="15"/>
      <c r="C7" s="15"/>
      <c r="D7" s="15"/>
      <c r="E7" s="15"/>
      <c r="F7" s="15"/>
    </row>
    <row r="8" spans="1:8" ht="13.5" customHeight="1" x14ac:dyDescent="0.3">
      <c r="A8" s="96" t="s">
        <v>325</v>
      </c>
      <c r="B8" s="15"/>
      <c r="C8" s="15"/>
      <c r="D8" s="15"/>
      <c r="E8" s="15"/>
      <c r="F8" s="15"/>
    </row>
    <row r="9" spans="1:8" ht="13.5" customHeight="1" x14ac:dyDescent="0.25">
      <c r="A9" s="16" t="s">
        <v>323</v>
      </c>
      <c r="B9" s="15"/>
      <c r="C9" s="15"/>
      <c r="D9" s="15"/>
      <c r="E9" s="15"/>
      <c r="F9" s="15"/>
    </row>
    <row r="10" spans="1:8" ht="13.5" customHeight="1" x14ac:dyDescent="0.25">
      <c r="A10" s="16" t="s">
        <v>334</v>
      </c>
      <c r="B10" s="17"/>
      <c r="C10" s="17"/>
      <c r="D10" s="17"/>
      <c r="E10" s="17"/>
      <c r="F10" s="17"/>
    </row>
    <row r="11" spans="1:8" ht="13.5" customHeight="1" x14ac:dyDescent="0.25">
      <c r="A11" s="16" t="s">
        <v>333</v>
      </c>
      <c r="B11" s="17"/>
      <c r="C11" s="17"/>
      <c r="D11" s="17"/>
      <c r="E11" s="17"/>
      <c r="F11" s="17"/>
    </row>
    <row r="12" spans="1:8" ht="13.5" customHeight="1" x14ac:dyDescent="0.25">
      <c r="B12" s="18"/>
      <c r="C12" s="18"/>
      <c r="D12" s="18"/>
      <c r="E12" s="18"/>
      <c r="F12" s="18"/>
    </row>
    <row r="13" spans="1:8" ht="13" x14ac:dyDescent="0.25">
      <c r="A13" s="132" t="s">
        <v>24</v>
      </c>
      <c r="B13" s="132"/>
      <c r="C13" s="132"/>
      <c r="D13" s="132"/>
      <c r="E13" s="132"/>
      <c r="F13" s="132"/>
    </row>
    <row r="14" spans="1:8" ht="27.75" customHeight="1" x14ac:dyDescent="0.25">
      <c r="A14" s="133" t="s">
        <v>25</v>
      </c>
      <c r="B14" s="133"/>
      <c r="C14" s="133"/>
      <c r="D14" s="133"/>
      <c r="E14" s="133"/>
      <c r="F14" s="133"/>
    </row>
    <row r="15" spans="1:8" s="97" customFormat="1" x14ac:dyDescent="0.25"/>
    <row r="16" spans="1:8" customFormat="1" ht="15.5" x14ac:dyDescent="0.35">
      <c r="A16" s="132" t="s">
        <v>324</v>
      </c>
      <c r="B16" s="132"/>
      <c r="C16" s="132"/>
      <c r="D16" s="132"/>
      <c r="E16" s="132"/>
      <c r="F16" s="132"/>
    </row>
    <row r="17" spans="1:11" customFormat="1" ht="31.5" customHeight="1" x14ac:dyDescent="0.35">
      <c r="A17" s="135" t="s">
        <v>326</v>
      </c>
      <c r="B17" s="135"/>
      <c r="C17" s="135"/>
      <c r="D17" s="135"/>
      <c r="E17" s="135"/>
      <c r="F17" s="135"/>
      <c r="G17" s="135"/>
    </row>
    <row r="18" spans="1:11" ht="14.15" customHeight="1" thickBot="1" x14ac:dyDescent="0.3">
      <c r="A18" s="67"/>
      <c r="B18" s="67"/>
      <c r="C18" s="67"/>
      <c r="D18" s="67"/>
      <c r="E18" s="67"/>
      <c r="F18" s="67"/>
    </row>
    <row r="19" spans="1:11" ht="13.5" customHeight="1" thickBot="1" x14ac:dyDescent="0.3">
      <c r="A19" s="125" t="s">
        <v>14</v>
      </c>
      <c r="B19" s="127" t="s">
        <v>15</v>
      </c>
      <c r="C19" s="129">
        <v>2024</v>
      </c>
      <c r="D19" s="130"/>
      <c r="E19" s="130"/>
      <c r="F19" s="19">
        <v>2025</v>
      </c>
      <c r="G19" s="131" t="s">
        <v>16</v>
      </c>
    </row>
    <row r="20" spans="1:11" ht="13.5" thickBot="1" x14ac:dyDescent="0.3">
      <c r="A20" s="126"/>
      <c r="B20" s="128"/>
      <c r="C20" s="20" t="s">
        <v>17</v>
      </c>
      <c r="D20" s="21" t="s">
        <v>18</v>
      </c>
      <c r="E20" s="22" t="s">
        <v>19</v>
      </c>
      <c r="F20" s="22" t="s">
        <v>20</v>
      </c>
      <c r="G20" s="131"/>
    </row>
    <row r="21" spans="1:11" ht="13.5" thickBot="1" x14ac:dyDescent="0.35">
      <c r="A21" s="54" t="s">
        <v>21</v>
      </c>
      <c r="B21" s="55" t="s">
        <v>22</v>
      </c>
      <c r="C21" s="74">
        <v>19717.095600000008</v>
      </c>
      <c r="D21" s="74">
        <v>19987.356649999998</v>
      </c>
      <c r="E21" s="74">
        <v>20232.346839999995</v>
      </c>
      <c r="F21" s="74">
        <v>20476.376119999997</v>
      </c>
      <c r="G21" s="85">
        <f>SUM(C21:F21)/4</f>
        <v>20103.2938025</v>
      </c>
      <c r="H21" s="25"/>
      <c r="I21" s="26"/>
      <c r="J21" s="26"/>
      <c r="K21" s="26"/>
    </row>
    <row r="22" spans="1:11" ht="13" thickBot="1" x14ac:dyDescent="0.3">
      <c r="A22" s="90"/>
      <c r="B22" s="91" t="s">
        <v>23</v>
      </c>
      <c r="C22" s="75"/>
      <c r="D22" s="75"/>
      <c r="E22" s="75"/>
      <c r="F22" s="75"/>
      <c r="G22" s="86"/>
    </row>
    <row r="23" spans="1:11" x14ac:dyDescent="0.25">
      <c r="A23" s="58" t="s">
        <v>243</v>
      </c>
      <c r="B23" s="59" t="s">
        <v>244</v>
      </c>
      <c r="C23" s="76">
        <v>414.38002</v>
      </c>
      <c r="D23" s="77">
        <v>430.04667999999998</v>
      </c>
      <c r="E23" s="77">
        <v>436.08668</v>
      </c>
      <c r="F23" s="78">
        <v>443.47333999999995</v>
      </c>
      <c r="G23" s="87">
        <f>SUM(C23:F23)/4</f>
        <v>430.99667999999997</v>
      </c>
    </row>
    <row r="24" spans="1:11" x14ac:dyDescent="0.25">
      <c r="A24" s="60" t="s">
        <v>223</v>
      </c>
      <c r="B24" s="61" t="s">
        <v>224</v>
      </c>
      <c r="C24" s="79">
        <v>198.15332999999998</v>
      </c>
      <c r="D24" s="80">
        <v>201.47999999999996</v>
      </c>
      <c r="E24" s="80">
        <v>193.03334000000001</v>
      </c>
      <c r="F24" s="81">
        <v>195.66000000000003</v>
      </c>
      <c r="G24" s="88">
        <f t="shared" ref="G24:G87" si="0">SUM(C24:F24)/4</f>
        <v>197.08166749999998</v>
      </c>
    </row>
    <row r="25" spans="1:11" x14ac:dyDescent="0.25">
      <c r="A25" s="60" t="s">
        <v>121</v>
      </c>
      <c r="B25" s="61" t="s">
        <v>122</v>
      </c>
      <c r="C25" s="79">
        <v>157.89332999999999</v>
      </c>
      <c r="D25" s="80">
        <v>147.41332999999997</v>
      </c>
      <c r="E25" s="80">
        <v>159.22666000000001</v>
      </c>
      <c r="F25" s="81">
        <v>171.17332999999999</v>
      </c>
      <c r="G25" s="88">
        <f t="shared" si="0"/>
        <v>158.92666249999999</v>
      </c>
    </row>
    <row r="26" spans="1:11" x14ac:dyDescent="0.25">
      <c r="A26" s="60" t="s">
        <v>275</v>
      </c>
      <c r="B26" s="61" t="s">
        <v>276</v>
      </c>
      <c r="C26" s="79">
        <v>1</v>
      </c>
      <c r="D26" s="80">
        <v>1</v>
      </c>
      <c r="E26" s="80">
        <v>1</v>
      </c>
      <c r="F26" s="81">
        <v>1</v>
      </c>
      <c r="G26" s="88">
        <f t="shared" si="0"/>
        <v>1</v>
      </c>
    </row>
    <row r="27" spans="1:11" x14ac:dyDescent="0.25">
      <c r="A27" s="60" t="s">
        <v>125</v>
      </c>
      <c r="B27" s="61" t="s">
        <v>126</v>
      </c>
      <c r="C27" s="79">
        <v>72.399979999999999</v>
      </c>
      <c r="D27" s="80">
        <v>71.453319999999991</v>
      </c>
      <c r="E27" s="80">
        <v>72.733319999999992</v>
      </c>
      <c r="F27" s="81">
        <v>70.426649999999995</v>
      </c>
      <c r="G27" s="88">
        <f t="shared" si="0"/>
        <v>71.753317499999994</v>
      </c>
    </row>
    <row r="28" spans="1:11" x14ac:dyDescent="0.25">
      <c r="A28" s="60" t="s">
        <v>167</v>
      </c>
      <c r="B28" s="61" t="s">
        <v>168</v>
      </c>
      <c r="C28" s="79">
        <v>417.78479999999996</v>
      </c>
      <c r="D28" s="80">
        <v>416.36974000000004</v>
      </c>
      <c r="E28" s="80">
        <v>409.59775000000002</v>
      </c>
      <c r="F28" s="81">
        <v>411.93908000000005</v>
      </c>
      <c r="G28" s="88">
        <f t="shared" si="0"/>
        <v>413.9228425</v>
      </c>
    </row>
    <row r="29" spans="1:11" x14ac:dyDescent="0.25">
      <c r="A29" s="60" t="s">
        <v>149</v>
      </c>
      <c r="B29" s="61" t="s">
        <v>150</v>
      </c>
      <c r="C29" s="79">
        <v>219.12506000000002</v>
      </c>
      <c r="D29" s="80">
        <v>231.33438000000001</v>
      </c>
      <c r="E29" s="80">
        <v>237.72105000000002</v>
      </c>
      <c r="F29" s="81">
        <v>238.05304999999998</v>
      </c>
      <c r="G29" s="88">
        <f t="shared" si="0"/>
        <v>231.55838500000002</v>
      </c>
    </row>
    <row r="30" spans="1:11" x14ac:dyDescent="0.25">
      <c r="A30" s="60" t="s">
        <v>201</v>
      </c>
      <c r="B30" s="61" t="s">
        <v>202</v>
      </c>
      <c r="C30" s="79">
        <v>86.775970000000001</v>
      </c>
      <c r="D30" s="80">
        <v>90.00264</v>
      </c>
      <c r="E30" s="80">
        <v>93.122640000000004</v>
      </c>
      <c r="F30" s="81">
        <v>90.066639999999992</v>
      </c>
      <c r="G30" s="88">
        <f t="shared" si="0"/>
        <v>89.991972500000003</v>
      </c>
    </row>
    <row r="31" spans="1:11" x14ac:dyDescent="0.25">
      <c r="A31" s="60" t="s">
        <v>313</v>
      </c>
      <c r="B31" s="61" t="s">
        <v>314</v>
      </c>
      <c r="C31" s="79">
        <v>276.62183000000005</v>
      </c>
      <c r="D31" s="80">
        <v>281.29329000000001</v>
      </c>
      <c r="E31" s="80">
        <v>281.43995999999999</v>
      </c>
      <c r="F31" s="81">
        <v>277.02776999999998</v>
      </c>
      <c r="G31" s="88">
        <f t="shared" si="0"/>
        <v>279.09571249999999</v>
      </c>
    </row>
    <row r="32" spans="1:11" x14ac:dyDescent="0.25">
      <c r="A32" s="60" t="s">
        <v>311</v>
      </c>
      <c r="B32" s="61" t="s">
        <v>312</v>
      </c>
      <c r="C32" s="79">
        <v>91.086640000000003</v>
      </c>
      <c r="D32" s="80">
        <v>100.04664</v>
      </c>
      <c r="E32" s="80">
        <v>103.44664</v>
      </c>
      <c r="F32" s="81">
        <v>98.419970000000006</v>
      </c>
      <c r="G32" s="88">
        <f t="shared" si="0"/>
        <v>98.249972500000013</v>
      </c>
    </row>
    <row r="33" spans="1:7" x14ac:dyDescent="0.25">
      <c r="A33" s="60" t="s">
        <v>93</v>
      </c>
      <c r="B33" s="61" t="s">
        <v>94</v>
      </c>
      <c r="C33" s="79">
        <v>111.70666</v>
      </c>
      <c r="D33" s="80">
        <v>110.98001000000001</v>
      </c>
      <c r="E33" s="80">
        <v>112.28667</v>
      </c>
      <c r="F33" s="81">
        <v>112.19332999999999</v>
      </c>
      <c r="G33" s="88">
        <f t="shared" si="0"/>
        <v>111.7916675</v>
      </c>
    </row>
    <row r="34" spans="1:7" x14ac:dyDescent="0.25">
      <c r="A34" s="60" t="s">
        <v>75</v>
      </c>
      <c r="B34" s="61" t="s">
        <v>76</v>
      </c>
      <c r="C34" s="79">
        <v>303.56532000000004</v>
      </c>
      <c r="D34" s="80">
        <v>298.24531999999999</v>
      </c>
      <c r="E34" s="80">
        <v>290.19331</v>
      </c>
      <c r="F34" s="81">
        <v>300.56664999999998</v>
      </c>
      <c r="G34" s="88">
        <f t="shared" si="0"/>
        <v>298.14265</v>
      </c>
    </row>
    <row r="35" spans="1:7" x14ac:dyDescent="0.25">
      <c r="A35" s="60" t="s">
        <v>175</v>
      </c>
      <c r="B35" s="61" t="s">
        <v>176</v>
      </c>
      <c r="C35" s="79">
        <v>245.34519</v>
      </c>
      <c r="D35" s="80">
        <v>245.91785000000002</v>
      </c>
      <c r="E35" s="80">
        <v>249.75786000000002</v>
      </c>
      <c r="F35" s="81">
        <v>389.45787999999993</v>
      </c>
      <c r="G35" s="88">
        <f t="shared" si="0"/>
        <v>282.61969499999998</v>
      </c>
    </row>
    <row r="36" spans="1:7" x14ac:dyDescent="0.25">
      <c r="A36" s="60" t="s">
        <v>173</v>
      </c>
      <c r="B36" s="61" t="s">
        <v>174</v>
      </c>
      <c r="C36" s="79">
        <v>118.08004000000001</v>
      </c>
      <c r="D36" s="80">
        <v>117.97337</v>
      </c>
      <c r="E36" s="80">
        <v>127.90669999999999</v>
      </c>
      <c r="F36" s="81"/>
      <c r="G36" s="88">
        <f t="shared" si="0"/>
        <v>90.990027499999997</v>
      </c>
    </row>
    <row r="37" spans="1:7" x14ac:dyDescent="0.25">
      <c r="A37" s="60" t="s">
        <v>145</v>
      </c>
      <c r="B37" s="61" t="s">
        <v>146</v>
      </c>
      <c r="C37" s="79">
        <v>137.68002000000001</v>
      </c>
      <c r="D37" s="80">
        <v>142.81334999999999</v>
      </c>
      <c r="E37" s="80">
        <v>140.70668000000001</v>
      </c>
      <c r="F37" s="81">
        <v>137.40001000000001</v>
      </c>
      <c r="G37" s="88">
        <f t="shared" si="0"/>
        <v>139.650015</v>
      </c>
    </row>
    <row r="38" spans="1:7" x14ac:dyDescent="0.25">
      <c r="A38" s="60" t="s">
        <v>159</v>
      </c>
      <c r="B38" s="61" t="s">
        <v>160</v>
      </c>
      <c r="C38" s="79">
        <v>116.68986000000001</v>
      </c>
      <c r="D38" s="80">
        <v>121.57651</v>
      </c>
      <c r="E38" s="80">
        <v>129.88317000000001</v>
      </c>
      <c r="F38" s="81">
        <v>124.96316999999999</v>
      </c>
      <c r="G38" s="88">
        <f t="shared" si="0"/>
        <v>123.2781775</v>
      </c>
    </row>
    <row r="39" spans="1:7" x14ac:dyDescent="0.25">
      <c r="A39" s="60" t="s">
        <v>117</v>
      </c>
      <c r="B39" s="61" t="s">
        <v>118</v>
      </c>
      <c r="C39" s="79">
        <v>88.299979999999991</v>
      </c>
      <c r="D39" s="80">
        <v>88.699970000000008</v>
      </c>
      <c r="E39" s="80">
        <v>89.093299999999999</v>
      </c>
      <c r="F39" s="81">
        <v>91.253289999999993</v>
      </c>
      <c r="G39" s="88">
        <f t="shared" si="0"/>
        <v>89.336635000000001</v>
      </c>
    </row>
    <row r="40" spans="1:7" x14ac:dyDescent="0.25">
      <c r="A40" s="60" t="s">
        <v>291</v>
      </c>
      <c r="B40" s="61" t="s">
        <v>292</v>
      </c>
      <c r="C40" s="79">
        <v>107.39993999999999</v>
      </c>
      <c r="D40" s="80">
        <v>111.29326999999998</v>
      </c>
      <c r="E40" s="80">
        <v>116.07992999999999</v>
      </c>
      <c r="F40" s="81">
        <v>123.79993999999999</v>
      </c>
      <c r="G40" s="88">
        <f t="shared" si="0"/>
        <v>114.64326999999999</v>
      </c>
    </row>
    <row r="41" spans="1:7" x14ac:dyDescent="0.25">
      <c r="A41" s="60" t="s">
        <v>263</v>
      </c>
      <c r="B41" s="61" t="s">
        <v>264</v>
      </c>
      <c r="C41" s="79">
        <v>139.17331000000001</v>
      </c>
      <c r="D41" s="80">
        <v>139.57998000000001</v>
      </c>
      <c r="E41" s="80">
        <v>138.77997999999999</v>
      </c>
      <c r="F41" s="81">
        <v>144.25997000000001</v>
      </c>
      <c r="G41" s="88">
        <f t="shared" si="0"/>
        <v>140.44830999999999</v>
      </c>
    </row>
    <row r="42" spans="1:7" x14ac:dyDescent="0.25">
      <c r="A42" s="60" t="s">
        <v>245</v>
      </c>
      <c r="B42" s="61" t="s">
        <v>246</v>
      </c>
      <c r="C42" s="79">
        <v>284.65332999999998</v>
      </c>
      <c r="D42" s="80">
        <v>281.37331999999998</v>
      </c>
      <c r="E42" s="80">
        <v>291.63999000000001</v>
      </c>
      <c r="F42" s="81">
        <v>320.47998999999999</v>
      </c>
      <c r="G42" s="88">
        <f t="shared" si="0"/>
        <v>294.53665749999999</v>
      </c>
    </row>
    <row r="43" spans="1:7" x14ac:dyDescent="0.25">
      <c r="A43" s="60" t="s">
        <v>227</v>
      </c>
      <c r="B43" s="61" t="s">
        <v>228</v>
      </c>
      <c r="C43" s="79">
        <v>76.813310000000001</v>
      </c>
      <c r="D43" s="80">
        <v>76.846640000000008</v>
      </c>
      <c r="E43" s="80">
        <v>78.093310000000002</v>
      </c>
      <c r="F43" s="81">
        <v>81.226650000000006</v>
      </c>
      <c r="G43" s="88">
        <f t="shared" si="0"/>
        <v>78.244977500000005</v>
      </c>
    </row>
    <row r="44" spans="1:7" x14ac:dyDescent="0.25">
      <c r="A44" s="60" t="s">
        <v>247</v>
      </c>
      <c r="B44" s="61" t="s">
        <v>248</v>
      </c>
      <c r="C44" s="79">
        <v>136.27006</v>
      </c>
      <c r="D44" s="80">
        <v>146.42419999999998</v>
      </c>
      <c r="E44" s="80">
        <v>152.30418999999998</v>
      </c>
      <c r="F44" s="81">
        <v>159.39751999999999</v>
      </c>
      <c r="G44" s="88">
        <f t="shared" si="0"/>
        <v>148.59899249999998</v>
      </c>
    </row>
    <row r="45" spans="1:7" x14ac:dyDescent="0.25">
      <c r="A45" s="60" t="s">
        <v>63</v>
      </c>
      <c r="B45" s="61" t="s">
        <v>64</v>
      </c>
      <c r="C45" s="79">
        <v>144.05998000000002</v>
      </c>
      <c r="D45" s="80">
        <v>145.05329</v>
      </c>
      <c r="E45" s="80">
        <v>156.49329</v>
      </c>
      <c r="F45" s="81">
        <v>157.1533</v>
      </c>
      <c r="G45" s="88">
        <f t="shared" si="0"/>
        <v>150.68996500000003</v>
      </c>
    </row>
    <row r="46" spans="1:7" x14ac:dyDescent="0.25">
      <c r="A46" s="60" t="s">
        <v>115</v>
      </c>
      <c r="B46" s="61" t="s">
        <v>116</v>
      </c>
      <c r="C46" s="79">
        <v>135.75493</v>
      </c>
      <c r="D46" s="80">
        <v>137.60826</v>
      </c>
      <c r="E46" s="80">
        <v>156.08825999999999</v>
      </c>
      <c r="F46" s="81">
        <v>159.47493</v>
      </c>
      <c r="G46" s="88">
        <f t="shared" si="0"/>
        <v>147.231595</v>
      </c>
    </row>
    <row r="47" spans="1:7" x14ac:dyDescent="0.25">
      <c r="A47" s="60" t="s">
        <v>99</v>
      </c>
      <c r="B47" s="61" t="s">
        <v>100</v>
      </c>
      <c r="C47" s="79">
        <v>47.953339999999997</v>
      </c>
      <c r="D47" s="80">
        <v>54.873350000000002</v>
      </c>
      <c r="E47" s="80">
        <v>65.940020000000004</v>
      </c>
      <c r="F47" s="81">
        <v>67.260019999999997</v>
      </c>
      <c r="G47" s="88">
        <f t="shared" si="0"/>
        <v>59.006682499999997</v>
      </c>
    </row>
    <row r="48" spans="1:7" x14ac:dyDescent="0.25">
      <c r="A48" s="60" t="s">
        <v>89</v>
      </c>
      <c r="B48" s="61" t="s">
        <v>90</v>
      </c>
      <c r="C48" s="79">
        <v>43.916649999999997</v>
      </c>
      <c r="D48" s="80">
        <v>45.336649999999999</v>
      </c>
      <c r="E48" s="80">
        <v>47.486649999999997</v>
      </c>
      <c r="F48" s="81">
        <v>53.099980000000002</v>
      </c>
      <c r="G48" s="88">
        <f t="shared" si="0"/>
        <v>47.459982499999995</v>
      </c>
    </row>
    <row r="49" spans="1:7" x14ac:dyDescent="0.25">
      <c r="A49" s="60" t="s">
        <v>111</v>
      </c>
      <c r="B49" s="61" t="s">
        <v>112</v>
      </c>
      <c r="C49" s="79">
        <v>56.379990000000006</v>
      </c>
      <c r="D49" s="80">
        <v>51.93732</v>
      </c>
      <c r="E49" s="80">
        <v>57.657319999999999</v>
      </c>
      <c r="F49" s="81">
        <v>57.973320000000001</v>
      </c>
      <c r="G49" s="88">
        <f t="shared" si="0"/>
        <v>55.986987499999998</v>
      </c>
    </row>
    <row r="50" spans="1:7" x14ac:dyDescent="0.25">
      <c r="A50" s="60" t="s">
        <v>83</v>
      </c>
      <c r="B50" s="61" t="s">
        <v>84</v>
      </c>
      <c r="C50" s="79">
        <v>62.82667</v>
      </c>
      <c r="D50" s="80">
        <v>64.466669999999993</v>
      </c>
      <c r="E50" s="80">
        <v>71.226669999999999</v>
      </c>
      <c r="F50" s="81">
        <v>81.253329999999991</v>
      </c>
      <c r="G50" s="88">
        <f t="shared" si="0"/>
        <v>69.943335000000005</v>
      </c>
    </row>
    <row r="51" spans="1:7" x14ac:dyDescent="0.25">
      <c r="A51" s="60" t="s">
        <v>307</v>
      </c>
      <c r="B51" s="61" t="s">
        <v>308</v>
      </c>
      <c r="C51" s="79">
        <v>121.49333</v>
      </c>
      <c r="D51" s="80">
        <v>119.38</v>
      </c>
      <c r="E51" s="80">
        <v>116.47999999999999</v>
      </c>
      <c r="F51" s="81">
        <v>119.80665999999999</v>
      </c>
      <c r="G51" s="88">
        <f t="shared" si="0"/>
        <v>119.2899975</v>
      </c>
    </row>
    <row r="52" spans="1:7" x14ac:dyDescent="0.25">
      <c r="A52" s="60" t="s">
        <v>139</v>
      </c>
      <c r="B52" s="61" t="s">
        <v>140</v>
      </c>
      <c r="C52" s="79">
        <v>95.233270000000005</v>
      </c>
      <c r="D52" s="80">
        <v>95.619939999999986</v>
      </c>
      <c r="E52" s="80">
        <v>100.84661</v>
      </c>
      <c r="F52" s="81">
        <v>102.80661000000001</v>
      </c>
      <c r="G52" s="88">
        <f t="shared" si="0"/>
        <v>98.626607500000006</v>
      </c>
    </row>
    <row r="53" spans="1:7" x14ac:dyDescent="0.25">
      <c r="A53" s="60" t="s">
        <v>71</v>
      </c>
      <c r="B53" s="61" t="s">
        <v>72</v>
      </c>
      <c r="C53" s="79">
        <v>237.74860000000001</v>
      </c>
      <c r="D53" s="80">
        <v>255.27189999999999</v>
      </c>
      <c r="E53" s="80">
        <v>259.46791000000002</v>
      </c>
      <c r="F53" s="81">
        <v>268.15457000000004</v>
      </c>
      <c r="G53" s="88">
        <f t="shared" si="0"/>
        <v>255.16074499999999</v>
      </c>
    </row>
    <row r="54" spans="1:7" x14ac:dyDescent="0.25">
      <c r="A54" s="60" t="s">
        <v>189</v>
      </c>
      <c r="B54" s="61" t="s">
        <v>190</v>
      </c>
      <c r="C54" s="79">
        <v>266.11317000000003</v>
      </c>
      <c r="D54" s="80">
        <v>270.61983000000004</v>
      </c>
      <c r="E54" s="80">
        <v>287.09984000000003</v>
      </c>
      <c r="F54" s="81">
        <v>260.67988000000003</v>
      </c>
      <c r="G54" s="88">
        <f t="shared" si="0"/>
        <v>271.12818000000004</v>
      </c>
    </row>
    <row r="55" spans="1:7" x14ac:dyDescent="0.25">
      <c r="A55" s="60" t="s">
        <v>303</v>
      </c>
      <c r="B55" s="61" t="s">
        <v>304</v>
      </c>
      <c r="C55" s="79">
        <v>107.68317</v>
      </c>
      <c r="D55" s="80">
        <v>109.28984000000001</v>
      </c>
      <c r="E55" s="80">
        <v>113.89650999999999</v>
      </c>
      <c r="F55" s="81">
        <v>110.22984000000001</v>
      </c>
      <c r="G55" s="88">
        <f t="shared" si="0"/>
        <v>110.27484000000001</v>
      </c>
    </row>
    <row r="56" spans="1:7" x14ac:dyDescent="0.25">
      <c r="A56" s="60" t="s">
        <v>241</v>
      </c>
      <c r="B56" s="61" t="s">
        <v>242</v>
      </c>
      <c r="C56" s="79">
        <v>219.33330999999998</v>
      </c>
      <c r="D56" s="80">
        <v>218.73998</v>
      </c>
      <c r="E56" s="80">
        <v>214.29998000000001</v>
      </c>
      <c r="F56" s="81">
        <v>224.43330999999998</v>
      </c>
      <c r="G56" s="88">
        <f t="shared" si="0"/>
        <v>219.20164500000001</v>
      </c>
    </row>
    <row r="57" spans="1:7" x14ac:dyDescent="0.25">
      <c r="A57" s="60" t="s">
        <v>165</v>
      </c>
      <c r="B57" s="61" t="s">
        <v>166</v>
      </c>
      <c r="C57" s="79">
        <v>256.18534</v>
      </c>
      <c r="D57" s="80">
        <v>252.54107000000002</v>
      </c>
      <c r="E57" s="80">
        <v>258.26106999999996</v>
      </c>
      <c r="F57" s="81">
        <v>254.86771999999999</v>
      </c>
      <c r="G57" s="88">
        <f t="shared" si="0"/>
        <v>255.46379999999999</v>
      </c>
    </row>
    <row r="58" spans="1:7" x14ac:dyDescent="0.25">
      <c r="A58" s="60" t="s">
        <v>91</v>
      </c>
      <c r="B58" s="61" t="s">
        <v>92</v>
      </c>
      <c r="C58" s="79">
        <v>101.92</v>
      </c>
      <c r="D58" s="80">
        <v>100.44667</v>
      </c>
      <c r="E58" s="80">
        <v>102.86667</v>
      </c>
      <c r="F58" s="81">
        <v>102.12</v>
      </c>
      <c r="G58" s="88">
        <f t="shared" si="0"/>
        <v>101.838335</v>
      </c>
    </row>
    <row r="59" spans="1:7" x14ac:dyDescent="0.25">
      <c r="A59" s="60" t="s">
        <v>109</v>
      </c>
      <c r="B59" s="61" t="s">
        <v>110</v>
      </c>
      <c r="C59" s="79">
        <v>87.818709999999996</v>
      </c>
      <c r="D59" s="80">
        <v>82.48084999999999</v>
      </c>
      <c r="E59" s="80">
        <v>86.542699999999996</v>
      </c>
      <c r="F59" s="81">
        <v>90.118170000000006</v>
      </c>
      <c r="G59" s="88">
        <f t="shared" si="0"/>
        <v>86.740107500000008</v>
      </c>
    </row>
    <row r="60" spans="1:7" x14ac:dyDescent="0.25">
      <c r="A60" s="60" t="s">
        <v>43</v>
      </c>
      <c r="B60" s="61" t="s">
        <v>44</v>
      </c>
      <c r="C60" s="79">
        <v>88.346620000000001</v>
      </c>
      <c r="D60" s="80">
        <v>86.666619999999995</v>
      </c>
      <c r="E60" s="80">
        <v>88.599959999999996</v>
      </c>
      <c r="F60" s="81">
        <v>87.293289999999999</v>
      </c>
      <c r="G60" s="88">
        <f t="shared" si="0"/>
        <v>87.726622500000005</v>
      </c>
    </row>
    <row r="61" spans="1:7" x14ac:dyDescent="0.25">
      <c r="A61" s="60" t="s">
        <v>79</v>
      </c>
      <c r="B61" s="61" t="s">
        <v>80</v>
      </c>
      <c r="C61" s="79">
        <v>174.64529000000002</v>
      </c>
      <c r="D61" s="80">
        <v>172.29195000000001</v>
      </c>
      <c r="E61" s="80">
        <v>178.15861000000001</v>
      </c>
      <c r="F61" s="81">
        <v>180.47194999999999</v>
      </c>
      <c r="G61" s="88">
        <f t="shared" si="0"/>
        <v>176.39195000000001</v>
      </c>
    </row>
    <row r="62" spans="1:7" x14ac:dyDescent="0.25">
      <c r="A62" s="60" t="s">
        <v>73</v>
      </c>
      <c r="B62" s="61" t="s">
        <v>74</v>
      </c>
      <c r="C62" s="79">
        <v>80.830430000000007</v>
      </c>
      <c r="D62" s="80">
        <v>82.67255999999999</v>
      </c>
      <c r="E62" s="80">
        <v>78.54455999999999</v>
      </c>
      <c r="F62" s="81">
        <v>77.285889999999995</v>
      </c>
      <c r="G62" s="88">
        <f t="shared" si="0"/>
        <v>79.833359999999999</v>
      </c>
    </row>
    <row r="63" spans="1:7" x14ac:dyDescent="0.25">
      <c r="A63" s="60" t="s">
        <v>87</v>
      </c>
      <c r="B63" s="61" t="s">
        <v>88</v>
      </c>
      <c r="C63" s="79">
        <v>84.046670000000006</v>
      </c>
      <c r="D63" s="80">
        <v>96.326669999999993</v>
      </c>
      <c r="E63" s="80">
        <v>99.199999999999989</v>
      </c>
      <c r="F63" s="81">
        <v>98.266659999999987</v>
      </c>
      <c r="G63" s="88">
        <f t="shared" si="0"/>
        <v>94.46</v>
      </c>
    </row>
    <row r="64" spans="1:7" x14ac:dyDescent="0.25">
      <c r="A64" s="60" t="s">
        <v>65</v>
      </c>
      <c r="B64" s="61" t="s">
        <v>66</v>
      </c>
      <c r="C64" s="79">
        <v>166.02934999999999</v>
      </c>
      <c r="D64" s="80">
        <v>174.12935000000002</v>
      </c>
      <c r="E64" s="80">
        <v>180.70269000000002</v>
      </c>
      <c r="F64" s="81">
        <v>187.47602000000001</v>
      </c>
      <c r="G64" s="88">
        <f t="shared" si="0"/>
        <v>177.08435250000002</v>
      </c>
    </row>
    <row r="65" spans="1:7" x14ac:dyDescent="0.25">
      <c r="A65" s="60" t="s">
        <v>309</v>
      </c>
      <c r="B65" s="61" t="s">
        <v>310</v>
      </c>
      <c r="C65" s="79">
        <v>216.92329999999998</v>
      </c>
      <c r="D65" s="80">
        <v>223.36329000000001</v>
      </c>
      <c r="E65" s="80">
        <v>218.82328000000004</v>
      </c>
      <c r="F65" s="81">
        <v>223.38661000000005</v>
      </c>
      <c r="G65" s="88">
        <f t="shared" si="0"/>
        <v>220.62412</v>
      </c>
    </row>
    <row r="66" spans="1:7" x14ac:dyDescent="0.25">
      <c r="A66" s="60" t="s">
        <v>305</v>
      </c>
      <c r="B66" s="61" t="s">
        <v>306</v>
      </c>
      <c r="C66" s="79">
        <v>126.03997</v>
      </c>
      <c r="D66" s="80">
        <v>121.27331</v>
      </c>
      <c r="E66" s="80">
        <v>115.61331000000001</v>
      </c>
      <c r="F66" s="81">
        <v>121.7933</v>
      </c>
      <c r="G66" s="88">
        <f t="shared" si="0"/>
        <v>121.17997250000001</v>
      </c>
    </row>
    <row r="67" spans="1:7" x14ac:dyDescent="0.25">
      <c r="A67" s="60" t="s">
        <v>129</v>
      </c>
      <c r="B67" s="61" t="s">
        <v>130</v>
      </c>
      <c r="C67" s="79">
        <v>212.54751999999999</v>
      </c>
      <c r="D67" s="80">
        <v>207.92855999999998</v>
      </c>
      <c r="E67" s="80">
        <v>204.79335</v>
      </c>
      <c r="F67" s="81">
        <v>208.98671000000002</v>
      </c>
      <c r="G67" s="88">
        <f t="shared" si="0"/>
        <v>208.56403499999999</v>
      </c>
    </row>
    <row r="68" spans="1:7" x14ac:dyDescent="0.25">
      <c r="A68" s="60" t="s">
        <v>113</v>
      </c>
      <c r="B68" s="61" t="s">
        <v>114</v>
      </c>
      <c r="C68" s="79">
        <v>132.96001000000001</v>
      </c>
      <c r="D68" s="80">
        <v>131.62667999999999</v>
      </c>
      <c r="E68" s="80">
        <v>128.02668</v>
      </c>
      <c r="F68" s="81">
        <v>128.02668</v>
      </c>
      <c r="G68" s="88">
        <f t="shared" si="0"/>
        <v>130.16001249999999</v>
      </c>
    </row>
    <row r="69" spans="1:7" x14ac:dyDescent="0.25">
      <c r="A69" s="60" t="s">
        <v>127</v>
      </c>
      <c r="B69" s="61" t="s">
        <v>128</v>
      </c>
      <c r="C69" s="79">
        <v>214.47993000000002</v>
      </c>
      <c r="D69" s="80">
        <v>212.13326000000001</v>
      </c>
      <c r="E69" s="80">
        <v>215.38659000000001</v>
      </c>
      <c r="F69" s="81">
        <v>219.43993</v>
      </c>
      <c r="G69" s="88">
        <f t="shared" si="0"/>
        <v>215.35992750000003</v>
      </c>
    </row>
    <row r="70" spans="1:7" x14ac:dyDescent="0.25">
      <c r="A70" s="60" t="s">
        <v>135</v>
      </c>
      <c r="B70" s="61" t="s">
        <v>136</v>
      </c>
      <c r="C70" s="79">
        <v>135.26933</v>
      </c>
      <c r="D70" s="80">
        <v>131.61279999999999</v>
      </c>
      <c r="E70" s="80">
        <v>136.91679999999999</v>
      </c>
      <c r="F70" s="81">
        <v>129.37011999999999</v>
      </c>
      <c r="G70" s="88">
        <f t="shared" si="0"/>
        <v>133.29226249999999</v>
      </c>
    </row>
    <row r="71" spans="1:7" x14ac:dyDescent="0.25">
      <c r="A71" s="60" t="s">
        <v>155</v>
      </c>
      <c r="B71" s="61" t="s">
        <v>156</v>
      </c>
      <c r="C71" s="79">
        <v>208.75595999999999</v>
      </c>
      <c r="D71" s="80">
        <v>215.74581999999998</v>
      </c>
      <c r="E71" s="80">
        <v>217.25915000000001</v>
      </c>
      <c r="F71" s="81">
        <v>213.48689000000002</v>
      </c>
      <c r="G71" s="88">
        <f t="shared" si="0"/>
        <v>213.81195499999998</v>
      </c>
    </row>
    <row r="72" spans="1:7" x14ac:dyDescent="0.25">
      <c r="A72" s="60" t="s">
        <v>161</v>
      </c>
      <c r="B72" s="61" t="s">
        <v>162</v>
      </c>
      <c r="C72" s="79">
        <v>234.95293000000001</v>
      </c>
      <c r="D72" s="80">
        <v>237.82760000000002</v>
      </c>
      <c r="E72" s="80">
        <v>249.28429000000003</v>
      </c>
      <c r="F72" s="81">
        <v>254.50749999999999</v>
      </c>
      <c r="G72" s="88">
        <f t="shared" si="0"/>
        <v>244.14308</v>
      </c>
    </row>
    <row r="73" spans="1:7" x14ac:dyDescent="0.25">
      <c r="A73" s="60" t="s">
        <v>151</v>
      </c>
      <c r="B73" s="61" t="s">
        <v>152</v>
      </c>
      <c r="C73" s="79">
        <v>118.00649999999999</v>
      </c>
      <c r="D73" s="80">
        <v>122.61984</v>
      </c>
      <c r="E73" s="80">
        <v>136.08651</v>
      </c>
      <c r="F73" s="81">
        <v>139.00650999999999</v>
      </c>
      <c r="G73" s="88">
        <f t="shared" si="0"/>
        <v>128.92984000000001</v>
      </c>
    </row>
    <row r="74" spans="1:7" x14ac:dyDescent="0.25">
      <c r="A74" s="60" t="s">
        <v>163</v>
      </c>
      <c r="B74" s="61" t="s">
        <v>164</v>
      </c>
      <c r="C74" s="79">
        <v>144.85463000000001</v>
      </c>
      <c r="D74" s="80">
        <v>143.0565</v>
      </c>
      <c r="E74" s="80">
        <v>132.13650999999999</v>
      </c>
      <c r="F74" s="81">
        <v>137.29651000000001</v>
      </c>
      <c r="G74" s="88">
        <f t="shared" si="0"/>
        <v>139.3360375</v>
      </c>
    </row>
    <row r="75" spans="1:7" x14ac:dyDescent="0.25">
      <c r="A75" s="60" t="s">
        <v>283</v>
      </c>
      <c r="B75" s="61" t="s">
        <v>284</v>
      </c>
      <c r="C75" s="79">
        <v>83.010109999999997</v>
      </c>
      <c r="D75" s="80">
        <v>79.670100000000005</v>
      </c>
      <c r="E75" s="80">
        <v>82.670110000000008</v>
      </c>
      <c r="F75" s="81">
        <v>86.670099999999991</v>
      </c>
      <c r="G75" s="88">
        <f t="shared" si="0"/>
        <v>83.005105</v>
      </c>
    </row>
    <row r="76" spans="1:7" x14ac:dyDescent="0.25">
      <c r="A76" s="60" t="s">
        <v>289</v>
      </c>
      <c r="B76" s="61" t="s">
        <v>290</v>
      </c>
      <c r="C76" s="79">
        <v>233.59998999999999</v>
      </c>
      <c r="D76" s="80">
        <v>248.39999000000003</v>
      </c>
      <c r="E76" s="80">
        <v>253.55999000000003</v>
      </c>
      <c r="F76" s="81">
        <v>244.15998999999999</v>
      </c>
      <c r="G76" s="88">
        <f t="shared" si="0"/>
        <v>244.92999</v>
      </c>
    </row>
    <row r="77" spans="1:7" x14ac:dyDescent="0.25">
      <c r="A77" s="60" t="s">
        <v>107</v>
      </c>
      <c r="B77" s="61" t="s">
        <v>108</v>
      </c>
      <c r="C77" s="79">
        <v>149.96663000000001</v>
      </c>
      <c r="D77" s="80">
        <v>150.24662000000001</v>
      </c>
      <c r="E77" s="80">
        <v>154.78663</v>
      </c>
      <c r="F77" s="81">
        <v>155.17330000000001</v>
      </c>
      <c r="G77" s="88">
        <f t="shared" si="0"/>
        <v>152.543295</v>
      </c>
    </row>
    <row r="78" spans="1:7" x14ac:dyDescent="0.25">
      <c r="A78" s="60" t="s">
        <v>235</v>
      </c>
      <c r="B78" s="61" t="s">
        <v>236</v>
      </c>
      <c r="C78" s="79">
        <v>62.893340000000002</v>
      </c>
      <c r="D78" s="80">
        <v>62.573340000000002</v>
      </c>
      <c r="E78" s="80">
        <v>60.386669999999995</v>
      </c>
      <c r="F78" s="81">
        <v>59.186669999999992</v>
      </c>
      <c r="G78" s="88">
        <f t="shared" si="0"/>
        <v>61.260004999999992</v>
      </c>
    </row>
    <row r="79" spans="1:7" x14ac:dyDescent="0.25">
      <c r="A79" s="60" t="s">
        <v>233</v>
      </c>
      <c r="B79" s="61" t="s">
        <v>234</v>
      </c>
      <c r="C79" s="79">
        <v>105.05333000000002</v>
      </c>
      <c r="D79" s="80">
        <v>111.40000000000002</v>
      </c>
      <c r="E79" s="80">
        <v>112.16</v>
      </c>
      <c r="F79" s="81">
        <v>110.60667000000001</v>
      </c>
      <c r="G79" s="88">
        <f t="shared" si="0"/>
        <v>109.80500000000001</v>
      </c>
    </row>
    <row r="80" spans="1:7" x14ac:dyDescent="0.25">
      <c r="A80" s="60" t="s">
        <v>157</v>
      </c>
      <c r="B80" s="61" t="s">
        <v>158</v>
      </c>
      <c r="C80" s="79">
        <v>320.74579</v>
      </c>
      <c r="D80" s="80">
        <v>309.92900000000003</v>
      </c>
      <c r="E80" s="80">
        <v>309.71513999999996</v>
      </c>
      <c r="F80" s="81">
        <v>307.28314999999998</v>
      </c>
      <c r="G80" s="88">
        <f t="shared" si="0"/>
        <v>311.91827000000001</v>
      </c>
    </row>
    <row r="81" spans="1:7" x14ac:dyDescent="0.25">
      <c r="A81" s="60" t="s">
        <v>55</v>
      </c>
      <c r="B81" s="61" t="s">
        <v>56</v>
      </c>
      <c r="C81" s="79">
        <v>155.46661</v>
      </c>
      <c r="D81" s="80">
        <v>159.97328999999999</v>
      </c>
      <c r="E81" s="80">
        <v>156.74663000000001</v>
      </c>
      <c r="F81" s="81">
        <v>151.89329000000001</v>
      </c>
      <c r="G81" s="88">
        <f t="shared" si="0"/>
        <v>156.01995499999998</v>
      </c>
    </row>
    <row r="82" spans="1:7" x14ac:dyDescent="0.25">
      <c r="A82" s="60" t="s">
        <v>315</v>
      </c>
      <c r="B82" s="61" t="s">
        <v>316</v>
      </c>
      <c r="C82" s="79">
        <v>83.423320000000004</v>
      </c>
      <c r="D82" s="80">
        <v>89.249979999999994</v>
      </c>
      <c r="E82" s="80">
        <v>78.086650000000006</v>
      </c>
      <c r="F82" s="81">
        <v>79.597319999999996</v>
      </c>
      <c r="G82" s="88">
        <f t="shared" si="0"/>
        <v>82.589317499999993</v>
      </c>
    </row>
    <row r="83" spans="1:7" x14ac:dyDescent="0.25">
      <c r="A83" s="60" t="s">
        <v>287</v>
      </c>
      <c r="B83" s="61" t="s">
        <v>288</v>
      </c>
      <c r="C83" s="79">
        <v>163.58652999999998</v>
      </c>
      <c r="D83" s="80">
        <v>160.38654000000002</v>
      </c>
      <c r="E83" s="80">
        <v>165.22653</v>
      </c>
      <c r="F83" s="81">
        <v>161.44709</v>
      </c>
      <c r="G83" s="88">
        <f t="shared" si="0"/>
        <v>162.66167250000001</v>
      </c>
    </row>
    <row r="84" spans="1:7" x14ac:dyDescent="0.25">
      <c r="A84" s="60" t="s">
        <v>179</v>
      </c>
      <c r="B84" s="61" t="s">
        <v>180</v>
      </c>
      <c r="C84" s="79">
        <v>91.521289999999993</v>
      </c>
      <c r="D84" s="80">
        <v>92.294629999999998</v>
      </c>
      <c r="E84" s="80">
        <v>94.907960000000003</v>
      </c>
      <c r="F84" s="81">
        <v>97.547969999999978</v>
      </c>
      <c r="G84" s="88">
        <f t="shared" si="0"/>
        <v>94.067962499999993</v>
      </c>
    </row>
    <row r="85" spans="1:7" x14ac:dyDescent="0.25">
      <c r="A85" s="60" t="s">
        <v>277</v>
      </c>
      <c r="B85" s="61" t="s">
        <v>278</v>
      </c>
      <c r="C85" s="79">
        <v>158.12398999999999</v>
      </c>
      <c r="D85" s="80">
        <v>163.42079000000001</v>
      </c>
      <c r="E85" s="80">
        <v>168.57998999999998</v>
      </c>
      <c r="F85" s="81">
        <v>157.98665</v>
      </c>
      <c r="G85" s="88">
        <f t="shared" si="0"/>
        <v>162.02785499999999</v>
      </c>
    </row>
    <row r="86" spans="1:7" x14ac:dyDescent="0.25">
      <c r="A86" s="60" t="s">
        <v>295</v>
      </c>
      <c r="B86" s="61" t="s">
        <v>296</v>
      </c>
      <c r="C86" s="79">
        <v>64.439970000000002</v>
      </c>
      <c r="D86" s="80">
        <v>63.093310000000002</v>
      </c>
      <c r="E86" s="80">
        <v>67.386650000000003</v>
      </c>
      <c r="F86" s="81">
        <v>68.826639999999998</v>
      </c>
      <c r="G86" s="88">
        <f t="shared" si="0"/>
        <v>65.936642500000005</v>
      </c>
    </row>
    <row r="87" spans="1:7" x14ac:dyDescent="0.25">
      <c r="A87" s="60" t="s">
        <v>273</v>
      </c>
      <c r="B87" s="61" t="s">
        <v>274</v>
      </c>
      <c r="C87" s="79">
        <v>80.986609999999999</v>
      </c>
      <c r="D87" s="80">
        <v>88.213279999999997</v>
      </c>
      <c r="E87" s="80">
        <v>88.879940000000005</v>
      </c>
      <c r="F87" s="81">
        <v>102.90661</v>
      </c>
      <c r="G87" s="88">
        <f t="shared" si="0"/>
        <v>90.246610000000004</v>
      </c>
    </row>
    <row r="88" spans="1:7" x14ac:dyDescent="0.25">
      <c r="A88" s="60" t="s">
        <v>77</v>
      </c>
      <c r="B88" s="61" t="s">
        <v>78</v>
      </c>
      <c r="C88" s="79">
        <v>153.68667999999997</v>
      </c>
      <c r="D88" s="80">
        <v>154.78667999999999</v>
      </c>
      <c r="E88" s="80">
        <v>152.93333999999999</v>
      </c>
      <c r="F88" s="81">
        <v>158.36000999999999</v>
      </c>
      <c r="G88" s="88">
        <f t="shared" ref="G88:G151" si="1">SUM(C88:F88)/4</f>
        <v>154.94167749999997</v>
      </c>
    </row>
    <row r="89" spans="1:7" x14ac:dyDescent="0.25">
      <c r="A89" s="60" t="s">
        <v>251</v>
      </c>
      <c r="B89" s="61" t="s">
        <v>252</v>
      </c>
      <c r="C89" s="79">
        <v>485.98667999999998</v>
      </c>
      <c r="D89" s="80">
        <v>524.68667999999991</v>
      </c>
      <c r="E89" s="80">
        <v>488.34001000000001</v>
      </c>
      <c r="F89" s="81">
        <v>488.23334</v>
      </c>
      <c r="G89" s="88">
        <f t="shared" si="1"/>
        <v>496.81167749999997</v>
      </c>
    </row>
    <row r="90" spans="1:7" x14ac:dyDescent="0.25">
      <c r="A90" s="60" t="s">
        <v>231</v>
      </c>
      <c r="B90" s="61" t="s">
        <v>232</v>
      </c>
      <c r="C90" s="79">
        <v>126.96663000000001</v>
      </c>
      <c r="D90" s="80">
        <v>128.10262999999998</v>
      </c>
      <c r="E90" s="80">
        <v>131.9573</v>
      </c>
      <c r="F90" s="81">
        <v>123.93064000000001</v>
      </c>
      <c r="G90" s="88">
        <f t="shared" si="1"/>
        <v>127.73930000000001</v>
      </c>
    </row>
    <row r="91" spans="1:7" x14ac:dyDescent="0.25">
      <c r="A91" s="60" t="s">
        <v>257</v>
      </c>
      <c r="B91" s="61" t="s">
        <v>258</v>
      </c>
      <c r="C91" s="79">
        <v>117.26667</v>
      </c>
      <c r="D91" s="80">
        <v>125.70667</v>
      </c>
      <c r="E91" s="80">
        <v>125.84</v>
      </c>
      <c r="F91" s="81">
        <v>133.57333</v>
      </c>
      <c r="G91" s="88">
        <f t="shared" si="1"/>
        <v>125.59666750000001</v>
      </c>
    </row>
    <row r="92" spans="1:7" x14ac:dyDescent="0.25">
      <c r="A92" s="60" t="s">
        <v>299</v>
      </c>
      <c r="B92" s="61" t="s">
        <v>300</v>
      </c>
      <c r="C92" s="79">
        <v>103.79576</v>
      </c>
      <c r="D92" s="80">
        <v>102.55336</v>
      </c>
      <c r="E92" s="80">
        <v>108.11762999999999</v>
      </c>
      <c r="F92" s="81">
        <v>103.49469000000001</v>
      </c>
      <c r="G92" s="88">
        <f t="shared" si="1"/>
        <v>104.49036</v>
      </c>
    </row>
    <row r="93" spans="1:7" x14ac:dyDescent="0.25">
      <c r="A93" s="60" t="s">
        <v>123</v>
      </c>
      <c r="B93" s="61" t="s">
        <v>124</v>
      </c>
      <c r="C93" s="79">
        <v>196.52661999999998</v>
      </c>
      <c r="D93" s="80">
        <v>202.71327999999997</v>
      </c>
      <c r="E93" s="80">
        <v>207.16661999999997</v>
      </c>
      <c r="F93" s="81">
        <v>208.32660999999999</v>
      </c>
      <c r="G93" s="88">
        <f t="shared" si="1"/>
        <v>203.68328249999996</v>
      </c>
    </row>
    <row r="94" spans="1:7" x14ac:dyDescent="0.25">
      <c r="A94" s="60" t="s">
        <v>183</v>
      </c>
      <c r="B94" s="61" t="s">
        <v>184</v>
      </c>
      <c r="C94" s="79">
        <v>106.90221</v>
      </c>
      <c r="D94" s="80">
        <v>114.86221000000002</v>
      </c>
      <c r="E94" s="80">
        <v>120.17555000000002</v>
      </c>
      <c r="F94" s="81">
        <v>131.38887</v>
      </c>
      <c r="G94" s="88">
        <f t="shared" si="1"/>
        <v>118.33221</v>
      </c>
    </row>
    <row r="95" spans="1:7" x14ac:dyDescent="0.25">
      <c r="A95" s="60" t="s">
        <v>271</v>
      </c>
      <c r="B95" s="61" t="s">
        <v>272</v>
      </c>
      <c r="C95" s="79">
        <v>94.32</v>
      </c>
      <c r="D95" s="80">
        <v>92.679999999999993</v>
      </c>
      <c r="E95" s="80">
        <v>95.28</v>
      </c>
      <c r="F95" s="81">
        <v>93.6</v>
      </c>
      <c r="G95" s="88">
        <f t="shared" si="1"/>
        <v>93.97</v>
      </c>
    </row>
    <row r="96" spans="1:7" x14ac:dyDescent="0.25">
      <c r="A96" s="60" t="s">
        <v>267</v>
      </c>
      <c r="B96" s="61" t="s">
        <v>268</v>
      </c>
      <c r="C96" s="79">
        <v>142.64000000000001</v>
      </c>
      <c r="D96" s="80">
        <v>144.21199999999999</v>
      </c>
      <c r="E96" s="80">
        <v>136.71199999999999</v>
      </c>
      <c r="F96" s="81">
        <v>141.31200000000001</v>
      </c>
      <c r="G96" s="88">
        <f t="shared" si="1"/>
        <v>141.21899999999999</v>
      </c>
    </row>
    <row r="97" spans="1:7" x14ac:dyDescent="0.25">
      <c r="A97" s="60" t="s">
        <v>49</v>
      </c>
      <c r="B97" s="61" t="s">
        <v>50</v>
      </c>
      <c r="C97" s="79">
        <v>92.013339999999999</v>
      </c>
      <c r="D97" s="80">
        <v>96.373339999999999</v>
      </c>
      <c r="E97" s="80">
        <v>92.573340000000002</v>
      </c>
      <c r="F97" s="81">
        <v>93.813340000000011</v>
      </c>
      <c r="G97" s="88">
        <f t="shared" si="1"/>
        <v>93.693340000000006</v>
      </c>
    </row>
    <row r="98" spans="1:7" x14ac:dyDescent="0.25">
      <c r="A98" s="60" t="s">
        <v>51</v>
      </c>
      <c r="B98" s="61" t="s">
        <v>52</v>
      </c>
      <c r="C98" s="79">
        <v>123.43458</v>
      </c>
      <c r="D98" s="80">
        <v>125.83991999999999</v>
      </c>
      <c r="E98" s="80">
        <v>143.43992999999998</v>
      </c>
      <c r="F98" s="81">
        <v>149.3466</v>
      </c>
      <c r="G98" s="88">
        <f t="shared" si="1"/>
        <v>135.51525749999999</v>
      </c>
    </row>
    <row r="99" spans="1:7" x14ac:dyDescent="0.25">
      <c r="A99" s="60" t="s">
        <v>119</v>
      </c>
      <c r="B99" s="61" t="s">
        <v>120</v>
      </c>
      <c r="C99" s="79">
        <v>61.059980000000003</v>
      </c>
      <c r="D99" s="80">
        <v>64.52664</v>
      </c>
      <c r="E99" s="80">
        <v>64.913309999999996</v>
      </c>
      <c r="F99" s="81">
        <v>63.246649999999995</v>
      </c>
      <c r="G99" s="88">
        <f t="shared" si="1"/>
        <v>63.436644999999999</v>
      </c>
    </row>
    <row r="100" spans="1:7" x14ac:dyDescent="0.25">
      <c r="A100" s="60" t="s">
        <v>97</v>
      </c>
      <c r="B100" s="61" t="s">
        <v>98</v>
      </c>
      <c r="C100" s="79">
        <v>189.13334</v>
      </c>
      <c r="D100" s="80">
        <v>189.25334000000004</v>
      </c>
      <c r="E100" s="80">
        <v>187.02667000000002</v>
      </c>
      <c r="F100" s="81">
        <v>178.94667000000001</v>
      </c>
      <c r="G100" s="88">
        <f t="shared" si="1"/>
        <v>186.09000500000002</v>
      </c>
    </row>
    <row r="101" spans="1:7" x14ac:dyDescent="0.25">
      <c r="A101" s="60" t="s">
        <v>171</v>
      </c>
      <c r="B101" s="61" t="s">
        <v>172</v>
      </c>
      <c r="C101" s="79">
        <v>36.340000000000003</v>
      </c>
      <c r="D101" s="80">
        <v>36.14</v>
      </c>
      <c r="E101" s="80">
        <v>38.14</v>
      </c>
      <c r="F101" s="81">
        <v>39.14</v>
      </c>
      <c r="G101" s="88">
        <f t="shared" si="1"/>
        <v>37.44</v>
      </c>
    </row>
    <row r="102" spans="1:7" x14ac:dyDescent="0.25">
      <c r="A102" s="60" t="s">
        <v>197</v>
      </c>
      <c r="B102" s="61" t="s">
        <v>198</v>
      </c>
      <c r="C102" s="79">
        <v>107.56529</v>
      </c>
      <c r="D102" s="80">
        <v>120.43196</v>
      </c>
      <c r="E102" s="80">
        <v>114.45863</v>
      </c>
      <c r="F102" s="81">
        <v>115.19197</v>
      </c>
      <c r="G102" s="88">
        <f t="shared" si="1"/>
        <v>114.41196249999999</v>
      </c>
    </row>
    <row r="103" spans="1:7" x14ac:dyDescent="0.25">
      <c r="A103" s="60" t="s">
        <v>199</v>
      </c>
      <c r="B103" s="61" t="s">
        <v>200</v>
      </c>
      <c r="C103" s="79">
        <v>1</v>
      </c>
      <c r="D103" s="80">
        <v>1</v>
      </c>
      <c r="E103" s="80">
        <v>1</v>
      </c>
      <c r="F103" s="81">
        <v>1</v>
      </c>
      <c r="G103" s="88">
        <f t="shared" si="1"/>
        <v>1</v>
      </c>
    </row>
    <row r="104" spans="1:7" x14ac:dyDescent="0.25">
      <c r="A104" s="60" t="s">
        <v>269</v>
      </c>
      <c r="B104" s="61" t="s">
        <v>270</v>
      </c>
      <c r="C104" s="79">
        <v>59.306680000000007</v>
      </c>
      <c r="D104" s="80">
        <v>59.933340000000001</v>
      </c>
      <c r="E104" s="80">
        <v>70.960000000000008</v>
      </c>
      <c r="F104" s="81">
        <v>78.300000000000011</v>
      </c>
      <c r="G104" s="88">
        <f t="shared" si="1"/>
        <v>67.125005000000016</v>
      </c>
    </row>
    <row r="105" spans="1:7" x14ac:dyDescent="0.25">
      <c r="A105" s="60" t="s">
        <v>143</v>
      </c>
      <c r="B105" s="61" t="s">
        <v>144</v>
      </c>
      <c r="C105" s="79">
        <v>219.99970999999999</v>
      </c>
      <c r="D105" s="80">
        <v>223.44624999999999</v>
      </c>
      <c r="E105" s="80">
        <v>222.13958</v>
      </c>
      <c r="F105" s="81">
        <v>223.58637999999999</v>
      </c>
      <c r="G105" s="88">
        <f t="shared" si="1"/>
        <v>222.29298</v>
      </c>
    </row>
    <row r="106" spans="1:7" x14ac:dyDescent="0.25">
      <c r="A106" s="60" t="s">
        <v>81</v>
      </c>
      <c r="B106" s="61" t="s">
        <v>82</v>
      </c>
      <c r="C106" s="79">
        <v>112.71999999999998</v>
      </c>
      <c r="D106" s="80">
        <v>111.76</v>
      </c>
      <c r="E106" s="80">
        <v>114.37333000000001</v>
      </c>
      <c r="F106" s="81">
        <v>111.88667000000001</v>
      </c>
      <c r="G106" s="88">
        <f t="shared" si="1"/>
        <v>112.685</v>
      </c>
    </row>
    <row r="107" spans="1:7" x14ac:dyDescent="0.25">
      <c r="A107" s="60" t="s">
        <v>169</v>
      </c>
      <c r="B107" s="61" t="s">
        <v>170</v>
      </c>
      <c r="C107" s="79">
        <v>82.093339999999998</v>
      </c>
      <c r="D107" s="80">
        <v>82.613339999999994</v>
      </c>
      <c r="E107" s="80">
        <v>86.980009999999993</v>
      </c>
      <c r="F107" s="81">
        <v>84.246669999999995</v>
      </c>
      <c r="G107" s="88">
        <f t="shared" si="1"/>
        <v>83.983339999999998</v>
      </c>
    </row>
    <row r="108" spans="1:7" x14ac:dyDescent="0.25">
      <c r="A108" s="60" t="s">
        <v>213</v>
      </c>
      <c r="B108" s="61" t="s">
        <v>214</v>
      </c>
      <c r="C108" s="79">
        <v>79.226659999999995</v>
      </c>
      <c r="D108" s="80">
        <v>80.546660000000003</v>
      </c>
      <c r="E108" s="80">
        <v>80.400000000000006</v>
      </c>
      <c r="F108" s="81">
        <v>76.599999999999994</v>
      </c>
      <c r="G108" s="88">
        <f t="shared" si="1"/>
        <v>79.193330000000003</v>
      </c>
    </row>
    <row r="109" spans="1:7" x14ac:dyDescent="0.25">
      <c r="A109" s="60" t="s">
        <v>103</v>
      </c>
      <c r="B109" s="61" t="s">
        <v>104</v>
      </c>
      <c r="C109" s="79">
        <v>245.80001000000001</v>
      </c>
      <c r="D109" s="80">
        <v>253.06667999999999</v>
      </c>
      <c r="E109" s="80">
        <v>249.00001</v>
      </c>
      <c r="F109" s="81">
        <v>247.26667</v>
      </c>
      <c r="G109" s="88">
        <f t="shared" si="1"/>
        <v>248.7833425</v>
      </c>
    </row>
    <row r="110" spans="1:7" x14ac:dyDescent="0.25">
      <c r="A110" s="60" t="s">
        <v>265</v>
      </c>
      <c r="B110" s="61" t="s">
        <v>266</v>
      </c>
      <c r="C110" s="79">
        <v>126.57332</v>
      </c>
      <c r="D110" s="80">
        <v>125.50666</v>
      </c>
      <c r="E110" s="80">
        <v>123.02665999999999</v>
      </c>
      <c r="F110" s="81">
        <v>122.07999</v>
      </c>
      <c r="G110" s="88">
        <f t="shared" si="1"/>
        <v>124.29665749999999</v>
      </c>
    </row>
    <row r="111" spans="1:7" x14ac:dyDescent="0.25">
      <c r="A111" s="60" t="s">
        <v>285</v>
      </c>
      <c r="B111" s="61" t="s">
        <v>286</v>
      </c>
      <c r="C111" s="79">
        <v>367.99315000000001</v>
      </c>
      <c r="D111" s="80">
        <v>352.57980000000003</v>
      </c>
      <c r="E111" s="80">
        <v>365.11313000000001</v>
      </c>
      <c r="F111" s="81">
        <v>383.56644999999997</v>
      </c>
      <c r="G111" s="88">
        <f t="shared" si="1"/>
        <v>367.31313249999999</v>
      </c>
    </row>
    <row r="112" spans="1:7" x14ac:dyDescent="0.25">
      <c r="A112" s="60" t="s">
        <v>177</v>
      </c>
      <c r="B112" s="61" t="s">
        <v>178</v>
      </c>
      <c r="C112" s="79">
        <v>147.47185999999999</v>
      </c>
      <c r="D112" s="80">
        <v>156.69186000000002</v>
      </c>
      <c r="E112" s="80">
        <v>157.43319</v>
      </c>
      <c r="F112" s="81">
        <v>170.00651999999999</v>
      </c>
      <c r="G112" s="88">
        <f t="shared" si="1"/>
        <v>157.9008575</v>
      </c>
    </row>
    <row r="113" spans="1:7" x14ac:dyDescent="0.25">
      <c r="A113" s="60" t="s">
        <v>253</v>
      </c>
      <c r="B113" s="61" t="s">
        <v>254</v>
      </c>
      <c r="C113" s="79">
        <v>3.4</v>
      </c>
      <c r="D113" s="80">
        <v>2.6</v>
      </c>
      <c r="E113" s="80">
        <v>4.5999999999999996</v>
      </c>
      <c r="F113" s="81">
        <v>4.4000000000000004</v>
      </c>
      <c r="G113" s="88">
        <f t="shared" si="1"/>
        <v>3.75</v>
      </c>
    </row>
    <row r="114" spans="1:7" x14ac:dyDescent="0.25">
      <c r="A114" s="60" t="s">
        <v>215</v>
      </c>
      <c r="B114" s="61" t="s">
        <v>216</v>
      </c>
      <c r="C114" s="79">
        <v>167.12334999999999</v>
      </c>
      <c r="D114" s="80">
        <v>170.21668</v>
      </c>
      <c r="E114" s="80">
        <v>172.57669999999999</v>
      </c>
      <c r="F114" s="81">
        <v>173.72337000000002</v>
      </c>
      <c r="G114" s="88">
        <f t="shared" si="1"/>
        <v>170.91002499999999</v>
      </c>
    </row>
    <row r="115" spans="1:7" x14ac:dyDescent="0.25">
      <c r="A115" s="60" t="s">
        <v>297</v>
      </c>
      <c r="B115" s="61" t="s">
        <v>298</v>
      </c>
      <c r="C115" s="79">
        <v>160.27331000000004</v>
      </c>
      <c r="D115" s="80">
        <v>159.28664000000001</v>
      </c>
      <c r="E115" s="80">
        <v>159.01997</v>
      </c>
      <c r="F115" s="81">
        <v>160.83328</v>
      </c>
      <c r="G115" s="88">
        <f t="shared" si="1"/>
        <v>159.85330000000002</v>
      </c>
    </row>
    <row r="116" spans="1:7" x14ac:dyDescent="0.25">
      <c r="A116" s="60" t="s">
        <v>219</v>
      </c>
      <c r="B116" s="61" t="s">
        <v>220</v>
      </c>
      <c r="C116" s="79">
        <v>136.06666000000001</v>
      </c>
      <c r="D116" s="80">
        <v>143.94666000000001</v>
      </c>
      <c r="E116" s="80">
        <v>143.15998999999999</v>
      </c>
      <c r="F116" s="81">
        <v>133.51999000000001</v>
      </c>
      <c r="G116" s="88">
        <f t="shared" si="1"/>
        <v>139.17332500000001</v>
      </c>
    </row>
    <row r="117" spans="1:7" x14ac:dyDescent="0.25">
      <c r="A117" s="60" t="s">
        <v>59</v>
      </c>
      <c r="B117" s="61" t="s">
        <v>60</v>
      </c>
      <c r="C117" s="79">
        <v>266.32330999999999</v>
      </c>
      <c r="D117" s="80">
        <v>264.96997000000005</v>
      </c>
      <c r="E117" s="80">
        <v>258.63863000000003</v>
      </c>
      <c r="F117" s="81">
        <v>264.09332000000001</v>
      </c>
      <c r="G117" s="88">
        <f t="shared" si="1"/>
        <v>263.50630750000005</v>
      </c>
    </row>
    <row r="118" spans="1:7" x14ac:dyDescent="0.25">
      <c r="A118" s="60" t="s">
        <v>133</v>
      </c>
      <c r="B118" s="61" t="s">
        <v>134</v>
      </c>
      <c r="C118" s="79">
        <v>250.70324999999997</v>
      </c>
      <c r="D118" s="80">
        <v>262.75992000000002</v>
      </c>
      <c r="E118" s="80">
        <v>264.57992999999999</v>
      </c>
      <c r="F118" s="81">
        <v>273.46325000000002</v>
      </c>
      <c r="G118" s="88">
        <f t="shared" si="1"/>
        <v>262.87658750000003</v>
      </c>
    </row>
    <row r="119" spans="1:7" x14ac:dyDescent="0.25">
      <c r="A119" s="60" t="s">
        <v>181</v>
      </c>
      <c r="B119" s="61" t="s">
        <v>182</v>
      </c>
      <c r="C119" s="79">
        <v>123.22533000000001</v>
      </c>
      <c r="D119" s="80">
        <v>112.92532</v>
      </c>
      <c r="E119" s="80">
        <v>116.93865</v>
      </c>
      <c r="F119" s="81">
        <v>114.94530999999999</v>
      </c>
      <c r="G119" s="88">
        <f t="shared" si="1"/>
        <v>117.0086525</v>
      </c>
    </row>
    <row r="120" spans="1:7" x14ac:dyDescent="0.25">
      <c r="A120" s="60" t="s">
        <v>207</v>
      </c>
      <c r="B120" s="61" t="s">
        <v>208</v>
      </c>
      <c r="C120" s="79">
        <v>111.73997000000001</v>
      </c>
      <c r="D120" s="80">
        <v>107.73997</v>
      </c>
      <c r="E120" s="80">
        <v>101.04664</v>
      </c>
      <c r="F120" s="81">
        <v>102.04664</v>
      </c>
      <c r="G120" s="88">
        <f t="shared" si="1"/>
        <v>105.643305</v>
      </c>
    </row>
    <row r="121" spans="1:7" x14ac:dyDescent="0.25">
      <c r="A121" s="60" t="s">
        <v>221</v>
      </c>
      <c r="B121" s="61" t="s">
        <v>222</v>
      </c>
      <c r="C121" s="79">
        <v>174.68</v>
      </c>
      <c r="D121" s="80">
        <v>175.04</v>
      </c>
      <c r="E121" s="80">
        <v>172.16</v>
      </c>
      <c r="F121" s="81">
        <v>178.96</v>
      </c>
      <c r="G121" s="88">
        <f t="shared" si="1"/>
        <v>175.21</v>
      </c>
    </row>
    <row r="122" spans="1:7" x14ac:dyDescent="0.25">
      <c r="A122" s="60" t="s">
        <v>259</v>
      </c>
      <c r="B122" s="61" t="s">
        <v>260</v>
      </c>
      <c r="C122" s="79">
        <v>116.03332999999999</v>
      </c>
      <c r="D122" s="80">
        <v>114.33999999999999</v>
      </c>
      <c r="E122" s="80">
        <v>110.77999999999999</v>
      </c>
      <c r="F122" s="81">
        <v>106.51333000000001</v>
      </c>
      <c r="G122" s="88">
        <f t="shared" si="1"/>
        <v>111.91666499999999</v>
      </c>
    </row>
    <row r="123" spans="1:7" x14ac:dyDescent="0.25">
      <c r="A123" s="60" t="s">
        <v>301</v>
      </c>
      <c r="B123" s="61" t="s">
        <v>302</v>
      </c>
      <c r="C123" s="79">
        <v>108.84729000000002</v>
      </c>
      <c r="D123" s="80">
        <v>126.90089999999999</v>
      </c>
      <c r="E123" s="80">
        <v>124.21741999999999</v>
      </c>
      <c r="F123" s="81">
        <v>115.46969</v>
      </c>
      <c r="G123" s="88">
        <f t="shared" si="1"/>
        <v>118.85882500000001</v>
      </c>
    </row>
    <row r="124" spans="1:7" x14ac:dyDescent="0.25">
      <c r="A124" s="60" t="s">
        <v>153</v>
      </c>
      <c r="B124" s="61" t="s">
        <v>154</v>
      </c>
      <c r="C124" s="79">
        <v>179.83329000000001</v>
      </c>
      <c r="D124" s="80">
        <v>182.39328</v>
      </c>
      <c r="E124" s="80">
        <v>189.69994</v>
      </c>
      <c r="F124" s="81">
        <v>181.12662</v>
      </c>
      <c r="G124" s="88">
        <f t="shared" si="1"/>
        <v>183.2632825</v>
      </c>
    </row>
    <row r="125" spans="1:7" x14ac:dyDescent="0.25">
      <c r="A125" s="60" t="s">
        <v>185</v>
      </c>
      <c r="B125" s="61" t="s">
        <v>186</v>
      </c>
      <c r="C125" s="79">
        <v>346.78661999999997</v>
      </c>
      <c r="D125" s="80">
        <v>364.48662000000002</v>
      </c>
      <c r="E125" s="80">
        <v>359.25328999999999</v>
      </c>
      <c r="F125" s="81">
        <v>372.3766</v>
      </c>
      <c r="G125" s="88">
        <f t="shared" si="1"/>
        <v>360.72578250000004</v>
      </c>
    </row>
    <row r="126" spans="1:7" x14ac:dyDescent="0.25">
      <c r="A126" s="60" t="s">
        <v>217</v>
      </c>
      <c r="B126" s="61" t="s">
        <v>218</v>
      </c>
      <c r="C126" s="79">
        <v>74.239980000000003</v>
      </c>
      <c r="D126" s="80">
        <v>72.506650000000008</v>
      </c>
      <c r="E126" s="80">
        <v>73.799990000000008</v>
      </c>
      <c r="F126" s="81">
        <v>72.133319999999998</v>
      </c>
      <c r="G126" s="88">
        <f t="shared" si="1"/>
        <v>73.169984999999997</v>
      </c>
    </row>
    <row r="127" spans="1:7" x14ac:dyDescent="0.25">
      <c r="A127" s="60" t="s">
        <v>101</v>
      </c>
      <c r="B127" s="61" t="s">
        <v>102</v>
      </c>
      <c r="C127" s="79">
        <v>105.63335000000001</v>
      </c>
      <c r="D127" s="80">
        <v>104.47335000000001</v>
      </c>
      <c r="E127" s="80">
        <v>105.59335</v>
      </c>
      <c r="F127" s="81">
        <v>101.62001000000001</v>
      </c>
      <c r="G127" s="88">
        <f t="shared" si="1"/>
        <v>104.330015</v>
      </c>
    </row>
    <row r="128" spans="1:7" x14ac:dyDescent="0.25">
      <c r="A128" s="60" t="s">
        <v>57</v>
      </c>
      <c r="B128" s="61" t="s">
        <v>58</v>
      </c>
      <c r="C128" s="79">
        <v>226.90332000000001</v>
      </c>
      <c r="D128" s="80">
        <v>253.60329999999999</v>
      </c>
      <c r="E128" s="80">
        <v>269.33663999999999</v>
      </c>
      <c r="F128" s="81">
        <v>278.44997000000001</v>
      </c>
      <c r="G128" s="88">
        <f t="shared" si="1"/>
        <v>257.0733075</v>
      </c>
    </row>
    <row r="129" spans="1:7" x14ac:dyDescent="0.25">
      <c r="A129" s="60" t="s">
        <v>61</v>
      </c>
      <c r="B129" s="61" t="s">
        <v>62</v>
      </c>
      <c r="C129" s="79">
        <v>282.37325999999996</v>
      </c>
      <c r="D129" s="80">
        <v>288.01326</v>
      </c>
      <c r="E129" s="80">
        <v>280.43992000000003</v>
      </c>
      <c r="F129" s="81">
        <v>282.71990999999997</v>
      </c>
      <c r="G129" s="88">
        <f t="shared" si="1"/>
        <v>283.38658750000002</v>
      </c>
    </row>
    <row r="130" spans="1:7" x14ac:dyDescent="0.25">
      <c r="A130" s="60" t="s">
        <v>195</v>
      </c>
      <c r="B130" s="61" t="s">
        <v>196</v>
      </c>
      <c r="C130" s="79">
        <v>221.91862</v>
      </c>
      <c r="D130" s="80">
        <v>225.96662000000001</v>
      </c>
      <c r="E130" s="80">
        <v>241.59327999999996</v>
      </c>
      <c r="F130" s="81">
        <v>247.13994</v>
      </c>
      <c r="G130" s="88">
        <f t="shared" si="1"/>
        <v>234.15461500000001</v>
      </c>
    </row>
    <row r="131" spans="1:7" x14ac:dyDescent="0.25">
      <c r="A131" s="60" t="s">
        <v>85</v>
      </c>
      <c r="B131" s="61" t="s">
        <v>86</v>
      </c>
      <c r="C131" s="79">
        <v>218.11725000000001</v>
      </c>
      <c r="D131" s="80">
        <v>196.51380000000003</v>
      </c>
      <c r="E131" s="80">
        <v>189.24313000000004</v>
      </c>
      <c r="F131" s="81">
        <v>207.64313000000001</v>
      </c>
      <c r="G131" s="88">
        <f t="shared" si="1"/>
        <v>202.87932750000004</v>
      </c>
    </row>
    <row r="132" spans="1:7" x14ac:dyDescent="0.25">
      <c r="A132" s="60" t="s">
        <v>67</v>
      </c>
      <c r="B132" s="61" t="s">
        <v>68</v>
      </c>
      <c r="C132" s="79">
        <v>159.10531</v>
      </c>
      <c r="D132" s="80">
        <v>139.54532</v>
      </c>
      <c r="E132" s="80">
        <v>140.38531999999998</v>
      </c>
      <c r="F132" s="81">
        <v>143.38532000000001</v>
      </c>
      <c r="G132" s="88">
        <f t="shared" si="1"/>
        <v>145.60531749999998</v>
      </c>
    </row>
    <row r="133" spans="1:7" x14ac:dyDescent="0.25">
      <c r="A133" s="60" t="s">
        <v>255</v>
      </c>
      <c r="B133" s="61" t="s">
        <v>256</v>
      </c>
      <c r="C133" s="79">
        <v>108.20000999999999</v>
      </c>
      <c r="D133" s="80">
        <v>104.12001000000002</v>
      </c>
      <c r="E133" s="80">
        <v>110.09334</v>
      </c>
      <c r="F133" s="81">
        <v>127.88000000000001</v>
      </c>
      <c r="G133" s="88">
        <f t="shared" si="1"/>
        <v>112.57334</v>
      </c>
    </row>
    <row r="134" spans="1:7" x14ac:dyDescent="0.25">
      <c r="A134" s="60" t="s">
        <v>293</v>
      </c>
      <c r="B134" s="61" t="s">
        <v>294</v>
      </c>
      <c r="C134" s="79">
        <v>162.02666000000002</v>
      </c>
      <c r="D134" s="80">
        <v>177.07999000000001</v>
      </c>
      <c r="E134" s="80">
        <v>184.62666000000002</v>
      </c>
      <c r="F134" s="81">
        <v>185.30665999999999</v>
      </c>
      <c r="G134" s="88">
        <f t="shared" si="1"/>
        <v>177.25999250000001</v>
      </c>
    </row>
    <row r="135" spans="1:7" x14ac:dyDescent="0.25">
      <c r="A135" s="60" t="s">
        <v>261</v>
      </c>
      <c r="B135" s="61" t="s">
        <v>262</v>
      </c>
      <c r="C135" s="79">
        <v>125.37339</v>
      </c>
      <c r="D135" s="80">
        <v>136.30673000000002</v>
      </c>
      <c r="E135" s="80">
        <v>135.26673</v>
      </c>
      <c r="F135" s="81">
        <v>135.01339999999999</v>
      </c>
      <c r="G135" s="88">
        <f t="shared" si="1"/>
        <v>132.99006249999999</v>
      </c>
    </row>
    <row r="136" spans="1:7" x14ac:dyDescent="0.25">
      <c r="A136" s="60" t="s">
        <v>95</v>
      </c>
      <c r="B136" s="61" t="s">
        <v>96</v>
      </c>
      <c r="C136" s="79">
        <v>137.72002000000001</v>
      </c>
      <c r="D136" s="80">
        <v>143.80001999999999</v>
      </c>
      <c r="E136" s="80">
        <v>145.44001999999998</v>
      </c>
      <c r="F136" s="81">
        <v>143.61335</v>
      </c>
      <c r="G136" s="88">
        <f t="shared" si="1"/>
        <v>142.64335249999999</v>
      </c>
    </row>
    <row r="137" spans="1:7" x14ac:dyDescent="0.25">
      <c r="A137" s="60" t="s">
        <v>53</v>
      </c>
      <c r="B137" s="61" t="s">
        <v>54</v>
      </c>
      <c r="C137" s="79">
        <v>277.54661000000004</v>
      </c>
      <c r="D137" s="80">
        <v>286.63328000000001</v>
      </c>
      <c r="E137" s="80">
        <v>290.41327000000007</v>
      </c>
      <c r="F137" s="81">
        <v>289.75326999999999</v>
      </c>
      <c r="G137" s="88">
        <f t="shared" si="1"/>
        <v>286.08660750000001</v>
      </c>
    </row>
    <row r="138" spans="1:7" x14ac:dyDescent="0.25">
      <c r="A138" s="60" t="s">
        <v>225</v>
      </c>
      <c r="B138" s="61" t="s">
        <v>226</v>
      </c>
      <c r="C138" s="79">
        <v>1</v>
      </c>
      <c r="D138" s="80">
        <v>1</v>
      </c>
      <c r="E138" s="80">
        <v>1</v>
      </c>
      <c r="F138" s="81">
        <v>1</v>
      </c>
      <c r="G138" s="88">
        <f t="shared" si="1"/>
        <v>1</v>
      </c>
    </row>
    <row r="139" spans="1:7" x14ac:dyDescent="0.25">
      <c r="A139" s="60" t="s">
        <v>187</v>
      </c>
      <c r="B139" s="61" t="s">
        <v>188</v>
      </c>
      <c r="C139" s="79">
        <v>160.27247</v>
      </c>
      <c r="D139" s="80">
        <v>156.04579000000001</v>
      </c>
      <c r="E139" s="80">
        <v>159.02581000000001</v>
      </c>
      <c r="F139" s="81">
        <v>160.26580999999999</v>
      </c>
      <c r="G139" s="88">
        <f t="shared" si="1"/>
        <v>158.90246999999999</v>
      </c>
    </row>
    <row r="140" spans="1:7" x14ac:dyDescent="0.25">
      <c r="A140" s="60" t="s">
        <v>105</v>
      </c>
      <c r="B140" s="61" t="s">
        <v>106</v>
      </c>
      <c r="C140" s="79">
        <v>162.21609000000001</v>
      </c>
      <c r="D140" s="80">
        <v>161.23741999999999</v>
      </c>
      <c r="E140" s="80">
        <v>159.58408</v>
      </c>
      <c r="F140" s="81">
        <v>161.37661</v>
      </c>
      <c r="G140" s="88">
        <f t="shared" si="1"/>
        <v>161.10355000000001</v>
      </c>
    </row>
    <row r="141" spans="1:7" x14ac:dyDescent="0.25">
      <c r="A141" s="60" t="s">
        <v>279</v>
      </c>
      <c r="B141" s="61" t="s">
        <v>280</v>
      </c>
      <c r="C141" s="79">
        <v>201.30118999999999</v>
      </c>
      <c r="D141" s="80">
        <v>156.75457</v>
      </c>
      <c r="E141" s="80">
        <v>169.74123</v>
      </c>
      <c r="F141" s="81">
        <v>175.04789</v>
      </c>
      <c r="G141" s="88">
        <f t="shared" si="1"/>
        <v>175.71121999999997</v>
      </c>
    </row>
    <row r="142" spans="1:7" x14ac:dyDescent="0.25">
      <c r="A142" s="60" t="s">
        <v>229</v>
      </c>
      <c r="B142" s="61" t="s">
        <v>230</v>
      </c>
      <c r="C142" s="79">
        <v>153.97336999999999</v>
      </c>
      <c r="D142" s="80">
        <v>162.24003999999999</v>
      </c>
      <c r="E142" s="80">
        <v>173.89337</v>
      </c>
      <c r="F142" s="81">
        <v>171.30002999999999</v>
      </c>
      <c r="G142" s="88">
        <f t="shared" si="1"/>
        <v>165.35170249999999</v>
      </c>
    </row>
    <row r="143" spans="1:7" x14ac:dyDescent="0.25">
      <c r="A143" s="60" t="s">
        <v>239</v>
      </c>
      <c r="B143" s="61" t="s">
        <v>240</v>
      </c>
      <c r="C143" s="79">
        <v>136.02316999999999</v>
      </c>
      <c r="D143" s="80">
        <v>142.86317</v>
      </c>
      <c r="E143" s="80">
        <v>141.64984000000001</v>
      </c>
      <c r="F143" s="81">
        <v>150.44983999999999</v>
      </c>
      <c r="G143" s="88">
        <f t="shared" si="1"/>
        <v>142.74650500000001</v>
      </c>
    </row>
    <row r="144" spans="1:7" x14ac:dyDescent="0.25">
      <c r="A144" s="60" t="s">
        <v>211</v>
      </c>
      <c r="B144" s="61" t="s">
        <v>212</v>
      </c>
      <c r="C144" s="79">
        <v>169.45333000000002</v>
      </c>
      <c r="D144" s="80">
        <v>179.73333000000002</v>
      </c>
      <c r="E144" s="80">
        <v>172.25333000000001</v>
      </c>
      <c r="F144" s="81">
        <v>171.14133000000001</v>
      </c>
      <c r="G144" s="88">
        <f t="shared" si="1"/>
        <v>173.14533000000003</v>
      </c>
    </row>
    <row r="145" spans="1:7" x14ac:dyDescent="0.25">
      <c r="A145" s="60" t="s">
        <v>131</v>
      </c>
      <c r="B145" s="61" t="s">
        <v>132</v>
      </c>
      <c r="C145" s="79">
        <v>98.182630000000003</v>
      </c>
      <c r="D145" s="80">
        <v>91.269300000000001</v>
      </c>
      <c r="E145" s="80">
        <v>87.455970000000008</v>
      </c>
      <c r="F145" s="81">
        <v>85.682639999999992</v>
      </c>
      <c r="G145" s="88">
        <f t="shared" si="1"/>
        <v>90.647635000000008</v>
      </c>
    </row>
    <row r="146" spans="1:7" x14ac:dyDescent="0.25">
      <c r="A146" s="60" t="s">
        <v>237</v>
      </c>
      <c r="B146" s="61" t="s">
        <v>238</v>
      </c>
      <c r="C146" s="79">
        <v>154.81332999999998</v>
      </c>
      <c r="D146" s="80">
        <v>160.52001000000001</v>
      </c>
      <c r="E146" s="80">
        <v>164.51999999999998</v>
      </c>
      <c r="F146" s="81">
        <v>176.37332999999998</v>
      </c>
      <c r="G146" s="88">
        <f t="shared" si="1"/>
        <v>164.0566675</v>
      </c>
    </row>
    <row r="147" spans="1:7" x14ac:dyDescent="0.25">
      <c r="A147" s="60" t="s">
        <v>281</v>
      </c>
      <c r="B147" s="61" t="s">
        <v>282</v>
      </c>
      <c r="C147" s="79">
        <v>170.39326999999997</v>
      </c>
      <c r="D147" s="80">
        <v>175.99328</v>
      </c>
      <c r="E147" s="80">
        <v>170.35327999999998</v>
      </c>
      <c r="F147" s="81">
        <v>177.52661000000001</v>
      </c>
      <c r="G147" s="88">
        <f t="shared" si="1"/>
        <v>173.56661</v>
      </c>
    </row>
    <row r="148" spans="1:7" x14ac:dyDescent="0.25">
      <c r="A148" s="60" t="s">
        <v>147</v>
      </c>
      <c r="B148" s="61" t="s">
        <v>148</v>
      </c>
      <c r="C148" s="79">
        <v>243.82981999999998</v>
      </c>
      <c r="D148" s="80">
        <v>257.37314000000003</v>
      </c>
      <c r="E148" s="80">
        <v>266.98181000000005</v>
      </c>
      <c r="F148" s="81">
        <v>266.13181000000003</v>
      </c>
      <c r="G148" s="88">
        <f t="shared" si="1"/>
        <v>258.57914500000004</v>
      </c>
    </row>
    <row r="149" spans="1:7" x14ac:dyDescent="0.25">
      <c r="A149" s="60" t="s">
        <v>209</v>
      </c>
      <c r="B149" s="61" t="s">
        <v>210</v>
      </c>
      <c r="C149" s="79">
        <v>362.78321</v>
      </c>
      <c r="D149" s="80">
        <v>360.77657000000005</v>
      </c>
      <c r="E149" s="80">
        <v>373.27325999999999</v>
      </c>
      <c r="F149" s="81">
        <v>381.65658000000002</v>
      </c>
      <c r="G149" s="88">
        <f t="shared" si="1"/>
        <v>369.62240500000001</v>
      </c>
    </row>
    <row r="150" spans="1:7" x14ac:dyDescent="0.25">
      <c r="A150" s="60" t="s">
        <v>193</v>
      </c>
      <c r="B150" s="61" t="s">
        <v>194</v>
      </c>
      <c r="C150" s="79">
        <v>1.41333</v>
      </c>
      <c r="D150" s="80">
        <v>1.41333</v>
      </c>
      <c r="E150" s="80">
        <v>0.8</v>
      </c>
      <c r="F150" s="81">
        <v>0.8</v>
      </c>
      <c r="G150" s="88">
        <f t="shared" si="1"/>
        <v>1.106665</v>
      </c>
    </row>
    <row r="151" spans="1:7" ht="13" thickBot="1" x14ac:dyDescent="0.3">
      <c r="A151" s="62" t="s">
        <v>321</v>
      </c>
      <c r="B151" s="63" t="s">
        <v>322</v>
      </c>
      <c r="C151" s="82">
        <v>0.6</v>
      </c>
      <c r="D151" s="83"/>
      <c r="E151" s="83"/>
      <c r="F151" s="84"/>
      <c r="G151" s="102">
        <f t="shared" si="1"/>
        <v>0.15</v>
      </c>
    </row>
    <row r="152" spans="1:7" ht="15.5" x14ac:dyDescent="0.35">
      <c r="A152" s="30"/>
      <c r="C152" s="31"/>
      <c r="D152" s="31"/>
      <c r="E152" s="31"/>
      <c r="F152" s="31"/>
    </row>
    <row r="153" spans="1:7" ht="15.5" x14ac:dyDescent="0.35">
      <c r="A153" s="30"/>
      <c r="C153" s="31"/>
      <c r="D153" s="31"/>
      <c r="E153" s="31"/>
      <c r="F153" s="31"/>
    </row>
    <row r="154" spans="1:7" ht="15.5" x14ac:dyDescent="0.35">
      <c r="A154" s="30"/>
      <c r="C154" s="31"/>
      <c r="D154" s="31"/>
      <c r="E154" s="31"/>
      <c r="F154" s="31"/>
    </row>
    <row r="155" spans="1:7" ht="15.5" x14ac:dyDescent="0.35">
      <c r="A155" s="30"/>
      <c r="C155" s="31"/>
      <c r="D155" s="31"/>
      <c r="E155" s="31"/>
      <c r="F155" s="31"/>
    </row>
    <row r="156" spans="1:7" ht="15.5" x14ac:dyDescent="0.35">
      <c r="A156" s="30"/>
      <c r="C156" s="31"/>
      <c r="D156" s="31"/>
      <c r="E156" s="31"/>
      <c r="F156" s="31"/>
    </row>
    <row r="157" spans="1:7" ht="15.5" x14ac:dyDescent="0.35">
      <c r="A157" s="30"/>
      <c r="C157" s="31"/>
      <c r="D157" s="31"/>
      <c r="E157" s="31"/>
      <c r="F157" s="31"/>
    </row>
    <row r="158" spans="1:7" ht="15.5" x14ac:dyDescent="0.35">
      <c r="A158" s="30"/>
      <c r="C158" s="31"/>
      <c r="D158" s="31"/>
      <c r="E158" s="31"/>
      <c r="F158" s="31"/>
    </row>
    <row r="159" spans="1:7" ht="15.5" x14ac:dyDescent="0.35">
      <c r="A159" s="30"/>
      <c r="C159" s="31"/>
      <c r="D159" s="31"/>
      <c r="E159" s="31"/>
      <c r="F159" s="31"/>
    </row>
    <row r="160" spans="1:7" ht="12.75" customHeight="1" x14ac:dyDescent="0.25">
      <c r="A160" s="30"/>
      <c r="B160" s="30"/>
      <c r="C160" s="30"/>
      <c r="D160" s="30"/>
      <c r="E160" s="30"/>
      <c r="F160" s="30"/>
    </row>
  </sheetData>
  <sortState xmlns:xlrd2="http://schemas.microsoft.com/office/spreadsheetml/2017/richdata2" ref="A23:G157">
    <sortCondition ref="B23:B157"/>
  </sortState>
  <mergeCells count="12">
    <mergeCell ref="A1:H1"/>
    <mergeCell ref="A2:F2"/>
    <mergeCell ref="A4:F4"/>
    <mergeCell ref="A19:A20"/>
    <mergeCell ref="B19:B20"/>
    <mergeCell ref="C19:E19"/>
    <mergeCell ref="G19:G20"/>
    <mergeCell ref="A13:F13"/>
    <mergeCell ref="A14:F14"/>
    <mergeCell ref="A3:G3"/>
    <mergeCell ref="A16:F16"/>
    <mergeCell ref="A17:G17"/>
  </mergeCells>
  <hyperlinks>
    <hyperlink ref="A5" r:id="rId1" display="https://digital.nhs.uk/data-and-information/publications/statistical/nhs-workforce-statistics" xr:uid="{0236BD0B-9DDF-4F25-BB49-3525BA5E13D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FB2D-C1A8-4A71-A8AF-1582708C647D}">
  <dimension ref="A1:N164"/>
  <sheetViews>
    <sheetView showGridLines="0" zoomScaleNormal="100" workbookViewId="0">
      <selection activeCell="A2" sqref="A2:F2"/>
    </sheetView>
  </sheetViews>
  <sheetFormatPr defaultColWidth="7.69140625" defaultRowHeight="12.5" x14ac:dyDescent="0.25"/>
  <cols>
    <col min="1" max="1" width="5.84375" style="1" customWidth="1"/>
    <col min="2" max="2" width="54.07421875" style="1" customWidth="1"/>
    <col min="3" max="5" width="10.69140625" style="1" customWidth="1"/>
    <col min="6" max="6" width="11.84375" style="1" customWidth="1"/>
    <col min="7" max="7" width="9.84375" style="1" customWidth="1"/>
    <col min="8" max="16384" width="7.69140625" style="1"/>
  </cols>
  <sheetData>
    <row r="1" spans="1:14" ht="105" customHeight="1" x14ac:dyDescent="0.25">
      <c r="A1" s="119"/>
      <c r="B1" s="119"/>
      <c r="C1" s="119"/>
      <c r="D1" s="119"/>
      <c r="E1" s="119"/>
      <c r="F1" s="119"/>
      <c r="G1" s="119"/>
      <c r="H1" s="119"/>
    </row>
    <row r="2" spans="1:14" ht="29.25" customHeight="1" x14ac:dyDescent="0.25">
      <c r="A2" s="123" t="s">
        <v>348</v>
      </c>
      <c r="B2" s="123"/>
      <c r="C2" s="123"/>
      <c r="D2" s="123"/>
      <c r="E2" s="123"/>
      <c r="F2" s="123"/>
    </row>
    <row r="3" spans="1:14" s="72" customFormat="1" ht="14.5" x14ac:dyDescent="0.35">
      <c r="A3" s="134" t="s">
        <v>351</v>
      </c>
      <c r="B3" s="134"/>
      <c r="C3" s="134"/>
      <c r="D3" s="134"/>
      <c r="E3" s="134"/>
      <c r="F3" s="134"/>
      <c r="G3" s="134"/>
    </row>
    <row r="4" spans="1:14" ht="13.5" customHeight="1" x14ac:dyDescent="0.25">
      <c r="A4" s="124" t="s">
        <v>11</v>
      </c>
      <c r="B4" s="124"/>
      <c r="C4" s="124"/>
      <c r="D4" s="124"/>
      <c r="E4" s="124"/>
      <c r="F4" s="124"/>
    </row>
    <row r="5" spans="1:14" ht="13.5" customHeight="1" x14ac:dyDescent="0.25">
      <c r="A5" s="14" t="s">
        <v>12</v>
      </c>
      <c r="B5" s="15"/>
      <c r="C5" s="15"/>
      <c r="D5" s="15"/>
      <c r="E5" s="15"/>
      <c r="F5" s="15"/>
    </row>
    <row r="6" spans="1:14" ht="13.5" customHeight="1" x14ac:dyDescent="0.25">
      <c r="A6" s="16" t="s">
        <v>13</v>
      </c>
      <c r="B6" s="15"/>
      <c r="C6" s="15"/>
      <c r="D6" s="15"/>
      <c r="E6" s="15"/>
      <c r="F6" s="15"/>
    </row>
    <row r="7" spans="1:14" ht="13.5" customHeight="1" x14ac:dyDescent="0.25">
      <c r="A7" s="16"/>
      <c r="B7" s="15"/>
      <c r="C7" s="15"/>
      <c r="D7" s="15"/>
      <c r="E7" s="15"/>
      <c r="F7" s="15"/>
    </row>
    <row r="8" spans="1:14" ht="13.5" customHeight="1" x14ac:dyDescent="0.3">
      <c r="A8" s="96" t="s">
        <v>325</v>
      </c>
      <c r="B8" s="15"/>
      <c r="C8" s="15"/>
      <c r="D8" s="15"/>
      <c r="E8" s="15"/>
      <c r="F8" s="15"/>
    </row>
    <row r="9" spans="1:14" ht="13.5" customHeight="1" x14ac:dyDescent="0.35">
      <c r="A9" s="16" t="s">
        <v>323</v>
      </c>
      <c r="B9" s="15"/>
      <c r="C9" s="15"/>
      <c r="D9" s="15"/>
      <c r="E9" s="15"/>
      <c r="F9" s="15"/>
      <c r="L9"/>
      <c r="M9"/>
      <c r="N9"/>
    </row>
    <row r="10" spans="1:14" ht="13.5" customHeight="1" x14ac:dyDescent="0.35">
      <c r="A10" s="16" t="s">
        <v>332</v>
      </c>
      <c r="B10" s="17"/>
      <c r="C10" s="17"/>
      <c r="D10" s="17"/>
      <c r="E10" s="17"/>
      <c r="F10" s="17"/>
      <c r="L10"/>
      <c r="M10"/>
      <c r="N10"/>
    </row>
    <row r="11" spans="1:14" ht="13.5" customHeight="1" x14ac:dyDescent="0.35">
      <c r="A11" s="16" t="s">
        <v>333</v>
      </c>
      <c r="B11" s="17"/>
      <c r="C11" s="17"/>
      <c r="D11" s="17"/>
      <c r="E11" s="17"/>
      <c r="F11" s="17"/>
      <c r="L11"/>
      <c r="M11"/>
      <c r="N11"/>
    </row>
    <row r="12" spans="1:14" ht="13.5" customHeight="1" x14ac:dyDescent="0.25">
      <c r="B12" s="18"/>
      <c r="C12" s="18"/>
      <c r="D12" s="18"/>
      <c r="E12" s="18"/>
      <c r="F12" s="18"/>
    </row>
    <row r="13" spans="1:14" ht="13" x14ac:dyDescent="0.25">
      <c r="A13" s="132" t="s">
        <v>24</v>
      </c>
      <c r="B13" s="132"/>
      <c r="C13" s="132"/>
      <c r="D13" s="132"/>
      <c r="E13" s="132"/>
      <c r="F13" s="132"/>
    </row>
    <row r="14" spans="1:14" ht="27.75" customHeight="1" x14ac:dyDescent="0.25">
      <c r="A14" s="133" t="s">
        <v>25</v>
      </c>
      <c r="B14" s="133"/>
      <c r="C14" s="133"/>
      <c r="D14" s="133"/>
      <c r="E14" s="133"/>
      <c r="F14" s="133"/>
    </row>
    <row r="15" spans="1:14" s="97" customFormat="1" x14ac:dyDescent="0.25"/>
    <row r="16" spans="1:14" customFormat="1" ht="15.5" x14ac:dyDescent="0.35">
      <c r="A16" s="132" t="s">
        <v>324</v>
      </c>
      <c r="B16" s="132"/>
      <c r="C16" s="132"/>
      <c r="D16" s="132"/>
      <c r="E16" s="132"/>
      <c r="F16" s="132"/>
    </row>
    <row r="17" spans="1:11" customFormat="1" ht="31.5" customHeight="1" x14ac:dyDescent="0.35">
      <c r="A17" s="135" t="s">
        <v>326</v>
      </c>
      <c r="B17" s="135"/>
      <c r="C17" s="135"/>
      <c r="D17" s="135"/>
      <c r="E17" s="135"/>
      <c r="F17" s="135"/>
      <c r="G17" s="135"/>
    </row>
    <row r="18" spans="1:11" ht="14.15" customHeight="1" thickBot="1" x14ac:dyDescent="0.3">
      <c r="A18" s="67"/>
      <c r="B18" s="67"/>
      <c r="C18" s="67"/>
      <c r="D18" s="67"/>
      <c r="E18" s="67"/>
      <c r="F18" s="67"/>
    </row>
    <row r="19" spans="1:11" ht="13.5" customHeight="1" thickBot="1" x14ac:dyDescent="0.3">
      <c r="A19" s="125" t="s">
        <v>14</v>
      </c>
      <c r="B19" s="127" t="s">
        <v>15</v>
      </c>
      <c r="C19" s="129">
        <v>2024</v>
      </c>
      <c r="D19" s="130"/>
      <c r="E19" s="130"/>
      <c r="F19" s="19">
        <v>2025</v>
      </c>
      <c r="G19" s="131" t="s">
        <v>16</v>
      </c>
    </row>
    <row r="20" spans="1:11" ht="13.5" thickBot="1" x14ac:dyDescent="0.3">
      <c r="A20" s="126"/>
      <c r="B20" s="128"/>
      <c r="C20" s="20" t="s">
        <v>17</v>
      </c>
      <c r="D20" s="21" t="s">
        <v>18</v>
      </c>
      <c r="E20" s="22" t="s">
        <v>19</v>
      </c>
      <c r="F20" s="22" t="s">
        <v>20</v>
      </c>
      <c r="G20" s="131"/>
    </row>
    <row r="21" spans="1:11" ht="13.5" thickBot="1" x14ac:dyDescent="0.35">
      <c r="A21" s="54" t="s">
        <v>21</v>
      </c>
      <c r="B21" s="55" t="s">
        <v>22</v>
      </c>
      <c r="C21" s="74">
        <v>14072.685390000004</v>
      </c>
      <c r="D21" s="74">
        <v>14122.057889999996</v>
      </c>
      <c r="E21" s="74">
        <v>14118.81308</v>
      </c>
      <c r="F21" s="74">
        <v>14280.279520000002</v>
      </c>
      <c r="G21" s="73">
        <f>SUM(C21:F21)/4</f>
        <v>14148.458970000002</v>
      </c>
      <c r="H21" s="25"/>
      <c r="I21" s="26"/>
      <c r="J21" s="26"/>
      <c r="K21" s="26"/>
    </row>
    <row r="22" spans="1:11" ht="13" thickBot="1" x14ac:dyDescent="0.3">
      <c r="A22" s="90"/>
      <c r="B22" s="91" t="s">
        <v>23</v>
      </c>
      <c r="C22" s="75"/>
      <c r="D22" s="75"/>
      <c r="E22" s="75"/>
      <c r="F22" s="75"/>
      <c r="G22" s="92"/>
    </row>
    <row r="23" spans="1:11" ht="15.5" x14ac:dyDescent="0.35">
      <c r="A23" s="58" t="s">
        <v>243</v>
      </c>
      <c r="B23" s="59" t="s">
        <v>244</v>
      </c>
      <c r="C23" s="76">
        <v>212.96638999999999</v>
      </c>
      <c r="D23" s="77">
        <v>214.95305999999999</v>
      </c>
      <c r="E23" s="77">
        <v>219.72639000000001</v>
      </c>
      <c r="F23" s="78">
        <v>223.13439999999997</v>
      </c>
      <c r="G23" s="93">
        <f>SUM(C23:F23)/4</f>
        <v>217.69506000000001</v>
      </c>
      <c r="H23" s="32"/>
    </row>
    <row r="24" spans="1:11" ht="15.5" x14ac:dyDescent="0.35">
      <c r="A24" s="60" t="s">
        <v>223</v>
      </c>
      <c r="B24" s="61" t="s">
        <v>224</v>
      </c>
      <c r="C24" s="79">
        <v>107.31996000000001</v>
      </c>
      <c r="D24" s="80">
        <v>105.79996</v>
      </c>
      <c r="E24" s="80">
        <v>102.34662999999999</v>
      </c>
      <c r="F24" s="81">
        <v>102.59996</v>
      </c>
      <c r="G24" s="94">
        <f t="shared" ref="G24:G87" si="0">SUM(C24:F24)/4</f>
        <v>104.5166275</v>
      </c>
      <c r="H24" s="32"/>
    </row>
    <row r="25" spans="1:11" x14ac:dyDescent="0.25">
      <c r="A25" s="60" t="s">
        <v>121</v>
      </c>
      <c r="B25" s="61" t="s">
        <v>122</v>
      </c>
      <c r="C25" s="79">
        <v>107.67788</v>
      </c>
      <c r="D25" s="80">
        <v>111.18108000000001</v>
      </c>
      <c r="E25" s="80">
        <v>93.341210000000004</v>
      </c>
      <c r="F25" s="81">
        <v>97.891199999999998</v>
      </c>
      <c r="G25" s="94">
        <f t="shared" si="0"/>
        <v>102.5228425</v>
      </c>
    </row>
    <row r="26" spans="1:11" x14ac:dyDescent="0.25">
      <c r="A26" s="60" t="s">
        <v>275</v>
      </c>
      <c r="B26" s="61" t="s">
        <v>276</v>
      </c>
      <c r="C26" s="79">
        <v>0.4</v>
      </c>
      <c r="D26" s="80"/>
      <c r="E26" s="80"/>
      <c r="F26" s="81"/>
      <c r="G26" s="94">
        <f t="shared" si="0"/>
        <v>0.1</v>
      </c>
    </row>
    <row r="27" spans="1:11" x14ac:dyDescent="0.25">
      <c r="A27" s="60" t="s">
        <v>125</v>
      </c>
      <c r="B27" s="61" t="s">
        <v>126</v>
      </c>
      <c r="C27" s="79">
        <v>62.933320000000002</v>
      </c>
      <c r="D27" s="80">
        <v>60.54665</v>
      </c>
      <c r="E27" s="80">
        <v>69.472120000000004</v>
      </c>
      <c r="F27" s="81">
        <v>56.792120000000004</v>
      </c>
      <c r="G27" s="94">
        <f t="shared" si="0"/>
        <v>62.436052500000002</v>
      </c>
    </row>
    <row r="28" spans="1:11" x14ac:dyDescent="0.25">
      <c r="A28" s="60" t="s">
        <v>167</v>
      </c>
      <c r="B28" s="61" t="s">
        <v>168</v>
      </c>
      <c r="C28" s="79">
        <v>177.17064999999999</v>
      </c>
      <c r="D28" s="80">
        <v>170.17197999999999</v>
      </c>
      <c r="E28" s="80">
        <v>167.07197999999997</v>
      </c>
      <c r="F28" s="81">
        <v>164.26930999999999</v>
      </c>
      <c r="G28" s="94">
        <f t="shared" si="0"/>
        <v>169.67097999999999</v>
      </c>
    </row>
    <row r="29" spans="1:11" x14ac:dyDescent="0.25">
      <c r="A29" s="60" t="s">
        <v>149</v>
      </c>
      <c r="B29" s="61" t="s">
        <v>150</v>
      </c>
      <c r="C29" s="79">
        <v>132.47573</v>
      </c>
      <c r="D29" s="80">
        <v>139.96239</v>
      </c>
      <c r="E29" s="80">
        <v>136.88238999999999</v>
      </c>
      <c r="F29" s="81">
        <v>135.46213</v>
      </c>
      <c r="G29" s="94">
        <f t="shared" si="0"/>
        <v>136.19566</v>
      </c>
    </row>
    <row r="30" spans="1:11" x14ac:dyDescent="0.25">
      <c r="A30" s="60" t="s">
        <v>201</v>
      </c>
      <c r="B30" s="61" t="s">
        <v>202</v>
      </c>
      <c r="C30" s="79">
        <v>27.986660000000001</v>
      </c>
      <c r="D30" s="80">
        <v>25.223329999999997</v>
      </c>
      <c r="E30" s="80">
        <v>28.383330000000001</v>
      </c>
      <c r="F30" s="81">
        <v>28.663330000000002</v>
      </c>
      <c r="G30" s="94">
        <f t="shared" si="0"/>
        <v>27.564162500000002</v>
      </c>
    </row>
    <row r="31" spans="1:11" x14ac:dyDescent="0.25">
      <c r="A31" s="60" t="s">
        <v>313</v>
      </c>
      <c r="B31" s="61" t="s">
        <v>314</v>
      </c>
      <c r="C31" s="79">
        <v>157.80582999999999</v>
      </c>
      <c r="D31" s="80">
        <v>151.60583</v>
      </c>
      <c r="E31" s="80">
        <v>147.85943999999998</v>
      </c>
      <c r="F31" s="81">
        <v>152.86610999999999</v>
      </c>
      <c r="G31" s="94">
        <f t="shared" si="0"/>
        <v>152.53430249999997</v>
      </c>
    </row>
    <row r="32" spans="1:11" x14ac:dyDescent="0.25">
      <c r="A32" s="60" t="s">
        <v>311</v>
      </c>
      <c r="B32" s="61" t="s">
        <v>312</v>
      </c>
      <c r="C32" s="79">
        <v>98.960520000000002</v>
      </c>
      <c r="D32" s="80">
        <v>106.33384</v>
      </c>
      <c r="E32" s="80">
        <v>108.8805</v>
      </c>
      <c r="F32" s="81">
        <v>112.52052</v>
      </c>
      <c r="G32" s="94">
        <f t="shared" si="0"/>
        <v>106.673845</v>
      </c>
    </row>
    <row r="33" spans="1:7" x14ac:dyDescent="0.25">
      <c r="A33" s="60" t="s">
        <v>93</v>
      </c>
      <c r="B33" s="61" t="s">
        <v>94</v>
      </c>
      <c r="C33" s="79">
        <v>69.939980000000006</v>
      </c>
      <c r="D33" s="80">
        <v>72.619979999999998</v>
      </c>
      <c r="E33" s="80">
        <v>72.606650000000002</v>
      </c>
      <c r="F33" s="81">
        <v>71.073319999999995</v>
      </c>
      <c r="G33" s="94">
        <f t="shared" si="0"/>
        <v>71.55998249999999</v>
      </c>
    </row>
    <row r="34" spans="1:7" x14ac:dyDescent="0.25">
      <c r="A34" s="60" t="s">
        <v>75</v>
      </c>
      <c r="B34" s="61" t="s">
        <v>76</v>
      </c>
      <c r="C34" s="79">
        <v>169.91666000000001</v>
      </c>
      <c r="D34" s="80">
        <v>179.90331</v>
      </c>
      <c r="E34" s="80">
        <v>180.19663999999997</v>
      </c>
      <c r="F34" s="81">
        <v>177.47664</v>
      </c>
      <c r="G34" s="94">
        <f t="shared" si="0"/>
        <v>176.8733125</v>
      </c>
    </row>
    <row r="35" spans="1:7" x14ac:dyDescent="0.25">
      <c r="A35" s="60" t="s">
        <v>175</v>
      </c>
      <c r="B35" s="61" t="s">
        <v>176</v>
      </c>
      <c r="C35" s="79">
        <v>133.48665</v>
      </c>
      <c r="D35" s="80">
        <v>128.91332</v>
      </c>
      <c r="E35" s="80">
        <v>129.53332</v>
      </c>
      <c r="F35" s="81">
        <v>208.62664999999998</v>
      </c>
      <c r="G35" s="94">
        <f t="shared" si="0"/>
        <v>150.139985</v>
      </c>
    </row>
    <row r="36" spans="1:7" x14ac:dyDescent="0.25">
      <c r="A36" s="60" t="s">
        <v>173</v>
      </c>
      <c r="B36" s="61" t="s">
        <v>174</v>
      </c>
      <c r="C36" s="79">
        <v>82.706649999999996</v>
      </c>
      <c r="D36" s="80">
        <v>87.906660000000002</v>
      </c>
      <c r="E36" s="80">
        <v>87.21332000000001</v>
      </c>
      <c r="F36" s="81"/>
      <c r="G36" s="94">
        <f t="shared" si="0"/>
        <v>64.456657500000006</v>
      </c>
    </row>
    <row r="37" spans="1:7" x14ac:dyDescent="0.25">
      <c r="A37" s="60" t="s">
        <v>145</v>
      </c>
      <c r="B37" s="61" t="s">
        <v>146</v>
      </c>
      <c r="C37" s="79">
        <v>57.152010000000004</v>
      </c>
      <c r="D37" s="80">
        <v>53.458680000000001</v>
      </c>
      <c r="E37" s="80">
        <v>50.898679999999999</v>
      </c>
      <c r="F37" s="81">
        <v>49.086669999999998</v>
      </c>
      <c r="G37" s="94">
        <f t="shared" si="0"/>
        <v>52.649009999999997</v>
      </c>
    </row>
    <row r="38" spans="1:7" x14ac:dyDescent="0.25">
      <c r="A38" s="60" t="s">
        <v>159</v>
      </c>
      <c r="B38" s="61" t="s">
        <v>160</v>
      </c>
      <c r="C38" s="79">
        <v>54.575469999999996</v>
      </c>
      <c r="D38" s="80">
        <v>49.975470000000001</v>
      </c>
      <c r="E38" s="80">
        <v>48.483460000000001</v>
      </c>
      <c r="F38" s="81">
        <v>55.390129999999999</v>
      </c>
      <c r="G38" s="94">
        <f t="shared" si="0"/>
        <v>52.106132500000001</v>
      </c>
    </row>
    <row r="39" spans="1:7" x14ac:dyDescent="0.25">
      <c r="A39" s="60" t="s">
        <v>117</v>
      </c>
      <c r="B39" s="61" t="s">
        <v>118</v>
      </c>
      <c r="C39" s="79">
        <v>38.835989999999995</v>
      </c>
      <c r="D39" s="80">
        <v>38.175979999999996</v>
      </c>
      <c r="E39" s="80">
        <v>35.073320000000002</v>
      </c>
      <c r="F39" s="81">
        <v>34.52666</v>
      </c>
      <c r="G39" s="94">
        <f t="shared" si="0"/>
        <v>36.652987499999995</v>
      </c>
    </row>
    <row r="40" spans="1:7" x14ac:dyDescent="0.25">
      <c r="A40" s="60" t="s">
        <v>291</v>
      </c>
      <c r="B40" s="61" t="s">
        <v>292</v>
      </c>
      <c r="C40" s="79">
        <v>83.193240000000003</v>
      </c>
      <c r="D40" s="80">
        <v>81.066580000000002</v>
      </c>
      <c r="E40" s="80">
        <v>82.846580000000003</v>
      </c>
      <c r="F40" s="81">
        <v>86.32978</v>
      </c>
      <c r="G40" s="94">
        <f t="shared" si="0"/>
        <v>83.359045000000009</v>
      </c>
    </row>
    <row r="41" spans="1:7" x14ac:dyDescent="0.25">
      <c r="A41" s="60" t="s">
        <v>263</v>
      </c>
      <c r="B41" s="61" t="s">
        <v>264</v>
      </c>
      <c r="C41" s="79">
        <v>62.540520000000008</v>
      </c>
      <c r="D41" s="80">
        <v>58.420519999999996</v>
      </c>
      <c r="E41" s="80">
        <v>56.300519999999999</v>
      </c>
      <c r="F41" s="81">
        <v>58.504519999999999</v>
      </c>
      <c r="G41" s="94">
        <f t="shared" si="0"/>
        <v>58.941519999999997</v>
      </c>
    </row>
    <row r="42" spans="1:7" x14ac:dyDescent="0.25">
      <c r="A42" s="60" t="s">
        <v>245</v>
      </c>
      <c r="B42" s="61" t="s">
        <v>246</v>
      </c>
      <c r="C42" s="79">
        <v>164.68186</v>
      </c>
      <c r="D42" s="80">
        <v>164.3152</v>
      </c>
      <c r="E42" s="80">
        <v>164.33386999999999</v>
      </c>
      <c r="F42" s="81">
        <v>161.16001</v>
      </c>
      <c r="G42" s="94">
        <f t="shared" si="0"/>
        <v>163.62273500000001</v>
      </c>
    </row>
    <row r="43" spans="1:7" x14ac:dyDescent="0.25">
      <c r="A43" s="60" t="s">
        <v>227</v>
      </c>
      <c r="B43" s="61" t="s">
        <v>228</v>
      </c>
      <c r="C43" s="79">
        <v>28.08717</v>
      </c>
      <c r="D43" s="80">
        <v>27.95384</v>
      </c>
      <c r="E43" s="80">
        <v>28.287179999999999</v>
      </c>
      <c r="F43" s="81">
        <v>28.940510000000003</v>
      </c>
      <c r="G43" s="94">
        <f t="shared" si="0"/>
        <v>28.317175000000002</v>
      </c>
    </row>
    <row r="44" spans="1:7" x14ac:dyDescent="0.25">
      <c r="A44" s="60" t="s">
        <v>247</v>
      </c>
      <c r="B44" s="61" t="s">
        <v>248</v>
      </c>
      <c r="C44" s="79">
        <v>82.669399999999996</v>
      </c>
      <c r="D44" s="80">
        <v>82.104070000000007</v>
      </c>
      <c r="E44" s="80">
        <v>84.612080000000006</v>
      </c>
      <c r="F44" s="81">
        <v>89.152070000000009</v>
      </c>
      <c r="G44" s="94">
        <f t="shared" si="0"/>
        <v>84.634405000000015</v>
      </c>
    </row>
    <row r="45" spans="1:7" x14ac:dyDescent="0.25">
      <c r="A45" s="60" t="s">
        <v>63</v>
      </c>
      <c r="B45" s="61" t="s">
        <v>64</v>
      </c>
      <c r="C45" s="79">
        <v>103.00667</v>
      </c>
      <c r="D45" s="80">
        <v>96.87867</v>
      </c>
      <c r="E45" s="80">
        <v>96.278670000000005</v>
      </c>
      <c r="F45" s="81">
        <v>94.585329999999999</v>
      </c>
      <c r="G45" s="94">
        <f t="shared" si="0"/>
        <v>97.68733499999999</v>
      </c>
    </row>
    <row r="46" spans="1:7" x14ac:dyDescent="0.25">
      <c r="A46" s="60" t="s">
        <v>115</v>
      </c>
      <c r="B46" s="61" t="s">
        <v>116</v>
      </c>
      <c r="C46" s="79">
        <v>133.37067999999999</v>
      </c>
      <c r="D46" s="80">
        <v>142.11067000000003</v>
      </c>
      <c r="E46" s="80">
        <v>138.70400000000001</v>
      </c>
      <c r="F46" s="81">
        <v>143.22398000000001</v>
      </c>
      <c r="G46" s="94">
        <f t="shared" si="0"/>
        <v>139.35233250000002</v>
      </c>
    </row>
    <row r="47" spans="1:7" x14ac:dyDescent="0.25">
      <c r="A47" s="60" t="s">
        <v>99</v>
      </c>
      <c r="B47" s="61" t="s">
        <v>100</v>
      </c>
      <c r="C47" s="79">
        <v>30.226690000000001</v>
      </c>
      <c r="D47" s="80">
        <v>32.826700000000002</v>
      </c>
      <c r="E47" s="80">
        <v>32.213370000000005</v>
      </c>
      <c r="F47" s="81">
        <v>30.413369999999997</v>
      </c>
      <c r="G47" s="94">
        <f t="shared" si="0"/>
        <v>31.420032500000001</v>
      </c>
    </row>
    <row r="48" spans="1:7" x14ac:dyDescent="0.25">
      <c r="A48" s="60" t="s">
        <v>89</v>
      </c>
      <c r="B48" s="61" t="s">
        <v>90</v>
      </c>
      <c r="C48" s="79">
        <v>47.546659999999996</v>
      </c>
      <c r="D48" s="80">
        <v>47.360000000000007</v>
      </c>
      <c r="E48" s="80">
        <v>46.706659999999992</v>
      </c>
      <c r="F48" s="81">
        <v>46.413319999999999</v>
      </c>
      <c r="G48" s="94">
        <f t="shared" si="0"/>
        <v>47.006659999999997</v>
      </c>
    </row>
    <row r="49" spans="1:7" x14ac:dyDescent="0.25">
      <c r="A49" s="60" t="s">
        <v>111</v>
      </c>
      <c r="B49" s="61" t="s">
        <v>112</v>
      </c>
      <c r="C49" s="79">
        <v>33.912669999999999</v>
      </c>
      <c r="D49" s="80">
        <v>33.961339999999993</v>
      </c>
      <c r="E49" s="80">
        <v>34.353870000000001</v>
      </c>
      <c r="F49" s="81">
        <v>33.770539999999997</v>
      </c>
      <c r="G49" s="94">
        <f t="shared" si="0"/>
        <v>33.999605000000003</v>
      </c>
    </row>
    <row r="50" spans="1:7" x14ac:dyDescent="0.25">
      <c r="A50" s="60" t="s">
        <v>83</v>
      </c>
      <c r="B50" s="61" t="s">
        <v>84</v>
      </c>
      <c r="C50" s="79">
        <v>44.079979999999999</v>
      </c>
      <c r="D50" s="80">
        <v>49.239979999999996</v>
      </c>
      <c r="E50" s="80">
        <v>46.826649999999994</v>
      </c>
      <c r="F50" s="81">
        <v>45.759979999999999</v>
      </c>
      <c r="G50" s="94">
        <f t="shared" si="0"/>
        <v>46.476647499999999</v>
      </c>
    </row>
    <row r="51" spans="1:7" x14ac:dyDescent="0.25">
      <c r="A51" s="60" t="s">
        <v>307</v>
      </c>
      <c r="B51" s="61" t="s">
        <v>308</v>
      </c>
      <c r="C51" s="79">
        <v>83.389079999999979</v>
      </c>
      <c r="D51" s="80">
        <v>79.215739999999983</v>
      </c>
      <c r="E51" s="80">
        <v>74.835740000000015</v>
      </c>
      <c r="F51" s="81">
        <v>75.18240999999999</v>
      </c>
      <c r="G51" s="94">
        <f t="shared" si="0"/>
        <v>78.155742499999988</v>
      </c>
    </row>
    <row r="52" spans="1:7" x14ac:dyDescent="0.25">
      <c r="A52" s="60" t="s">
        <v>139</v>
      </c>
      <c r="B52" s="61" t="s">
        <v>140</v>
      </c>
      <c r="C52" s="79">
        <v>45.099979999999995</v>
      </c>
      <c r="D52" s="80">
        <v>42.899980000000006</v>
      </c>
      <c r="E52" s="80">
        <v>34.553319999999999</v>
      </c>
      <c r="F52" s="81">
        <v>39.499980000000001</v>
      </c>
      <c r="G52" s="94">
        <f t="shared" si="0"/>
        <v>40.513314999999999</v>
      </c>
    </row>
    <row r="53" spans="1:7" x14ac:dyDescent="0.25">
      <c r="A53" s="60" t="s">
        <v>71</v>
      </c>
      <c r="B53" s="61" t="s">
        <v>72</v>
      </c>
      <c r="C53" s="79">
        <v>126.80131999999999</v>
      </c>
      <c r="D53" s="80">
        <v>127.78318999999999</v>
      </c>
      <c r="E53" s="80">
        <v>128.61653000000001</v>
      </c>
      <c r="F53" s="81">
        <v>136.19467</v>
      </c>
      <c r="G53" s="94">
        <f t="shared" si="0"/>
        <v>129.8489275</v>
      </c>
    </row>
    <row r="54" spans="1:7" x14ac:dyDescent="0.25">
      <c r="A54" s="60" t="s">
        <v>189</v>
      </c>
      <c r="B54" s="61" t="s">
        <v>190</v>
      </c>
      <c r="C54" s="79">
        <v>96.013319999999993</v>
      </c>
      <c r="D54" s="80">
        <v>104.19996999999999</v>
      </c>
      <c r="E54" s="80">
        <v>99.839950000000002</v>
      </c>
      <c r="F54" s="81">
        <v>92.133290000000002</v>
      </c>
      <c r="G54" s="94">
        <f t="shared" si="0"/>
        <v>98.046632499999987</v>
      </c>
    </row>
    <row r="55" spans="1:7" x14ac:dyDescent="0.25">
      <c r="A55" s="60" t="s">
        <v>303</v>
      </c>
      <c r="B55" s="61" t="s">
        <v>304</v>
      </c>
      <c r="C55" s="79">
        <v>73.973290000000006</v>
      </c>
      <c r="D55" s="80">
        <v>77.946640000000002</v>
      </c>
      <c r="E55" s="80">
        <v>74.939980000000006</v>
      </c>
      <c r="F55" s="81">
        <v>73.739980000000003</v>
      </c>
      <c r="G55" s="94">
        <f t="shared" si="0"/>
        <v>75.149972500000004</v>
      </c>
    </row>
    <row r="56" spans="1:7" x14ac:dyDescent="0.25">
      <c r="A56" s="60" t="s">
        <v>241</v>
      </c>
      <c r="B56" s="61" t="s">
        <v>242</v>
      </c>
      <c r="C56" s="79">
        <v>122.77997999999998</v>
      </c>
      <c r="D56" s="80">
        <v>117.47998</v>
      </c>
      <c r="E56" s="80">
        <v>117.39997999999999</v>
      </c>
      <c r="F56" s="81">
        <v>122.95998</v>
      </c>
      <c r="G56" s="94">
        <f t="shared" si="0"/>
        <v>120.15497999999999</v>
      </c>
    </row>
    <row r="57" spans="1:7" x14ac:dyDescent="0.25">
      <c r="A57" s="60" t="s">
        <v>165</v>
      </c>
      <c r="B57" s="61" t="s">
        <v>166</v>
      </c>
      <c r="C57" s="79">
        <v>148.30333000000002</v>
      </c>
      <c r="D57" s="80">
        <v>153.49</v>
      </c>
      <c r="E57" s="80">
        <v>153.97</v>
      </c>
      <c r="F57" s="81">
        <v>159.12998999999999</v>
      </c>
      <c r="G57" s="94">
        <f t="shared" si="0"/>
        <v>153.72333</v>
      </c>
    </row>
    <row r="58" spans="1:7" x14ac:dyDescent="0.25">
      <c r="A58" s="60" t="s">
        <v>91</v>
      </c>
      <c r="B58" s="61" t="s">
        <v>92</v>
      </c>
      <c r="C58" s="79">
        <v>71.994930000000011</v>
      </c>
      <c r="D58" s="80">
        <v>76.354939999999999</v>
      </c>
      <c r="E58" s="80">
        <v>72.394950000000009</v>
      </c>
      <c r="F58" s="81">
        <v>78.981609999999989</v>
      </c>
      <c r="G58" s="94">
        <f t="shared" si="0"/>
        <v>74.931607499999998</v>
      </c>
    </row>
    <row r="59" spans="1:7" x14ac:dyDescent="0.25">
      <c r="A59" s="60" t="s">
        <v>109</v>
      </c>
      <c r="B59" s="61" t="s">
        <v>110</v>
      </c>
      <c r="C59" s="79">
        <v>57.273559999999996</v>
      </c>
      <c r="D59" s="80">
        <v>60.442349999999998</v>
      </c>
      <c r="E59" s="80">
        <v>56.242360000000005</v>
      </c>
      <c r="F59" s="81">
        <v>56.695700000000002</v>
      </c>
      <c r="G59" s="94">
        <f t="shared" si="0"/>
        <v>57.663492500000004</v>
      </c>
    </row>
    <row r="60" spans="1:7" x14ac:dyDescent="0.25">
      <c r="A60" s="60" t="s">
        <v>43</v>
      </c>
      <c r="B60" s="61" t="s">
        <v>44</v>
      </c>
      <c r="C60" s="79">
        <v>57.266640000000002</v>
      </c>
      <c r="D60" s="80">
        <v>57.2333</v>
      </c>
      <c r="E60" s="80">
        <v>55.133300000000006</v>
      </c>
      <c r="F60" s="81">
        <v>55.419950000000007</v>
      </c>
      <c r="G60" s="94">
        <f t="shared" si="0"/>
        <v>56.2632975</v>
      </c>
    </row>
    <row r="61" spans="1:7" x14ac:dyDescent="0.25">
      <c r="A61" s="60" t="s">
        <v>79</v>
      </c>
      <c r="B61" s="61" t="s">
        <v>80</v>
      </c>
      <c r="C61" s="79">
        <v>125.52663</v>
      </c>
      <c r="D61" s="80">
        <v>130.99996999999999</v>
      </c>
      <c r="E61" s="80">
        <v>124.79999000000001</v>
      </c>
      <c r="F61" s="81">
        <v>133.05199000000002</v>
      </c>
      <c r="G61" s="94">
        <f t="shared" si="0"/>
        <v>128.59464500000001</v>
      </c>
    </row>
    <row r="62" spans="1:7" x14ac:dyDescent="0.25">
      <c r="A62" s="60" t="s">
        <v>73</v>
      </c>
      <c r="B62" s="61" t="s">
        <v>74</v>
      </c>
      <c r="C62" s="79">
        <v>38.502420000000001</v>
      </c>
      <c r="D62" s="80">
        <v>38.489090000000004</v>
      </c>
      <c r="E62" s="80">
        <v>35.929090000000002</v>
      </c>
      <c r="F62" s="81">
        <v>42.051760000000002</v>
      </c>
      <c r="G62" s="94">
        <f t="shared" si="0"/>
        <v>38.743090000000002</v>
      </c>
    </row>
    <row r="63" spans="1:7" x14ac:dyDescent="0.25">
      <c r="A63" s="60" t="s">
        <v>87</v>
      </c>
      <c r="B63" s="61" t="s">
        <v>88</v>
      </c>
      <c r="C63" s="79">
        <v>29.413319999999999</v>
      </c>
      <c r="D63" s="80">
        <v>25.34666</v>
      </c>
      <c r="E63" s="80">
        <v>28.24</v>
      </c>
      <c r="F63" s="81">
        <v>28.626670000000001</v>
      </c>
      <c r="G63" s="94">
        <f t="shared" si="0"/>
        <v>27.906662499999999</v>
      </c>
    </row>
    <row r="64" spans="1:7" x14ac:dyDescent="0.25">
      <c r="A64" s="60" t="s">
        <v>65</v>
      </c>
      <c r="B64" s="61" t="s">
        <v>66</v>
      </c>
      <c r="C64" s="79">
        <v>128.78692000000001</v>
      </c>
      <c r="D64" s="80">
        <v>128.48050000000001</v>
      </c>
      <c r="E64" s="80">
        <v>124.21758</v>
      </c>
      <c r="F64" s="81">
        <v>126.36426</v>
      </c>
      <c r="G64" s="94">
        <f t="shared" si="0"/>
        <v>126.962315</v>
      </c>
    </row>
    <row r="65" spans="1:7" x14ac:dyDescent="0.25">
      <c r="A65" s="60" t="s">
        <v>309</v>
      </c>
      <c r="B65" s="61" t="s">
        <v>310</v>
      </c>
      <c r="C65" s="79">
        <v>134.60315000000003</v>
      </c>
      <c r="D65" s="80">
        <v>137.19514000000004</v>
      </c>
      <c r="E65" s="80">
        <v>135.39822000000001</v>
      </c>
      <c r="F65" s="81">
        <v>130.98328000000001</v>
      </c>
      <c r="G65" s="94">
        <f t="shared" si="0"/>
        <v>134.54494750000003</v>
      </c>
    </row>
    <row r="66" spans="1:7" x14ac:dyDescent="0.25">
      <c r="A66" s="60" t="s">
        <v>305</v>
      </c>
      <c r="B66" s="61" t="s">
        <v>306</v>
      </c>
      <c r="C66" s="79">
        <v>75.540530000000004</v>
      </c>
      <c r="D66" s="80">
        <v>71.970530000000011</v>
      </c>
      <c r="E66" s="80">
        <v>77.212389999999999</v>
      </c>
      <c r="F66" s="81">
        <v>79.850520000000003</v>
      </c>
      <c r="G66" s="94">
        <f t="shared" si="0"/>
        <v>76.143492500000008</v>
      </c>
    </row>
    <row r="67" spans="1:7" x14ac:dyDescent="0.25">
      <c r="A67" s="60" t="s">
        <v>129</v>
      </c>
      <c r="B67" s="61" t="s">
        <v>130</v>
      </c>
      <c r="C67" s="79">
        <v>62.519459999999995</v>
      </c>
      <c r="D67" s="80">
        <v>58.979460000000003</v>
      </c>
      <c r="E67" s="80">
        <v>56.786120000000004</v>
      </c>
      <c r="F67" s="81">
        <v>56.15945</v>
      </c>
      <c r="G67" s="94">
        <f t="shared" si="0"/>
        <v>58.6111225</v>
      </c>
    </row>
    <row r="68" spans="1:7" x14ac:dyDescent="0.25">
      <c r="A68" s="60" t="s">
        <v>113</v>
      </c>
      <c r="B68" s="61" t="s">
        <v>114</v>
      </c>
      <c r="C68" s="79">
        <v>117.89438999999999</v>
      </c>
      <c r="D68" s="80">
        <v>116.82612</v>
      </c>
      <c r="E68" s="80">
        <v>112.49281000000001</v>
      </c>
      <c r="F68" s="81">
        <v>115.75363</v>
      </c>
      <c r="G68" s="94">
        <f t="shared" si="0"/>
        <v>115.7417375</v>
      </c>
    </row>
    <row r="69" spans="1:7" x14ac:dyDescent="0.25">
      <c r="A69" s="60" t="s">
        <v>127</v>
      </c>
      <c r="B69" s="61" t="s">
        <v>128</v>
      </c>
      <c r="C69" s="79">
        <v>137.69328999999999</v>
      </c>
      <c r="D69" s="80">
        <v>143.82660999999999</v>
      </c>
      <c r="E69" s="80">
        <v>144.83328000000003</v>
      </c>
      <c r="F69" s="81">
        <v>145.41995000000003</v>
      </c>
      <c r="G69" s="94">
        <f t="shared" si="0"/>
        <v>142.94328250000001</v>
      </c>
    </row>
    <row r="70" spans="1:7" x14ac:dyDescent="0.25">
      <c r="A70" s="60" t="s">
        <v>135</v>
      </c>
      <c r="B70" s="61" t="s">
        <v>136</v>
      </c>
      <c r="C70" s="79">
        <v>89.513339999999999</v>
      </c>
      <c r="D70" s="80">
        <v>88.793340000000001</v>
      </c>
      <c r="E70" s="80">
        <v>80.886670000000009</v>
      </c>
      <c r="F70" s="81">
        <v>87.606670000000008</v>
      </c>
      <c r="G70" s="94">
        <f t="shared" si="0"/>
        <v>86.700005000000004</v>
      </c>
    </row>
    <row r="71" spans="1:7" x14ac:dyDescent="0.25">
      <c r="A71" s="60" t="s">
        <v>155</v>
      </c>
      <c r="B71" s="61" t="s">
        <v>156</v>
      </c>
      <c r="C71" s="79">
        <v>94.347589999999997</v>
      </c>
      <c r="D71" s="80">
        <v>89.682929999999999</v>
      </c>
      <c r="E71" s="80">
        <v>90.549600000000012</v>
      </c>
      <c r="F71" s="81">
        <v>90.282930000000007</v>
      </c>
      <c r="G71" s="94">
        <f t="shared" si="0"/>
        <v>91.215762500000011</v>
      </c>
    </row>
    <row r="72" spans="1:7" x14ac:dyDescent="0.25">
      <c r="A72" s="60" t="s">
        <v>161</v>
      </c>
      <c r="B72" s="61" t="s">
        <v>162</v>
      </c>
      <c r="C72" s="79">
        <v>124.55531999999999</v>
      </c>
      <c r="D72" s="80">
        <v>132.58598999999998</v>
      </c>
      <c r="E72" s="80">
        <v>129.49266</v>
      </c>
      <c r="F72" s="81">
        <v>122.61266999999999</v>
      </c>
      <c r="G72" s="94">
        <f t="shared" si="0"/>
        <v>127.31165999999999</v>
      </c>
    </row>
    <row r="73" spans="1:7" x14ac:dyDescent="0.25">
      <c r="A73" s="60" t="s">
        <v>151</v>
      </c>
      <c r="B73" s="61" t="s">
        <v>152</v>
      </c>
      <c r="C73" s="79">
        <v>87.973299999999995</v>
      </c>
      <c r="D73" s="80">
        <v>91.093299999999999</v>
      </c>
      <c r="E73" s="80">
        <v>96.39997000000001</v>
      </c>
      <c r="F73" s="81">
        <v>94.986640000000008</v>
      </c>
      <c r="G73" s="94">
        <f t="shared" si="0"/>
        <v>92.613302500000003</v>
      </c>
    </row>
    <row r="74" spans="1:7" x14ac:dyDescent="0.25">
      <c r="A74" s="60" t="s">
        <v>163</v>
      </c>
      <c r="B74" s="61" t="s">
        <v>164</v>
      </c>
      <c r="C74" s="79">
        <v>56.213320000000003</v>
      </c>
      <c r="D74" s="80">
        <v>55.333320000000001</v>
      </c>
      <c r="E74" s="80">
        <v>57.099990000000005</v>
      </c>
      <c r="F74" s="81">
        <v>57.246649999999995</v>
      </c>
      <c r="G74" s="94">
        <f t="shared" si="0"/>
        <v>56.473320000000001</v>
      </c>
    </row>
    <row r="75" spans="1:7" x14ac:dyDescent="0.25">
      <c r="A75" s="60" t="s">
        <v>283</v>
      </c>
      <c r="B75" s="61" t="s">
        <v>284</v>
      </c>
      <c r="C75" s="79">
        <v>67.053309999999996</v>
      </c>
      <c r="D75" s="80">
        <v>59.813299999999998</v>
      </c>
      <c r="E75" s="80">
        <v>60.573300000000003</v>
      </c>
      <c r="F75" s="81">
        <v>65.053300000000007</v>
      </c>
      <c r="G75" s="94">
        <f t="shared" si="0"/>
        <v>63.123302500000001</v>
      </c>
    </row>
    <row r="76" spans="1:7" x14ac:dyDescent="0.25">
      <c r="A76" s="60" t="s">
        <v>289</v>
      </c>
      <c r="B76" s="61" t="s">
        <v>290</v>
      </c>
      <c r="C76" s="79">
        <v>159.47332999999998</v>
      </c>
      <c r="D76" s="80">
        <v>166.60666000000003</v>
      </c>
      <c r="E76" s="80">
        <v>167.50665999999998</v>
      </c>
      <c r="F76" s="81">
        <v>166.98665</v>
      </c>
      <c r="G76" s="94">
        <f t="shared" si="0"/>
        <v>165.143325</v>
      </c>
    </row>
    <row r="77" spans="1:7" x14ac:dyDescent="0.25">
      <c r="A77" s="60" t="s">
        <v>107</v>
      </c>
      <c r="B77" s="61" t="s">
        <v>108</v>
      </c>
      <c r="C77" s="79">
        <v>88.85996999999999</v>
      </c>
      <c r="D77" s="80">
        <v>94.993309999999994</v>
      </c>
      <c r="E77" s="80">
        <v>85.793310000000005</v>
      </c>
      <c r="F77" s="81">
        <v>85.313320000000004</v>
      </c>
      <c r="G77" s="94">
        <f t="shared" si="0"/>
        <v>88.739977500000009</v>
      </c>
    </row>
    <row r="78" spans="1:7" x14ac:dyDescent="0.25">
      <c r="A78" s="60" t="s">
        <v>235</v>
      </c>
      <c r="B78" s="61" t="s">
        <v>236</v>
      </c>
      <c r="C78" s="79">
        <v>34.956670000000003</v>
      </c>
      <c r="D78" s="80">
        <v>35.103339999999996</v>
      </c>
      <c r="E78" s="80">
        <v>35.303339999999999</v>
      </c>
      <c r="F78" s="81">
        <v>34.490020000000001</v>
      </c>
      <c r="G78" s="94">
        <f t="shared" si="0"/>
        <v>34.963342499999996</v>
      </c>
    </row>
    <row r="79" spans="1:7" x14ac:dyDescent="0.25">
      <c r="A79" s="60" t="s">
        <v>233</v>
      </c>
      <c r="B79" s="61" t="s">
        <v>234</v>
      </c>
      <c r="C79" s="79">
        <v>39.586669999999998</v>
      </c>
      <c r="D79" s="80">
        <v>44.733339999999998</v>
      </c>
      <c r="E79" s="80">
        <v>47.773340000000005</v>
      </c>
      <c r="F79" s="81">
        <v>55.933340000000001</v>
      </c>
      <c r="G79" s="94">
        <f t="shared" si="0"/>
        <v>47.006672499999993</v>
      </c>
    </row>
    <row r="80" spans="1:7" x14ac:dyDescent="0.25">
      <c r="A80" s="60" t="s">
        <v>157</v>
      </c>
      <c r="B80" s="61" t="s">
        <v>158</v>
      </c>
      <c r="C80" s="79">
        <v>96.597290000000001</v>
      </c>
      <c r="D80" s="80">
        <v>97.330629999999999</v>
      </c>
      <c r="E80" s="80">
        <v>89.255960000000002</v>
      </c>
      <c r="F80" s="81">
        <v>89.86930000000001</v>
      </c>
      <c r="G80" s="94">
        <f t="shared" si="0"/>
        <v>93.263294999999999</v>
      </c>
    </row>
    <row r="81" spans="1:7" x14ac:dyDescent="0.25">
      <c r="A81" s="60" t="s">
        <v>55</v>
      </c>
      <c r="B81" s="61" t="s">
        <v>56</v>
      </c>
      <c r="C81" s="79">
        <v>108.72</v>
      </c>
      <c r="D81" s="80">
        <v>110.41332000000001</v>
      </c>
      <c r="E81" s="80">
        <v>102.29332000000001</v>
      </c>
      <c r="F81" s="81">
        <v>96.013329999999996</v>
      </c>
      <c r="G81" s="94">
        <f t="shared" si="0"/>
        <v>104.3599925</v>
      </c>
    </row>
    <row r="82" spans="1:7" x14ac:dyDescent="0.25">
      <c r="A82" s="60" t="s">
        <v>315</v>
      </c>
      <c r="B82" s="61" t="s">
        <v>316</v>
      </c>
      <c r="C82" s="79">
        <v>94.763310000000004</v>
      </c>
      <c r="D82" s="80">
        <v>91.246639999999999</v>
      </c>
      <c r="E82" s="80">
        <v>98.25330000000001</v>
      </c>
      <c r="F82" s="81">
        <v>97.333289999999991</v>
      </c>
      <c r="G82" s="94">
        <f t="shared" si="0"/>
        <v>95.399135000000001</v>
      </c>
    </row>
    <row r="83" spans="1:7" x14ac:dyDescent="0.25">
      <c r="A83" s="60" t="s">
        <v>287</v>
      </c>
      <c r="B83" s="61" t="s">
        <v>288</v>
      </c>
      <c r="C83" s="79">
        <v>145.38665</v>
      </c>
      <c r="D83" s="80">
        <v>153.01329999999999</v>
      </c>
      <c r="E83" s="80">
        <v>146.13329999999999</v>
      </c>
      <c r="F83" s="81">
        <v>143.45328999999998</v>
      </c>
      <c r="G83" s="94">
        <f t="shared" si="0"/>
        <v>146.99663499999997</v>
      </c>
    </row>
    <row r="84" spans="1:7" x14ac:dyDescent="0.25">
      <c r="A84" s="60" t="s">
        <v>179</v>
      </c>
      <c r="B84" s="61" t="s">
        <v>180</v>
      </c>
      <c r="C84" s="79">
        <v>19.880000000000003</v>
      </c>
      <c r="D84" s="80">
        <v>27.72</v>
      </c>
      <c r="E84" s="80">
        <v>39.72</v>
      </c>
      <c r="F84" s="81">
        <v>39.72</v>
      </c>
      <c r="G84" s="94">
        <f t="shared" si="0"/>
        <v>31.759999999999998</v>
      </c>
    </row>
    <row r="85" spans="1:7" x14ac:dyDescent="0.25">
      <c r="A85" s="60" t="s">
        <v>277</v>
      </c>
      <c r="B85" s="61" t="s">
        <v>278</v>
      </c>
      <c r="C85" s="79">
        <v>74.699979999999996</v>
      </c>
      <c r="D85" s="80">
        <v>76.176640000000006</v>
      </c>
      <c r="E85" s="80">
        <v>78.396639999999991</v>
      </c>
      <c r="F85" s="81">
        <v>85.193309999999997</v>
      </c>
      <c r="G85" s="94">
        <f t="shared" si="0"/>
        <v>78.616642499999998</v>
      </c>
    </row>
    <row r="86" spans="1:7" x14ac:dyDescent="0.25">
      <c r="A86" s="60" t="s">
        <v>295</v>
      </c>
      <c r="B86" s="61" t="s">
        <v>296</v>
      </c>
      <c r="C86" s="79">
        <v>48.479970000000002</v>
      </c>
      <c r="D86" s="80">
        <v>48.52664</v>
      </c>
      <c r="E86" s="80">
        <v>47.566630000000004</v>
      </c>
      <c r="F86" s="81">
        <v>46.3733</v>
      </c>
      <c r="G86" s="94">
        <f t="shared" si="0"/>
        <v>47.736635</v>
      </c>
    </row>
    <row r="87" spans="1:7" x14ac:dyDescent="0.25">
      <c r="A87" s="60" t="s">
        <v>273</v>
      </c>
      <c r="B87" s="61" t="s">
        <v>274</v>
      </c>
      <c r="C87" s="79">
        <v>47.126240000000003</v>
      </c>
      <c r="D87" s="80">
        <v>47.539569999999998</v>
      </c>
      <c r="E87" s="80">
        <v>44.072900000000004</v>
      </c>
      <c r="F87" s="81">
        <v>50.379570000000001</v>
      </c>
      <c r="G87" s="94">
        <f t="shared" si="0"/>
        <v>47.27957</v>
      </c>
    </row>
    <row r="88" spans="1:7" x14ac:dyDescent="0.25">
      <c r="A88" s="60" t="s">
        <v>77</v>
      </c>
      <c r="B88" s="61" t="s">
        <v>78</v>
      </c>
      <c r="C88" s="79">
        <v>92.733330000000009</v>
      </c>
      <c r="D88" s="80">
        <v>103.25332999999998</v>
      </c>
      <c r="E88" s="80">
        <v>97.159999999999982</v>
      </c>
      <c r="F88" s="81">
        <v>106.92</v>
      </c>
      <c r="G88" s="94">
        <f t="shared" ref="G88:G151" si="1">SUM(C88:F88)/4</f>
        <v>100.01666499999999</v>
      </c>
    </row>
    <row r="89" spans="1:7" x14ac:dyDescent="0.25">
      <c r="A89" s="60" t="s">
        <v>251</v>
      </c>
      <c r="B89" s="61" t="s">
        <v>252</v>
      </c>
      <c r="C89" s="79">
        <v>254.56932</v>
      </c>
      <c r="D89" s="80">
        <v>263.96931000000001</v>
      </c>
      <c r="E89" s="80">
        <v>254.40932000000001</v>
      </c>
      <c r="F89" s="81">
        <v>261.67545999999999</v>
      </c>
      <c r="G89" s="94">
        <f t="shared" si="1"/>
        <v>258.65585249999998</v>
      </c>
    </row>
    <row r="90" spans="1:7" x14ac:dyDescent="0.25">
      <c r="A90" s="60" t="s">
        <v>231</v>
      </c>
      <c r="B90" s="61" t="s">
        <v>232</v>
      </c>
      <c r="C90" s="79">
        <v>63.779989999999998</v>
      </c>
      <c r="D90" s="80">
        <v>61.886659999999999</v>
      </c>
      <c r="E90" s="80">
        <v>77.119979999999998</v>
      </c>
      <c r="F90" s="81">
        <v>72.133319999999998</v>
      </c>
      <c r="G90" s="94">
        <f t="shared" si="1"/>
        <v>68.729987499999993</v>
      </c>
    </row>
    <row r="91" spans="1:7" x14ac:dyDescent="0.25">
      <c r="A91" s="60" t="s">
        <v>257</v>
      </c>
      <c r="B91" s="61" t="s">
        <v>258</v>
      </c>
      <c r="C91" s="79">
        <v>81.52</v>
      </c>
      <c r="D91" s="80">
        <v>92.013329999999996</v>
      </c>
      <c r="E91" s="80">
        <v>113.65333</v>
      </c>
      <c r="F91" s="81">
        <v>115.54666</v>
      </c>
      <c r="G91" s="94">
        <f t="shared" si="1"/>
        <v>100.68332999999998</v>
      </c>
    </row>
    <row r="92" spans="1:7" x14ac:dyDescent="0.25">
      <c r="A92" s="60" t="s">
        <v>299</v>
      </c>
      <c r="B92" s="61" t="s">
        <v>300</v>
      </c>
      <c r="C92" s="79">
        <v>70.596409999999992</v>
      </c>
      <c r="D92" s="80">
        <v>66.416409999999999</v>
      </c>
      <c r="E92" s="80">
        <v>64.956410000000005</v>
      </c>
      <c r="F92" s="81">
        <v>72.896409999999989</v>
      </c>
      <c r="G92" s="94">
        <f t="shared" si="1"/>
        <v>68.716409999999996</v>
      </c>
    </row>
    <row r="93" spans="1:7" x14ac:dyDescent="0.25">
      <c r="A93" s="60" t="s">
        <v>123</v>
      </c>
      <c r="B93" s="61" t="s">
        <v>124</v>
      </c>
      <c r="C93" s="79">
        <v>104.53674000000001</v>
      </c>
      <c r="D93" s="80">
        <v>104.25011000000001</v>
      </c>
      <c r="E93" s="80">
        <v>100.23011000000001</v>
      </c>
      <c r="F93" s="81">
        <v>104.8133</v>
      </c>
      <c r="G93" s="94">
        <f t="shared" si="1"/>
        <v>103.45756500000002</v>
      </c>
    </row>
    <row r="94" spans="1:7" x14ac:dyDescent="0.25">
      <c r="A94" s="60" t="s">
        <v>183</v>
      </c>
      <c r="B94" s="61" t="s">
        <v>184</v>
      </c>
      <c r="C94" s="79">
        <v>57.813969999999998</v>
      </c>
      <c r="D94" s="80">
        <v>53.313969999999998</v>
      </c>
      <c r="E94" s="80">
        <v>53.87397</v>
      </c>
      <c r="F94" s="81">
        <v>68.217300000000009</v>
      </c>
      <c r="G94" s="94">
        <f t="shared" si="1"/>
        <v>58.304802500000008</v>
      </c>
    </row>
    <row r="95" spans="1:7" x14ac:dyDescent="0.25">
      <c r="A95" s="60" t="s">
        <v>271</v>
      </c>
      <c r="B95" s="61" t="s">
        <v>272</v>
      </c>
      <c r="C95" s="79">
        <v>81.319999999999993</v>
      </c>
      <c r="D95" s="80">
        <v>76.72</v>
      </c>
      <c r="E95" s="80">
        <v>78.640000000000015</v>
      </c>
      <c r="F95" s="81">
        <v>78.680000000000007</v>
      </c>
      <c r="G95" s="94">
        <f t="shared" si="1"/>
        <v>78.84</v>
      </c>
    </row>
    <row r="96" spans="1:7" x14ac:dyDescent="0.25">
      <c r="A96" s="60" t="s">
        <v>267</v>
      </c>
      <c r="B96" s="61" t="s">
        <v>268</v>
      </c>
      <c r="C96" s="79">
        <v>95.839999999999989</v>
      </c>
      <c r="D96" s="80">
        <v>91.28</v>
      </c>
      <c r="E96" s="80">
        <v>89.213330000000013</v>
      </c>
      <c r="F96" s="81">
        <v>91.079999999999984</v>
      </c>
      <c r="G96" s="94">
        <f t="shared" si="1"/>
        <v>91.853332500000008</v>
      </c>
    </row>
    <row r="97" spans="1:7" x14ac:dyDescent="0.25">
      <c r="A97" s="60" t="s">
        <v>49</v>
      </c>
      <c r="B97" s="61" t="s">
        <v>50</v>
      </c>
      <c r="C97" s="79">
        <v>76.760000000000005</v>
      </c>
      <c r="D97" s="80">
        <v>85.746670000000009</v>
      </c>
      <c r="E97" s="80">
        <v>85.533339999999995</v>
      </c>
      <c r="F97" s="81">
        <v>87.013339999999985</v>
      </c>
      <c r="G97" s="94">
        <f t="shared" si="1"/>
        <v>83.763337499999992</v>
      </c>
    </row>
    <row r="98" spans="1:7" x14ac:dyDescent="0.25">
      <c r="A98" s="60" t="s">
        <v>51</v>
      </c>
      <c r="B98" s="61" t="s">
        <v>52</v>
      </c>
      <c r="C98" s="79">
        <v>59.982640000000004</v>
      </c>
      <c r="D98" s="80">
        <v>69.582660000000004</v>
      </c>
      <c r="E98" s="80">
        <v>87.835980000000006</v>
      </c>
      <c r="F98" s="81">
        <v>84.582650000000001</v>
      </c>
      <c r="G98" s="94">
        <f t="shared" si="1"/>
        <v>75.495982499999997</v>
      </c>
    </row>
    <row r="99" spans="1:7" x14ac:dyDescent="0.25">
      <c r="A99" s="60" t="s">
        <v>119</v>
      </c>
      <c r="B99" s="61" t="s">
        <v>120</v>
      </c>
      <c r="C99" s="79">
        <v>25.626650000000001</v>
      </c>
      <c r="D99" s="80">
        <v>27.239990000000002</v>
      </c>
      <c r="E99" s="80">
        <v>28.560000000000002</v>
      </c>
      <c r="F99" s="81">
        <v>29.032800000000002</v>
      </c>
      <c r="G99" s="94">
        <f t="shared" si="1"/>
        <v>27.61486</v>
      </c>
    </row>
    <row r="100" spans="1:7" x14ac:dyDescent="0.25">
      <c r="A100" s="60" t="s">
        <v>97</v>
      </c>
      <c r="B100" s="61" t="s">
        <v>98</v>
      </c>
      <c r="C100" s="79">
        <v>176.25332999999998</v>
      </c>
      <c r="D100" s="80">
        <v>165.85333000000003</v>
      </c>
      <c r="E100" s="80">
        <v>158.18666999999999</v>
      </c>
      <c r="F100" s="81">
        <v>152.56001000000001</v>
      </c>
      <c r="G100" s="94">
        <f t="shared" si="1"/>
        <v>163.213335</v>
      </c>
    </row>
    <row r="101" spans="1:7" x14ac:dyDescent="0.25">
      <c r="A101" s="60" t="s">
        <v>171</v>
      </c>
      <c r="B101" s="61" t="s">
        <v>172</v>
      </c>
      <c r="C101" s="79">
        <v>1</v>
      </c>
      <c r="D101" s="80">
        <v>1</v>
      </c>
      <c r="E101" s="80">
        <v>1</v>
      </c>
      <c r="F101" s="81"/>
      <c r="G101" s="94">
        <f t="shared" si="1"/>
        <v>0.75</v>
      </c>
    </row>
    <row r="102" spans="1:7" x14ac:dyDescent="0.25">
      <c r="A102" s="60" t="s">
        <v>197</v>
      </c>
      <c r="B102" s="61" t="s">
        <v>198</v>
      </c>
      <c r="C102" s="79">
        <v>95.986649999999997</v>
      </c>
      <c r="D102" s="80">
        <v>92.67998</v>
      </c>
      <c r="E102" s="80">
        <v>89.053309999999996</v>
      </c>
      <c r="F102" s="81">
        <v>90.519980000000004</v>
      </c>
      <c r="G102" s="94">
        <f t="shared" si="1"/>
        <v>92.059979999999996</v>
      </c>
    </row>
    <row r="103" spans="1:7" x14ac:dyDescent="0.25">
      <c r="A103" s="60" t="s">
        <v>199</v>
      </c>
      <c r="B103" s="61" t="s">
        <v>200</v>
      </c>
      <c r="C103" s="79">
        <v>2.76</v>
      </c>
      <c r="D103" s="80">
        <v>3.76</v>
      </c>
      <c r="E103" s="80">
        <v>6.88</v>
      </c>
      <c r="F103" s="81">
        <v>6.88</v>
      </c>
      <c r="G103" s="94">
        <f t="shared" si="1"/>
        <v>5.0699999999999994</v>
      </c>
    </row>
    <row r="104" spans="1:7" x14ac:dyDescent="0.25">
      <c r="A104" s="60" t="s">
        <v>269</v>
      </c>
      <c r="B104" s="61" t="s">
        <v>270</v>
      </c>
      <c r="C104" s="79">
        <v>27.18</v>
      </c>
      <c r="D104" s="80">
        <v>23.94</v>
      </c>
      <c r="E104" s="80">
        <v>25.500000000000004</v>
      </c>
      <c r="F104" s="81">
        <v>32.82</v>
      </c>
      <c r="G104" s="94">
        <f t="shared" si="1"/>
        <v>27.36</v>
      </c>
    </row>
    <row r="105" spans="1:7" x14ac:dyDescent="0.25">
      <c r="A105" s="60" t="s">
        <v>143</v>
      </c>
      <c r="B105" s="61" t="s">
        <v>144</v>
      </c>
      <c r="C105" s="79">
        <v>42.013330000000003</v>
      </c>
      <c r="D105" s="80">
        <v>43.013330000000003</v>
      </c>
      <c r="E105" s="80">
        <v>43.32</v>
      </c>
      <c r="F105" s="81">
        <v>42.933329999999998</v>
      </c>
      <c r="G105" s="94">
        <f t="shared" si="1"/>
        <v>42.819997499999999</v>
      </c>
    </row>
    <row r="106" spans="1:7" x14ac:dyDescent="0.25">
      <c r="A106" s="60" t="s">
        <v>81</v>
      </c>
      <c r="B106" s="61" t="s">
        <v>82</v>
      </c>
      <c r="C106" s="79">
        <v>80.746660000000006</v>
      </c>
      <c r="D106" s="80">
        <v>81.233329999999995</v>
      </c>
      <c r="E106" s="80">
        <v>82.633330000000001</v>
      </c>
      <c r="F106" s="81">
        <v>83.346670000000003</v>
      </c>
      <c r="G106" s="94">
        <f t="shared" si="1"/>
        <v>81.989997500000001</v>
      </c>
    </row>
    <row r="107" spans="1:7" x14ac:dyDescent="0.25">
      <c r="A107" s="60" t="s">
        <v>169</v>
      </c>
      <c r="B107" s="61" t="s">
        <v>170</v>
      </c>
      <c r="C107" s="79">
        <v>30.69333</v>
      </c>
      <c r="D107" s="80">
        <v>28.533329999999999</v>
      </c>
      <c r="E107" s="80">
        <v>29.366659999999996</v>
      </c>
      <c r="F107" s="81">
        <v>28.279999999999998</v>
      </c>
      <c r="G107" s="94">
        <f t="shared" si="1"/>
        <v>29.218329999999998</v>
      </c>
    </row>
    <row r="108" spans="1:7" x14ac:dyDescent="0.25">
      <c r="A108" s="60" t="s">
        <v>213</v>
      </c>
      <c r="B108" s="61" t="s">
        <v>214</v>
      </c>
      <c r="C108" s="79">
        <v>35.96</v>
      </c>
      <c r="D108" s="80">
        <v>34.24</v>
      </c>
      <c r="E108" s="80">
        <v>29.546669999999999</v>
      </c>
      <c r="F108" s="81">
        <v>29.48</v>
      </c>
      <c r="G108" s="94">
        <f t="shared" si="1"/>
        <v>32.306667499999996</v>
      </c>
    </row>
    <row r="109" spans="1:7" x14ac:dyDescent="0.25">
      <c r="A109" s="60" t="s">
        <v>103</v>
      </c>
      <c r="B109" s="61" t="s">
        <v>104</v>
      </c>
      <c r="C109" s="79">
        <v>149.31334999999999</v>
      </c>
      <c r="D109" s="80">
        <v>160.85335000000001</v>
      </c>
      <c r="E109" s="80">
        <v>149.63335000000001</v>
      </c>
      <c r="F109" s="81">
        <v>145.91334999999998</v>
      </c>
      <c r="G109" s="94">
        <f t="shared" si="1"/>
        <v>151.42834999999999</v>
      </c>
    </row>
    <row r="110" spans="1:7" x14ac:dyDescent="0.25">
      <c r="A110" s="60" t="s">
        <v>265</v>
      </c>
      <c r="B110" s="61" t="s">
        <v>266</v>
      </c>
      <c r="C110" s="79">
        <v>68.613330000000005</v>
      </c>
      <c r="D110" s="80">
        <v>72.013329999999996</v>
      </c>
      <c r="E110" s="80">
        <v>70.706659999999999</v>
      </c>
      <c r="F110" s="81">
        <v>75.733329999999995</v>
      </c>
      <c r="G110" s="94">
        <f t="shared" si="1"/>
        <v>71.766662499999995</v>
      </c>
    </row>
    <row r="111" spans="1:7" x14ac:dyDescent="0.25">
      <c r="A111" s="60" t="s">
        <v>285</v>
      </c>
      <c r="B111" s="61" t="s">
        <v>286</v>
      </c>
      <c r="C111" s="79">
        <v>253.92793999999998</v>
      </c>
      <c r="D111" s="80">
        <v>256.26129000000003</v>
      </c>
      <c r="E111" s="80">
        <v>270.02125999999998</v>
      </c>
      <c r="F111" s="81">
        <v>274.59458999999998</v>
      </c>
      <c r="G111" s="94">
        <f t="shared" si="1"/>
        <v>263.70126999999997</v>
      </c>
    </row>
    <row r="112" spans="1:7" x14ac:dyDescent="0.25">
      <c r="A112" s="60" t="s">
        <v>177</v>
      </c>
      <c r="B112" s="61" t="s">
        <v>178</v>
      </c>
      <c r="C112" s="79">
        <v>69.960000000000008</v>
      </c>
      <c r="D112" s="80">
        <v>65.960000000000008</v>
      </c>
      <c r="E112" s="80">
        <v>63.959999999999994</v>
      </c>
      <c r="F112" s="81">
        <v>69.37333000000001</v>
      </c>
      <c r="G112" s="94">
        <f t="shared" si="1"/>
        <v>67.313332500000001</v>
      </c>
    </row>
    <row r="113" spans="1:7" x14ac:dyDescent="0.25">
      <c r="A113" s="60" t="s">
        <v>215</v>
      </c>
      <c r="B113" s="61" t="s">
        <v>216</v>
      </c>
      <c r="C113" s="79">
        <v>70.710160000000002</v>
      </c>
      <c r="D113" s="80">
        <v>69.296809999999994</v>
      </c>
      <c r="E113" s="80">
        <v>68.69014</v>
      </c>
      <c r="F113" s="81">
        <v>67.870140000000006</v>
      </c>
      <c r="G113" s="94">
        <f t="shared" si="1"/>
        <v>69.1418125</v>
      </c>
    </row>
    <row r="114" spans="1:7" x14ac:dyDescent="0.25">
      <c r="A114" s="60" t="s">
        <v>297</v>
      </c>
      <c r="B114" s="61" t="s">
        <v>298</v>
      </c>
      <c r="C114" s="79">
        <v>104.00734000000001</v>
      </c>
      <c r="D114" s="80">
        <v>117.27958</v>
      </c>
      <c r="E114" s="80">
        <v>115.25476999999999</v>
      </c>
      <c r="F114" s="81">
        <v>110.34610000000001</v>
      </c>
      <c r="G114" s="94">
        <f t="shared" si="1"/>
        <v>111.7219475</v>
      </c>
    </row>
    <row r="115" spans="1:7" x14ac:dyDescent="0.25">
      <c r="A115" s="60" t="s">
        <v>219</v>
      </c>
      <c r="B115" s="61" t="s">
        <v>220</v>
      </c>
      <c r="C115" s="79">
        <v>108.56665000000001</v>
      </c>
      <c r="D115" s="80">
        <v>102.44665000000001</v>
      </c>
      <c r="E115" s="80">
        <v>100.36664999999999</v>
      </c>
      <c r="F115" s="81">
        <v>103.59331</v>
      </c>
      <c r="G115" s="94">
        <f t="shared" si="1"/>
        <v>103.743315</v>
      </c>
    </row>
    <row r="116" spans="1:7" x14ac:dyDescent="0.25">
      <c r="A116" s="60" t="s">
        <v>59</v>
      </c>
      <c r="B116" s="61" t="s">
        <v>60</v>
      </c>
      <c r="C116" s="79">
        <v>139.43397999999999</v>
      </c>
      <c r="D116" s="80">
        <v>139.88783000000001</v>
      </c>
      <c r="E116" s="80">
        <v>141.81716</v>
      </c>
      <c r="F116" s="81">
        <v>140.40383</v>
      </c>
      <c r="G116" s="94">
        <f t="shared" si="1"/>
        <v>140.38570000000001</v>
      </c>
    </row>
    <row r="117" spans="1:7" x14ac:dyDescent="0.25">
      <c r="A117" s="60" t="s">
        <v>133</v>
      </c>
      <c r="B117" s="61" t="s">
        <v>134</v>
      </c>
      <c r="C117" s="79">
        <v>137.23369</v>
      </c>
      <c r="D117" s="80">
        <v>142.15369000000001</v>
      </c>
      <c r="E117" s="80">
        <v>152.04034999999999</v>
      </c>
      <c r="F117" s="81">
        <v>159.37368000000004</v>
      </c>
      <c r="G117" s="94">
        <f t="shared" si="1"/>
        <v>147.70035250000001</v>
      </c>
    </row>
    <row r="118" spans="1:7" x14ac:dyDescent="0.25">
      <c r="A118" s="60" t="s">
        <v>181</v>
      </c>
      <c r="B118" s="61" t="s">
        <v>182</v>
      </c>
      <c r="C118" s="79">
        <v>66.037329999999997</v>
      </c>
      <c r="D118" s="80">
        <v>66.42401000000001</v>
      </c>
      <c r="E118" s="80">
        <v>63.584000000000003</v>
      </c>
      <c r="F118" s="81">
        <v>58.859469999999995</v>
      </c>
      <c r="G118" s="94">
        <f t="shared" si="1"/>
        <v>63.726202499999999</v>
      </c>
    </row>
    <row r="119" spans="1:7" x14ac:dyDescent="0.25">
      <c r="A119" s="60" t="s">
        <v>207</v>
      </c>
      <c r="B119" s="61" t="s">
        <v>208</v>
      </c>
      <c r="C119" s="79">
        <v>71.093299999999999</v>
      </c>
      <c r="D119" s="80">
        <v>72.766629999999992</v>
      </c>
      <c r="E119" s="80">
        <v>69.006640000000004</v>
      </c>
      <c r="F119" s="81">
        <v>71.433309999999992</v>
      </c>
      <c r="G119" s="94">
        <f t="shared" si="1"/>
        <v>71.074969999999993</v>
      </c>
    </row>
    <row r="120" spans="1:7" x14ac:dyDescent="0.25">
      <c r="A120" s="60" t="s">
        <v>352</v>
      </c>
      <c r="B120" s="61" t="s">
        <v>353</v>
      </c>
      <c r="C120" s="79"/>
      <c r="D120" s="80"/>
      <c r="E120" s="80"/>
      <c r="F120" s="81">
        <v>3</v>
      </c>
      <c r="G120" s="94">
        <f t="shared" si="1"/>
        <v>0.75</v>
      </c>
    </row>
    <row r="121" spans="1:7" x14ac:dyDescent="0.25">
      <c r="A121" s="60" t="s">
        <v>221</v>
      </c>
      <c r="B121" s="61" t="s">
        <v>222</v>
      </c>
      <c r="C121" s="79">
        <v>92.853320000000011</v>
      </c>
      <c r="D121" s="80">
        <v>94.506659999999997</v>
      </c>
      <c r="E121" s="80">
        <v>104.06666</v>
      </c>
      <c r="F121" s="81">
        <v>111.56665</v>
      </c>
      <c r="G121" s="94">
        <f t="shared" si="1"/>
        <v>100.7483225</v>
      </c>
    </row>
    <row r="122" spans="1:7" x14ac:dyDescent="0.25">
      <c r="A122" s="60" t="s">
        <v>259</v>
      </c>
      <c r="B122" s="61" t="s">
        <v>260</v>
      </c>
      <c r="C122" s="79">
        <v>63.364530000000002</v>
      </c>
      <c r="D122" s="80">
        <v>68.484530000000007</v>
      </c>
      <c r="E122" s="80">
        <v>64.084530000000001</v>
      </c>
      <c r="F122" s="81">
        <v>63.044530000000009</v>
      </c>
      <c r="G122" s="94">
        <f t="shared" si="1"/>
        <v>64.744529999999997</v>
      </c>
    </row>
    <row r="123" spans="1:7" x14ac:dyDescent="0.25">
      <c r="A123" s="60" t="s">
        <v>301</v>
      </c>
      <c r="B123" s="61" t="s">
        <v>302</v>
      </c>
      <c r="C123" s="79">
        <v>80.136340000000004</v>
      </c>
      <c r="D123" s="80">
        <v>76.638670000000005</v>
      </c>
      <c r="E123" s="80">
        <v>67.874400000000009</v>
      </c>
      <c r="F123" s="81">
        <v>65.789320000000004</v>
      </c>
      <c r="G123" s="94">
        <f t="shared" si="1"/>
        <v>72.609682500000005</v>
      </c>
    </row>
    <row r="124" spans="1:7" x14ac:dyDescent="0.25">
      <c r="A124" s="60" t="s">
        <v>153</v>
      </c>
      <c r="B124" s="61" t="s">
        <v>154</v>
      </c>
      <c r="C124" s="79">
        <v>130.35955999999999</v>
      </c>
      <c r="D124" s="80">
        <v>125.26621999999999</v>
      </c>
      <c r="E124" s="80">
        <v>126.02303000000001</v>
      </c>
      <c r="F124" s="81">
        <v>127.51303</v>
      </c>
      <c r="G124" s="94">
        <f t="shared" si="1"/>
        <v>127.29046</v>
      </c>
    </row>
    <row r="125" spans="1:7" x14ac:dyDescent="0.25">
      <c r="A125" s="60" t="s">
        <v>185</v>
      </c>
      <c r="B125" s="61" t="s">
        <v>186</v>
      </c>
      <c r="C125" s="79">
        <v>253.50798</v>
      </c>
      <c r="D125" s="80">
        <v>249.89466999999999</v>
      </c>
      <c r="E125" s="80">
        <v>235.92133000000001</v>
      </c>
      <c r="F125" s="81">
        <v>226.61465999999999</v>
      </c>
      <c r="G125" s="94">
        <f t="shared" si="1"/>
        <v>241.48465999999999</v>
      </c>
    </row>
    <row r="126" spans="1:7" x14ac:dyDescent="0.25">
      <c r="A126" s="60" t="s">
        <v>217</v>
      </c>
      <c r="B126" s="61" t="s">
        <v>218</v>
      </c>
      <c r="C126" s="79">
        <v>40.093319999999999</v>
      </c>
      <c r="D126" s="80">
        <v>43.853320000000004</v>
      </c>
      <c r="E126" s="80">
        <v>37.093330000000002</v>
      </c>
      <c r="F126" s="81">
        <v>38.626660000000001</v>
      </c>
      <c r="G126" s="94">
        <f t="shared" si="1"/>
        <v>39.916657499999999</v>
      </c>
    </row>
    <row r="127" spans="1:7" x14ac:dyDescent="0.25">
      <c r="A127" s="60" t="s">
        <v>101</v>
      </c>
      <c r="B127" s="61" t="s">
        <v>102</v>
      </c>
      <c r="C127" s="79">
        <v>32.786680000000004</v>
      </c>
      <c r="D127" s="80">
        <v>30.666680000000003</v>
      </c>
      <c r="E127" s="80">
        <v>31.666679999999999</v>
      </c>
      <c r="F127" s="81">
        <v>28.586680000000001</v>
      </c>
      <c r="G127" s="94">
        <f t="shared" si="1"/>
        <v>30.926680000000001</v>
      </c>
    </row>
    <row r="128" spans="1:7" x14ac:dyDescent="0.25">
      <c r="A128" s="60" t="s">
        <v>57</v>
      </c>
      <c r="B128" s="61" t="s">
        <v>58</v>
      </c>
      <c r="C128" s="79">
        <v>205.96664000000004</v>
      </c>
      <c r="D128" s="80">
        <v>186.79331999999999</v>
      </c>
      <c r="E128" s="80">
        <v>197.84666000000001</v>
      </c>
      <c r="F128" s="81">
        <v>188.58</v>
      </c>
      <c r="G128" s="94">
        <f t="shared" si="1"/>
        <v>194.79665500000002</v>
      </c>
    </row>
    <row r="129" spans="1:7" x14ac:dyDescent="0.25">
      <c r="A129" s="60" t="s">
        <v>61</v>
      </c>
      <c r="B129" s="61" t="s">
        <v>62</v>
      </c>
      <c r="C129" s="79">
        <v>225.26651999999999</v>
      </c>
      <c r="D129" s="80">
        <v>223.70653999999999</v>
      </c>
      <c r="E129" s="80">
        <v>216.87988000000001</v>
      </c>
      <c r="F129" s="81">
        <v>215.95987</v>
      </c>
      <c r="G129" s="94">
        <f t="shared" si="1"/>
        <v>220.4532025</v>
      </c>
    </row>
    <row r="130" spans="1:7" x14ac:dyDescent="0.25">
      <c r="A130" s="60" t="s">
        <v>195</v>
      </c>
      <c r="B130" s="61" t="s">
        <v>196</v>
      </c>
      <c r="C130" s="79">
        <v>152.30302</v>
      </c>
      <c r="D130" s="80">
        <v>147.7809</v>
      </c>
      <c r="E130" s="80">
        <v>145.07730000000001</v>
      </c>
      <c r="F130" s="81">
        <v>163.32769000000002</v>
      </c>
      <c r="G130" s="94">
        <f t="shared" si="1"/>
        <v>152.12222750000001</v>
      </c>
    </row>
    <row r="131" spans="1:7" x14ac:dyDescent="0.25">
      <c r="A131" s="60" t="s">
        <v>85</v>
      </c>
      <c r="B131" s="61" t="s">
        <v>86</v>
      </c>
      <c r="C131" s="79">
        <v>104.72584000000001</v>
      </c>
      <c r="D131" s="80">
        <v>120.98583000000001</v>
      </c>
      <c r="E131" s="80">
        <v>127.50583</v>
      </c>
      <c r="F131" s="81">
        <v>129.59917000000002</v>
      </c>
      <c r="G131" s="94">
        <f t="shared" si="1"/>
        <v>120.70416750000001</v>
      </c>
    </row>
    <row r="132" spans="1:7" x14ac:dyDescent="0.25">
      <c r="A132" s="60" t="s">
        <v>67</v>
      </c>
      <c r="B132" s="61" t="s">
        <v>68</v>
      </c>
      <c r="C132" s="79">
        <v>94.511989999999997</v>
      </c>
      <c r="D132" s="80">
        <v>88.293329999999997</v>
      </c>
      <c r="E132" s="80">
        <v>87.479990000000015</v>
      </c>
      <c r="F132" s="81">
        <v>82.126670000000004</v>
      </c>
      <c r="G132" s="94">
        <f t="shared" si="1"/>
        <v>88.102994999999993</v>
      </c>
    </row>
    <row r="133" spans="1:7" x14ac:dyDescent="0.25">
      <c r="A133" s="60" t="s">
        <v>255</v>
      </c>
      <c r="B133" s="61" t="s">
        <v>256</v>
      </c>
      <c r="C133" s="79">
        <v>40.573329999999999</v>
      </c>
      <c r="D133" s="80">
        <v>37.160000000000004</v>
      </c>
      <c r="E133" s="80">
        <v>37.733330000000002</v>
      </c>
      <c r="F133" s="81">
        <v>43.333330000000004</v>
      </c>
      <c r="G133" s="94">
        <f t="shared" si="1"/>
        <v>39.699997499999995</v>
      </c>
    </row>
    <row r="134" spans="1:7" x14ac:dyDescent="0.25">
      <c r="A134" s="60" t="s">
        <v>293</v>
      </c>
      <c r="B134" s="61" t="s">
        <v>294</v>
      </c>
      <c r="C134" s="79">
        <v>101.83999</v>
      </c>
      <c r="D134" s="80">
        <v>108.37331999999999</v>
      </c>
      <c r="E134" s="80">
        <v>114.01331999999999</v>
      </c>
      <c r="F134" s="81">
        <v>114.77331999999998</v>
      </c>
      <c r="G134" s="94">
        <f t="shared" si="1"/>
        <v>109.7499875</v>
      </c>
    </row>
    <row r="135" spans="1:7" x14ac:dyDescent="0.25">
      <c r="A135" s="60" t="s">
        <v>261</v>
      </c>
      <c r="B135" s="61" t="s">
        <v>262</v>
      </c>
      <c r="C135" s="79">
        <v>67.640010000000018</v>
      </c>
      <c r="D135" s="80">
        <v>62.346679999999999</v>
      </c>
      <c r="E135" s="80">
        <v>63.666669999999996</v>
      </c>
      <c r="F135" s="81">
        <v>63.50667</v>
      </c>
      <c r="G135" s="94">
        <f t="shared" si="1"/>
        <v>64.290007500000002</v>
      </c>
    </row>
    <row r="136" spans="1:7" x14ac:dyDescent="0.25">
      <c r="A136" s="60" t="s">
        <v>95</v>
      </c>
      <c r="B136" s="61" t="s">
        <v>96</v>
      </c>
      <c r="C136" s="79">
        <v>98.493329999999986</v>
      </c>
      <c r="D136" s="80">
        <v>100.86667</v>
      </c>
      <c r="E136" s="80">
        <v>97.573340000000002</v>
      </c>
      <c r="F136" s="81">
        <v>97.266680000000008</v>
      </c>
      <c r="G136" s="94">
        <f t="shared" si="1"/>
        <v>98.550004999999999</v>
      </c>
    </row>
    <row r="137" spans="1:7" x14ac:dyDescent="0.25">
      <c r="A137" s="60" t="s">
        <v>53</v>
      </c>
      <c r="B137" s="61" t="s">
        <v>54</v>
      </c>
      <c r="C137" s="79">
        <v>160.78656000000001</v>
      </c>
      <c r="D137" s="80">
        <v>169.42654999999999</v>
      </c>
      <c r="E137" s="80">
        <v>170.22655999999998</v>
      </c>
      <c r="F137" s="81">
        <v>164.53323</v>
      </c>
      <c r="G137" s="94">
        <f t="shared" si="1"/>
        <v>166.243225</v>
      </c>
    </row>
    <row r="138" spans="1:7" x14ac:dyDescent="0.25">
      <c r="A138" s="60" t="s">
        <v>249</v>
      </c>
      <c r="B138" s="61" t="s">
        <v>250</v>
      </c>
      <c r="C138" s="79">
        <v>6.71387</v>
      </c>
      <c r="D138" s="80">
        <v>6.71387</v>
      </c>
      <c r="E138" s="80">
        <v>7.71387</v>
      </c>
      <c r="F138" s="81">
        <v>7.71387</v>
      </c>
      <c r="G138" s="94">
        <f t="shared" si="1"/>
        <v>7.21387</v>
      </c>
    </row>
    <row r="139" spans="1:7" x14ac:dyDescent="0.25">
      <c r="A139" s="60" t="s">
        <v>47</v>
      </c>
      <c r="B139" s="61" t="s">
        <v>48</v>
      </c>
      <c r="C139" s="79">
        <v>127.41999999999999</v>
      </c>
      <c r="D139" s="80">
        <v>143.55439999999999</v>
      </c>
      <c r="E139" s="80">
        <v>152.83440000000002</v>
      </c>
      <c r="F139" s="81">
        <v>181.23439999999999</v>
      </c>
      <c r="G139" s="94">
        <f t="shared" si="1"/>
        <v>151.26079999999999</v>
      </c>
    </row>
    <row r="140" spans="1:7" x14ac:dyDescent="0.25">
      <c r="A140" s="60" t="s">
        <v>187</v>
      </c>
      <c r="B140" s="61" t="s">
        <v>188</v>
      </c>
      <c r="C140" s="79">
        <v>91.946629999999999</v>
      </c>
      <c r="D140" s="80">
        <v>93.853290000000001</v>
      </c>
      <c r="E140" s="80">
        <v>100.49995</v>
      </c>
      <c r="F140" s="81">
        <v>98.866609999999994</v>
      </c>
      <c r="G140" s="94">
        <f t="shared" si="1"/>
        <v>96.291619999999995</v>
      </c>
    </row>
    <row r="141" spans="1:7" x14ac:dyDescent="0.25">
      <c r="A141" s="60" t="s">
        <v>105</v>
      </c>
      <c r="B141" s="61" t="s">
        <v>106</v>
      </c>
      <c r="C141" s="79">
        <v>101.05325000000001</v>
      </c>
      <c r="D141" s="80">
        <v>98.493229999999997</v>
      </c>
      <c r="E141" s="80">
        <v>99.493229999999997</v>
      </c>
      <c r="F141" s="81">
        <v>102.4799</v>
      </c>
      <c r="G141" s="94">
        <f t="shared" si="1"/>
        <v>100.3799025</v>
      </c>
    </row>
    <row r="142" spans="1:7" x14ac:dyDescent="0.25">
      <c r="A142" s="60" t="s">
        <v>279</v>
      </c>
      <c r="B142" s="61" t="s">
        <v>280</v>
      </c>
      <c r="C142" s="79">
        <v>92.38664</v>
      </c>
      <c r="D142" s="80">
        <v>54.159979999999997</v>
      </c>
      <c r="E142" s="80">
        <v>56.53331</v>
      </c>
      <c r="F142" s="81">
        <v>56.866640000000004</v>
      </c>
      <c r="G142" s="94">
        <f t="shared" si="1"/>
        <v>64.986642500000002</v>
      </c>
    </row>
    <row r="143" spans="1:7" x14ac:dyDescent="0.25">
      <c r="A143" s="60" t="s">
        <v>229</v>
      </c>
      <c r="B143" s="61" t="s">
        <v>230</v>
      </c>
      <c r="C143" s="79">
        <v>103.75336</v>
      </c>
      <c r="D143" s="80">
        <v>111.1067</v>
      </c>
      <c r="E143" s="80">
        <v>104.04669</v>
      </c>
      <c r="F143" s="81">
        <v>105.79336000000001</v>
      </c>
      <c r="G143" s="94">
        <f t="shared" si="1"/>
        <v>106.1750275</v>
      </c>
    </row>
    <row r="144" spans="1:7" x14ac:dyDescent="0.25">
      <c r="A144" s="60" t="s">
        <v>239</v>
      </c>
      <c r="B144" s="61" t="s">
        <v>240</v>
      </c>
      <c r="C144" s="79">
        <v>81.238399999999999</v>
      </c>
      <c r="D144" s="80">
        <v>72.998400000000004</v>
      </c>
      <c r="E144" s="80">
        <v>71.078400000000002</v>
      </c>
      <c r="F144" s="81">
        <v>71.238399999999999</v>
      </c>
      <c r="G144" s="94">
        <f t="shared" si="1"/>
        <v>74.138400000000004</v>
      </c>
    </row>
    <row r="145" spans="1:7" x14ac:dyDescent="0.25">
      <c r="A145" s="60" t="s">
        <v>211</v>
      </c>
      <c r="B145" s="61" t="s">
        <v>212</v>
      </c>
      <c r="C145" s="79">
        <v>98</v>
      </c>
      <c r="D145" s="80">
        <v>83.94</v>
      </c>
      <c r="E145" s="80">
        <v>89.706670000000003</v>
      </c>
      <c r="F145" s="81">
        <v>89.546669999999992</v>
      </c>
      <c r="G145" s="94">
        <f t="shared" si="1"/>
        <v>90.298334999999994</v>
      </c>
    </row>
    <row r="146" spans="1:7" x14ac:dyDescent="0.25">
      <c r="A146" s="60" t="s">
        <v>131</v>
      </c>
      <c r="B146" s="61" t="s">
        <v>132</v>
      </c>
      <c r="C146" s="79">
        <v>60.766650000000006</v>
      </c>
      <c r="D146" s="80">
        <v>58.246649999999995</v>
      </c>
      <c r="E146" s="80">
        <v>56.019979999999997</v>
      </c>
      <c r="F146" s="81">
        <v>56.673320000000004</v>
      </c>
      <c r="G146" s="94">
        <f t="shared" si="1"/>
        <v>57.926649999999995</v>
      </c>
    </row>
    <row r="147" spans="1:7" x14ac:dyDescent="0.25">
      <c r="A147" s="60" t="s">
        <v>237</v>
      </c>
      <c r="B147" s="61" t="s">
        <v>238</v>
      </c>
      <c r="C147" s="79">
        <v>136.50667000000001</v>
      </c>
      <c r="D147" s="80">
        <v>121.42000999999999</v>
      </c>
      <c r="E147" s="80">
        <v>117.61333999999999</v>
      </c>
      <c r="F147" s="81">
        <v>134.50666999999999</v>
      </c>
      <c r="G147" s="94">
        <f t="shared" si="1"/>
        <v>127.5116725</v>
      </c>
    </row>
    <row r="148" spans="1:7" x14ac:dyDescent="0.25">
      <c r="A148" s="60" t="s">
        <v>317</v>
      </c>
      <c r="B148" s="61" t="s">
        <v>318</v>
      </c>
      <c r="C148" s="79">
        <v>2</v>
      </c>
      <c r="D148" s="80">
        <v>2</v>
      </c>
      <c r="E148" s="80">
        <v>2</v>
      </c>
      <c r="F148" s="81">
        <v>2</v>
      </c>
      <c r="G148" s="94">
        <f t="shared" si="1"/>
        <v>2</v>
      </c>
    </row>
    <row r="149" spans="1:7" x14ac:dyDescent="0.25">
      <c r="A149" s="60" t="s">
        <v>281</v>
      </c>
      <c r="B149" s="61" t="s">
        <v>282</v>
      </c>
      <c r="C149" s="79">
        <v>99.246589999999998</v>
      </c>
      <c r="D149" s="80">
        <v>101.97993000000001</v>
      </c>
      <c r="E149" s="80">
        <v>99.499930000000006</v>
      </c>
      <c r="F149" s="81">
        <v>98.419930000000008</v>
      </c>
      <c r="G149" s="94">
        <f t="shared" si="1"/>
        <v>99.786595000000005</v>
      </c>
    </row>
    <row r="150" spans="1:7" x14ac:dyDescent="0.25">
      <c r="A150" s="60" t="s">
        <v>205</v>
      </c>
      <c r="B150" s="61" t="s">
        <v>206</v>
      </c>
      <c r="C150" s="79">
        <v>1</v>
      </c>
      <c r="D150" s="80">
        <v>1</v>
      </c>
      <c r="E150" s="80">
        <v>1</v>
      </c>
      <c r="F150" s="81">
        <v>1</v>
      </c>
      <c r="G150" s="94">
        <f t="shared" si="1"/>
        <v>1</v>
      </c>
    </row>
    <row r="151" spans="1:7" x14ac:dyDescent="0.25">
      <c r="A151" s="60" t="s">
        <v>191</v>
      </c>
      <c r="B151" s="61" t="s">
        <v>192</v>
      </c>
      <c r="C151" s="79">
        <v>8.1999999999999993</v>
      </c>
      <c r="D151" s="80">
        <v>8.1999999999999993</v>
      </c>
      <c r="E151" s="80">
        <v>8.1999999999999993</v>
      </c>
      <c r="F151" s="81">
        <v>8.6</v>
      </c>
      <c r="G151" s="94">
        <f t="shared" si="1"/>
        <v>8.2999999999999989</v>
      </c>
    </row>
    <row r="152" spans="1:7" x14ac:dyDescent="0.25">
      <c r="A152" s="60" t="s">
        <v>45</v>
      </c>
      <c r="B152" s="61" t="s">
        <v>46</v>
      </c>
      <c r="C152" s="79">
        <v>7.12</v>
      </c>
      <c r="D152" s="80">
        <v>4.5199999999999996</v>
      </c>
      <c r="E152" s="80">
        <v>3.52</v>
      </c>
      <c r="F152" s="81">
        <v>2.52</v>
      </c>
      <c r="G152" s="94">
        <f t="shared" ref="G152:G159" si="2">SUM(C152:F152)/4</f>
        <v>4.42</v>
      </c>
    </row>
    <row r="153" spans="1:7" x14ac:dyDescent="0.25">
      <c r="A153" s="60" t="s">
        <v>69</v>
      </c>
      <c r="B153" s="61" t="s">
        <v>70</v>
      </c>
      <c r="C153" s="79">
        <v>24.62</v>
      </c>
      <c r="D153" s="80">
        <v>29.208880000000001</v>
      </c>
      <c r="E153" s="80">
        <v>32.10125</v>
      </c>
      <c r="F153" s="81">
        <v>37.520060000000001</v>
      </c>
      <c r="G153" s="94">
        <f t="shared" si="2"/>
        <v>30.862547499999998</v>
      </c>
    </row>
    <row r="154" spans="1:7" x14ac:dyDescent="0.25">
      <c r="A154" s="60" t="s">
        <v>203</v>
      </c>
      <c r="B154" s="61" t="s">
        <v>204</v>
      </c>
      <c r="C154" s="79">
        <v>2281.9947200000001</v>
      </c>
      <c r="D154" s="80">
        <v>2320.8890300000003</v>
      </c>
      <c r="E154" s="80">
        <v>2364.9552899999999</v>
      </c>
      <c r="F154" s="81">
        <v>2365.3054300000003</v>
      </c>
      <c r="G154" s="94">
        <f t="shared" si="2"/>
        <v>2333.2861175000003</v>
      </c>
    </row>
    <row r="155" spans="1:7" x14ac:dyDescent="0.25">
      <c r="A155" s="60" t="s">
        <v>137</v>
      </c>
      <c r="B155" s="61" t="s">
        <v>138</v>
      </c>
      <c r="C155" s="79">
        <v>2</v>
      </c>
      <c r="D155" s="80">
        <v>2</v>
      </c>
      <c r="E155" s="80">
        <v>2</v>
      </c>
      <c r="F155" s="81">
        <v>2</v>
      </c>
      <c r="G155" s="94">
        <f t="shared" si="2"/>
        <v>2</v>
      </c>
    </row>
    <row r="156" spans="1:7" x14ac:dyDescent="0.25">
      <c r="A156" s="60" t="s">
        <v>147</v>
      </c>
      <c r="B156" s="61" t="s">
        <v>148</v>
      </c>
      <c r="C156" s="79">
        <v>74.344660000000005</v>
      </c>
      <c r="D156" s="80">
        <v>74.144670000000005</v>
      </c>
      <c r="E156" s="80">
        <v>78.697999999999993</v>
      </c>
      <c r="F156" s="81">
        <v>77.014669999999995</v>
      </c>
      <c r="G156" s="94">
        <f t="shared" si="2"/>
        <v>76.0505</v>
      </c>
    </row>
    <row r="157" spans="1:7" x14ac:dyDescent="0.25">
      <c r="A157" s="60" t="s">
        <v>209</v>
      </c>
      <c r="B157" s="61" t="s">
        <v>210</v>
      </c>
      <c r="C157" s="79">
        <v>210.15987999999999</v>
      </c>
      <c r="D157" s="80">
        <v>187.23321999999999</v>
      </c>
      <c r="E157" s="80">
        <v>187.22523000000001</v>
      </c>
      <c r="F157" s="81">
        <v>187.39855</v>
      </c>
      <c r="G157" s="94">
        <f t="shared" si="2"/>
        <v>193.00422</v>
      </c>
    </row>
    <row r="158" spans="1:7" x14ac:dyDescent="0.25">
      <c r="A158" s="60" t="s">
        <v>319</v>
      </c>
      <c r="B158" s="61" t="s">
        <v>320</v>
      </c>
      <c r="C158" s="79">
        <v>2</v>
      </c>
      <c r="D158" s="80">
        <v>2</v>
      </c>
      <c r="E158" s="80">
        <v>2</v>
      </c>
      <c r="F158" s="81">
        <v>2</v>
      </c>
      <c r="G158" s="94">
        <f t="shared" si="2"/>
        <v>2</v>
      </c>
    </row>
    <row r="159" spans="1:7" x14ac:dyDescent="0.25">
      <c r="A159" s="60" t="s">
        <v>141</v>
      </c>
      <c r="B159" s="61" t="s">
        <v>142</v>
      </c>
      <c r="C159" s="79">
        <v>0.52800000000000002</v>
      </c>
      <c r="D159" s="80">
        <v>0.52800000000000002</v>
      </c>
      <c r="E159" s="80">
        <v>0.52800000000000002</v>
      </c>
      <c r="F159" s="81">
        <v>0.52800000000000002</v>
      </c>
      <c r="G159" s="94">
        <f t="shared" si="2"/>
        <v>0.52800000000000002</v>
      </c>
    </row>
    <row r="160" spans="1:7" ht="13" thickBot="1" x14ac:dyDescent="0.3">
      <c r="A160" s="62" t="s">
        <v>193</v>
      </c>
      <c r="B160" s="63" t="s">
        <v>194</v>
      </c>
      <c r="C160" s="82">
        <v>0.72</v>
      </c>
      <c r="D160" s="83">
        <v>0.72</v>
      </c>
      <c r="E160" s="83">
        <v>0.72</v>
      </c>
      <c r="F160" s="84">
        <v>0.72</v>
      </c>
      <c r="G160" s="95">
        <f>SUM(C160:F160)/4</f>
        <v>0.72</v>
      </c>
    </row>
    <row r="161" spans="1:6" ht="15.5" x14ac:dyDescent="0.35">
      <c r="A161" s="30"/>
      <c r="C161" s="31"/>
      <c r="D161" s="31"/>
      <c r="E161" s="31"/>
      <c r="F161" s="31"/>
    </row>
    <row r="162" spans="1:6" ht="15.5" x14ac:dyDescent="0.35">
      <c r="A162" s="30"/>
      <c r="C162" s="31"/>
      <c r="D162" s="31"/>
      <c r="E162" s="31"/>
      <c r="F162" s="31"/>
    </row>
    <row r="163" spans="1:6" ht="15.5" x14ac:dyDescent="0.35">
      <c r="A163" s="30"/>
      <c r="C163" s="31"/>
      <c r="D163" s="31"/>
      <c r="E163" s="31"/>
      <c r="F163" s="31"/>
    </row>
    <row r="164" spans="1:6" ht="12.75" customHeight="1" x14ac:dyDescent="0.25">
      <c r="A164" s="30"/>
      <c r="B164" s="30"/>
      <c r="C164" s="30"/>
      <c r="D164" s="30"/>
      <c r="E164" s="30"/>
      <c r="F164" s="30"/>
    </row>
  </sheetData>
  <sortState xmlns:xlrd2="http://schemas.microsoft.com/office/spreadsheetml/2017/richdata2" ref="A23:G161">
    <sortCondition ref="B23:B161"/>
  </sortState>
  <mergeCells count="12">
    <mergeCell ref="A1:H1"/>
    <mergeCell ref="A2:F2"/>
    <mergeCell ref="A4:F4"/>
    <mergeCell ref="A19:A20"/>
    <mergeCell ref="B19:B20"/>
    <mergeCell ref="C19:E19"/>
    <mergeCell ref="G19:G20"/>
    <mergeCell ref="A13:F13"/>
    <mergeCell ref="A14:F14"/>
    <mergeCell ref="A3:G3"/>
    <mergeCell ref="A16:F16"/>
    <mergeCell ref="A17:G17"/>
  </mergeCells>
  <hyperlinks>
    <hyperlink ref="A5" r:id="rId1" display="https://digital.nhs.uk/data-and-information/publications/statistical/nhs-workforce-statistics" xr:uid="{A3EABD57-B46C-4E37-8C94-FB1B17D8F7EF}"/>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4BED-6C42-459E-B9AF-B18E6FF995FA}">
  <dimension ref="A1:M178"/>
  <sheetViews>
    <sheetView showGridLines="0" zoomScaleNormal="100" workbookViewId="0">
      <selection activeCell="A2" sqref="A2:E2"/>
    </sheetView>
  </sheetViews>
  <sheetFormatPr defaultColWidth="7.69140625" defaultRowHeight="12.5" x14ac:dyDescent="0.25"/>
  <cols>
    <col min="1" max="1" width="5.84375" style="1" customWidth="1"/>
    <col min="2" max="2" width="54.07421875" style="1" customWidth="1"/>
    <col min="3" max="6" width="20.07421875" style="1" customWidth="1"/>
    <col min="7" max="16384" width="7.69140625" style="1"/>
  </cols>
  <sheetData>
    <row r="1" spans="1:11" ht="105" customHeight="1" x14ac:dyDescent="0.25">
      <c r="A1" s="119"/>
      <c r="B1" s="119"/>
      <c r="C1" s="119"/>
      <c r="D1" s="119"/>
      <c r="E1" s="119"/>
      <c r="F1" s="119"/>
      <c r="G1" s="119"/>
      <c r="H1" s="119"/>
    </row>
    <row r="2" spans="1:11" ht="29.25" customHeight="1" x14ac:dyDescent="0.25">
      <c r="A2" s="123" t="s">
        <v>349</v>
      </c>
      <c r="B2" s="123"/>
      <c r="C2" s="123"/>
      <c r="D2" s="123"/>
      <c r="E2" s="123"/>
    </row>
    <row r="3" spans="1:11" s="72" customFormat="1" ht="14.5" x14ac:dyDescent="0.35">
      <c r="A3" s="134" t="s">
        <v>351</v>
      </c>
      <c r="B3" s="134"/>
      <c r="C3" s="134"/>
      <c r="D3" s="134"/>
      <c r="E3" s="134"/>
      <c r="F3" s="134"/>
      <c r="G3" s="134"/>
    </row>
    <row r="4" spans="1:11" ht="13.5" customHeight="1" x14ac:dyDescent="0.25">
      <c r="A4" s="124" t="s">
        <v>11</v>
      </c>
      <c r="B4" s="124"/>
      <c r="C4" s="124"/>
      <c r="D4" s="124"/>
      <c r="E4" s="124"/>
    </row>
    <row r="5" spans="1:11" ht="13.5" customHeight="1" x14ac:dyDescent="0.25">
      <c r="A5" s="14" t="s">
        <v>12</v>
      </c>
      <c r="B5" s="15"/>
      <c r="C5" s="15"/>
      <c r="D5" s="15"/>
      <c r="E5" s="15"/>
    </row>
    <row r="6" spans="1:11" ht="13.5" customHeight="1" x14ac:dyDescent="0.25">
      <c r="A6" s="17"/>
      <c r="B6" s="15"/>
      <c r="C6" s="15"/>
      <c r="D6" s="15"/>
      <c r="E6" s="15"/>
    </row>
    <row r="7" spans="1:11" x14ac:dyDescent="0.25">
      <c r="A7" s="145" t="s">
        <v>354</v>
      </c>
      <c r="B7" s="146"/>
      <c r="C7" s="146"/>
      <c r="D7" s="146"/>
      <c r="E7" s="146"/>
      <c r="F7" s="146"/>
    </row>
    <row r="8" spans="1:11" x14ac:dyDescent="0.25">
      <c r="A8" s="145" t="s">
        <v>26</v>
      </c>
      <c r="B8" s="146"/>
      <c r="C8" s="146"/>
      <c r="D8" s="146"/>
      <c r="E8" s="146"/>
      <c r="F8" s="146"/>
    </row>
    <row r="9" spans="1:11" ht="13.5" customHeight="1" x14ac:dyDescent="0.25">
      <c r="A9" s="7"/>
      <c r="B9" s="18"/>
      <c r="C9" s="18"/>
      <c r="D9" s="18"/>
      <c r="E9" s="18"/>
    </row>
    <row r="10" spans="1:11" ht="13.5" customHeight="1" x14ac:dyDescent="0.3">
      <c r="A10" s="51" t="s">
        <v>331</v>
      </c>
      <c r="B10" s="50"/>
      <c r="C10" s="50"/>
      <c r="D10" s="50"/>
      <c r="E10" s="50"/>
    </row>
    <row r="11" spans="1:11" ht="12.75" customHeight="1" x14ac:dyDescent="0.25">
      <c r="A11" s="144" t="s">
        <v>336</v>
      </c>
      <c r="B11" s="144"/>
      <c r="C11" s="144"/>
      <c r="D11" s="144"/>
      <c r="E11" s="144"/>
      <c r="F11" s="144"/>
    </row>
    <row r="12" spans="1:11" ht="26.25" customHeight="1" x14ac:dyDescent="0.25">
      <c r="A12" s="143" t="s">
        <v>335</v>
      </c>
      <c r="B12" s="143"/>
      <c r="C12" s="143"/>
      <c r="D12" s="143"/>
      <c r="E12" s="143"/>
      <c r="F12" s="143"/>
      <c r="G12" s="98"/>
      <c r="H12" s="98"/>
      <c r="I12" s="98"/>
      <c r="J12" s="98"/>
      <c r="K12" s="98"/>
    </row>
    <row r="13" spans="1:11" ht="12.75" customHeight="1" x14ac:dyDescent="0.25">
      <c r="A13" s="143" t="s">
        <v>339</v>
      </c>
      <c r="B13" s="143"/>
      <c r="C13" s="143"/>
      <c r="D13" s="143"/>
      <c r="E13" s="143"/>
      <c r="F13" s="143"/>
      <c r="G13" s="98"/>
      <c r="H13" s="98"/>
      <c r="I13" s="98"/>
      <c r="J13" s="98"/>
      <c r="K13" s="98"/>
    </row>
    <row r="14" spans="1:11" ht="12.75" customHeight="1" x14ac:dyDescent="0.25">
      <c r="A14" s="99"/>
      <c r="B14" s="98"/>
      <c r="C14" s="98"/>
      <c r="D14" s="98"/>
      <c r="E14" s="98"/>
      <c r="F14" s="98"/>
      <c r="G14" s="98"/>
      <c r="H14" s="98"/>
      <c r="I14" s="98"/>
      <c r="J14" s="98"/>
      <c r="K14" s="98"/>
    </row>
    <row r="15" spans="1:11" ht="12.75" customHeight="1" x14ac:dyDescent="0.25">
      <c r="A15" s="101" t="s">
        <v>28</v>
      </c>
      <c r="B15" s="53"/>
      <c r="C15" s="53"/>
      <c r="D15" s="53"/>
      <c r="E15" s="53"/>
    </row>
    <row r="16" spans="1:11" ht="13.5" customHeight="1" x14ac:dyDescent="0.25">
      <c r="A16" s="65" t="s">
        <v>29</v>
      </c>
      <c r="B16" s="66"/>
      <c r="C16" s="66"/>
      <c r="D16" s="66"/>
      <c r="E16" s="66"/>
    </row>
    <row r="17" spans="1:13" x14ac:dyDescent="0.25">
      <c r="A17" s="65" t="s">
        <v>30</v>
      </c>
      <c r="B17" s="66"/>
      <c r="C17" s="66"/>
      <c r="D17" s="66"/>
      <c r="E17" s="66"/>
    </row>
    <row r="18" spans="1:13" x14ac:dyDescent="0.25">
      <c r="A18" s="65" t="s">
        <v>31</v>
      </c>
      <c r="B18" s="66"/>
      <c r="C18" s="66"/>
      <c r="D18" s="66"/>
      <c r="E18" s="66"/>
    </row>
    <row r="19" spans="1:13" x14ac:dyDescent="0.25">
      <c r="A19" s="65" t="s">
        <v>32</v>
      </c>
      <c r="B19" s="66"/>
      <c r="C19" s="66"/>
      <c r="D19" s="66"/>
      <c r="E19" s="66"/>
    </row>
    <row r="20" spans="1:13" x14ac:dyDescent="0.25">
      <c r="A20" s="52"/>
      <c r="B20" s="50"/>
      <c r="C20" s="50"/>
      <c r="D20" s="50"/>
      <c r="E20" s="50"/>
    </row>
    <row r="21" spans="1:13" ht="13" x14ac:dyDescent="0.3">
      <c r="A21" s="51" t="s">
        <v>33</v>
      </c>
      <c r="B21" s="50"/>
      <c r="C21" s="50"/>
      <c r="D21" s="50"/>
      <c r="E21" s="50"/>
    </row>
    <row r="22" spans="1:13" x14ac:dyDescent="0.25">
      <c r="A22" s="52" t="s">
        <v>34</v>
      </c>
      <c r="B22" s="50"/>
      <c r="C22" s="50"/>
      <c r="D22" s="50"/>
      <c r="E22" s="50"/>
    </row>
    <row r="23" spans="1:13" x14ac:dyDescent="0.25">
      <c r="A23" s="52" t="s">
        <v>35</v>
      </c>
      <c r="B23" s="50"/>
      <c r="C23" s="50"/>
      <c r="D23" s="50"/>
      <c r="E23" s="50"/>
    </row>
    <row r="24" spans="1:13" ht="13" thickBot="1" x14ac:dyDescent="0.3">
      <c r="A24" s="52"/>
      <c r="B24" s="50"/>
      <c r="C24" s="50"/>
      <c r="D24" s="50"/>
      <c r="E24" s="50"/>
    </row>
    <row r="25" spans="1:13" ht="13.5" customHeight="1" thickBot="1" x14ac:dyDescent="0.3">
      <c r="A25" s="136" t="s">
        <v>14</v>
      </c>
      <c r="B25" s="138" t="s">
        <v>15</v>
      </c>
      <c r="C25" s="140" t="s">
        <v>27</v>
      </c>
      <c r="D25" s="141"/>
      <c r="E25" s="141"/>
      <c r="F25" s="142"/>
    </row>
    <row r="26" spans="1:13" ht="15.5" thickBot="1" x14ac:dyDescent="0.35">
      <c r="A26" s="137"/>
      <c r="B26" s="139"/>
      <c r="C26" s="33" t="s">
        <v>337</v>
      </c>
      <c r="D26" s="33" t="s">
        <v>341</v>
      </c>
      <c r="E26" s="33" t="s">
        <v>340</v>
      </c>
      <c r="F26" s="34" t="s">
        <v>338</v>
      </c>
    </row>
    <row r="27" spans="1:13" ht="13.5" thickBot="1" x14ac:dyDescent="0.3">
      <c r="A27" s="23" t="s">
        <v>21</v>
      </c>
      <c r="B27" s="24" t="s">
        <v>22</v>
      </c>
      <c r="C27" s="35">
        <v>0.80820000000000003</v>
      </c>
      <c r="D27" s="36">
        <v>0.89029999999999998</v>
      </c>
      <c r="E27" s="36">
        <v>0.79879999999999995</v>
      </c>
      <c r="F27" s="37">
        <v>0.76490000000000002</v>
      </c>
      <c r="G27" s="147"/>
      <c r="H27" s="147"/>
      <c r="I27" s="147"/>
      <c r="J27" s="147"/>
      <c r="K27" s="147"/>
      <c r="L27" s="147"/>
      <c r="M27" s="147"/>
    </row>
    <row r="28" spans="1:13" ht="16" thickBot="1" x14ac:dyDescent="0.4">
      <c r="A28" s="27"/>
      <c r="B28" s="1" t="s">
        <v>23</v>
      </c>
      <c r="D28" s="38"/>
      <c r="E28" s="39"/>
      <c r="F28" s="38"/>
    </row>
    <row r="29" spans="1:13" ht="15.5" x14ac:dyDescent="0.35">
      <c r="A29" s="40" t="s">
        <v>165</v>
      </c>
      <c r="B29" s="41" t="s">
        <v>166</v>
      </c>
      <c r="C29" s="42">
        <v>0.87239999999999995</v>
      </c>
      <c r="D29" s="43">
        <v>0.85189999999999999</v>
      </c>
      <c r="E29" s="43">
        <v>0.85819999999999996</v>
      </c>
      <c r="F29" s="44">
        <v>0.73770000000000002</v>
      </c>
      <c r="G29" s="148"/>
      <c r="H29" s="148"/>
      <c r="I29" s="148"/>
      <c r="J29" s="148"/>
    </row>
    <row r="30" spans="1:13" ht="15.5" x14ac:dyDescent="0.35">
      <c r="A30" s="45" t="s">
        <v>167</v>
      </c>
      <c r="B30" s="46" t="s">
        <v>168</v>
      </c>
      <c r="C30" s="47">
        <v>0.7923</v>
      </c>
      <c r="D30" s="48">
        <v>0.92779999999999996</v>
      </c>
      <c r="E30" s="48">
        <v>0.77529999999999999</v>
      </c>
      <c r="F30" s="49">
        <v>0.72629999999999995</v>
      </c>
      <c r="G30" s="148"/>
      <c r="H30" s="148"/>
      <c r="I30" s="148"/>
      <c r="J30" s="148"/>
    </row>
    <row r="31" spans="1:13" ht="15.5" x14ac:dyDescent="0.35">
      <c r="A31" s="45" t="s">
        <v>141</v>
      </c>
      <c r="B31" s="46" t="s">
        <v>142</v>
      </c>
      <c r="C31" s="47">
        <v>1</v>
      </c>
      <c r="D31" s="48" t="s">
        <v>23</v>
      </c>
      <c r="E31" s="48" t="s">
        <v>23</v>
      </c>
      <c r="F31" s="49">
        <v>1</v>
      </c>
      <c r="G31" s="148"/>
      <c r="H31" s="148"/>
      <c r="I31" s="148"/>
      <c r="J31" s="148"/>
    </row>
    <row r="32" spans="1:13" ht="15.5" x14ac:dyDescent="0.35">
      <c r="A32" s="45" t="s">
        <v>143</v>
      </c>
      <c r="B32" s="46" t="s">
        <v>144</v>
      </c>
      <c r="C32" s="47">
        <v>0.85099999999999998</v>
      </c>
      <c r="D32" s="48">
        <v>0.90910000000000002</v>
      </c>
      <c r="E32" s="48">
        <v>0.84470000000000001</v>
      </c>
      <c r="F32" s="49">
        <v>0.84</v>
      </c>
      <c r="G32" s="148"/>
      <c r="H32" s="148"/>
      <c r="I32" s="148"/>
      <c r="J32" s="148"/>
    </row>
    <row r="33" spans="1:10" ht="15.5" x14ac:dyDescent="0.35">
      <c r="A33" s="45" t="s">
        <v>151</v>
      </c>
      <c r="B33" s="46" t="s">
        <v>152</v>
      </c>
      <c r="C33" s="47">
        <v>0.87</v>
      </c>
      <c r="D33" s="48">
        <v>1</v>
      </c>
      <c r="E33" s="48">
        <v>0.82169999999999999</v>
      </c>
      <c r="F33" s="49">
        <v>0.91359999999999997</v>
      </c>
      <c r="G33" s="148"/>
      <c r="H33" s="148"/>
      <c r="I33" s="148"/>
      <c r="J33" s="148"/>
    </row>
    <row r="34" spans="1:10" ht="15.5" x14ac:dyDescent="0.35">
      <c r="A34" s="45" t="s">
        <v>153</v>
      </c>
      <c r="B34" s="46" t="s">
        <v>154</v>
      </c>
      <c r="C34" s="47">
        <v>0.85350000000000004</v>
      </c>
      <c r="D34" s="48">
        <v>0.9</v>
      </c>
      <c r="E34" s="48">
        <v>0.83609999999999995</v>
      </c>
      <c r="F34" s="49">
        <v>0.80130000000000001</v>
      </c>
      <c r="G34" s="148"/>
      <c r="H34" s="148"/>
      <c r="I34" s="148"/>
      <c r="J34" s="148"/>
    </row>
    <row r="35" spans="1:10" ht="15.5" x14ac:dyDescent="0.35">
      <c r="A35" s="45" t="s">
        <v>155</v>
      </c>
      <c r="B35" s="46" t="s">
        <v>156</v>
      </c>
      <c r="C35" s="47">
        <v>0.85829999999999995</v>
      </c>
      <c r="D35" s="48">
        <v>0.95240000000000002</v>
      </c>
      <c r="E35" s="48">
        <v>0.85070000000000001</v>
      </c>
      <c r="F35" s="49">
        <v>0.82689999999999997</v>
      </c>
      <c r="G35" s="148"/>
      <c r="H35" s="148"/>
      <c r="I35" s="148"/>
      <c r="J35" s="148"/>
    </row>
    <row r="36" spans="1:10" ht="15.5" x14ac:dyDescent="0.35">
      <c r="A36" s="45" t="s">
        <v>145</v>
      </c>
      <c r="B36" s="46" t="s">
        <v>146</v>
      </c>
      <c r="C36" s="47">
        <v>0.85660000000000003</v>
      </c>
      <c r="D36" s="48">
        <v>0.90910000000000002</v>
      </c>
      <c r="E36" s="48">
        <v>0.8649</v>
      </c>
      <c r="F36" s="49">
        <v>0.78569999999999995</v>
      </c>
      <c r="G36" s="148"/>
      <c r="H36" s="148"/>
      <c r="I36" s="148"/>
      <c r="J36" s="148"/>
    </row>
    <row r="37" spans="1:10" ht="15.5" x14ac:dyDescent="0.35">
      <c r="A37" s="45" t="s">
        <v>169</v>
      </c>
      <c r="B37" s="46" t="s">
        <v>170</v>
      </c>
      <c r="C37" s="47">
        <v>0.81820000000000004</v>
      </c>
      <c r="D37" s="48">
        <v>0.94740000000000002</v>
      </c>
      <c r="E37" s="48">
        <v>0.77380000000000004</v>
      </c>
      <c r="F37" s="49">
        <v>0.65</v>
      </c>
      <c r="G37" s="148"/>
      <c r="H37" s="148"/>
      <c r="I37" s="148"/>
      <c r="J37" s="148"/>
    </row>
    <row r="38" spans="1:10" ht="15.5" x14ac:dyDescent="0.35">
      <c r="A38" s="45" t="s">
        <v>147</v>
      </c>
      <c r="B38" s="46" t="s">
        <v>148</v>
      </c>
      <c r="C38" s="47">
        <v>0.81279999999999997</v>
      </c>
      <c r="D38" s="48">
        <v>0.82930000000000004</v>
      </c>
      <c r="E38" s="48">
        <v>0.79920000000000002</v>
      </c>
      <c r="F38" s="49">
        <v>0.83540000000000003</v>
      </c>
      <c r="G38" s="148"/>
      <c r="H38" s="148"/>
      <c r="I38" s="148"/>
      <c r="J38" s="148"/>
    </row>
    <row r="39" spans="1:10" ht="15.5" x14ac:dyDescent="0.35">
      <c r="A39" s="45" t="s">
        <v>157</v>
      </c>
      <c r="B39" s="46" t="s">
        <v>158</v>
      </c>
      <c r="C39" s="47">
        <v>0.80630000000000002</v>
      </c>
      <c r="D39" s="48">
        <v>0.92110000000000003</v>
      </c>
      <c r="E39" s="48">
        <v>0.81100000000000005</v>
      </c>
      <c r="F39" s="49">
        <v>0.71050000000000002</v>
      </c>
      <c r="G39" s="148"/>
      <c r="H39" s="148"/>
      <c r="I39" s="148"/>
      <c r="J39" s="148"/>
    </row>
    <row r="40" spans="1:10" ht="15.5" x14ac:dyDescent="0.35">
      <c r="A40" s="45" t="s">
        <v>159</v>
      </c>
      <c r="B40" s="46" t="s">
        <v>356</v>
      </c>
      <c r="C40" s="47">
        <v>0.82230000000000003</v>
      </c>
      <c r="D40" s="48">
        <v>0.73909999999999998</v>
      </c>
      <c r="E40" s="48">
        <v>0.86609999999999998</v>
      </c>
      <c r="F40" s="49">
        <v>0.7097</v>
      </c>
      <c r="G40" s="148"/>
      <c r="H40" s="148"/>
      <c r="I40" s="148"/>
      <c r="J40" s="148"/>
    </row>
    <row r="41" spans="1:10" ht="15.5" x14ac:dyDescent="0.35">
      <c r="A41" s="45" t="s">
        <v>161</v>
      </c>
      <c r="B41" s="46" t="s">
        <v>162</v>
      </c>
      <c r="C41" s="47">
        <v>0.84930000000000005</v>
      </c>
      <c r="D41" s="48">
        <v>1</v>
      </c>
      <c r="E41" s="48">
        <v>0.82879999999999998</v>
      </c>
      <c r="F41" s="49">
        <v>0.77929999999999999</v>
      </c>
      <c r="G41" s="148"/>
      <c r="H41" s="148"/>
      <c r="I41" s="148"/>
      <c r="J41" s="148"/>
    </row>
    <row r="42" spans="1:10" ht="15.5" x14ac:dyDescent="0.35">
      <c r="A42" s="45" t="s">
        <v>149</v>
      </c>
      <c r="B42" s="46" t="s">
        <v>150</v>
      </c>
      <c r="C42" s="47">
        <v>0.8589</v>
      </c>
      <c r="D42" s="48">
        <v>0.95240000000000002</v>
      </c>
      <c r="E42" s="48">
        <v>0.8387</v>
      </c>
      <c r="F42" s="49">
        <v>0.7319</v>
      </c>
      <c r="G42" s="148"/>
      <c r="H42" s="148"/>
      <c r="I42" s="148"/>
      <c r="J42" s="148"/>
    </row>
    <row r="43" spans="1:10" ht="15.5" x14ac:dyDescent="0.35">
      <c r="A43" s="45" t="s">
        <v>171</v>
      </c>
      <c r="B43" s="46" t="s">
        <v>172</v>
      </c>
      <c r="C43" s="47">
        <v>0.88139999999999996</v>
      </c>
      <c r="D43" s="48">
        <v>0.83330000000000004</v>
      </c>
      <c r="E43" s="48">
        <v>0.92500000000000004</v>
      </c>
      <c r="F43" s="49">
        <v>0</v>
      </c>
      <c r="G43" s="148"/>
      <c r="H43" s="148"/>
      <c r="I43" s="148"/>
      <c r="J43" s="148"/>
    </row>
    <row r="44" spans="1:10" ht="15.5" x14ac:dyDescent="0.35">
      <c r="A44" s="45" t="s">
        <v>173</v>
      </c>
      <c r="B44" s="46" t="s">
        <v>174</v>
      </c>
      <c r="C44" s="47">
        <v>0</v>
      </c>
      <c r="D44" s="48">
        <v>0</v>
      </c>
      <c r="E44" s="48">
        <v>0</v>
      </c>
      <c r="F44" s="49">
        <v>0</v>
      </c>
      <c r="G44" s="148"/>
      <c r="H44" s="148"/>
      <c r="I44" s="148"/>
      <c r="J44" s="148"/>
    </row>
    <row r="45" spans="1:10" ht="15.5" x14ac:dyDescent="0.35">
      <c r="A45" s="45" t="s">
        <v>175</v>
      </c>
      <c r="B45" s="46" t="s">
        <v>176</v>
      </c>
      <c r="C45" s="47">
        <v>0.80089999999999995</v>
      </c>
      <c r="D45" s="48">
        <v>0.80359999999999998</v>
      </c>
      <c r="E45" s="48">
        <v>0.81010000000000004</v>
      </c>
      <c r="F45" s="49">
        <v>0.76349999999999996</v>
      </c>
      <c r="G45" s="148"/>
      <c r="H45" s="148"/>
      <c r="I45" s="148"/>
      <c r="J45" s="148"/>
    </row>
    <row r="46" spans="1:10" ht="15.5" x14ac:dyDescent="0.35">
      <c r="A46" s="45" t="s">
        <v>163</v>
      </c>
      <c r="B46" s="46" t="s">
        <v>164</v>
      </c>
      <c r="C46" s="47">
        <v>0.77080000000000004</v>
      </c>
      <c r="D46" s="48">
        <v>0.92159999999999997</v>
      </c>
      <c r="E46" s="48">
        <v>0.66669999999999996</v>
      </c>
      <c r="F46" s="49">
        <v>0.72729999999999995</v>
      </c>
      <c r="G46" s="148"/>
      <c r="H46" s="148"/>
      <c r="I46" s="148"/>
      <c r="J46" s="148"/>
    </row>
    <row r="47" spans="1:10" ht="15.5" x14ac:dyDescent="0.35">
      <c r="A47" s="45" t="s">
        <v>177</v>
      </c>
      <c r="B47" s="46" t="s">
        <v>178</v>
      </c>
      <c r="C47" s="47">
        <v>0.85289999999999999</v>
      </c>
      <c r="D47" s="48">
        <v>0.89800000000000002</v>
      </c>
      <c r="E47" s="48">
        <v>0.86450000000000005</v>
      </c>
      <c r="F47" s="49">
        <v>0.75</v>
      </c>
      <c r="G47" s="148"/>
      <c r="H47" s="148"/>
      <c r="I47" s="148"/>
      <c r="J47" s="148"/>
    </row>
    <row r="48" spans="1:10" ht="15.5" x14ac:dyDescent="0.35">
      <c r="A48" s="45" t="s">
        <v>179</v>
      </c>
      <c r="B48" s="46" t="s">
        <v>180</v>
      </c>
      <c r="C48" s="47">
        <v>0.79390000000000005</v>
      </c>
      <c r="D48" s="48">
        <v>0.9375</v>
      </c>
      <c r="E48" s="48">
        <v>0.73680000000000001</v>
      </c>
      <c r="F48" s="49">
        <v>0.8</v>
      </c>
      <c r="G48" s="148"/>
      <c r="H48" s="148"/>
      <c r="I48" s="148"/>
      <c r="J48" s="148"/>
    </row>
    <row r="49" spans="1:10" ht="15.5" x14ac:dyDescent="0.35">
      <c r="A49" s="45" t="s">
        <v>117</v>
      </c>
      <c r="B49" s="46" t="s">
        <v>118</v>
      </c>
      <c r="C49" s="47">
        <v>0.82</v>
      </c>
      <c r="D49" s="48">
        <v>0.84209999999999996</v>
      </c>
      <c r="E49" s="48">
        <v>0.86209999999999998</v>
      </c>
      <c r="F49" s="49">
        <v>0.54549999999999998</v>
      </c>
      <c r="G49" s="148"/>
      <c r="H49" s="148"/>
      <c r="I49" s="148"/>
      <c r="J49" s="148"/>
    </row>
    <row r="50" spans="1:10" ht="15.5" x14ac:dyDescent="0.35">
      <c r="A50" s="45" t="s">
        <v>297</v>
      </c>
      <c r="B50" s="46" t="s">
        <v>298</v>
      </c>
      <c r="C50" s="47">
        <v>0.83330000000000004</v>
      </c>
      <c r="D50" s="48">
        <v>0.83330000000000004</v>
      </c>
      <c r="E50" s="48">
        <v>0.85799999999999998</v>
      </c>
      <c r="F50" s="49">
        <v>0.7419</v>
      </c>
      <c r="G50" s="148"/>
      <c r="H50" s="148"/>
      <c r="I50" s="148"/>
      <c r="J50" s="148"/>
    </row>
    <row r="51" spans="1:10" ht="15.5" x14ac:dyDescent="0.35">
      <c r="A51" s="45" t="s">
        <v>299</v>
      </c>
      <c r="B51" s="46" t="s">
        <v>300</v>
      </c>
      <c r="C51" s="47">
        <v>0.82850000000000001</v>
      </c>
      <c r="D51" s="48">
        <v>0.94440000000000002</v>
      </c>
      <c r="E51" s="48">
        <v>0.81299999999999994</v>
      </c>
      <c r="F51" s="49">
        <v>0.81630000000000003</v>
      </c>
      <c r="G51" s="148"/>
      <c r="H51" s="148"/>
      <c r="I51" s="148"/>
      <c r="J51" s="148"/>
    </row>
    <row r="52" spans="1:10" ht="15.5" x14ac:dyDescent="0.35">
      <c r="A52" s="45" t="s">
        <v>301</v>
      </c>
      <c r="B52" s="46" t="s">
        <v>302</v>
      </c>
      <c r="C52" s="47">
        <v>0.78490000000000004</v>
      </c>
      <c r="D52" s="48">
        <v>0.88890000000000002</v>
      </c>
      <c r="E52" s="48">
        <v>0.7712</v>
      </c>
      <c r="F52" s="49">
        <v>0.75260000000000005</v>
      </c>
      <c r="G52" s="148"/>
      <c r="H52" s="148"/>
      <c r="I52" s="148"/>
      <c r="J52" s="148"/>
    </row>
    <row r="53" spans="1:10" ht="15.5" x14ac:dyDescent="0.35">
      <c r="A53" s="45" t="s">
        <v>303</v>
      </c>
      <c r="B53" s="46" t="s">
        <v>304</v>
      </c>
      <c r="C53" s="47">
        <v>0.82040000000000002</v>
      </c>
      <c r="D53" s="48">
        <v>1</v>
      </c>
      <c r="E53" s="48">
        <v>0.80910000000000004</v>
      </c>
      <c r="F53" s="49">
        <v>0.68630000000000002</v>
      </c>
      <c r="G53" s="148"/>
      <c r="H53" s="148"/>
      <c r="I53" s="148"/>
      <c r="J53" s="148"/>
    </row>
    <row r="54" spans="1:10" ht="15.5" x14ac:dyDescent="0.35">
      <c r="A54" s="45" t="s">
        <v>305</v>
      </c>
      <c r="B54" s="46" t="s">
        <v>306</v>
      </c>
      <c r="C54" s="47">
        <v>0.76090000000000002</v>
      </c>
      <c r="D54" s="48">
        <v>0.90739999999999998</v>
      </c>
      <c r="E54" s="48">
        <v>0.70920000000000005</v>
      </c>
      <c r="F54" s="49">
        <v>0.74509999999999998</v>
      </c>
      <c r="G54" s="148"/>
      <c r="H54" s="148"/>
      <c r="I54" s="148"/>
      <c r="J54" s="148"/>
    </row>
    <row r="55" spans="1:10" ht="15.5" x14ac:dyDescent="0.35">
      <c r="A55" s="45" t="s">
        <v>307</v>
      </c>
      <c r="B55" s="46" t="s">
        <v>308</v>
      </c>
      <c r="C55" s="47">
        <v>0.81020000000000003</v>
      </c>
      <c r="D55" s="48">
        <v>0.75</v>
      </c>
      <c r="E55" s="48">
        <v>0.85609999999999997</v>
      </c>
      <c r="F55" s="49">
        <v>0.72899999999999998</v>
      </c>
      <c r="G55" s="148"/>
      <c r="H55" s="148"/>
      <c r="I55" s="148"/>
      <c r="J55" s="148"/>
    </row>
    <row r="56" spans="1:10" ht="15.5" x14ac:dyDescent="0.35">
      <c r="A56" s="45" t="s">
        <v>119</v>
      </c>
      <c r="B56" s="46" t="s">
        <v>120</v>
      </c>
      <c r="C56" s="47">
        <v>0.81200000000000006</v>
      </c>
      <c r="D56" s="48">
        <v>0.83330000000000004</v>
      </c>
      <c r="E56" s="48">
        <v>0.80279999999999996</v>
      </c>
      <c r="F56" s="49">
        <v>0.82140000000000002</v>
      </c>
      <c r="G56" s="148"/>
      <c r="H56" s="148"/>
      <c r="I56" s="148"/>
      <c r="J56" s="148"/>
    </row>
    <row r="57" spans="1:10" ht="15.5" x14ac:dyDescent="0.35">
      <c r="A57" s="45" t="s">
        <v>309</v>
      </c>
      <c r="B57" s="46" t="s">
        <v>310</v>
      </c>
      <c r="C57" s="47">
        <v>0.82830000000000004</v>
      </c>
      <c r="D57" s="48">
        <v>0.84089999999999998</v>
      </c>
      <c r="E57" s="48">
        <v>0.83599999999999997</v>
      </c>
      <c r="F57" s="49">
        <v>0.753</v>
      </c>
      <c r="G57" s="148"/>
      <c r="H57" s="148"/>
      <c r="I57" s="148"/>
      <c r="J57" s="148"/>
    </row>
    <row r="58" spans="1:10" ht="15.5" x14ac:dyDescent="0.35">
      <c r="A58" s="45" t="s">
        <v>311</v>
      </c>
      <c r="B58" s="46" t="s">
        <v>312</v>
      </c>
      <c r="C58" s="47">
        <v>0.83260000000000001</v>
      </c>
      <c r="D58" s="48">
        <v>0.95830000000000004</v>
      </c>
      <c r="E58" s="48">
        <v>0.80649999999999999</v>
      </c>
      <c r="F58" s="49">
        <v>0.79310000000000003</v>
      </c>
      <c r="G58" s="148"/>
      <c r="H58" s="148"/>
      <c r="I58" s="148"/>
      <c r="J58" s="148"/>
    </row>
    <row r="59" spans="1:10" ht="15.5" x14ac:dyDescent="0.35">
      <c r="A59" s="45" t="s">
        <v>313</v>
      </c>
      <c r="B59" s="46" t="s">
        <v>314</v>
      </c>
      <c r="C59" s="47">
        <v>0.78029999999999999</v>
      </c>
      <c r="D59" s="48">
        <v>0.90769999999999995</v>
      </c>
      <c r="E59" s="48">
        <v>0.77959999999999996</v>
      </c>
      <c r="F59" s="49">
        <v>0.63</v>
      </c>
      <c r="G59" s="148"/>
      <c r="H59" s="148"/>
      <c r="I59" s="148"/>
      <c r="J59" s="148"/>
    </row>
    <row r="60" spans="1:10" ht="15.5" x14ac:dyDescent="0.35">
      <c r="A60" s="45" t="s">
        <v>121</v>
      </c>
      <c r="B60" s="46" t="s">
        <v>122</v>
      </c>
      <c r="C60" s="47">
        <v>0.78810000000000002</v>
      </c>
      <c r="D60" s="48">
        <v>0.88570000000000004</v>
      </c>
      <c r="E60" s="48">
        <v>0.76729999999999998</v>
      </c>
      <c r="F60" s="49">
        <v>0.71630000000000005</v>
      </c>
      <c r="G60" s="148"/>
      <c r="H60" s="148"/>
      <c r="I60" s="148"/>
      <c r="J60" s="148"/>
    </row>
    <row r="61" spans="1:10" ht="15.5" x14ac:dyDescent="0.35">
      <c r="A61" s="45" t="s">
        <v>315</v>
      </c>
      <c r="B61" s="46" t="s">
        <v>316</v>
      </c>
      <c r="C61" s="47">
        <v>0.73819999999999997</v>
      </c>
      <c r="D61" s="48">
        <v>0.9677</v>
      </c>
      <c r="E61" s="48">
        <v>0.63949999999999996</v>
      </c>
      <c r="F61" s="49">
        <v>0.73280000000000001</v>
      </c>
      <c r="G61" s="148"/>
      <c r="H61" s="148"/>
      <c r="I61" s="148"/>
      <c r="J61" s="148"/>
    </row>
    <row r="62" spans="1:10" ht="15.5" x14ac:dyDescent="0.35">
      <c r="A62" s="45" t="s">
        <v>181</v>
      </c>
      <c r="B62" s="46" t="s">
        <v>182</v>
      </c>
      <c r="C62" s="47">
        <v>0.71609999999999996</v>
      </c>
      <c r="D62" s="48">
        <v>0.83330000000000004</v>
      </c>
      <c r="E62" s="48">
        <v>0.70709999999999995</v>
      </c>
      <c r="F62" s="49">
        <v>0.62819999999999998</v>
      </c>
      <c r="G62" s="148"/>
      <c r="H62" s="148"/>
      <c r="I62" s="148"/>
      <c r="J62" s="148"/>
    </row>
    <row r="63" spans="1:10" ht="15.5" x14ac:dyDescent="0.35">
      <c r="A63" s="45" t="s">
        <v>131</v>
      </c>
      <c r="B63" s="46" t="s">
        <v>132</v>
      </c>
      <c r="C63" s="47">
        <v>0.78369999999999995</v>
      </c>
      <c r="D63" s="48">
        <v>0.52</v>
      </c>
      <c r="E63" s="48">
        <v>0.78180000000000005</v>
      </c>
      <c r="F63" s="49">
        <v>0.83560000000000001</v>
      </c>
      <c r="G63" s="148"/>
      <c r="H63" s="148"/>
      <c r="I63" s="148"/>
      <c r="J63" s="148"/>
    </row>
    <row r="64" spans="1:10" ht="15.5" x14ac:dyDescent="0.35">
      <c r="A64" s="45" t="s">
        <v>183</v>
      </c>
      <c r="B64" s="46" t="s">
        <v>184</v>
      </c>
      <c r="C64" s="47">
        <v>0.84909999999999997</v>
      </c>
      <c r="D64" s="48">
        <v>0.91669999999999996</v>
      </c>
      <c r="E64" s="48">
        <v>0.81299999999999994</v>
      </c>
      <c r="F64" s="49">
        <v>0.85250000000000004</v>
      </c>
      <c r="G64" s="148"/>
      <c r="H64" s="148"/>
      <c r="I64" s="148"/>
      <c r="J64" s="148"/>
    </row>
    <row r="65" spans="1:10" ht="15.5" x14ac:dyDescent="0.35">
      <c r="A65" s="45" t="s">
        <v>185</v>
      </c>
      <c r="B65" s="46" t="s">
        <v>186</v>
      </c>
      <c r="C65" s="47">
        <v>0.78620000000000001</v>
      </c>
      <c r="D65" s="48">
        <v>0.81689999999999996</v>
      </c>
      <c r="E65" s="48">
        <v>0.83509999999999995</v>
      </c>
      <c r="F65" s="49">
        <v>0.68530000000000002</v>
      </c>
      <c r="G65" s="148"/>
      <c r="H65" s="148"/>
      <c r="I65" s="148"/>
      <c r="J65" s="148"/>
    </row>
    <row r="66" spans="1:10" ht="15.5" x14ac:dyDescent="0.35">
      <c r="A66" s="45" t="s">
        <v>187</v>
      </c>
      <c r="B66" s="46" t="s">
        <v>188</v>
      </c>
      <c r="C66" s="47">
        <v>0.83479999999999999</v>
      </c>
      <c r="D66" s="48">
        <v>0.92</v>
      </c>
      <c r="E66" s="48">
        <v>0.80559999999999998</v>
      </c>
      <c r="F66" s="49">
        <v>0.84399999999999997</v>
      </c>
      <c r="G66" s="148"/>
      <c r="H66" s="148"/>
      <c r="I66" s="148"/>
      <c r="J66" s="148"/>
    </row>
    <row r="67" spans="1:10" ht="15.5" x14ac:dyDescent="0.35">
      <c r="A67" s="45" t="s">
        <v>189</v>
      </c>
      <c r="B67" s="46" t="s">
        <v>190</v>
      </c>
      <c r="C67" s="47">
        <v>0.77829999999999999</v>
      </c>
      <c r="D67" s="48">
        <v>0.80359999999999998</v>
      </c>
      <c r="E67" s="48">
        <v>0.78149999999999997</v>
      </c>
      <c r="F67" s="49">
        <v>0.73529999999999995</v>
      </c>
      <c r="G67" s="148"/>
      <c r="H67" s="148"/>
      <c r="I67" s="148"/>
      <c r="J67" s="148"/>
    </row>
    <row r="68" spans="1:10" ht="15.5" x14ac:dyDescent="0.35">
      <c r="A68" s="45" t="s">
        <v>123</v>
      </c>
      <c r="B68" s="46" t="s">
        <v>124</v>
      </c>
      <c r="C68" s="47">
        <v>0.81069999999999998</v>
      </c>
      <c r="D68" s="48">
        <v>0.9556</v>
      </c>
      <c r="E68" s="48">
        <v>0.80820000000000003</v>
      </c>
      <c r="F68" s="49">
        <v>0.72440000000000004</v>
      </c>
      <c r="G68" s="148"/>
      <c r="H68" s="148"/>
      <c r="I68" s="148"/>
      <c r="J68" s="148"/>
    </row>
    <row r="69" spans="1:10" ht="15.5" x14ac:dyDescent="0.35">
      <c r="A69" s="45" t="s">
        <v>125</v>
      </c>
      <c r="B69" s="46" t="s">
        <v>126</v>
      </c>
      <c r="C69" s="47">
        <v>0.74119999999999997</v>
      </c>
      <c r="D69" s="48">
        <v>0.91300000000000003</v>
      </c>
      <c r="E69" s="48">
        <v>0.76919999999999999</v>
      </c>
      <c r="F69" s="49">
        <v>0.6522</v>
      </c>
      <c r="G69" s="148"/>
      <c r="H69" s="148"/>
      <c r="I69" s="148"/>
      <c r="J69" s="148"/>
    </row>
    <row r="70" spans="1:10" ht="15.5" x14ac:dyDescent="0.35">
      <c r="A70" s="45" t="s">
        <v>191</v>
      </c>
      <c r="B70" s="46" t="s">
        <v>192</v>
      </c>
      <c r="C70" s="47">
        <v>0.88890000000000002</v>
      </c>
      <c r="D70" s="48" t="s">
        <v>23</v>
      </c>
      <c r="E70" s="48" t="s">
        <v>23</v>
      </c>
      <c r="F70" s="49">
        <v>0.88890000000000002</v>
      </c>
      <c r="G70" s="148"/>
      <c r="H70" s="148"/>
      <c r="I70" s="148"/>
      <c r="J70" s="148"/>
    </row>
    <row r="71" spans="1:10" ht="15.5" x14ac:dyDescent="0.35">
      <c r="A71" s="45" t="s">
        <v>193</v>
      </c>
      <c r="B71" s="46" t="s">
        <v>194</v>
      </c>
      <c r="C71" s="47">
        <v>0.66669999999999996</v>
      </c>
      <c r="D71" s="48" t="s">
        <v>23</v>
      </c>
      <c r="E71" s="48">
        <v>0.5</v>
      </c>
      <c r="F71" s="49">
        <v>1</v>
      </c>
      <c r="G71" s="148"/>
      <c r="H71" s="148"/>
      <c r="I71" s="148"/>
      <c r="J71" s="148"/>
    </row>
    <row r="72" spans="1:10" ht="15.5" x14ac:dyDescent="0.35">
      <c r="A72" s="45" t="s">
        <v>195</v>
      </c>
      <c r="B72" s="46" t="s">
        <v>196</v>
      </c>
      <c r="C72" s="47">
        <v>0.80079999999999996</v>
      </c>
      <c r="D72" s="48">
        <v>0.80679999999999996</v>
      </c>
      <c r="E72" s="48">
        <v>0.77059999999999995</v>
      </c>
      <c r="F72" s="49">
        <v>0.74850000000000005</v>
      </c>
      <c r="G72" s="148"/>
      <c r="H72" s="148"/>
      <c r="I72" s="148"/>
      <c r="J72" s="148"/>
    </row>
    <row r="73" spans="1:10" ht="15.5" x14ac:dyDescent="0.35">
      <c r="A73" s="45" t="s">
        <v>197</v>
      </c>
      <c r="B73" s="46" t="s">
        <v>198</v>
      </c>
      <c r="C73" s="47">
        <v>0.84670000000000001</v>
      </c>
      <c r="D73" s="48">
        <v>0.88639999999999997</v>
      </c>
      <c r="E73" s="48">
        <v>0.8246</v>
      </c>
      <c r="F73" s="49">
        <v>0.82520000000000004</v>
      </c>
      <c r="G73" s="148"/>
      <c r="H73" s="148"/>
      <c r="I73" s="148"/>
      <c r="J73" s="148"/>
    </row>
    <row r="74" spans="1:10" ht="15.5" x14ac:dyDescent="0.35">
      <c r="A74" s="45" t="s">
        <v>355</v>
      </c>
      <c r="B74" s="46" t="s">
        <v>357</v>
      </c>
      <c r="C74" s="47">
        <v>0</v>
      </c>
      <c r="D74" s="48" t="s">
        <v>23</v>
      </c>
      <c r="E74" s="48">
        <v>0</v>
      </c>
      <c r="F74" s="49" t="s">
        <v>23</v>
      </c>
      <c r="G74" s="148"/>
      <c r="H74" s="148"/>
      <c r="I74" s="148"/>
      <c r="J74" s="148"/>
    </row>
    <row r="75" spans="1:10" ht="15.5" x14ac:dyDescent="0.35">
      <c r="A75" s="45" t="s">
        <v>133</v>
      </c>
      <c r="B75" s="46" t="s">
        <v>134</v>
      </c>
      <c r="C75" s="47">
        <v>0.82389999999999997</v>
      </c>
      <c r="D75" s="48">
        <v>0.85709999999999997</v>
      </c>
      <c r="E75" s="48">
        <v>0.81120000000000003</v>
      </c>
      <c r="F75" s="49">
        <v>0.80569999999999997</v>
      </c>
      <c r="G75" s="148"/>
      <c r="H75" s="148"/>
      <c r="I75" s="148"/>
      <c r="J75" s="148"/>
    </row>
    <row r="76" spans="1:10" ht="15.5" x14ac:dyDescent="0.35">
      <c r="A76" s="45" t="s">
        <v>127</v>
      </c>
      <c r="B76" s="46" t="s">
        <v>128</v>
      </c>
      <c r="C76" s="47">
        <v>0.81410000000000005</v>
      </c>
      <c r="D76" s="48">
        <v>0.83720000000000006</v>
      </c>
      <c r="E76" s="48">
        <v>0.81479999999999997</v>
      </c>
      <c r="F76" s="49">
        <v>0.77470000000000006</v>
      </c>
      <c r="G76" s="148"/>
      <c r="H76" s="148"/>
      <c r="I76" s="148"/>
      <c r="J76" s="148"/>
    </row>
    <row r="77" spans="1:10" ht="15.5" x14ac:dyDescent="0.35">
      <c r="A77" s="45" t="s">
        <v>199</v>
      </c>
      <c r="B77" s="46" t="s">
        <v>200</v>
      </c>
      <c r="C77" s="47">
        <v>1</v>
      </c>
      <c r="D77" s="48" t="s">
        <v>23</v>
      </c>
      <c r="E77" s="48">
        <v>1</v>
      </c>
      <c r="F77" s="49">
        <v>1</v>
      </c>
      <c r="G77" s="148"/>
      <c r="H77" s="148"/>
      <c r="I77" s="148"/>
      <c r="J77" s="148"/>
    </row>
    <row r="78" spans="1:10" ht="15.5" x14ac:dyDescent="0.35">
      <c r="A78" s="45" t="s">
        <v>135</v>
      </c>
      <c r="B78" s="46" t="s">
        <v>136</v>
      </c>
      <c r="C78" s="47">
        <v>0.81069999999999998</v>
      </c>
      <c r="D78" s="48">
        <v>0.875</v>
      </c>
      <c r="E78" s="48">
        <v>0.81510000000000005</v>
      </c>
      <c r="F78" s="49">
        <v>0.69610000000000005</v>
      </c>
      <c r="G78" s="148"/>
      <c r="H78" s="148"/>
      <c r="I78" s="148"/>
      <c r="J78" s="148"/>
    </row>
    <row r="79" spans="1:10" ht="15.5" x14ac:dyDescent="0.35">
      <c r="A79" s="45" t="s">
        <v>201</v>
      </c>
      <c r="B79" s="46" t="s">
        <v>202</v>
      </c>
      <c r="C79" s="47">
        <v>0.83330000000000004</v>
      </c>
      <c r="D79" s="48">
        <v>0.93100000000000005</v>
      </c>
      <c r="E79" s="48">
        <v>0.8367</v>
      </c>
      <c r="F79" s="49">
        <v>0.51719999999999999</v>
      </c>
      <c r="G79" s="148"/>
      <c r="H79" s="148"/>
      <c r="I79" s="148"/>
      <c r="J79" s="148"/>
    </row>
    <row r="80" spans="1:10" ht="15.5" x14ac:dyDescent="0.35">
      <c r="A80" s="45" t="s">
        <v>203</v>
      </c>
      <c r="B80" s="46" t="s">
        <v>204</v>
      </c>
      <c r="C80" s="47">
        <v>0.86360000000000003</v>
      </c>
      <c r="D80" s="48" t="s">
        <v>23</v>
      </c>
      <c r="E80" s="48" t="s">
        <v>23</v>
      </c>
      <c r="F80" s="49">
        <v>0.86360000000000003</v>
      </c>
      <c r="G80" s="148"/>
      <c r="H80" s="148"/>
      <c r="I80" s="148"/>
      <c r="J80" s="148"/>
    </row>
    <row r="81" spans="1:10" ht="15.5" x14ac:dyDescent="0.35">
      <c r="A81" s="45" t="s">
        <v>205</v>
      </c>
      <c r="B81" s="46" t="s">
        <v>206</v>
      </c>
      <c r="C81" s="47">
        <v>0.5</v>
      </c>
      <c r="D81" s="48" t="s">
        <v>23</v>
      </c>
      <c r="E81" s="48" t="s">
        <v>23</v>
      </c>
      <c r="F81" s="49">
        <v>0.5</v>
      </c>
      <c r="G81" s="148"/>
      <c r="H81" s="148"/>
      <c r="I81" s="148"/>
      <c r="J81" s="148"/>
    </row>
    <row r="82" spans="1:10" ht="15.5" x14ac:dyDescent="0.35">
      <c r="A82" s="45" t="s">
        <v>207</v>
      </c>
      <c r="B82" s="46" t="s">
        <v>208</v>
      </c>
      <c r="C82" s="47">
        <v>0.749</v>
      </c>
      <c r="D82" s="48">
        <v>0.84379999999999999</v>
      </c>
      <c r="E82" s="48">
        <v>0.67190000000000005</v>
      </c>
      <c r="F82" s="49">
        <v>0.7349</v>
      </c>
      <c r="G82" s="148"/>
      <c r="H82" s="148"/>
      <c r="I82" s="148"/>
      <c r="J82" s="148"/>
    </row>
    <row r="83" spans="1:10" ht="15.5" x14ac:dyDescent="0.35">
      <c r="A83" s="45" t="s">
        <v>129</v>
      </c>
      <c r="B83" s="46" t="s">
        <v>130</v>
      </c>
      <c r="C83" s="47">
        <v>0.77869999999999995</v>
      </c>
      <c r="D83" s="48">
        <v>0.91490000000000005</v>
      </c>
      <c r="E83" s="48">
        <v>0.75309999999999999</v>
      </c>
      <c r="F83" s="49">
        <v>0.77500000000000002</v>
      </c>
      <c r="G83" s="148"/>
      <c r="H83" s="148"/>
      <c r="I83" s="148"/>
      <c r="J83" s="148"/>
    </row>
    <row r="84" spans="1:10" ht="15.5" x14ac:dyDescent="0.35">
      <c r="A84" s="45" t="s">
        <v>209</v>
      </c>
      <c r="B84" s="46" t="s">
        <v>210</v>
      </c>
      <c r="C84" s="47">
        <v>0.78059999999999996</v>
      </c>
      <c r="D84" s="48">
        <v>0.93330000000000002</v>
      </c>
      <c r="E84" s="48">
        <v>0.78859999999999997</v>
      </c>
      <c r="F84" s="49">
        <v>0.67490000000000006</v>
      </c>
      <c r="G84" s="148"/>
      <c r="H84" s="148"/>
      <c r="I84" s="148"/>
      <c r="J84" s="148"/>
    </row>
    <row r="85" spans="1:10" ht="15.5" x14ac:dyDescent="0.35">
      <c r="A85" s="45" t="s">
        <v>319</v>
      </c>
      <c r="B85" s="46" t="s">
        <v>320</v>
      </c>
      <c r="C85" s="47">
        <v>1</v>
      </c>
      <c r="D85" s="48" t="s">
        <v>23</v>
      </c>
      <c r="E85" s="48" t="s">
        <v>23</v>
      </c>
      <c r="F85" s="49">
        <v>1</v>
      </c>
      <c r="G85" s="148"/>
      <c r="H85" s="148"/>
      <c r="I85" s="148"/>
      <c r="J85" s="148"/>
    </row>
    <row r="86" spans="1:10" ht="15.5" x14ac:dyDescent="0.35">
      <c r="A86" s="45" t="s">
        <v>269</v>
      </c>
      <c r="B86" s="46" t="s">
        <v>270</v>
      </c>
      <c r="C86" s="47">
        <v>0.76229999999999998</v>
      </c>
      <c r="D86" s="48">
        <v>0.93330000000000002</v>
      </c>
      <c r="E86" s="48">
        <v>0.71050000000000002</v>
      </c>
      <c r="F86" s="49">
        <v>0.7742</v>
      </c>
      <c r="G86" s="148"/>
      <c r="H86" s="148"/>
      <c r="I86" s="148"/>
      <c r="J86" s="148"/>
    </row>
    <row r="87" spans="1:10" ht="15.5" x14ac:dyDescent="0.35">
      <c r="A87" s="45" t="s">
        <v>43</v>
      </c>
      <c r="B87" s="46" t="s">
        <v>44</v>
      </c>
      <c r="C87" s="47">
        <v>0.80730000000000002</v>
      </c>
      <c r="D87" s="48">
        <v>0.875</v>
      </c>
      <c r="E87" s="48">
        <v>0.78220000000000001</v>
      </c>
      <c r="F87" s="49">
        <v>0.8</v>
      </c>
      <c r="G87" s="148"/>
      <c r="H87" s="148"/>
      <c r="I87" s="148"/>
      <c r="J87" s="148"/>
    </row>
    <row r="88" spans="1:10" ht="15.5" x14ac:dyDescent="0.35">
      <c r="A88" s="45" t="s">
        <v>45</v>
      </c>
      <c r="B88" s="46" t="s">
        <v>46</v>
      </c>
      <c r="C88" s="47">
        <v>0.28570000000000001</v>
      </c>
      <c r="D88" s="48" t="s">
        <v>23</v>
      </c>
      <c r="E88" s="48" t="s">
        <v>23</v>
      </c>
      <c r="F88" s="49">
        <v>0.28570000000000001</v>
      </c>
      <c r="G88" s="148"/>
      <c r="H88" s="148"/>
      <c r="I88" s="148"/>
      <c r="J88" s="148"/>
    </row>
    <row r="89" spans="1:10" ht="15.5" x14ac:dyDescent="0.35">
      <c r="A89" s="45" t="s">
        <v>271</v>
      </c>
      <c r="B89" s="46" t="s">
        <v>272</v>
      </c>
      <c r="C89" s="47">
        <v>0.8407</v>
      </c>
      <c r="D89" s="48">
        <v>0.9667</v>
      </c>
      <c r="E89" s="48">
        <v>0.79249999999999998</v>
      </c>
      <c r="F89" s="49">
        <v>0.83330000000000004</v>
      </c>
      <c r="G89" s="148"/>
      <c r="H89" s="148"/>
      <c r="I89" s="148"/>
      <c r="J89" s="148"/>
    </row>
    <row r="90" spans="1:10" ht="15.5" x14ac:dyDescent="0.35">
      <c r="A90" s="45" t="s">
        <v>47</v>
      </c>
      <c r="B90" s="46" t="s">
        <v>48</v>
      </c>
      <c r="C90" s="47">
        <v>0.53449999999999998</v>
      </c>
      <c r="D90" s="48" t="s">
        <v>23</v>
      </c>
      <c r="E90" s="48" t="s">
        <v>23</v>
      </c>
      <c r="F90" s="49">
        <v>0.53449999999999998</v>
      </c>
      <c r="G90" s="148"/>
      <c r="H90" s="148"/>
      <c r="I90" s="148"/>
      <c r="J90" s="148"/>
    </row>
    <row r="91" spans="1:10" ht="15.5" x14ac:dyDescent="0.35">
      <c r="A91" s="45" t="s">
        <v>273</v>
      </c>
      <c r="B91" s="46" t="s">
        <v>274</v>
      </c>
      <c r="C91" s="47">
        <v>0.84209999999999996</v>
      </c>
      <c r="D91" s="48">
        <v>0.75</v>
      </c>
      <c r="E91" s="48">
        <v>0.86809999999999998</v>
      </c>
      <c r="F91" s="49">
        <v>0.76670000000000005</v>
      </c>
      <c r="G91" s="148"/>
      <c r="H91" s="148"/>
      <c r="I91" s="148"/>
      <c r="J91" s="148"/>
    </row>
    <row r="92" spans="1:10" ht="15.5" x14ac:dyDescent="0.35">
      <c r="A92" s="45" t="s">
        <v>275</v>
      </c>
      <c r="B92" s="46" t="s">
        <v>276</v>
      </c>
      <c r="C92" s="47">
        <v>0</v>
      </c>
      <c r="D92" s="48" t="s">
        <v>23</v>
      </c>
      <c r="E92" s="48" t="s">
        <v>23</v>
      </c>
      <c r="F92" s="49">
        <v>0</v>
      </c>
      <c r="G92" s="148"/>
      <c r="H92" s="148"/>
      <c r="I92" s="148"/>
      <c r="J92" s="148"/>
    </row>
    <row r="93" spans="1:10" ht="15.5" x14ac:dyDescent="0.35">
      <c r="A93" s="45" t="s">
        <v>49</v>
      </c>
      <c r="B93" s="46" t="s">
        <v>50</v>
      </c>
      <c r="C93" s="47">
        <v>0.81430000000000002</v>
      </c>
      <c r="D93" s="48">
        <v>0.94740000000000002</v>
      </c>
      <c r="E93" s="48">
        <v>0.7944</v>
      </c>
      <c r="F93" s="49">
        <v>0.78259999999999996</v>
      </c>
      <c r="G93" s="148"/>
      <c r="H93" s="148"/>
      <c r="I93" s="148"/>
      <c r="J93" s="148"/>
    </row>
    <row r="94" spans="1:10" ht="15.5" x14ac:dyDescent="0.35">
      <c r="A94" s="45" t="s">
        <v>51</v>
      </c>
      <c r="B94" s="46" t="s">
        <v>52</v>
      </c>
      <c r="C94" s="47">
        <v>0.83260000000000001</v>
      </c>
      <c r="D94" s="48">
        <v>0.92589999999999995</v>
      </c>
      <c r="E94" s="48">
        <v>0.82640000000000002</v>
      </c>
      <c r="F94" s="49">
        <v>0.7742</v>
      </c>
      <c r="G94" s="148"/>
      <c r="H94" s="148"/>
      <c r="I94" s="148"/>
      <c r="J94" s="148"/>
    </row>
    <row r="95" spans="1:10" ht="15.5" x14ac:dyDescent="0.35">
      <c r="A95" s="45" t="s">
        <v>53</v>
      </c>
      <c r="B95" s="46" t="s">
        <v>54</v>
      </c>
      <c r="C95" s="47">
        <v>0.77690000000000003</v>
      </c>
      <c r="D95" s="48">
        <v>0.875</v>
      </c>
      <c r="E95" s="48">
        <v>0.77149999999999996</v>
      </c>
      <c r="F95" s="49">
        <v>0.74009999999999998</v>
      </c>
      <c r="G95" s="148"/>
      <c r="H95" s="148"/>
      <c r="I95" s="148"/>
      <c r="J95" s="148"/>
    </row>
    <row r="96" spans="1:10" ht="15.5" x14ac:dyDescent="0.35">
      <c r="A96" s="45" t="s">
        <v>277</v>
      </c>
      <c r="B96" s="46" t="s">
        <v>278</v>
      </c>
      <c r="C96" s="47">
        <v>0.75349999999999995</v>
      </c>
      <c r="D96" s="48">
        <v>0.76470000000000005</v>
      </c>
      <c r="E96" s="48">
        <v>0.72570000000000001</v>
      </c>
      <c r="F96" s="49">
        <v>0.75949999999999995</v>
      </c>
      <c r="G96" s="148"/>
      <c r="H96" s="148"/>
      <c r="I96" s="148"/>
      <c r="J96" s="148"/>
    </row>
    <row r="97" spans="1:10" ht="15.5" x14ac:dyDescent="0.35">
      <c r="A97" s="45" t="s">
        <v>279</v>
      </c>
      <c r="B97" s="46" t="s">
        <v>280</v>
      </c>
      <c r="C97" s="47">
        <v>0.5171</v>
      </c>
      <c r="D97" s="48">
        <v>0.90910000000000002</v>
      </c>
      <c r="E97" s="48">
        <v>0.52780000000000005</v>
      </c>
      <c r="F97" s="49">
        <v>0.35639999999999999</v>
      </c>
      <c r="G97" s="148"/>
      <c r="H97" s="148"/>
      <c r="I97" s="148"/>
      <c r="J97" s="148"/>
    </row>
    <row r="98" spans="1:10" ht="15.5" x14ac:dyDescent="0.35">
      <c r="A98" s="45" t="s">
        <v>55</v>
      </c>
      <c r="B98" s="46" t="s">
        <v>56</v>
      </c>
      <c r="C98" s="47">
        <v>0.82069999999999999</v>
      </c>
      <c r="D98" s="48">
        <v>0.94340000000000002</v>
      </c>
      <c r="E98" s="48">
        <v>0.79769999999999996</v>
      </c>
      <c r="F98" s="49">
        <v>0.76759999999999995</v>
      </c>
      <c r="G98" s="148"/>
      <c r="H98" s="148"/>
      <c r="I98" s="148"/>
      <c r="J98" s="148"/>
    </row>
    <row r="99" spans="1:10" ht="15.5" x14ac:dyDescent="0.35">
      <c r="A99" s="45" t="s">
        <v>281</v>
      </c>
      <c r="B99" s="46" t="s">
        <v>282</v>
      </c>
      <c r="C99" s="47">
        <v>0.80569999999999997</v>
      </c>
      <c r="D99" s="48">
        <v>0.93179999999999996</v>
      </c>
      <c r="E99" s="48">
        <v>0.83530000000000004</v>
      </c>
      <c r="F99" s="49">
        <v>0.65439999999999998</v>
      </c>
      <c r="G99" s="148"/>
      <c r="H99" s="148"/>
      <c r="I99" s="148"/>
      <c r="J99" s="148"/>
    </row>
    <row r="100" spans="1:10" ht="15.5" x14ac:dyDescent="0.35">
      <c r="A100" s="45" t="s">
        <v>283</v>
      </c>
      <c r="B100" s="46" t="s">
        <v>284</v>
      </c>
      <c r="C100" s="47">
        <v>0.76470000000000005</v>
      </c>
      <c r="D100" s="48">
        <v>0.9</v>
      </c>
      <c r="E100" s="48">
        <v>0.76739999999999997</v>
      </c>
      <c r="F100" s="49">
        <v>0.69140000000000001</v>
      </c>
      <c r="G100" s="148"/>
      <c r="H100" s="148"/>
      <c r="I100" s="148"/>
      <c r="J100" s="148"/>
    </row>
    <row r="101" spans="1:10" ht="15.5" x14ac:dyDescent="0.35">
      <c r="A101" s="45" t="s">
        <v>57</v>
      </c>
      <c r="B101" s="46" t="s">
        <v>358</v>
      </c>
      <c r="C101" s="47">
        <v>0.81369999999999998</v>
      </c>
      <c r="D101" s="48">
        <v>0.89610000000000001</v>
      </c>
      <c r="E101" s="48">
        <v>0.8609</v>
      </c>
      <c r="F101" s="49">
        <v>0.67579999999999996</v>
      </c>
      <c r="G101" s="148"/>
      <c r="H101" s="148"/>
      <c r="I101" s="148"/>
      <c r="J101" s="148"/>
    </row>
    <row r="102" spans="1:10" ht="15.5" x14ac:dyDescent="0.35">
      <c r="A102" s="45" t="s">
        <v>285</v>
      </c>
      <c r="B102" s="46" t="s">
        <v>286</v>
      </c>
      <c r="C102" s="47">
        <v>0.80700000000000005</v>
      </c>
      <c r="D102" s="48">
        <v>0.92589999999999995</v>
      </c>
      <c r="E102" s="48">
        <v>0.78290000000000004</v>
      </c>
      <c r="F102" s="49">
        <v>0.74229999999999996</v>
      </c>
      <c r="G102" s="148"/>
      <c r="H102" s="148"/>
      <c r="I102" s="148"/>
      <c r="J102" s="148"/>
    </row>
    <row r="103" spans="1:10" ht="15.5" x14ac:dyDescent="0.35">
      <c r="A103" s="45" t="s">
        <v>287</v>
      </c>
      <c r="B103" s="46" t="s">
        <v>288</v>
      </c>
      <c r="C103" s="47">
        <v>0.79530000000000001</v>
      </c>
      <c r="D103" s="48">
        <v>0.93100000000000005</v>
      </c>
      <c r="E103" s="48">
        <v>0.8075</v>
      </c>
      <c r="F103" s="49">
        <v>0.73329999999999995</v>
      </c>
      <c r="G103" s="148"/>
      <c r="H103" s="148"/>
      <c r="I103" s="148"/>
      <c r="J103" s="148"/>
    </row>
    <row r="104" spans="1:10" ht="15.5" x14ac:dyDescent="0.35">
      <c r="A104" s="45" t="s">
        <v>59</v>
      </c>
      <c r="B104" s="46" t="s">
        <v>60</v>
      </c>
      <c r="C104" s="47">
        <v>0.84709999999999996</v>
      </c>
      <c r="D104" s="48">
        <v>0.92059999999999997</v>
      </c>
      <c r="E104" s="48">
        <v>0.87939999999999996</v>
      </c>
      <c r="F104" s="49">
        <v>0.76400000000000001</v>
      </c>
      <c r="G104" s="148"/>
      <c r="H104" s="148"/>
      <c r="I104" s="148"/>
      <c r="J104" s="148"/>
    </row>
    <row r="105" spans="1:10" ht="15.5" x14ac:dyDescent="0.35">
      <c r="A105" s="45" t="s">
        <v>61</v>
      </c>
      <c r="B105" s="46" t="s">
        <v>62</v>
      </c>
      <c r="C105" s="47">
        <v>0.83789999999999998</v>
      </c>
      <c r="D105" s="48">
        <v>1</v>
      </c>
      <c r="E105" s="48">
        <v>0.82469999999999999</v>
      </c>
      <c r="F105" s="49">
        <v>0.79469999999999996</v>
      </c>
      <c r="G105" s="148"/>
      <c r="H105" s="148"/>
      <c r="I105" s="148"/>
      <c r="J105" s="148"/>
    </row>
    <row r="106" spans="1:10" ht="15.5" x14ac:dyDescent="0.35">
      <c r="A106" s="45" t="s">
        <v>289</v>
      </c>
      <c r="B106" s="46" t="s">
        <v>290</v>
      </c>
      <c r="C106" s="47">
        <v>0.83069999999999999</v>
      </c>
      <c r="D106" s="48">
        <v>0.93330000000000002</v>
      </c>
      <c r="E106" s="48">
        <v>0.84150000000000003</v>
      </c>
      <c r="F106" s="49">
        <v>0.76719999999999999</v>
      </c>
      <c r="G106" s="148"/>
      <c r="H106" s="148"/>
      <c r="I106" s="148"/>
      <c r="J106" s="148"/>
    </row>
    <row r="107" spans="1:10" ht="15.5" x14ac:dyDescent="0.35">
      <c r="A107" s="45" t="s">
        <v>291</v>
      </c>
      <c r="B107" s="46" t="s">
        <v>292</v>
      </c>
      <c r="C107" s="47">
        <v>0.83730000000000004</v>
      </c>
      <c r="D107" s="48">
        <v>0.80649999999999999</v>
      </c>
      <c r="E107" s="48">
        <v>0.86550000000000005</v>
      </c>
      <c r="F107" s="49">
        <v>0.80389999999999995</v>
      </c>
      <c r="G107" s="148"/>
      <c r="H107" s="148"/>
      <c r="I107" s="148"/>
      <c r="J107" s="148"/>
    </row>
    <row r="108" spans="1:10" ht="15.5" x14ac:dyDescent="0.35">
      <c r="A108" s="45" t="s">
        <v>293</v>
      </c>
      <c r="B108" s="46" t="s">
        <v>294</v>
      </c>
      <c r="C108" s="47">
        <v>0.83079999999999998</v>
      </c>
      <c r="D108" s="48">
        <v>0.87880000000000003</v>
      </c>
      <c r="E108" s="48">
        <v>0.82020000000000004</v>
      </c>
      <c r="F108" s="49">
        <v>0.80830000000000002</v>
      </c>
      <c r="G108" s="148"/>
      <c r="H108" s="148"/>
      <c r="I108" s="148"/>
      <c r="J108" s="148"/>
    </row>
    <row r="109" spans="1:10" ht="15.5" x14ac:dyDescent="0.35">
      <c r="A109" s="45" t="s">
        <v>295</v>
      </c>
      <c r="B109" s="46" t="s">
        <v>296</v>
      </c>
      <c r="C109" s="47">
        <v>0.76770000000000005</v>
      </c>
      <c r="D109" s="48">
        <v>1</v>
      </c>
      <c r="E109" s="48">
        <v>0.73609999999999998</v>
      </c>
      <c r="F109" s="49">
        <v>0.66149999999999998</v>
      </c>
      <c r="G109" s="148"/>
      <c r="H109" s="148"/>
      <c r="I109" s="148"/>
      <c r="J109" s="148"/>
    </row>
    <row r="110" spans="1:10" ht="15.5" x14ac:dyDescent="0.35">
      <c r="A110" s="45" t="s">
        <v>63</v>
      </c>
      <c r="B110" s="46" t="s">
        <v>64</v>
      </c>
      <c r="C110" s="47">
        <v>0.81850000000000001</v>
      </c>
      <c r="D110" s="48">
        <v>1</v>
      </c>
      <c r="E110" s="48">
        <v>0.79049999999999998</v>
      </c>
      <c r="F110" s="49">
        <v>0.76270000000000004</v>
      </c>
      <c r="G110" s="148"/>
      <c r="H110" s="148"/>
      <c r="I110" s="148"/>
      <c r="J110" s="148"/>
    </row>
    <row r="111" spans="1:10" ht="15.5" x14ac:dyDescent="0.35">
      <c r="A111" s="45" t="s">
        <v>65</v>
      </c>
      <c r="B111" s="46" t="s">
        <v>66</v>
      </c>
      <c r="C111" s="47">
        <v>0.80800000000000005</v>
      </c>
      <c r="D111" s="48">
        <v>0.90629999999999999</v>
      </c>
      <c r="E111" s="48">
        <v>0.7802</v>
      </c>
      <c r="F111" s="49">
        <v>0.75560000000000005</v>
      </c>
      <c r="G111" s="148"/>
      <c r="H111" s="148"/>
      <c r="I111" s="148"/>
      <c r="J111" s="148"/>
    </row>
    <row r="112" spans="1:10" ht="15.5" x14ac:dyDescent="0.35">
      <c r="A112" s="45" t="s">
        <v>67</v>
      </c>
      <c r="B112" s="46" t="s">
        <v>68</v>
      </c>
      <c r="C112" s="47">
        <v>0.68149999999999999</v>
      </c>
      <c r="D112" s="48">
        <v>0.85709999999999997</v>
      </c>
      <c r="E112" s="48">
        <v>0.63680000000000003</v>
      </c>
      <c r="F112" s="49">
        <v>0.7087</v>
      </c>
      <c r="G112" s="148"/>
      <c r="H112" s="148"/>
      <c r="I112" s="148"/>
      <c r="J112" s="148"/>
    </row>
    <row r="113" spans="1:10" ht="15.5" x14ac:dyDescent="0.35">
      <c r="A113" s="45" t="s">
        <v>69</v>
      </c>
      <c r="B113" s="46" t="s">
        <v>70</v>
      </c>
      <c r="C113" s="47">
        <v>0.875</v>
      </c>
      <c r="D113" s="48" t="s">
        <v>23</v>
      </c>
      <c r="E113" s="48" t="s">
        <v>23</v>
      </c>
      <c r="F113" s="49">
        <v>0.875</v>
      </c>
      <c r="G113" s="148"/>
      <c r="H113" s="148"/>
      <c r="I113" s="148"/>
      <c r="J113" s="148"/>
    </row>
    <row r="114" spans="1:10" ht="15.5" x14ac:dyDescent="0.35">
      <c r="A114" s="45" t="s">
        <v>71</v>
      </c>
      <c r="B114" s="46" t="s">
        <v>72</v>
      </c>
      <c r="C114" s="47">
        <v>0.83440000000000003</v>
      </c>
      <c r="D114" s="48">
        <v>0.86150000000000004</v>
      </c>
      <c r="E114" s="48">
        <v>0.85450000000000004</v>
      </c>
      <c r="F114" s="49">
        <v>0.75519999999999998</v>
      </c>
      <c r="G114" s="148"/>
      <c r="H114" s="148"/>
      <c r="I114" s="148"/>
      <c r="J114" s="148"/>
    </row>
    <row r="115" spans="1:10" ht="15.5" x14ac:dyDescent="0.35">
      <c r="A115" s="45" t="s">
        <v>73</v>
      </c>
      <c r="B115" s="46" t="s">
        <v>74</v>
      </c>
      <c r="C115" s="47">
        <v>0.82669999999999999</v>
      </c>
      <c r="D115" s="48">
        <v>0.94740000000000002</v>
      </c>
      <c r="E115" s="48">
        <v>0.78890000000000005</v>
      </c>
      <c r="F115" s="49">
        <v>0.82930000000000004</v>
      </c>
      <c r="G115" s="148"/>
      <c r="H115" s="148"/>
      <c r="I115" s="148"/>
      <c r="J115" s="148"/>
    </row>
    <row r="116" spans="1:10" ht="15.5" x14ac:dyDescent="0.35">
      <c r="A116" s="45" t="s">
        <v>75</v>
      </c>
      <c r="B116" s="46" t="s">
        <v>76</v>
      </c>
      <c r="C116" s="47">
        <v>0.82199999999999995</v>
      </c>
      <c r="D116" s="48">
        <v>0.91180000000000005</v>
      </c>
      <c r="E116" s="48">
        <v>0.78959999999999997</v>
      </c>
      <c r="F116" s="49">
        <v>0.83440000000000003</v>
      </c>
      <c r="G116" s="148"/>
      <c r="H116" s="148"/>
      <c r="I116" s="148"/>
      <c r="J116" s="148"/>
    </row>
    <row r="117" spans="1:10" ht="15.5" x14ac:dyDescent="0.35">
      <c r="A117" s="45" t="s">
        <v>139</v>
      </c>
      <c r="B117" s="46" t="s">
        <v>140</v>
      </c>
      <c r="C117" s="47">
        <v>0.80300000000000005</v>
      </c>
      <c r="D117" s="48">
        <v>0.77780000000000005</v>
      </c>
      <c r="E117" s="48">
        <v>0.84960000000000002</v>
      </c>
      <c r="F117" s="49">
        <v>0.6724</v>
      </c>
      <c r="G117" s="148"/>
      <c r="H117" s="148"/>
      <c r="I117" s="148"/>
      <c r="J117" s="148"/>
    </row>
    <row r="118" spans="1:10" ht="15.5" x14ac:dyDescent="0.35">
      <c r="A118" s="45" t="s">
        <v>77</v>
      </c>
      <c r="B118" s="46" t="s">
        <v>78</v>
      </c>
      <c r="C118" s="47">
        <v>0.85909999999999997</v>
      </c>
      <c r="D118" s="48">
        <v>1</v>
      </c>
      <c r="E118" s="48">
        <v>0.89410000000000001</v>
      </c>
      <c r="F118" s="49">
        <v>0.79830000000000001</v>
      </c>
      <c r="G118" s="148"/>
      <c r="H118" s="148"/>
      <c r="I118" s="148"/>
      <c r="J118" s="148"/>
    </row>
    <row r="119" spans="1:10" ht="15.5" x14ac:dyDescent="0.35">
      <c r="A119" s="45" t="s">
        <v>79</v>
      </c>
      <c r="B119" s="46" t="s">
        <v>80</v>
      </c>
      <c r="C119" s="47">
        <v>0.82479999999999998</v>
      </c>
      <c r="D119" s="48">
        <v>0.90629999999999999</v>
      </c>
      <c r="E119" s="48">
        <v>0.81820000000000004</v>
      </c>
      <c r="F119" s="49">
        <v>0.81559999999999999</v>
      </c>
      <c r="G119" s="148"/>
      <c r="H119" s="148"/>
      <c r="I119" s="148"/>
      <c r="J119" s="148"/>
    </row>
    <row r="120" spans="1:10" ht="15.5" x14ac:dyDescent="0.35">
      <c r="A120" s="45" t="s">
        <v>81</v>
      </c>
      <c r="B120" s="46" t="s">
        <v>82</v>
      </c>
      <c r="C120" s="47">
        <v>0.81969999999999998</v>
      </c>
      <c r="D120" s="48">
        <v>0.76670000000000005</v>
      </c>
      <c r="E120" s="48">
        <v>0.7712</v>
      </c>
      <c r="F120" s="49">
        <v>0.8125</v>
      </c>
      <c r="G120" s="148"/>
      <c r="H120" s="148"/>
      <c r="I120" s="148"/>
      <c r="J120" s="148"/>
    </row>
    <row r="121" spans="1:10" ht="15.5" x14ac:dyDescent="0.35">
      <c r="A121" s="45" t="s">
        <v>83</v>
      </c>
      <c r="B121" s="46" t="s">
        <v>84</v>
      </c>
      <c r="C121" s="47">
        <v>0.78400000000000003</v>
      </c>
      <c r="D121" s="48">
        <v>0.85709999999999997</v>
      </c>
      <c r="E121" s="48">
        <v>0.81359999999999999</v>
      </c>
      <c r="F121" s="49">
        <v>0.59619999999999995</v>
      </c>
      <c r="G121" s="148"/>
      <c r="H121" s="148"/>
      <c r="I121" s="148"/>
      <c r="J121" s="148"/>
    </row>
    <row r="122" spans="1:10" ht="15.5" x14ac:dyDescent="0.35">
      <c r="A122" s="45" t="s">
        <v>85</v>
      </c>
      <c r="B122" s="46" t="s">
        <v>86</v>
      </c>
      <c r="C122" s="47">
        <v>0.74619999999999997</v>
      </c>
      <c r="D122" s="48">
        <v>1</v>
      </c>
      <c r="E122" s="48">
        <v>0.69530000000000003</v>
      </c>
      <c r="F122" s="49">
        <v>0.81030000000000002</v>
      </c>
      <c r="G122" s="148"/>
      <c r="H122" s="148"/>
      <c r="I122" s="148"/>
      <c r="J122" s="148"/>
    </row>
    <row r="123" spans="1:10" ht="15.5" x14ac:dyDescent="0.35">
      <c r="A123" s="45" t="s">
        <v>87</v>
      </c>
      <c r="B123" s="46" t="s">
        <v>88</v>
      </c>
      <c r="C123" s="47">
        <v>0.7681</v>
      </c>
      <c r="D123" s="48">
        <v>0.78569999999999995</v>
      </c>
      <c r="E123" s="48">
        <v>0.75819999999999999</v>
      </c>
      <c r="F123" s="49">
        <v>0.63639999999999997</v>
      </c>
      <c r="G123" s="148"/>
      <c r="H123" s="148"/>
      <c r="I123" s="148"/>
      <c r="J123" s="148"/>
    </row>
    <row r="124" spans="1:10" ht="15.5" x14ac:dyDescent="0.35">
      <c r="A124" s="45" t="s">
        <v>227</v>
      </c>
      <c r="B124" s="46" t="s">
        <v>228</v>
      </c>
      <c r="C124" s="47">
        <v>0.85909999999999997</v>
      </c>
      <c r="D124" s="48">
        <v>1</v>
      </c>
      <c r="E124" s="48">
        <v>0.84950000000000003</v>
      </c>
      <c r="F124" s="49">
        <v>0.80489999999999995</v>
      </c>
      <c r="G124" s="148"/>
      <c r="H124" s="148"/>
      <c r="I124" s="148"/>
      <c r="J124" s="148"/>
    </row>
    <row r="125" spans="1:10" ht="15.5" x14ac:dyDescent="0.35">
      <c r="A125" s="45" t="s">
        <v>229</v>
      </c>
      <c r="B125" s="46" t="s">
        <v>230</v>
      </c>
      <c r="C125" s="47">
        <v>0.8306</v>
      </c>
      <c r="D125" s="48">
        <v>0.90910000000000002</v>
      </c>
      <c r="E125" s="48">
        <v>0.85060000000000002</v>
      </c>
      <c r="F125" s="49">
        <v>0.67179999999999995</v>
      </c>
      <c r="G125" s="148"/>
      <c r="H125" s="148"/>
      <c r="I125" s="148"/>
      <c r="J125" s="148"/>
    </row>
    <row r="126" spans="1:10" ht="15.5" x14ac:dyDescent="0.35">
      <c r="A126" s="45" t="s">
        <v>231</v>
      </c>
      <c r="B126" s="46" t="s">
        <v>232</v>
      </c>
      <c r="C126" s="47">
        <v>0.87109999999999999</v>
      </c>
      <c r="D126" s="48">
        <v>1</v>
      </c>
      <c r="E126" s="48">
        <v>0.87139999999999995</v>
      </c>
      <c r="F126" s="49">
        <v>0.82540000000000002</v>
      </c>
      <c r="G126" s="148"/>
      <c r="H126" s="148"/>
      <c r="I126" s="148"/>
      <c r="J126" s="148"/>
    </row>
    <row r="127" spans="1:10" ht="15.5" x14ac:dyDescent="0.35">
      <c r="A127" s="45" t="s">
        <v>233</v>
      </c>
      <c r="B127" s="46" t="s">
        <v>234</v>
      </c>
      <c r="C127" s="47">
        <v>0.8</v>
      </c>
      <c r="D127" s="48">
        <v>0.85</v>
      </c>
      <c r="E127" s="48">
        <v>0.81899999999999995</v>
      </c>
      <c r="F127" s="49">
        <v>0.70589999999999997</v>
      </c>
      <c r="G127" s="148"/>
      <c r="H127" s="148"/>
      <c r="I127" s="148"/>
      <c r="J127" s="148"/>
    </row>
    <row r="128" spans="1:10" ht="15.5" x14ac:dyDescent="0.35">
      <c r="A128" s="45" t="s">
        <v>235</v>
      </c>
      <c r="B128" s="46" t="s">
        <v>236</v>
      </c>
      <c r="C128" s="47">
        <v>0.79100000000000004</v>
      </c>
      <c r="D128" s="48">
        <v>0.94740000000000002</v>
      </c>
      <c r="E128" s="48">
        <v>0.76060000000000005</v>
      </c>
      <c r="F128" s="49">
        <v>0.77270000000000005</v>
      </c>
      <c r="G128" s="148"/>
      <c r="H128" s="148"/>
      <c r="I128" s="148"/>
      <c r="J128" s="148"/>
    </row>
    <row r="129" spans="1:10" ht="15.5" x14ac:dyDescent="0.35">
      <c r="A129" s="45" t="s">
        <v>237</v>
      </c>
      <c r="B129" s="46" t="s">
        <v>238</v>
      </c>
      <c r="C129" s="47">
        <v>0.8347</v>
      </c>
      <c r="D129" s="48">
        <v>0.89359999999999995</v>
      </c>
      <c r="E129" s="48">
        <v>0.85160000000000002</v>
      </c>
      <c r="F129" s="49">
        <v>0.74839999999999995</v>
      </c>
      <c r="G129" s="148"/>
      <c r="H129" s="148"/>
      <c r="I129" s="148"/>
      <c r="J129" s="148"/>
    </row>
    <row r="130" spans="1:10" ht="15.5" x14ac:dyDescent="0.35">
      <c r="A130" s="45" t="s">
        <v>317</v>
      </c>
      <c r="B130" s="46" t="s">
        <v>318</v>
      </c>
      <c r="C130" s="47">
        <v>0</v>
      </c>
      <c r="D130" s="48" t="s">
        <v>23</v>
      </c>
      <c r="E130" s="48" t="s">
        <v>23</v>
      </c>
      <c r="F130" s="49">
        <v>0</v>
      </c>
      <c r="G130" s="148"/>
      <c r="H130" s="148"/>
      <c r="I130" s="148"/>
      <c r="J130" s="148"/>
    </row>
    <row r="131" spans="1:10" ht="15.5" x14ac:dyDescent="0.35">
      <c r="A131" s="45" t="s">
        <v>239</v>
      </c>
      <c r="B131" s="46" t="s">
        <v>240</v>
      </c>
      <c r="C131" s="47">
        <v>0.82420000000000004</v>
      </c>
      <c r="D131" s="48">
        <v>0.92859999999999998</v>
      </c>
      <c r="E131" s="48">
        <v>0.85140000000000005</v>
      </c>
      <c r="F131" s="49">
        <v>0.75260000000000005</v>
      </c>
      <c r="G131" s="148"/>
      <c r="H131" s="148"/>
      <c r="I131" s="148"/>
      <c r="J131" s="148"/>
    </row>
    <row r="132" spans="1:10" ht="15.5" x14ac:dyDescent="0.35">
      <c r="A132" s="45" t="s">
        <v>241</v>
      </c>
      <c r="B132" s="46" t="s">
        <v>242</v>
      </c>
      <c r="C132" s="47">
        <v>0.80179999999999996</v>
      </c>
      <c r="D132" s="48">
        <v>0.85189999999999999</v>
      </c>
      <c r="E132" s="48">
        <v>0.79339999999999999</v>
      </c>
      <c r="F132" s="49">
        <v>0.78259999999999996</v>
      </c>
      <c r="G132" s="148"/>
      <c r="H132" s="148"/>
      <c r="I132" s="148"/>
      <c r="J132" s="148"/>
    </row>
    <row r="133" spans="1:10" ht="15.5" x14ac:dyDescent="0.35">
      <c r="A133" s="45" t="s">
        <v>243</v>
      </c>
      <c r="B133" s="46" t="s">
        <v>244</v>
      </c>
      <c r="C133" s="47">
        <v>0.81530000000000002</v>
      </c>
      <c r="D133" s="48">
        <v>0.89410000000000001</v>
      </c>
      <c r="E133" s="48">
        <v>0.82450000000000001</v>
      </c>
      <c r="F133" s="49">
        <v>0.75419999999999998</v>
      </c>
      <c r="G133" s="148"/>
      <c r="H133" s="148"/>
      <c r="I133" s="148"/>
      <c r="J133" s="148"/>
    </row>
    <row r="134" spans="1:10" ht="15.5" x14ac:dyDescent="0.35">
      <c r="A134" s="45" t="s">
        <v>245</v>
      </c>
      <c r="B134" s="46" t="s">
        <v>246</v>
      </c>
      <c r="C134" s="47">
        <v>0.82140000000000002</v>
      </c>
      <c r="D134" s="48">
        <v>0.89090000000000003</v>
      </c>
      <c r="E134" s="48">
        <v>0.81640000000000001</v>
      </c>
      <c r="F134" s="49">
        <v>0.78500000000000003</v>
      </c>
      <c r="G134" s="148"/>
      <c r="H134" s="148"/>
      <c r="I134" s="148"/>
      <c r="J134" s="148"/>
    </row>
    <row r="135" spans="1:10" ht="15.5" x14ac:dyDescent="0.35">
      <c r="A135" s="45" t="s">
        <v>247</v>
      </c>
      <c r="B135" s="46" t="s">
        <v>248</v>
      </c>
      <c r="C135" s="47">
        <v>0.84409999999999996</v>
      </c>
      <c r="D135" s="48">
        <v>0.72729999999999995</v>
      </c>
      <c r="E135" s="48">
        <v>0.83850000000000002</v>
      </c>
      <c r="F135" s="49">
        <v>0.84819999999999995</v>
      </c>
      <c r="G135" s="148"/>
      <c r="H135" s="148"/>
      <c r="I135" s="148"/>
      <c r="J135" s="148"/>
    </row>
    <row r="136" spans="1:10" ht="15.5" x14ac:dyDescent="0.35">
      <c r="A136" s="45" t="s">
        <v>249</v>
      </c>
      <c r="B136" s="46" t="s">
        <v>250</v>
      </c>
      <c r="C136" s="47">
        <v>0.85709999999999997</v>
      </c>
      <c r="D136" s="48" t="s">
        <v>23</v>
      </c>
      <c r="E136" s="48" t="s">
        <v>23</v>
      </c>
      <c r="F136" s="49">
        <v>0.85709999999999997</v>
      </c>
      <c r="G136" s="148"/>
      <c r="H136" s="148"/>
      <c r="I136" s="148"/>
      <c r="J136" s="148"/>
    </row>
    <row r="137" spans="1:10" ht="15.5" x14ac:dyDescent="0.35">
      <c r="A137" s="45" t="s">
        <v>251</v>
      </c>
      <c r="B137" s="46" t="s">
        <v>252</v>
      </c>
      <c r="C137" s="47">
        <v>0.8085</v>
      </c>
      <c r="D137" s="48">
        <v>0.88</v>
      </c>
      <c r="E137" s="48">
        <v>0.79890000000000005</v>
      </c>
      <c r="F137" s="49">
        <v>0.75429999999999997</v>
      </c>
      <c r="G137" s="148"/>
      <c r="H137" s="148"/>
      <c r="I137" s="148"/>
      <c r="J137" s="148"/>
    </row>
    <row r="138" spans="1:10" ht="15.5" x14ac:dyDescent="0.35">
      <c r="A138" s="45" t="s">
        <v>253</v>
      </c>
      <c r="B138" s="46" t="s">
        <v>254</v>
      </c>
      <c r="C138" s="47">
        <v>0.66669999999999996</v>
      </c>
      <c r="D138" s="48" t="s">
        <v>23</v>
      </c>
      <c r="E138" s="48">
        <v>0.66669999999999996</v>
      </c>
      <c r="F138" s="49" t="s">
        <v>23</v>
      </c>
      <c r="G138" s="148"/>
      <c r="H138" s="148"/>
      <c r="I138" s="148"/>
      <c r="J138" s="148"/>
    </row>
    <row r="139" spans="1:10" ht="15.5" x14ac:dyDescent="0.35">
      <c r="A139" s="45" t="s">
        <v>255</v>
      </c>
      <c r="B139" s="46" t="s">
        <v>256</v>
      </c>
      <c r="C139" s="47">
        <v>0.82010000000000005</v>
      </c>
      <c r="D139" s="48">
        <v>1</v>
      </c>
      <c r="E139" s="48">
        <v>0.8</v>
      </c>
      <c r="F139" s="49">
        <v>0.82</v>
      </c>
      <c r="G139" s="148"/>
      <c r="H139" s="148"/>
      <c r="I139" s="148"/>
      <c r="J139" s="148"/>
    </row>
    <row r="140" spans="1:10" ht="15.5" x14ac:dyDescent="0.35">
      <c r="A140" s="45" t="s">
        <v>257</v>
      </c>
      <c r="B140" s="46" t="s">
        <v>258</v>
      </c>
      <c r="C140" s="47">
        <v>0.7752</v>
      </c>
      <c r="D140" s="48">
        <v>0.871</v>
      </c>
      <c r="E140" s="48">
        <v>0.748</v>
      </c>
      <c r="F140" s="49">
        <v>0.75</v>
      </c>
      <c r="G140" s="148"/>
      <c r="H140" s="148"/>
      <c r="I140" s="148"/>
      <c r="J140" s="148"/>
    </row>
    <row r="141" spans="1:10" ht="15.5" x14ac:dyDescent="0.35">
      <c r="A141" s="45" t="s">
        <v>259</v>
      </c>
      <c r="B141" s="46" t="s">
        <v>260</v>
      </c>
      <c r="C141" s="47">
        <v>0.84899999999999998</v>
      </c>
      <c r="D141" s="48">
        <v>0.95350000000000001</v>
      </c>
      <c r="E141" s="48">
        <v>0.82679999999999998</v>
      </c>
      <c r="F141" s="49">
        <v>0.81330000000000002</v>
      </c>
      <c r="G141" s="148"/>
      <c r="H141" s="148"/>
      <c r="I141" s="148"/>
      <c r="J141" s="148"/>
    </row>
    <row r="142" spans="1:10" ht="15.5" x14ac:dyDescent="0.35">
      <c r="A142" s="45" t="s">
        <v>261</v>
      </c>
      <c r="B142" s="46" t="s">
        <v>262</v>
      </c>
      <c r="C142" s="47">
        <v>0.82769999999999999</v>
      </c>
      <c r="D142" s="48">
        <v>0.89659999999999995</v>
      </c>
      <c r="E142" s="48">
        <v>0.81289999999999996</v>
      </c>
      <c r="F142" s="49">
        <v>0.81430000000000002</v>
      </c>
      <c r="G142" s="148"/>
      <c r="H142" s="148"/>
      <c r="I142" s="148"/>
      <c r="J142" s="148"/>
    </row>
    <row r="143" spans="1:10" ht="15.5" x14ac:dyDescent="0.35">
      <c r="A143" s="45" t="s">
        <v>263</v>
      </c>
      <c r="B143" s="46" t="s">
        <v>264</v>
      </c>
      <c r="C143" s="47">
        <v>0.90310000000000001</v>
      </c>
      <c r="D143" s="48">
        <v>0.88890000000000002</v>
      </c>
      <c r="E143" s="48">
        <v>0.9103</v>
      </c>
      <c r="F143" s="49">
        <v>0.89059999999999995</v>
      </c>
      <c r="G143" s="148"/>
      <c r="H143" s="148"/>
      <c r="I143" s="148"/>
      <c r="J143" s="148"/>
    </row>
    <row r="144" spans="1:10" ht="15.5" x14ac:dyDescent="0.35">
      <c r="A144" s="45" t="s">
        <v>265</v>
      </c>
      <c r="B144" s="46" t="s">
        <v>266</v>
      </c>
      <c r="C144" s="47">
        <v>0.84050000000000002</v>
      </c>
      <c r="D144" s="48">
        <v>0.89290000000000003</v>
      </c>
      <c r="E144" s="48">
        <v>0.82730000000000004</v>
      </c>
      <c r="F144" s="49">
        <v>0.82220000000000004</v>
      </c>
      <c r="G144" s="148"/>
      <c r="H144" s="148"/>
      <c r="I144" s="148"/>
      <c r="J144" s="148"/>
    </row>
    <row r="145" spans="1:10" ht="15.5" x14ac:dyDescent="0.35">
      <c r="A145" s="45" t="s">
        <v>89</v>
      </c>
      <c r="B145" s="46" t="s">
        <v>90</v>
      </c>
      <c r="C145" s="47">
        <v>0.84619999999999995</v>
      </c>
      <c r="D145" s="48">
        <v>0.9</v>
      </c>
      <c r="E145" s="48">
        <v>0.91839999999999999</v>
      </c>
      <c r="F145" s="49">
        <v>0.77049999999999996</v>
      </c>
      <c r="G145" s="148"/>
      <c r="H145" s="148"/>
      <c r="I145" s="148"/>
      <c r="J145" s="148"/>
    </row>
    <row r="146" spans="1:10" ht="15.5" x14ac:dyDescent="0.35">
      <c r="A146" s="45" t="s">
        <v>91</v>
      </c>
      <c r="B146" s="46" t="s">
        <v>92</v>
      </c>
      <c r="C146" s="47">
        <v>0.78790000000000004</v>
      </c>
      <c r="D146" s="48">
        <v>1</v>
      </c>
      <c r="E146" s="48">
        <v>0.70089999999999997</v>
      </c>
      <c r="F146" s="49">
        <v>0.84440000000000004</v>
      </c>
      <c r="G146" s="148"/>
      <c r="H146" s="148"/>
      <c r="I146" s="148"/>
      <c r="J146" s="148"/>
    </row>
    <row r="147" spans="1:10" ht="15.5" x14ac:dyDescent="0.35">
      <c r="A147" s="45" t="s">
        <v>93</v>
      </c>
      <c r="B147" s="46" t="s">
        <v>94</v>
      </c>
      <c r="C147" s="47">
        <v>0.80569999999999997</v>
      </c>
      <c r="D147" s="48">
        <v>0.93100000000000005</v>
      </c>
      <c r="E147" s="48">
        <v>0.77100000000000002</v>
      </c>
      <c r="F147" s="49">
        <v>0.78159999999999996</v>
      </c>
      <c r="G147" s="148"/>
      <c r="H147" s="148"/>
      <c r="I147" s="148"/>
      <c r="J147" s="148"/>
    </row>
    <row r="148" spans="1:10" ht="15.5" x14ac:dyDescent="0.35">
      <c r="A148" s="45" t="s">
        <v>95</v>
      </c>
      <c r="B148" s="46" t="s">
        <v>96</v>
      </c>
      <c r="C148" s="47">
        <v>0.82699999999999996</v>
      </c>
      <c r="D148" s="48">
        <v>0.8276</v>
      </c>
      <c r="E148" s="48">
        <v>0.83230000000000004</v>
      </c>
      <c r="F148" s="49">
        <v>0.8095</v>
      </c>
      <c r="G148" s="148"/>
      <c r="H148" s="148"/>
      <c r="I148" s="148"/>
      <c r="J148" s="148"/>
    </row>
    <row r="149" spans="1:10" ht="15.5" x14ac:dyDescent="0.35">
      <c r="A149" s="45" t="s">
        <v>211</v>
      </c>
      <c r="B149" s="46" t="s">
        <v>212</v>
      </c>
      <c r="C149" s="47">
        <v>0.81069999999999998</v>
      </c>
      <c r="D149" s="48">
        <v>0.90480000000000005</v>
      </c>
      <c r="E149" s="48">
        <v>0.84150000000000003</v>
      </c>
      <c r="F149" s="49">
        <v>0.69030000000000002</v>
      </c>
      <c r="G149" s="148"/>
      <c r="H149" s="148"/>
      <c r="I149" s="148"/>
      <c r="J149" s="148"/>
    </row>
    <row r="150" spans="1:10" ht="15.5" x14ac:dyDescent="0.35">
      <c r="A150" s="45" t="s">
        <v>97</v>
      </c>
      <c r="B150" s="46" t="s">
        <v>98</v>
      </c>
      <c r="C150" s="47">
        <v>0.79749999999999999</v>
      </c>
      <c r="D150" s="48">
        <v>0.97960000000000003</v>
      </c>
      <c r="E150" s="48">
        <v>0.83489999999999998</v>
      </c>
      <c r="F150" s="49">
        <v>0.69720000000000004</v>
      </c>
      <c r="G150" s="148"/>
      <c r="H150" s="148"/>
      <c r="I150" s="148"/>
      <c r="J150" s="148"/>
    </row>
    <row r="151" spans="1:10" ht="15.5" x14ac:dyDescent="0.35">
      <c r="A151" s="45" t="s">
        <v>213</v>
      </c>
      <c r="B151" s="46" t="s">
        <v>214</v>
      </c>
      <c r="C151" s="47">
        <v>0.8397</v>
      </c>
      <c r="D151" s="48">
        <v>1</v>
      </c>
      <c r="E151" s="48">
        <v>0.9</v>
      </c>
      <c r="F151" s="49">
        <v>0.63039999999999996</v>
      </c>
      <c r="G151" s="148"/>
      <c r="H151" s="148"/>
      <c r="I151" s="148"/>
      <c r="J151" s="148"/>
    </row>
    <row r="152" spans="1:10" ht="15.5" x14ac:dyDescent="0.35">
      <c r="A152" s="45" t="s">
        <v>99</v>
      </c>
      <c r="B152" s="46" t="s">
        <v>100</v>
      </c>
      <c r="C152" s="47">
        <v>0.87</v>
      </c>
      <c r="D152" s="48">
        <v>0.92310000000000003</v>
      </c>
      <c r="E152" s="48">
        <v>0.84</v>
      </c>
      <c r="F152" s="49">
        <v>0.78380000000000005</v>
      </c>
      <c r="G152" s="148"/>
      <c r="H152" s="148"/>
      <c r="I152" s="148"/>
      <c r="J152" s="148"/>
    </row>
    <row r="153" spans="1:10" ht="15.5" x14ac:dyDescent="0.35">
      <c r="A153" s="45" t="s">
        <v>101</v>
      </c>
      <c r="B153" s="46" t="s">
        <v>102</v>
      </c>
      <c r="C153" s="47">
        <v>0.83330000000000004</v>
      </c>
      <c r="D153" s="48">
        <v>0.95830000000000004</v>
      </c>
      <c r="E153" s="48">
        <v>0.8</v>
      </c>
      <c r="F153" s="49">
        <v>0.83330000000000004</v>
      </c>
      <c r="G153" s="148"/>
      <c r="H153" s="148"/>
      <c r="I153" s="148"/>
      <c r="J153" s="148"/>
    </row>
    <row r="154" spans="1:10" ht="15.5" x14ac:dyDescent="0.35">
      <c r="A154" s="45" t="s">
        <v>103</v>
      </c>
      <c r="B154" s="46" t="s">
        <v>104</v>
      </c>
      <c r="C154" s="47">
        <v>0.79869999999999997</v>
      </c>
      <c r="D154" s="48">
        <v>0.92859999999999998</v>
      </c>
      <c r="E154" s="48">
        <v>0.76449999999999996</v>
      </c>
      <c r="F154" s="49">
        <v>0.71340000000000003</v>
      </c>
      <c r="G154" s="148"/>
      <c r="H154" s="148"/>
      <c r="I154" s="148"/>
      <c r="J154" s="148"/>
    </row>
    <row r="155" spans="1:10" ht="15.5" x14ac:dyDescent="0.35">
      <c r="A155" s="45" t="s">
        <v>105</v>
      </c>
      <c r="B155" s="46" t="s">
        <v>106</v>
      </c>
      <c r="C155" s="47">
        <v>0.86990000000000001</v>
      </c>
      <c r="D155" s="48">
        <v>1</v>
      </c>
      <c r="E155" s="48">
        <v>0.86439999999999995</v>
      </c>
      <c r="F155" s="49">
        <v>0.8145</v>
      </c>
      <c r="G155" s="148"/>
      <c r="H155" s="148"/>
      <c r="I155" s="148"/>
      <c r="J155" s="148"/>
    </row>
    <row r="156" spans="1:10" ht="15.5" x14ac:dyDescent="0.35">
      <c r="A156" s="45" t="s">
        <v>215</v>
      </c>
      <c r="B156" s="46" t="s">
        <v>216</v>
      </c>
      <c r="C156" s="47">
        <v>0.77959999999999996</v>
      </c>
      <c r="D156" s="48">
        <v>0.96</v>
      </c>
      <c r="E156" s="48">
        <v>0.76559999999999995</v>
      </c>
      <c r="F156" s="49">
        <v>0.72919999999999996</v>
      </c>
      <c r="G156" s="148"/>
      <c r="H156" s="148"/>
      <c r="I156" s="148"/>
      <c r="J156" s="148"/>
    </row>
    <row r="157" spans="1:10" ht="15.5" x14ac:dyDescent="0.35">
      <c r="A157" s="45" t="s">
        <v>267</v>
      </c>
      <c r="B157" s="46" t="s">
        <v>268</v>
      </c>
      <c r="C157" s="47">
        <v>0.80259999999999998</v>
      </c>
      <c r="D157" s="48">
        <v>0.80649999999999999</v>
      </c>
      <c r="E157" s="48">
        <v>0.81530000000000002</v>
      </c>
      <c r="F157" s="49">
        <v>0.75</v>
      </c>
      <c r="G157" s="148"/>
      <c r="H157" s="148"/>
      <c r="I157" s="148"/>
      <c r="J157" s="148"/>
    </row>
    <row r="158" spans="1:10" ht="15.5" x14ac:dyDescent="0.35">
      <c r="A158" s="45" t="s">
        <v>217</v>
      </c>
      <c r="B158" s="46" t="s">
        <v>218</v>
      </c>
      <c r="C158" s="47">
        <v>0.79259999999999997</v>
      </c>
      <c r="D158" s="48">
        <v>0.85709999999999997</v>
      </c>
      <c r="E158" s="48">
        <v>0.79749999999999999</v>
      </c>
      <c r="F158" s="49">
        <v>0.76190000000000002</v>
      </c>
      <c r="G158" s="148"/>
      <c r="H158" s="148"/>
      <c r="I158" s="148"/>
      <c r="J158" s="148"/>
    </row>
    <row r="159" spans="1:10" ht="15.5" x14ac:dyDescent="0.35">
      <c r="A159" s="45" t="s">
        <v>107</v>
      </c>
      <c r="B159" s="46" t="s">
        <v>108</v>
      </c>
      <c r="C159" s="47">
        <v>0.83120000000000005</v>
      </c>
      <c r="D159" s="48">
        <v>0.89580000000000004</v>
      </c>
      <c r="E159" s="48">
        <v>0.83830000000000005</v>
      </c>
      <c r="F159" s="49">
        <v>0.77780000000000005</v>
      </c>
      <c r="G159" s="148"/>
      <c r="H159" s="148"/>
      <c r="I159" s="148"/>
      <c r="J159" s="148"/>
    </row>
    <row r="160" spans="1:10" ht="15.5" x14ac:dyDescent="0.35">
      <c r="A160" s="45" t="s">
        <v>219</v>
      </c>
      <c r="B160" s="46" t="s">
        <v>220</v>
      </c>
      <c r="C160" s="47">
        <v>0.84389999999999998</v>
      </c>
      <c r="D160" s="48">
        <v>1</v>
      </c>
      <c r="E160" s="48">
        <v>0.86360000000000003</v>
      </c>
      <c r="F160" s="49">
        <v>0.76670000000000005</v>
      </c>
      <c r="G160" s="148"/>
      <c r="H160" s="148"/>
      <c r="I160" s="148"/>
      <c r="J160" s="148"/>
    </row>
    <row r="161" spans="1:10" ht="15.5" x14ac:dyDescent="0.35">
      <c r="A161" s="45" t="s">
        <v>109</v>
      </c>
      <c r="B161" s="46" t="s">
        <v>110</v>
      </c>
      <c r="C161" s="47">
        <v>0.83899999999999997</v>
      </c>
      <c r="D161" s="48">
        <v>0.91300000000000003</v>
      </c>
      <c r="E161" s="48">
        <v>0.84309999999999996</v>
      </c>
      <c r="F161" s="49">
        <v>0.8125</v>
      </c>
      <c r="G161" s="148"/>
      <c r="H161" s="148"/>
      <c r="I161" s="148"/>
      <c r="J161" s="148"/>
    </row>
    <row r="162" spans="1:10" ht="15.5" x14ac:dyDescent="0.35">
      <c r="A162" s="45" t="s">
        <v>111</v>
      </c>
      <c r="B162" s="46" t="s">
        <v>112</v>
      </c>
      <c r="C162" s="47">
        <v>0.84</v>
      </c>
      <c r="D162" s="48">
        <v>0.88890000000000002</v>
      </c>
      <c r="E162" s="48">
        <v>0.83079999999999998</v>
      </c>
      <c r="F162" s="49">
        <v>0.83330000000000004</v>
      </c>
      <c r="G162" s="148"/>
      <c r="H162" s="148"/>
      <c r="I162" s="148"/>
      <c r="J162" s="148"/>
    </row>
    <row r="163" spans="1:10" ht="15.5" x14ac:dyDescent="0.35">
      <c r="A163" s="45" t="s">
        <v>321</v>
      </c>
      <c r="B163" s="46" t="s">
        <v>322</v>
      </c>
      <c r="C163" s="47">
        <v>0</v>
      </c>
      <c r="D163" s="48" t="s">
        <v>23</v>
      </c>
      <c r="E163" s="48">
        <v>0</v>
      </c>
      <c r="F163" s="49" t="s">
        <v>23</v>
      </c>
      <c r="G163" s="148"/>
      <c r="H163" s="148"/>
      <c r="I163" s="148"/>
      <c r="J163" s="148"/>
    </row>
    <row r="164" spans="1:10" ht="15.5" x14ac:dyDescent="0.35">
      <c r="A164" s="45" t="s">
        <v>113</v>
      </c>
      <c r="B164" s="46" t="s">
        <v>114</v>
      </c>
      <c r="C164" s="47">
        <v>0.82520000000000004</v>
      </c>
      <c r="D164" s="48">
        <v>0.96970000000000001</v>
      </c>
      <c r="E164" s="48">
        <v>0.76819999999999999</v>
      </c>
      <c r="F164" s="49">
        <v>0.84509999999999996</v>
      </c>
      <c r="G164" s="148"/>
      <c r="H164" s="148"/>
      <c r="I164" s="148"/>
      <c r="J164" s="148"/>
    </row>
    <row r="165" spans="1:10" ht="15.5" x14ac:dyDescent="0.35">
      <c r="A165" s="45" t="s">
        <v>221</v>
      </c>
      <c r="B165" s="46" t="s">
        <v>222</v>
      </c>
      <c r="C165" s="47">
        <v>0.82440000000000002</v>
      </c>
      <c r="D165" s="48">
        <v>0.96430000000000005</v>
      </c>
      <c r="E165" s="48">
        <v>0.78739999999999999</v>
      </c>
      <c r="F165" s="49">
        <v>0.85150000000000003</v>
      </c>
      <c r="G165" s="148"/>
      <c r="H165" s="148"/>
      <c r="I165" s="148"/>
      <c r="J165" s="148"/>
    </row>
    <row r="166" spans="1:10" ht="15.5" x14ac:dyDescent="0.35">
      <c r="A166" s="45" t="s">
        <v>223</v>
      </c>
      <c r="B166" s="46" t="s">
        <v>224</v>
      </c>
      <c r="C166" s="47">
        <v>0.81530000000000002</v>
      </c>
      <c r="D166" s="48">
        <v>0.871</v>
      </c>
      <c r="E166" s="48">
        <v>0.81079999999999997</v>
      </c>
      <c r="F166" s="49">
        <v>0.77780000000000005</v>
      </c>
      <c r="G166" s="148"/>
      <c r="H166" s="148"/>
      <c r="I166" s="148"/>
      <c r="J166" s="148"/>
    </row>
    <row r="167" spans="1:10" ht="15.5" x14ac:dyDescent="0.35">
      <c r="A167" s="45" t="s">
        <v>225</v>
      </c>
      <c r="B167" s="46" t="s">
        <v>226</v>
      </c>
      <c r="C167" s="47">
        <v>1</v>
      </c>
      <c r="D167" s="48" t="s">
        <v>23</v>
      </c>
      <c r="E167" s="48">
        <v>1</v>
      </c>
      <c r="F167" s="49" t="s">
        <v>23</v>
      </c>
      <c r="G167" s="148"/>
      <c r="H167" s="148"/>
      <c r="I167" s="148"/>
      <c r="J167" s="148"/>
    </row>
    <row r="168" spans="1:10" ht="16" thickBot="1" x14ac:dyDescent="0.4">
      <c r="A168" s="103" t="s">
        <v>115</v>
      </c>
      <c r="B168" s="104" t="s">
        <v>116</v>
      </c>
      <c r="C168" s="105">
        <v>0.7883</v>
      </c>
      <c r="D168" s="106">
        <v>0.9355</v>
      </c>
      <c r="E168" s="106">
        <v>0.74850000000000005</v>
      </c>
      <c r="F168" s="107">
        <v>0.76519999999999999</v>
      </c>
      <c r="G168" s="148"/>
      <c r="H168" s="148"/>
      <c r="I168" s="148"/>
      <c r="J168" s="148"/>
    </row>
    <row r="169" spans="1:10" x14ac:dyDescent="0.25">
      <c r="A169" s="52"/>
      <c r="B169" s="52"/>
      <c r="C169" s="64"/>
      <c r="D169" s="64"/>
      <c r="E169" s="64"/>
      <c r="F169" s="64"/>
    </row>
    <row r="170" spans="1:10" x14ac:dyDescent="0.25">
      <c r="A170" s="52"/>
      <c r="B170" s="52"/>
      <c r="C170" s="64"/>
      <c r="D170" s="64"/>
      <c r="E170" s="64"/>
      <c r="F170" s="64"/>
    </row>
    <row r="171" spans="1:10" x14ac:dyDescent="0.25">
      <c r="A171" s="52"/>
      <c r="B171" s="52"/>
      <c r="C171" s="64"/>
      <c r="D171" s="64"/>
      <c r="E171" s="64"/>
      <c r="F171" s="64"/>
    </row>
    <row r="172" spans="1:10" x14ac:dyDescent="0.25">
      <c r="A172" s="52"/>
      <c r="B172" s="52"/>
      <c r="C172" s="64"/>
      <c r="D172" s="64"/>
      <c r="E172" s="64"/>
      <c r="F172" s="64"/>
    </row>
    <row r="173" spans="1:10" ht="15.5" x14ac:dyDescent="0.35">
      <c r="A173" s="30"/>
      <c r="C173" s="31"/>
      <c r="D173" s="31"/>
      <c r="E173" s="31"/>
    </row>
    <row r="174" spans="1:10" ht="12.75" customHeight="1" x14ac:dyDescent="0.25">
      <c r="A174" s="50"/>
      <c r="B174" s="50"/>
      <c r="C174" s="50"/>
      <c r="D174" s="50"/>
      <c r="E174" s="50"/>
    </row>
    <row r="175" spans="1:10" x14ac:dyDescent="0.25">
      <c r="A175" s="52"/>
      <c r="B175" s="50"/>
      <c r="C175" s="50"/>
      <c r="D175" s="50"/>
      <c r="E175" s="50"/>
    </row>
    <row r="176" spans="1:10" ht="13" x14ac:dyDescent="0.25">
      <c r="A176" s="132"/>
      <c r="B176" s="132"/>
      <c r="C176" s="132"/>
      <c r="D176" s="132"/>
      <c r="E176" s="132"/>
    </row>
    <row r="177" spans="1:5" x14ac:dyDescent="0.25">
      <c r="A177" s="133"/>
      <c r="B177" s="133"/>
      <c r="C177" s="133"/>
      <c r="D177" s="133"/>
      <c r="E177" s="133"/>
    </row>
    <row r="178" spans="1:5" x14ac:dyDescent="0.25">
      <c r="A178" s="30"/>
      <c r="B178" s="30"/>
      <c r="C178" s="30"/>
      <c r="D178" s="30"/>
      <c r="E178" s="30"/>
    </row>
  </sheetData>
  <mergeCells count="14">
    <mergeCell ref="A176:E176"/>
    <mergeCell ref="A177:E177"/>
    <mergeCell ref="A1:H1"/>
    <mergeCell ref="A3:G3"/>
    <mergeCell ref="A25:A26"/>
    <mergeCell ref="B25:B26"/>
    <mergeCell ref="C25:F25"/>
    <mergeCell ref="A12:F12"/>
    <mergeCell ref="A11:F11"/>
    <mergeCell ref="A13:F13"/>
    <mergeCell ref="A2:E2"/>
    <mergeCell ref="A4:E4"/>
    <mergeCell ref="A7:F7"/>
    <mergeCell ref="A8:F8"/>
  </mergeCells>
  <hyperlinks>
    <hyperlink ref="A5" r:id="rId1" display="https://digital.nhs.uk/data-and-information/publications/statistical/nhs-workforce-statistics" xr:uid="{DCF209E2-98CB-4636-A639-C1349BA8612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Table_1a</vt:lpstr>
      <vt:lpstr>Table_1b</vt:lpstr>
      <vt:lpstr>Table_1c</vt:lpstr>
      <vt:lpstr>Table_1d</vt:lpstr>
      <vt:lpstr>Table_2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Clough, Julie</dc:creator>
  <cp:lastModifiedBy>MITCHELL, Adam (NHS ENGLAND)</cp:lastModifiedBy>
  <dcterms:created xsi:type="dcterms:W3CDTF">2021-07-08T13:30:20Z</dcterms:created>
  <dcterms:modified xsi:type="dcterms:W3CDTF">2025-09-18T09:24:42Z</dcterms:modified>
</cp:coreProperties>
</file>