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029"/>
  <workbookPr defaultThemeVersion="124226"/>
  <mc:AlternateContent xmlns:mc="http://schemas.openxmlformats.org/markup-compatibility/2006">
    <mc:Choice Requires="x15">
      <x15ac:absPath xmlns:x15ac="http://schemas.microsoft.com/office/spreadsheetml/2010/11/ac" url="G:\SU\Data Analysts-Leeds\HES Publications 2019-20\APC\05. Finalised for Publication\"/>
    </mc:Choice>
  </mc:AlternateContent>
  <xr:revisionPtr revIDLastSave="0" documentId="13_ncr:1_{5DF01644-DB3D-4028-BD8B-255A9B63972F}" xr6:coauthVersionLast="45" xr6:coauthVersionMax="45" xr10:uidLastSave="{00000000-0000-0000-0000-000000000000}"/>
  <bookViews>
    <workbookView xWindow="-120" yWindow="-120" windowWidth="29040" windowHeight="15840" tabRatio="797" xr2:uid="{00000000-000D-0000-FFFF-FFFF00000000}"/>
  </bookViews>
  <sheets>
    <sheet name="Title Sheet" sheetId="35" r:id="rId1"/>
    <sheet name="Contents" sheetId="34" r:id="rId2"/>
    <sheet name="Table 1" sheetId="4" r:id="rId3"/>
    <sheet name="Table 2" sheetId="33" r:id="rId4"/>
    <sheet name="Table 3" sheetId="37" r:id="rId5"/>
    <sheet name="Table 4" sheetId="18" r:id="rId6"/>
    <sheet name="Table 5" sheetId="19" r:id="rId7"/>
    <sheet name="Table 6" sheetId="20" r:id="rId8"/>
    <sheet name="Table 7" sheetId="21" r:id="rId9"/>
    <sheet name="Table 8" sheetId="22" r:id="rId10"/>
    <sheet name="Table 9" sheetId="23" r:id="rId11"/>
    <sheet name="Table 10" sheetId="24" r:id="rId12"/>
    <sheet name="Table 11" sheetId="25" r:id="rId13"/>
    <sheet name="Table 12" sheetId="26" r:id="rId14"/>
    <sheet name="Table 13" sheetId="27" r:id="rId15"/>
    <sheet name="Table 14" sheetId="28" r:id="rId16"/>
    <sheet name="Table 15" sheetId="29" r:id="rId17"/>
    <sheet name="Table 16" sheetId="30" r:id="rId18"/>
    <sheet name="Table 17" sheetId="31" r:id="rId19"/>
    <sheet name="Table 18" sheetId="38" r:id="rId20"/>
  </sheets>
  <externalReferences>
    <externalReference r:id="rId21"/>
  </externalReferences>
  <definedNames>
    <definedName name="_xlnm._FilterDatabase" localSheetId="19" hidden="1">'Table 18'!$A$12:$AL$166</definedName>
    <definedName name="_xlnm._FilterDatabase" localSheetId="4" hidden="1">'Table 3'!$A$12:$O$158</definedName>
    <definedName name="Admission_Source">'[1]CC Admission Source'!$A$16:$B$20</definedName>
    <definedName name="Discharge_Destination">'[1]CC Discharge Destination'!$A$16:$B$21</definedName>
    <definedName name="Discharge_location">'[1]CC Discharge Location'!$A$19:$B$28</definedName>
    <definedName name="Discharge_Status">'[1]CC Discharge Status'!$A$21:$B$30</definedName>
    <definedName name="HRG">'Table 12'!$Y$10:$Z$27</definedName>
    <definedName name="_xlnm.Print_Area" localSheetId="2">'Table 1'!$A$1:$E$33</definedName>
    <definedName name="_xlnm.Print_Area" localSheetId="11">'Table 10'!$A$1:$E$34</definedName>
    <definedName name="_xlnm.Print_Area" localSheetId="12">'Table 11'!$A$1:$E$33</definedName>
    <definedName name="_xlnm.Print_Area" localSheetId="13">'Table 12'!$A$1:$H$45</definedName>
    <definedName name="_xlnm.Print_Area" localSheetId="14">'Table 13'!$A$1:$M$35</definedName>
    <definedName name="_xlnm.Print_Area" localSheetId="15">'Table 14'!$A$1:$E$36</definedName>
    <definedName name="_xlnm.Print_Area" localSheetId="16">'Table 15'!$A$1:$E$27</definedName>
    <definedName name="_xlnm.Print_Area" localSheetId="17">'Table 16'!$A$1:$G$33</definedName>
    <definedName name="_xlnm.Print_Area" localSheetId="18">'Table 17'!$A$1:$H$33</definedName>
    <definedName name="_xlnm.Print_Area" localSheetId="19">'Table 18'!$A$1:$AL$180</definedName>
    <definedName name="_xlnm.Print_Area" localSheetId="3">'Table 2'!$A$1:$E$26</definedName>
    <definedName name="_xlnm.Print_Area" localSheetId="4">'Table 3'!$A$1:$O$171</definedName>
    <definedName name="_xlnm.Print_Area" localSheetId="5">'Table 4'!$A$1:$I$28</definedName>
    <definedName name="_xlnm.Print_Area" localSheetId="6">'Table 5'!$A$1:$E$32</definedName>
    <definedName name="_xlnm.Print_Area" localSheetId="7">'Table 6'!$A$1:$E$30</definedName>
    <definedName name="_xlnm.Print_Area" localSheetId="8">'Table 7'!$A$1:$E$28</definedName>
    <definedName name="_xlnm.Print_Area" localSheetId="9">'Table 8'!$A$1:$E$35</definedName>
    <definedName name="_xlnm.Print_Area" localSheetId="10">'Table 9'!$A$1:$E$29</definedName>
    <definedName name="_xlnm.Print_Area" localSheetId="0">'Title Sheet'!$A$1:$E$49</definedName>
    <definedName name="_xlnm.Print_Titles" localSheetId="4">'Table 3'!$7:$12</definedName>
    <definedName name="Source_Location">'[1]CC Source Location'!$A$21:$B$32</definedName>
    <definedName name="Unit_Bed_Config">'[1]CC Unit Bed Config'!$A$13:$B$16</definedName>
    <definedName name="Unit_Function">'[1]CC Unit Function'!$A$20:$C$41</definedName>
    <definedName name="Z_87E89946_DAA7_4749_A009_79AD037E1287_.wvu.PrintTitles" localSheetId="4" hidden="1">'Table 3'!$7:$12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7" i="27" l="1"/>
  <c r="J27" i="27"/>
  <c r="I27" i="27"/>
  <c r="K25" i="27"/>
  <c r="J25" i="27"/>
  <c r="I25" i="27"/>
  <c r="H27" i="27"/>
  <c r="H25" i="27"/>
</calcChain>
</file>

<file path=xl/sharedStrings.xml><?xml version="1.0" encoding="utf-8"?>
<sst xmlns="http://schemas.openxmlformats.org/spreadsheetml/2006/main" count="1339" uniqueCount="638">
  <si>
    <t>1. Some hospital trusts may have submitted data for only some months of the year.</t>
  </si>
  <si>
    <t>Total</t>
  </si>
  <si>
    <t>March</t>
  </si>
  <si>
    <t>February</t>
  </si>
  <si>
    <t>January</t>
  </si>
  <si>
    <t>December</t>
  </si>
  <si>
    <t>November</t>
  </si>
  <si>
    <t>October</t>
  </si>
  <si>
    <t>September</t>
  </si>
  <si>
    <t>August</t>
  </si>
  <si>
    <t>July</t>
  </si>
  <si>
    <t>June</t>
  </si>
  <si>
    <t>May</t>
  </si>
  <si>
    <t>April</t>
  </si>
  <si>
    <t>Percentage of critical care records</t>
  </si>
  <si>
    <t>Number of critical care records</t>
  </si>
  <si>
    <t>Critical Care Unit month of discharge</t>
  </si>
  <si>
    <t xml:space="preserve">
Provider name</t>
  </si>
  <si>
    <t>Provider code</t>
  </si>
  <si>
    <t>Sunday</t>
  </si>
  <si>
    <t>Saturday</t>
  </si>
  <si>
    <t>Friday</t>
  </si>
  <si>
    <t>Thursday</t>
  </si>
  <si>
    <t>Wednesday</t>
  </si>
  <si>
    <t>Tuesday</t>
  </si>
  <si>
    <t>Monday</t>
  </si>
  <si>
    <t>Week day</t>
  </si>
  <si>
    <t>Discharge day</t>
  </si>
  <si>
    <t>Start day</t>
  </si>
  <si>
    <t>Table 4: Critical care records by start day and discharge day</t>
  </si>
  <si>
    <t>Mean critical care duration (days)</t>
  </si>
  <si>
    <t>2. This field relates only to the period of critical care and not the over-arching hospital admission.</t>
  </si>
  <si>
    <t>1. This is a non-mandatory field in the Critical Care Minimum Data Set (CCMDS)</t>
  </si>
  <si>
    <t>Unknown / not recorded</t>
  </si>
  <si>
    <t>Sub total</t>
  </si>
  <si>
    <t>Repatriation</t>
  </si>
  <si>
    <t>Planned local medical admission</t>
  </si>
  <si>
    <t>Unplanned transfer in</t>
  </si>
  <si>
    <t>Planned transfer in (tertiary referral)</t>
  </si>
  <si>
    <t>Planned local surgical admission</t>
  </si>
  <si>
    <t>Unplanned local admission</t>
  </si>
  <si>
    <t>Critical Care Unit admission type</t>
  </si>
  <si>
    <t>Non-UK source such as repatriation, military personnel or foreign national</t>
  </si>
  <si>
    <t>Independent hospital provider in the UK</t>
  </si>
  <si>
    <t>Non-hospital source within the UK (e.g. home)</t>
  </si>
  <si>
    <t>Other NHS hospital site (same or different NHS trust)</t>
  </si>
  <si>
    <t>Same NHS hospital site</t>
  </si>
  <si>
    <t>Critical care unit admission source</t>
  </si>
  <si>
    <t>Clinic</t>
  </si>
  <si>
    <t>Obstetrics area</t>
  </si>
  <si>
    <t>Imaging department</t>
  </si>
  <si>
    <t>Recovery only (when used to provide temporary critical care facility)</t>
  </si>
  <si>
    <t>Adult level 2 critical care bed (HDU bed)</t>
  </si>
  <si>
    <t>Other ward (not critical care)</t>
  </si>
  <si>
    <t>Critical care unit source location</t>
  </si>
  <si>
    <t>Non-UK destination (e.g. repatriation)</t>
  </si>
  <si>
    <t>Non-hospital destination within the UK (e.g. home as coded in location)</t>
  </si>
  <si>
    <t>No discharge destination, patient died in unit</t>
  </si>
  <si>
    <t>Critical care unit discharge destination</t>
  </si>
  <si>
    <t>Discharge for palliative care</t>
  </si>
  <si>
    <t>Early discharge due to shortage of critical care beds</t>
  </si>
  <si>
    <t>More specialised care in another location</t>
  </si>
  <si>
    <t>Current level of care continuing in another location</t>
  </si>
  <si>
    <t>Patient died (no organs donated)</t>
  </si>
  <si>
    <t>Delayed discharge due to shortage of other ward beds</t>
  </si>
  <si>
    <t>Fully ready for discharge</t>
  </si>
  <si>
    <t>Critical care unit discharge status</t>
  </si>
  <si>
    <t>Paediatric critical care area (neonatal and paediatric care)</t>
  </si>
  <si>
    <t>Other non-hospital location</t>
  </si>
  <si>
    <t>Ward</t>
  </si>
  <si>
    <t>Critical Care Unit discharge location</t>
  </si>
  <si>
    <t>U</t>
  </si>
  <si>
    <t>S</t>
  </si>
  <si>
    <t>P</t>
  </si>
  <si>
    <t>N</t>
  </si>
  <si>
    <t>M</t>
  </si>
  <si>
    <t>L</t>
  </si>
  <si>
    <t>K</t>
  </si>
  <si>
    <t>J</t>
  </si>
  <si>
    <t>H</t>
  </si>
  <si>
    <t>G</t>
  </si>
  <si>
    <t>F</t>
  </si>
  <si>
    <t>E</t>
  </si>
  <si>
    <t>D</t>
  </si>
  <si>
    <t>C</t>
  </si>
  <si>
    <t>B</t>
  </si>
  <si>
    <t>A</t>
  </si>
  <si>
    <t>Female</t>
  </si>
  <si>
    <t>Male</t>
  </si>
  <si>
    <t>No support recorded</t>
  </si>
  <si>
    <t>Liver support*</t>
  </si>
  <si>
    <t>Dermatological support*</t>
  </si>
  <si>
    <t>Neurological support*</t>
  </si>
  <si>
    <t>Renal support*</t>
  </si>
  <si>
    <t>Advanced cardiovascular support*</t>
  </si>
  <si>
    <t>Basic respiratory support*</t>
  </si>
  <si>
    <t>Advanced respiratory support*</t>
  </si>
  <si>
    <t>Basic cardiovascular support*</t>
  </si>
  <si>
    <t xml:space="preserve">Male </t>
  </si>
  <si>
    <t>Support type</t>
  </si>
  <si>
    <t>Average number of support days by critical care period</t>
  </si>
  <si>
    <t>Number of support days by type</t>
  </si>
  <si>
    <t>Number of critical care periods by support type</t>
  </si>
  <si>
    <t>Table 13: Duration of support by gender and support type</t>
  </si>
  <si>
    <t>1. This is a mandatory field in the Critical Care Minimum Data Set (CCMDS)</t>
  </si>
  <si>
    <t>Non-standard location using the operating department</t>
  </si>
  <si>
    <t>Critical care unit function</t>
  </si>
  <si>
    <t>Temporary use of non-critical care bed</t>
  </si>
  <si>
    <t>Flexible critical care beds
where there is a mix of level 2 and level 3 beds</t>
  </si>
  <si>
    <t>Critical care unit bed configuration</t>
  </si>
  <si>
    <t>Index of Multiple Deprivation (decile group)***</t>
  </si>
  <si>
    <t>Start age***</t>
  </si>
  <si>
    <t>Sex**</t>
  </si>
  <si>
    <t>Admission type</t>
  </si>
  <si>
    <t>Unit bed configuration</t>
  </si>
  <si>
    <t>Discharge status</t>
  </si>
  <si>
    <t>Source location</t>
  </si>
  <si>
    <t>Discharge destination</t>
  </si>
  <si>
    <t>Admission source</t>
  </si>
  <si>
    <t>Unit function*</t>
  </si>
  <si>
    <t>Percentage of valid records</t>
  </si>
  <si>
    <t>Total number of records</t>
  </si>
  <si>
    <t>Number of valid records</t>
  </si>
  <si>
    <t>Critical care key fields</t>
  </si>
  <si>
    <t>Table 16: Number and percentage of valid records in key fields</t>
  </si>
  <si>
    <t>Critical care period is after the episode</t>
  </si>
  <si>
    <t>Critical care period is before episode</t>
  </si>
  <si>
    <t>Episode has no end date</t>
  </si>
  <si>
    <t>Critical care period has no end date</t>
  </si>
  <si>
    <t>Critical care period overarches episode</t>
  </si>
  <si>
    <t>Critical care period starts during episode but ends after</t>
  </si>
  <si>
    <t>Starts dates match and critical care period ends after episode ends</t>
  </si>
  <si>
    <t>Critical care period starts before and ends during episode</t>
  </si>
  <si>
    <t>End dates match and critical care period starts before episode starts</t>
  </si>
  <si>
    <t>Start dates match and critical care period ends before episode ends</t>
  </si>
  <si>
    <t>End dates match, and critical care period starts after episode starts</t>
  </si>
  <si>
    <t>Critical care period is within episode</t>
  </si>
  <si>
    <t>Start and end dates match</t>
  </si>
  <si>
    <t>Not Best Match</t>
  </si>
  <si>
    <t>Best Match</t>
  </si>
  <si>
    <t>Relationship</t>
  </si>
  <si>
    <t>Table 17: Number of critical care records for each type of relationship</t>
  </si>
  <si>
    <t>ENG</t>
  </si>
  <si>
    <t>Beds occupied</t>
  </si>
  <si>
    <t>Beds available</t>
  </si>
  <si>
    <t>Organisation Name</t>
  </si>
  <si>
    <t>Organisation Code</t>
  </si>
  <si>
    <t>SitRep</t>
  </si>
  <si>
    <t xml:space="preserve"> </t>
  </si>
  <si>
    <t>January to March</t>
  </si>
  <si>
    <t>October to December</t>
  </si>
  <si>
    <t>July to September</t>
  </si>
  <si>
    <t>April to June</t>
  </si>
  <si>
    <t>Quarter</t>
  </si>
  <si>
    <t>Nervous system</t>
  </si>
  <si>
    <t>Eyes and Periorbita</t>
  </si>
  <si>
    <t>Mouth, Head, Neck and Ears</t>
  </si>
  <si>
    <t>Respiratory System</t>
  </si>
  <si>
    <t>Cardiac Surgery and Primary Cardiac Conditions</t>
  </si>
  <si>
    <t>Digestive System</t>
  </si>
  <si>
    <t>Hepatobiliary and Pancreatic System</t>
  </si>
  <si>
    <t>Musculoskeletal System</t>
  </si>
  <si>
    <t>Skin, Breast and Burns</t>
  </si>
  <si>
    <t>Endocrine and Metabolic System</t>
  </si>
  <si>
    <t>Urinary Tract and Male Reproductive System</t>
  </si>
  <si>
    <t>Female Reproductive System and Assisted Reproduction</t>
  </si>
  <si>
    <t>Obstetrics</t>
  </si>
  <si>
    <t>Diseases of Childhood and Neonates</t>
  </si>
  <si>
    <t>Haematology, Chemotherapy, Radiotherapy and Specialist Palliative Care</t>
  </si>
  <si>
    <t>Undefined Groups</t>
  </si>
  <si>
    <t>V</t>
  </si>
  <si>
    <t>Multiple Trauma, Emergency Medicine and Rehabilitation</t>
  </si>
  <si>
    <t>W</t>
  </si>
  <si>
    <t>Immunology, Infectious Diseases and other contacts with Health Services</t>
  </si>
  <si>
    <t>Other</t>
  </si>
  <si>
    <t>HRG 4.0 chapter</t>
  </si>
  <si>
    <t>Table 8: Breakdown of critical care unit source location</t>
  </si>
  <si>
    <t>Table 9: Breakdown of critical care unit discharge destination</t>
  </si>
  <si>
    <t>Table 10: Breakdown of critical care unit discharge status</t>
  </si>
  <si>
    <t>Table 11: Breakdown of critical care unit discharge location</t>
  </si>
  <si>
    <t>Table 14: Breakdown of critical care unit function field</t>
  </si>
  <si>
    <t>Table 15: Breakdown of critical care unit bed configuration</t>
  </si>
  <si>
    <t>Table 1: Number of critical care records by month of discharge</t>
  </si>
  <si>
    <t>Table 2: Breakdown of critical care unit discharge date by quarter</t>
  </si>
  <si>
    <t>Table 3: Count of critical care records by provider and month of discharge</t>
  </si>
  <si>
    <t>Table 6: Breakdown of critical care unit admission type</t>
  </si>
  <si>
    <t>Table 7: Breakdown of critical care unit admission source</t>
  </si>
  <si>
    <t xml:space="preserve">No IMD Record      </t>
  </si>
  <si>
    <t>Theatre and recovery (following surgical and/or anaesthetic procedure)</t>
  </si>
  <si>
    <t>Accident and Emergency</t>
  </si>
  <si>
    <t>Other intermediate care or specialist treatment areas including endoscopy units and catheter suites</t>
  </si>
  <si>
    <t>Home or other residence (including nursing home, H.M. Prison or other residential care)</t>
  </si>
  <si>
    <t>Patient died (non heart beating solid organ donor)</t>
  </si>
  <si>
    <t>Self discharge against medical advice</t>
  </si>
  <si>
    <t>Patient died (heart beating solid organ donor)</t>
  </si>
  <si>
    <t>Patient died (cadaveric tissue donor)</t>
  </si>
  <si>
    <t>Adult level 3 critical care bed (ICU bed)</t>
  </si>
  <si>
    <t>No discharge location, Patient died in unit</t>
  </si>
  <si>
    <t>Adult level two critical care bed (e.g. in a flexibly configured unit)</t>
  </si>
  <si>
    <t>Home or other residence (e.g. nursing home, H.M. Prison, residential care)</t>
  </si>
  <si>
    <t>Adult level three critical care bed (e.g. in a flexibly configured unit)</t>
  </si>
  <si>
    <t>Other intermediate care or specialised treatment area but excluding temporary visits en route, e.g. imaging, endoscopy, catheter suites and operating departments.</t>
  </si>
  <si>
    <t>Non-specific, general adult critical care patients predominate</t>
  </si>
  <si>
    <t>Cardiac surgical adult patients predominate</t>
  </si>
  <si>
    <t>Surgical adult patients (unspecified specialty)</t>
  </si>
  <si>
    <t>Neurosciences adult patients predominate</t>
  </si>
  <si>
    <t>Medical adult patients (unspecified specialty)</t>
  </si>
  <si>
    <t>Non-standard location using a Ward area</t>
  </si>
  <si>
    <t>Thoracic surgical adult patients predominate</t>
  </si>
  <si>
    <t>Obstetric and gynaecology critical care patients predominate</t>
  </si>
  <si>
    <t>Renal adult patients predominate</t>
  </si>
  <si>
    <t>Spinal adult patients predominate</t>
  </si>
  <si>
    <t>Burns and plastic surgery adult patients predominate</t>
  </si>
  <si>
    <t>Liver adult patients predominate</t>
  </si>
  <si>
    <t>Discharge time</t>
  </si>
  <si>
    <t>Start time</t>
  </si>
  <si>
    <t>Discharge location</t>
  </si>
  <si>
    <t>Return to Contents</t>
  </si>
  <si>
    <t>Index of Multiple Deprivation (IMD) decile</t>
  </si>
  <si>
    <t>Level 2 beds only*</t>
  </si>
  <si>
    <t>Level 3 beds only**</t>
  </si>
  <si>
    <t>Gastrointestinal support</t>
  </si>
  <si>
    <t>3. All 'unknown' gender records are excluded from this table</t>
  </si>
  <si>
    <t xml:space="preserve">1. NHS England publish monthly situation reports (SitReps) reporting critical care bed capacity - http://www.england.nhs.uk/statistics/statistical-work-areas/critical-care-capacity/ </t>
  </si>
  <si>
    <t>2. Some hospital trusts may have submitted data for only some months of the year.</t>
  </si>
  <si>
    <t xml:space="preserve">Table 18: Comparison of available beds reported in SitReps and the number of open critical care records on the last Thursday of the reporting period </t>
  </si>
  <si>
    <t>Derived from associated admitted patient episode</t>
  </si>
  <si>
    <t>Table 5: Number of critical care records and average duration in days by Index of Multiple Deprivation group</t>
  </si>
  <si>
    <t>2. All 'unknown' gender records are excluded from this table.</t>
  </si>
  <si>
    <t>(https://www.gov.uk/government/collections/english-indices-of-deprivation)</t>
  </si>
  <si>
    <t>1. Analysis based on deciles of the Index of Multiple Deprivation, a measure which combines a number of indicators, chosen to cover a range of economic, social and housing issues, into a single deprivation score for each small area in England.</t>
  </si>
  <si>
    <t>1. It is possible for one critical care period to incur more than one support type.</t>
  </si>
  <si>
    <t>Notes</t>
  </si>
  <si>
    <t>2. Not all NHS trusts have complete data submissions and data quality is poor in some cases. There are likely therefore to be shortfalls in some figures</t>
  </si>
  <si>
    <t>3. To aid interpretation, it is advised to read these tables in conjunction with the accompanying summary report, data quality note and technical guide.</t>
  </si>
  <si>
    <t>Introduction</t>
  </si>
  <si>
    <t>3. Not all NHS trusts have complete data submissions and data quality is poor in some cases. There are likely therefore to be shortfalls in some figures</t>
  </si>
  <si>
    <t>4. To aid interpretation, it is advised to read these tables in conjunction with the accompanying summary report, data quality note and technical guide.</t>
  </si>
  <si>
    <t>1. Not all NHS trusts have complete data submissions and data quality is poor in some cases. There are likely therefore to be shortfalls in some figures</t>
  </si>
  <si>
    <t>2. To aid interpretation, it is advised to read these tables in conjunction with the accompanying summary report, data quality note and technical guide.</t>
  </si>
  <si>
    <t>2. Not all NHS trusts have complete data submissions and data quality is poor in some cases. There are likely therefore to be shortfalls in some figures.</t>
  </si>
  <si>
    <t>4. Not all NHS trusts have complete data submissions and data quality is poor in some cases. There are likely therefore to be shortfalls in some figures</t>
  </si>
  <si>
    <t>5. To aid interpretation, it is advised to read these tables in conjunction with the accompanying summary report, data quality note and technical guide.</t>
  </si>
  <si>
    <r>
      <t>Table 1: Number of critical care records by month of discharge</t>
    </r>
    <r>
      <rPr>
        <b/>
        <vertAlign val="superscript"/>
        <sz val="14"/>
        <color rgb="FF005EB8"/>
        <rFont val="Arial"/>
        <family val="2"/>
      </rPr>
      <t>1</t>
    </r>
  </si>
  <si>
    <r>
      <t>Table 15: Breakdown of critical care unit bed configuration</t>
    </r>
    <r>
      <rPr>
        <b/>
        <vertAlign val="superscript"/>
        <sz val="14"/>
        <color rgb="FF005EB8"/>
        <rFont val="Arial"/>
        <family val="2"/>
      </rPr>
      <t>1</t>
    </r>
  </si>
  <si>
    <r>
      <t>Table 14: Breakdown of critical care unit function field</t>
    </r>
    <r>
      <rPr>
        <b/>
        <vertAlign val="superscript"/>
        <sz val="14"/>
        <color rgb="FF005EB8"/>
        <rFont val="Arial"/>
        <family val="2"/>
      </rPr>
      <t>1</t>
    </r>
  </si>
  <si>
    <r>
      <t xml:space="preserve">Table 13: Duration of support by gender and support type </t>
    </r>
    <r>
      <rPr>
        <b/>
        <vertAlign val="superscript"/>
        <sz val="14"/>
        <color rgb="FF005EB8"/>
        <rFont val="Arial"/>
        <family val="2"/>
      </rPr>
      <t>1,2</t>
    </r>
  </si>
  <si>
    <r>
      <t>Table 11: Breakdown of critical care unit discharge location</t>
    </r>
    <r>
      <rPr>
        <b/>
        <vertAlign val="superscript"/>
        <sz val="14"/>
        <color rgb="FF005EB8"/>
        <rFont val="Arial"/>
        <family val="2"/>
      </rPr>
      <t>1</t>
    </r>
  </si>
  <si>
    <r>
      <t>Table 10: Breakdown of critical care unit discharge status</t>
    </r>
    <r>
      <rPr>
        <b/>
        <vertAlign val="superscript"/>
        <sz val="14"/>
        <color rgb="FF005EB8"/>
        <rFont val="Arial"/>
        <family val="2"/>
      </rPr>
      <t>1</t>
    </r>
  </si>
  <si>
    <r>
      <t>Table 9: Breakdown of critical care unit discharge destination</t>
    </r>
    <r>
      <rPr>
        <b/>
        <vertAlign val="superscript"/>
        <sz val="14"/>
        <color rgb="FF005EB8"/>
        <rFont val="Arial"/>
        <family val="2"/>
      </rPr>
      <t>1</t>
    </r>
  </si>
  <si>
    <r>
      <t>Table 8: Breakdown of critical care unit source location</t>
    </r>
    <r>
      <rPr>
        <b/>
        <vertAlign val="superscript"/>
        <sz val="14"/>
        <color rgb="FF005EB8"/>
        <rFont val="Arial"/>
        <family val="2"/>
      </rPr>
      <t>1</t>
    </r>
  </si>
  <si>
    <r>
      <t>Table 7: Breakdown of critical care unit admission source</t>
    </r>
    <r>
      <rPr>
        <b/>
        <vertAlign val="superscript"/>
        <sz val="14"/>
        <color rgb="FF005EB8"/>
        <rFont val="Arial"/>
        <family val="2"/>
      </rPr>
      <t>1</t>
    </r>
  </si>
  <si>
    <r>
      <t>Table 6: Breakdown of critical care unit admission type</t>
    </r>
    <r>
      <rPr>
        <b/>
        <vertAlign val="superscript"/>
        <sz val="14"/>
        <color rgb="FF005EB8"/>
        <rFont val="Arial"/>
        <family val="2"/>
      </rPr>
      <t>1,2</t>
    </r>
  </si>
  <si>
    <r>
      <t>Table 5: Number of critical care records and average duration in days by Index of Multiple Deprivation decile</t>
    </r>
    <r>
      <rPr>
        <b/>
        <vertAlign val="superscript"/>
        <sz val="14"/>
        <color rgb="FF005EB8"/>
        <rFont val="Arial"/>
        <family val="2"/>
      </rPr>
      <t>1</t>
    </r>
  </si>
  <si>
    <r>
      <t>Table 2: Breakdown of critical care unit discharge date by quarter</t>
    </r>
    <r>
      <rPr>
        <b/>
        <vertAlign val="superscript"/>
        <sz val="14"/>
        <color rgb="FF005EB8"/>
        <rFont val="Arial"/>
        <family val="2"/>
      </rPr>
      <t>1</t>
    </r>
  </si>
  <si>
    <t>* Mandatory field in Critical Care Minimum Data Set</t>
  </si>
  <si>
    <r>
      <t xml:space="preserve">* Level 2 care </t>
    </r>
    <r>
      <rPr>
        <sz val="9"/>
        <rFont val="Calibri"/>
        <family val="2"/>
      </rPr>
      <t>–</t>
    </r>
    <r>
      <rPr>
        <sz val="9"/>
        <rFont val="Arial"/>
        <family val="2"/>
      </rPr>
      <t xml:space="preserve"> patients requiring more detailed observation or intervention including support for a single failing organ system or post-operative care and those 'stepping down' from higher levels of care.</t>
    </r>
  </si>
  <si>
    <r>
      <t xml:space="preserve">** Level 3 care </t>
    </r>
    <r>
      <rPr>
        <sz val="9"/>
        <rFont val="Calibri"/>
        <family val="2"/>
      </rPr>
      <t>–</t>
    </r>
    <r>
      <rPr>
        <sz val="9"/>
        <rFont val="Arial"/>
        <family val="2"/>
      </rPr>
      <t xml:space="preserve"> patients needing advanced respiratory support alone or two or more organs system support. Please note that basic respiratory and basic cardiovascular support occurring on one day count as one organ. This level includes beds for all complex patients requiring support for multi-organ failure.</t>
    </r>
  </si>
  <si>
    <t>** Mandatory field in admitted patient care (APC) Data Set</t>
  </si>
  <si>
    <t>*** Derived field in admitted patient care (APC) Data Set where the source field is mandatory</t>
  </si>
  <si>
    <r>
      <t>Table 4: Critical care records by start day and discharge day</t>
    </r>
    <r>
      <rPr>
        <b/>
        <vertAlign val="superscript"/>
        <sz val="14"/>
        <color rgb="FF005EB8"/>
        <rFont val="Arial"/>
        <family val="2"/>
      </rPr>
      <t xml:space="preserve"> </t>
    </r>
  </si>
  <si>
    <t>ENGLAND</t>
  </si>
  <si>
    <t>Source: NHS Digital</t>
  </si>
  <si>
    <t>Data Tables</t>
  </si>
  <si>
    <t>The tables should be referenced alongside the Annual Summary Report.</t>
  </si>
  <si>
    <t>Further information</t>
  </si>
  <si>
    <t>More about HES:</t>
  </si>
  <si>
    <t>HES Data Dictionary:</t>
  </si>
  <si>
    <t>Contact details</t>
  </si>
  <si>
    <t>Author: Secondary Care Analysis, NHS Digital</t>
  </si>
  <si>
    <t>Public enquiries: Telephone: 0300 303 5678</t>
  </si>
  <si>
    <t>Email: enquiries@nhsdigital.nhs.uk</t>
  </si>
  <si>
    <t>Press enquiries should be made to: Media Relations Manager: telephone 0300 303 3888</t>
  </si>
  <si>
    <t>Published by NHS Digital part of the Government Statistical Service</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</si>
  <si>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</si>
  <si>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</si>
  <si>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HES Records</t>
  </si>
  <si>
    <t>6. Not all NHS trusts have complete data submissions and data quality is poor in some cases. There are likely therefore to be shortfalls in some figures</t>
  </si>
  <si>
    <t>7. To aid interpretation, it is advised to read these tables in conjunction with the accompanying summary report, data quality note and technical guide.</t>
  </si>
  <si>
    <r>
      <t>HES Records</t>
    </r>
    <r>
      <rPr>
        <b/>
        <vertAlign val="superscript"/>
        <sz val="10"/>
        <rFont val="Arial"/>
        <family val="2"/>
      </rPr>
      <t>5</t>
    </r>
  </si>
  <si>
    <t>https://digital.nhs.uk/data-and-information/data-tools-and-services/data-services/hospital-episode-statistics/hospital-episode-statistics-data-dictionary</t>
  </si>
  <si>
    <t>Y</t>
  </si>
  <si>
    <t>Vascular Procedures and Disorders and Imaging
Interventions</t>
  </si>
  <si>
    <r>
      <t>Table 12: Number of critical care records by Health Resource Group (HRG) 4+ and gender</t>
    </r>
    <r>
      <rPr>
        <b/>
        <vertAlign val="superscript"/>
        <sz val="14"/>
        <color rgb="FF005EB8"/>
        <rFont val="Arial"/>
        <family val="2"/>
      </rPr>
      <t>1, 2, 3</t>
    </r>
  </si>
  <si>
    <t>1. HRG 4+ information is sourced from the admitted patient episode.</t>
  </si>
  <si>
    <t>https://digital.nhs.uk/binaries/content/assets/legacy/pdf/n/d/hrg4__201718_local_payment_grouper_summary_of_changes_v1.2.pdf</t>
  </si>
  <si>
    <t>Table 12: Number of critical care records by Health Resource Group (HRG) 4+ and gender</t>
  </si>
  <si>
    <t xml:space="preserve">3. The Critical Care Minimum Data Set allows for the recording of critical care activities outside of a normal ICU or HDU setting, ie within an operating theatre or recovery room. This may account for a higher number of critical care periods than there are beds to accommodate them. </t>
  </si>
  <si>
    <t>To In order to protect patient confidentiality '*' appears in the table above for all sub-national breakdowns, where it is possible to calculate a value between 1 and 7 from the data presented. All other sub-national data has been rounded to the nearest 5.
If the national total is between 1 and 7 (inclusive), no sub-national breakdown will be displayed. 
If the national total is greater than or equal to 8;
a. Sub-national counts between 1 and 7 (inclusive) will be displayed as ’*’.
b. Zeroes will be unchanged.
c. All other counts will be rounded to the nearest 5.protect patient confidentiality, HES figures between 1 and 7 have been suppressed and replaced with “*” (an asterisk). Where it was possible to identify numbers from the total due to a single suppressed number in a row or column, an additional number (generally the next smallest) has also been suppressed.</t>
  </si>
  <si>
    <t>5. In order to protect patient confidentiality '*' appears in the table above for all sub-national breakdowns, where it is possible to calculate a value between 1 and 7 from the data presented. All other sub-national data has been rounded to the nearest 5.
If the national total is between 1 and 7 (inclusive), no sub-national breakdown will be displayed. 
If the national total is greater than or equal to 8;
a. Sub-national counts between 1 and 7 (inclusive) will be displayed as ’*’.
b. Zeroes will be unchanged.
c. All other counts will be rounded to the nearest 5.</t>
  </si>
  <si>
    <t>1 - Most deprived 10%</t>
  </si>
  <si>
    <t>2 - More deprived 10-20%</t>
  </si>
  <si>
    <t>3 - More deprived 20-30%</t>
  </si>
  <si>
    <t>4 - More deprived 30-40%</t>
  </si>
  <si>
    <t>5 - More deprived 40-50%</t>
  </si>
  <si>
    <t>6 - Less deprived 40-50%</t>
  </si>
  <si>
    <t>7 - Less deprived 30-40%</t>
  </si>
  <si>
    <t>8 - Less deprived 20-30%</t>
  </si>
  <si>
    <t>9 - Less deprived 10-20%</t>
  </si>
  <si>
    <t>10 - Least deprived 10%</t>
  </si>
  <si>
    <t>2018-19</t>
  </si>
  <si>
    <t>2. Healthcare Resource Groups (HRGs) are standard groupings of clinically similar treatments which use common levels of healthcare resource. 
HRGs help organisations to understand their activity in terms of the types of patients they care for and the treatments they undertake. They enable the comparison of activity within and between different organisations and provide an opportunity to benchmark treatments and services to support trend analysis over time. 
For 2017-18 and 2018-19, HRG version 4+ has been used, this contains several differences to HRG version 4 that was used in the 2016-17 data.  For further information about the HRG4+ 2017-18 Local Payment Grouper and a summary of changes please use the following link:</t>
  </si>
  <si>
    <t>AJX</t>
  </si>
  <si>
    <t>NT3</t>
  </si>
  <si>
    <t>NT4</t>
  </si>
  <si>
    <t>R0A</t>
  </si>
  <si>
    <t>R1F</t>
  </si>
  <si>
    <t>R1H</t>
  </si>
  <si>
    <t>R1K</t>
  </si>
  <si>
    <t>RA2</t>
  </si>
  <si>
    <t>RA3</t>
  </si>
  <si>
    <t>RA4</t>
  </si>
  <si>
    <t>RA7</t>
  </si>
  <si>
    <t>RA9</t>
  </si>
  <si>
    <t>RAE</t>
  </si>
  <si>
    <t>RAJ</t>
  </si>
  <si>
    <t>RAL</t>
  </si>
  <si>
    <t>RAN</t>
  </si>
  <si>
    <t>RAP</t>
  </si>
  <si>
    <t>RAS</t>
  </si>
  <si>
    <t>RAX</t>
  </si>
  <si>
    <t>RBA</t>
  </si>
  <si>
    <t>RBD</t>
  </si>
  <si>
    <t>RBK</t>
  </si>
  <si>
    <t>RBL</t>
  </si>
  <si>
    <t>RBN</t>
  </si>
  <si>
    <t>RBQ</t>
  </si>
  <si>
    <t>RBT</t>
  </si>
  <si>
    <t>RBV</t>
  </si>
  <si>
    <t>RBZ</t>
  </si>
  <si>
    <t>RC1</t>
  </si>
  <si>
    <t>RC9</t>
  </si>
  <si>
    <t>RCB</t>
  </si>
  <si>
    <t>RCD</t>
  </si>
  <si>
    <t>RCF</t>
  </si>
  <si>
    <t>RCX</t>
  </si>
  <si>
    <t>RD1</t>
  </si>
  <si>
    <t>RD3</t>
  </si>
  <si>
    <t>RD8</t>
  </si>
  <si>
    <t>RDD</t>
  </si>
  <si>
    <t>RDE</t>
  </si>
  <si>
    <t>RDU</t>
  </si>
  <si>
    <t>RDZ</t>
  </si>
  <si>
    <t>REF</t>
  </si>
  <si>
    <t>REM</t>
  </si>
  <si>
    <t>RET</t>
  </si>
  <si>
    <t>RF4</t>
  </si>
  <si>
    <t>RFF</t>
  </si>
  <si>
    <t>RFR</t>
  </si>
  <si>
    <t>RFS</t>
  </si>
  <si>
    <t>RGM</t>
  </si>
  <si>
    <t>RGN</t>
  </si>
  <si>
    <t>RGP</t>
  </si>
  <si>
    <t>RGR</t>
  </si>
  <si>
    <t>RGT</t>
  </si>
  <si>
    <t>RH8</t>
  </si>
  <si>
    <t>RHM</t>
  </si>
  <si>
    <t>RHQ</t>
  </si>
  <si>
    <t>RHU</t>
  </si>
  <si>
    <t>RHW</t>
  </si>
  <si>
    <t>RJ1</t>
  </si>
  <si>
    <t>RJ2</t>
  </si>
  <si>
    <t>RJ6</t>
  </si>
  <si>
    <t>RJ7</t>
  </si>
  <si>
    <t>RJC</t>
  </si>
  <si>
    <t>RJE</t>
  </si>
  <si>
    <t>RJL</t>
  </si>
  <si>
    <t>RJN</t>
  </si>
  <si>
    <t>RJR</t>
  </si>
  <si>
    <t>RJZ</t>
  </si>
  <si>
    <t>RK5</t>
  </si>
  <si>
    <t>RK9</t>
  </si>
  <si>
    <t>RKB</t>
  </si>
  <si>
    <t>RKE</t>
  </si>
  <si>
    <t>RL1</t>
  </si>
  <si>
    <t>RL4</t>
  </si>
  <si>
    <t>RLQ</t>
  </si>
  <si>
    <t>RLT</t>
  </si>
  <si>
    <t>RM1</t>
  </si>
  <si>
    <t>RM3</t>
  </si>
  <si>
    <t>RMC</t>
  </si>
  <si>
    <t>RMP</t>
  </si>
  <si>
    <t>RN3</t>
  </si>
  <si>
    <t>RN5</t>
  </si>
  <si>
    <t>RN7</t>
  </si>
  <si>
    <t>RNA</t>
  </si>
  <si>
    <t>RNL</t>
  </si>
  <si>
    <t>RNQ</t>
  </si>
  <si>
    <t>RNS</t>
  </si>
  <si>
    <t>RNZ</t>
  </si>
  <si>
    <t>RP5</t>
  </si>
  <si>
    <t>RPA</t>
  </si>
  <si>
    <t>RPY</t>
  </si>
  <si>
    <t>RQ3</t>
  </si>
  <si>
    <t>RQ6</t>
  </si>
  <si>
    <t>RQ8</t>
  </si>
  <si>
    <t>RQM</t>
  </si>
  <si>
    <t>RQW</t>
  </si>
  <si>
    <t>RQX</t>
  </si>
  <si>
    <t>RR1</t>
  </si>
  <si>
    <t>RR7</t>
  </si>
  <si>
    <t>RR8</t>
  </si>
  <si>
    <t>RRF</t>
  </si>
  <si>
    <t>RRJ</t>
  </si>
  <si>
    <t>RRK</t>
  </si>
  <si>
    <t>RRV</t>
  </si>
  <si>
    <t>RT3</t>
  </si>
  <si>
    <t>RTD</t>
  </si>
  <si>
    <t>RTE</t>
  </si>
  <si>
    <t>RTF</t>
  </si>
  <si>
    <t>RTG</t>
  </si>
  <si>
    <t>RTH</t>
  </si>
  <si>
    <t>RTK</t>
  </si>
  <si>
    <t>RTP</t>
  </si>
  <si>
    <t>RTR</t>
  </si>
  <si>
    <t>RTX</t>
  </si>
  <si>
    <t>RVJ</t>
  </si>
  <si>
    <t>RVR</t>
  </si>
  <si>
    <t>RVV</t>
  </si>
  <si>
    <t>RVW</t>
  </si>
  <si>
    <t>RVY</t>
  </si>
  <si>
    <t>RW6</t>
  </si>
  <si>
    <t>RWA</t>
  </si>
  <si>
    <t>RWD</t>
  </si>
  <si>
    <t>RWE</t>
  </si>
  <si>
    <t>RWF</t>
  </si>
  <si>
    <t>RWG</t>
  </si>
  <si>
    <t>RWH</t>
  </si>
  <si>
    <t>RWJ</t>
  </si>
  <si>
    <t>RWP</t>
  </si>
  <si>
    <t>RWW</t>
  </si>
  <si>
    <t>RWY</t>
  </si>
  <si>
    <t>RX1</t>
  </si>
  <si>
    <t>RXC</t>
  </si>
  <si>
    <t>RXF</t>
  </si>
  <si>
    <t>RXH</t>
  </si>
  <si>
    <t>RXK</t>
  </si>
  <si>
    <t>RXL</t>
  </si>
  <si>
    <t>RXN</t>
  </si>
  <si>
    <t>RXP</t>
  </si>
  <si>
    <t>RXQ</t>
  </si>
  <si>
    <t>RXR</t>
  </si>
  <si>
    <t>RXW</t>
  </si>
  <si>
    <t>RYJ</t>
  </si>
  <si>
    <t>RYR</t>
  </si>
  <si>
    <t>MANCHESTER UNIVERSITY NHS FOUNDATION TRUST</t>
  </si>
  <si>
    <t>ISLE OF WIGHT NHS TRUST</t>
  </si>
  <si>
    <t>BARTS HEALTH NHS TRUST</t>
  </si>
  <si>
    <t>LONDON NORTH WEST UNIVERSITY HEALTHCARE NHS TRUST</t>
  </si>
  <si>
    <t>ROYAL SURREY COUNTY HOSPITAL NHS FOUNDATION TRUST</t>
  </si>
  <si>
    <t>WESTON AREA HEALTH NHS TRUST</t>
  </si>
  <si>
    <t>YEOVIL DISTRICT HOSPITAL NHS FOUNDATION TRUST</t>
  </si>
  <si>
    <t>UNIVERSITY HOSPITALS BRISTOL NHS FOUNDATION TRUST</t>
  </si>
  <si>
    <t>TORBAY AND SOUTH DEVON NHS FOUNDATION TRUST</t>
  </si>
  <si>
    <t>BRADFORD TEACHING HOSPITALS NHS FOUNDATION TRUST</t>
  </si>
  <si>
    <t>SOUTHEND UNIVERSITY HOSPITAL NHS FOUNDATION TRUST</t>
  </si>
  <si>
    <t>ROYAL FREE LONDON NHS FOUNDATION TRUST</t>
  </si>
  <si>
    <t>ROYAL NATIONAL ORTHOPAEDIC HOSPITAL NHS TRUST</t>
  </si>
  <si>
    <t>NORTH MIDDLESEX UNIVERSITY HOSPITAL NHS TRUST</t>
  </si>
  <si>
    <t>THE HILLINGDON HOSPITALS NHS FOUNDATION TRUST</t>
  </si>
  <si>
    <t>KINGSTON HOSPITAL NHS FOUNDATION TRUST</t>
  </si>
  <si>
    <t>TAUNTON AND SOMERSET NHS FOUNDATION TRUST</t>
  </si>
  <si>
    <t>DORSET COUNTY HOSPITAL NHS FOUNDATION TRUST</t>
  </si>
  <si>
    <t>WALSALL HEALTHCARE NHS TRUST</t>
  </si>
  <si>
    <t>WIRRAL UNIVERSITY TEACHING HOSPITAL NHS FOUNDATION TRUST</t>
  </si>
  <si>
    <t>ST HELENS AND KNOWSLEY HOSPITAL SERVICES NHS TRUST</t>
  </si>
  <si>
    <t>LIVERPOOL HEART AND CHEST HOSPITAL NHS FOUNDATION TRUST</t>
  </si>
  <si>
    <t>MID CHESHIRE HOSPITALS NHS FOUNDATION TRUST</t>
  </si>
  <si>
    <t>THE CHRISTIE NHS FOUNDATION TRUST</t>
  </si>
  <si>
    <t>NORTHERN DEVON HEALTHCARE NHS TRUST</t>
  </si>
  <si>
    <t>BEDFORD HOSPITAL NHS TRUST</t>
  </si>
  <si>
    <t>LUTON AND DUNSTABLE UNIVERSITY HOSPITAL NHS FOUNDATION TRUST</t>
  </si>
  <si>
    <t>YORK TEACHING HOSPITAL NHS FOUNDATION TRUST</t>
  </si>
  <si>
    <t>HARROGATE AND DISTRICT NHS FOUNDATION TRUST</t>
  </si>
  <si>
    <t>AIREDALE NHS FOUNDATION TRUST</t>
  </si>
  <si>
    <t>THE QUEEN ELIZABETH HOSPITAL, KING'S LYNN, NHS FOUNDATION TRUST</t>
  </si>
  <si>
    <t>ROYAL UNITED HOSPITALS BATH NHS FOUNDATION TRUST</t>
  </si>
  <si>
    <t>POOLE HOSPITAL NHS FOUNDATION TRUST</t>
  </si>
  <si>
    <t>MILTON KEYNES UNIVERSITY HOSPITAL NHS FOUNDATION TRUST</t>
  </si>
  <si>
    <t>BASILDON AND THURROCK UNIVERSITY HOSPITALS NHS FOUNDATION TRUST</t>
  </si>
  <si>
    <t>EAST SUFFOLK AND NORTH ESSEX NHS FOUNDATION TRUST</t>
  </si>
  <si>
    <t>FRIMLEY HEALTH NHS FOUNDATION TRUST</t>
  </si>
  <si>
    <t>THE ROYAL BOURNEMOUTH AND CHRISTCHURCH HOSPITALS NHS FOUNDATION TRUST</t>
  </si>
  <si>
    <t>ROYAL CORNWALL HOSPITALS NHS TRUST</t>
  </si>
  <si>
    <t>AINTREE UNIVERSITY HOSPITAL NHS FOUNDATION TRUST</t>
  </si>
  <si>
    <t>THE WALTON CENTRE NHS FOUNDATION TRUST</t>
  </si>
  <si>
    <t>BARKING, HAVERING AND REDBRIDGE UNIVERSITY HOSPITALS NHS TRUST</t>
  </si>
  <si>
    <t>BARNSLEY HOSPITAL NHS FOUNDATION TRUST</t>
  </si>
  <si>
    <t>THE ROTHERHAM NHS FOUNDATION TRUST</t>
  </si>
  <si>
    <t>CHESTERFIELD ROYAL HOSPITAL NHS FOUNDATION TRUST</t>
  </si>
  <si>
    <t>ROYAL PAPWORTH HOSPITAL NHS FOUNDATION TRUST</t>
  </si>
  <si>
    <t>NORTH WEST ANGLIA NHS FOUNDATION TRUST</t>
  </si>
  <si>
    <t>JAMES PAGET UNIVERSITY HOSPITALS NHS FOUNDATION TRUST</t>
  </si>
  <si>
    <t>WEST SUFFOLK NHS FOUNDATION TRUST</t>
  </si>
  <si>
    <t>CAMBRIDGE UNIVERSITY HOSPITALS NHS FOUNDATION TRUST</t>
  </si>
  <si>
    <t>ROYAL DEVON AND EXETER NHS FOUNDATION TRUST</t>
  </si>
  <si>
    <t>UNIVERSITY HOSPITAL SOUTHAMPTON NHS FOUNDATION TRUST</t>
  </si>
  <si>
    <t>SHEFFIELD TEACHING HOSPITALS NHS FOUNDATION TRUST</t>
  </si>
  <si>
    <t>PORTSMOUTH HOSPITALS NHS TRUST</t>
  </si>
  <si>
    <t>ROYAL BERKSHIRE NHS FOUNDATION TRUST</t>
  </si>
  <si>
    <t>GUY'S AND ST THOMAS' NHS FOUNDATION TRUST</t>
  </si>
  <si>
    <t>LEWISHAM AND GREENWICH NHS TRUST</t>
  </si>
  <si>
    <t>CROYDON HEALTH SERVICES NHS TRUST</t>
  </si>
  <si>
    <t>ST GEORGE'S UNIVERSITY HOSPITALS NHS FOUNDATION TRUST</t>
  </si>
  <si>
    <t>SOUTH WARWICKSHIRE NHS FOUNDATION TRUST</t>
  </si>
  <si>
    <t>UNIVERSITY HOSPITALS OF NORTH MIDLANDS NHS TRUST</t>
  </si>
  <si>
    <t>NORTHERN LINCOLNSHIRE AND GOOLE NHS FOUNDATION TRUST</t>
  </si>
  <si>
    <t>EAST CHESHIRE NHS TRUST</t>
  </si>
  <si>
    <t>COUNTESS OF CHESTER HOSPITAL NHS FOUNDATION TRUST</t>
  </si>
  <si>
    <t>KING'S COLLEGE HOSPITAL NHS FOUNDATION TRUST</t>
  </si>
  <si>
    <t>SHERWOOD FOREST HOSPITALS NHS FOUNDATION TRUST</t>
  </si>
  <si>
    <t>UNIVERSITY HOSPITALS PLYMOUTH NHS TRUST</t>
  </si>
  <si>
    <t>UNIVERSITY HOSPITALS COVENTRY AND WARWICKSHIRE NHS TRUST</t>
  </si>
  <si>
    <t>WHITTINGTON HEALTH NHS TRUST</t>
  </si>
  <si>
    <t>THE ROBERT JONES AND AGNES HUNT ORTHOPAEDIC HOSPITAL NHS FOUNDATION TRUST</t>
  </si>
  <si>
    <t>THE ROYAL WOLVERHAMPTON NHS TRUST</t>
  </si>
  <si>
    <t>WYE VALLEY NHS TRUST</t>
  </si>
  <si>
    <t>GEORGE ELIOT HOSPITAL NHS TRUST</t>
  </si>
  <si>
    <t>NORFOLK AND NORWICH UNIVERSITY HOSPITALS NHS FOUNDATION TRUST</t>
  </si>
  <si>
    <t>SALFORD ROYAL NHS FOUNDATION TRUST</t>
  </si>
  <si>
    <t>BOLTON NHS FOUNDATION TRUST</t>
  </si>
  <si>
    <t>TAMESIDE AND GLOSSOP INTEGRATED CARE NHS FOUNDATION TRUST</t>
  </si>
  <si>
    <t>GREAT WESTERN HOSPITALS NHS FOUNDATION TRUST</t>
  </si>
  <si>
    <t>HAMPSHIRE HOSPITALS NHS FOUNDATION TRUST</t>
  </si>
  <si>
    <t>DARTFORD AND GRAVESHAM NHS TRUST</t>
  </si>
  <si>
    <t>THE DUDLEY GROUP NHS FOUNDATION TRUST</t>
  </si>
  <si>
    <t>NORTH CUMBRIA UNIVERSITY HOSPITALS NHS TRUST</t>
  </si>
  <si>
    <t>KETTERING GENERAL HOSPITAL NHS FOUNDATION TRUST</t>
  </si>
  <si>
    <t>NORTHAMPTON GENERAL HOSPITAL NHS TRUST</t>
  </si>
  <si>
    <t>SALISBURY NHS FOUNDATION TRUST</t>
  </si>
  <si>
    <t>DONCASTER AND BASSETLAW TEACHING HOSPITALS NHS FOUNDATION TRUST</t>
  </si>
  <si>
    <t>MEDWAY NHS FOUNDATION TRUST</t>
  </si>
  <si>
    <t>THE ROYAL MARSDEN NHS FOUNDATION TRUST</t>
  </si>
  <si>
    <t>BIRMINGHAM WOMEN'S AND CHILDREN'S NHS FOUNDATION TRUST</t>
  </si>
  <si>
    <t>ROYAL LIVERPOOL AND BROADGREEN UNIVERSITY HOSPITALS NHS TRUST</t>
  </si>
  <si>
    <t>MID ESSEX HOSPITAL SERVICES NHS TRUST</t>
  </si>
  <si>
    <t>CHELSEA AND WESTMINSTER HOSPITAL NHS FOUNDATION TRUST</t>
  </si>
  <si>
    <t>THE PRINCESS ALEXANDRA HOSPITAL NHS TRUST</t>
  </si>
  <si>
    <t>HOMERTON UNIVERSITY HOSPITAL NHS FOUNDATION TRUST</t>
  </si>
  <si>
    <t>GATESHEAD HEALTH NHS FOUNDATION TRUST</t>
  </si>
  <si>
    <t>LEEDS TEACHING HOSPITALS NHS TRUST</t>
  </si>
  <si>
    <t>WRIGHTINGTON, WIGAN AND LEIGH NHS FOUNDATION TRUST</t>
  </si>
  <si>
    <t>THE ROYAL ORTHOPAEDIC HOSPITAL NHS FOUNDATION TRUST</t>
  </si>
  <si>
    <t>UNIVERSITY HOSPITALS BIRMINGHAM NHS FOUNDATION TRUST</t>
  </si>
  <si>
    <t>UNIVERSITY COLLEGE LONDON HOSPITALS NHS FOUNDATION TRUST</t>
  </si>
  <si>
    <t>ROYAL BROMPTON &amp; HAREFIELD NHS FOUNDATION TRUST</t>
  </si>
  <si>
    <t>THE NEWCASTLE UPON TYNE HOSPITALS NHS FOUNDATION TRUST</t>
  </si>
  <si>
    <t>GLOUCESTERSHIRE HOSPITALS NHS FOUNDATION TRUST</t>
  </si>
  <si>
    <t>NORTHUMBRIA HEALTHCARE NHS FOUNDATION TRUST</t>
  </si>
  <si>
    <t>UNIVERSITY HOSPITALS OF DERBY AND BURTON NHS FOUNDATION TRUST</t>
  </si>
  <si>
    <t>OXFORD UNIVERSITY HOSPITALS NHS FOUNDATION TRUST</t>
  </si>
  <si>
    <t>ASHFORD AND ST PETER'S HOSPITALS NHS FOUNDATION TRUST</t>
  </si>
  <si>
    <t>SURREY AND SUSSEX HEALTHCARE NHS TRUST</t>
  </si>
  <si>
    <t>SOUTH TEES HOSPITALS NHS FOUNDATION TRUST</t>
  </si>
  <si>
    <t>UNIVERSITY HOSPITALS OF MORECAMBE BAY NHS FOUNDATION TRUST</t>
  </si>
  <si>
    <t>NORTH BRISTOL NHS TRUST</t>
  </si>
  <si>
    <t>EPSOM AND ST HELIER UNIVERSITY HOSPITALS NHS TRUST</t>
  </si>
  <si>
    <t>EAST KENT HOSPITALS UNIVERSITY NHS FOUNDATION TRUST</t>
  </si>
  <si>
    <t>NORTH TEES AND HARTLEPOOL NHS FOUNDATION TRUST</t>
  </si>
  <si>
    <t>SOUTHPORT AND ORMSKIRK HOSPITAL NHS TRUST</t>
  </si>
  <si>
    <t>PENNINE ACUTE HOSPITALS NHS TRUST</t>
  </si>
  <si>
    <t>HULL AND EAST YORKSHIRE HOSPITALS NHS TRUST</t>
  </si>
  <si>
    <t>UNITED LINCOLNSHIRE HOSPITALS NHS TRUST</t>
  </si>
  <si>
    <t>UNIVERSITY HOSPITALS OF LEICESTER NHS TRUST</t>
  </si>
  <si>
    <t>MAIDSTONE AND TUNBRIDGE WELLS NHS TRUST</t>
  </si>
  <si>
    <t>WEST HERTFORDSHIRE HOSPITALS NHS TRUST</t>
  </si>
  <si>
    <t>EAST AND NORTH HERTFORDSHIRE NHS TRUST</t>
  </si>
  <si>
    <t>STOCKPORT NHS FOUNDATION TRUST</t>
  </si>
  <si>
    <t>WORCESTERSHIRE ACUTE HOSPITALS NHS TRUST</t>
  </si>
  <si>
    <t>WARRINGTON AND HALTON HOSPITALS NHS FOUNDATION TRUST</t>
  </si>
  <si>
    <t>CALDERDALE AND HUDDERSFIELD NHS FOUNDATION TRUST</t>
  </si>
  <si>
    <t>NOTTINGHAM UNIVERSITY HOSPITALS NHS TRUST</t>
  </si>
  <si>
    <t>EAST SUSSEX HEALTHCARE NHS TRUST</t>
  </si>
  <si>
    <t>MID YORKSHIRE HOSPITALS NHS TRUST</t>
  </si>
  <si>
    <t>BRIGHTON AND SUSSEX UNIVERSITY HOSPITALS NHS TRUST</t>
  </si>
  <si>
    <t>SANDWELL AND WEST BIRMINGHAM HOSPITALS NHS TRUST</t>
  </si>
  <si>
    <t>BLACKPOOL TEACHING HOSPITALS NHS FOUNDATION TRUST</t>
  </si>
  <si>
    <t>LANCASHIRE TEACHING HOSPITALS NHS FOUNDATION TRUST</t>
  </si>
  <si>
    <t>COUNTY DURHAM AND DARLINGTON NHS FOUNDATION TRUST</t>
  </si>
  <si>
    <t>BUCKINGHAMSHIRE HEALTHCARE NHS TRUST</t>
  </si>
  <si>
    <t>EAST LANCASHIRE HOSPITALS NHS TRUST</t>
  </si>
  <si>
    <t>SHREWSBURY AND TELFORD HOSPITAL NHS TRUST</t>
  </si>
  <si>
    <t>IMPERIAL COLLEGE HEALTHCARE NHS TRUST</t>
  </si>
  <si>
    <t>WESTERN SUSSEX HOSPITALS NHS FOUNDATION TRUST</t>
  </si>
  <si>
    <t>SUSSEX MSK PARTNERSHIP 2</t>
  </si>
  <si>
    <t>SPIRE HEALTHCARE</t>
  </si>
  <si>
    <t>BMI HEALTHCARE</t>
  </si>
  <si>
    <t>HEART OF ENGLAND NHS FOUNDATION TRUST</t>
  </si>
  <si>
    <t>Responsible Statistician: Michael Barnes, Analytical Section Head, Secondary Care Analysis</t>
  </si>
  <si>
    <t>https://digital.nhs.uk/data-and-information/data-tools-and-services/data-services/hospital-episode-statistics</t>
  </si>
  <si>
    <t>Disclosure Control</t>
  </si>
  <si>
    <t>Publication date: 17 September 2020</t>
  </si>
  <si>
    <t>Hospital Adult Critical Care Activity - 2019-20</t>
  </si>
  <si>
    <t>Link to publication: https://digital.nhs.uk/data-and-information/publications/statistical/hospital-admitted-patient-care-activity/2019-20</t>
  </si>
  <si>
    <t>The tables within this spreadsheet report on hospital adult critical care activity.  The annual publication covers the financial year ending March 2020. The data are taken from the Hospital Episode Statistics (HES) data warehouse. HES contains records of all admissions, appointments, and attendances for patients admitted to NHS hospitals in England. The HES data used in this publication are called adult critical care records. This publication examines critical care periods, patient demographics and provides clinical analysis.</t>
  </si>
  <si>
    <t>Copyright © 2020</t>
  </si>
  <si>
    <t>Tables 1 to 15 refer to data that can be found in the Hospital Adult Critical Care Activity - 2019-20 Report</t>
  </si>
  <si>
    <t>Tables 16 to 18 refer to data that can be found in the Hospital Adult Critical Care Activity - 2019-20 Report: Appendix 1 - Data Quality Statement</t>
  </si>
  <si>
    <t xml:space="preserve">1. Critical care periods should be reported when the episodes to which they relate are complete. Some critical care periods associated with hospital admitted patient episodes which are still ongoing at the end of the period of coverage (i.e., at the end of March 2020) will not be reported into the system until the following financial year, when they have finished, and are therefore not included for analysis. </t>
  </si>
  <si>
    <t>2019-20</t>
  </si>
  <si>
    <t>Table 3: Count of critical care records by provider and month of discharge, 2019-20</t>
  </si>
  <si>
    <t xml:space="preserve">2. Critical care periods should be reported when the episodes to which they relate are complete. Some critical care periods associated with hospital admitted patient episodes which are still ongoing at the end of the period of coverage (i.e., at the end of March 2020) will not be reported into the system until the following financial year, when they have finished, and are therefore not included for analysis. </t>
  </si>
  <si>
    <t>April 
2019</t>
  </si>
  <si>
    <t>May 
2019</t>
  </si>
  <si>
    <t>June 
2019</t>
  </si>
  <si>
    <t>July 
2019</t>
  </si>
  <si>
    <t>August 2019</t>
  </si>
  <si>
    <t>September 2019</t>
  </si>
  <si>
    <t>October 2019</t>
  </si>
  <si>
    <t>November 2019</t>
  </si>
  <si>
    <t>Decemeber 2019</t>
  </si>
  <si>
    <t>January 2020</t>
  </si>
  <si>
    <t>February 2020</t>
  </si>
  <si>
    <t>March 2020</t>
  </si>
  <si>
    <t>NW6</t>
  </si>
  <si>
    <t>R0B</t>
  </si>
  <si>
    <t>RNN</t>
  </si>
  <si>
    <t>CUMBRIA PARTNERSHIP NHS FOUNDATION TRUST</t>
  </si>
  <si>
    <t>SOUTH TYNESIDE AND SUNDERLAND NHS FOUNDATION TRUST</t>
  </si>
  <si>
    <t>HCA INTERNATIONAL</t>
  </si>
  <si>
    <t>4. Critical care periods should be reported when the episodes to which they relate are complete. Some critical care periods associated with hospital admitted patient episodes which are still ongoing at the end of the period of coverage (i.e., at the end of March 2020) will not be reported into the system until the following financial year, when they have finished, and are therefore not included for analysis.</t>
  </si>
  <si>
    <t>RBS</t>
  </si>
  <si>
    <t>ALDER HEY CHILDREN'S NHS FOUNDATION TRUST</t>
  </si>
  <si>
    <t>RCU</t>
  </si>
  <si>
    <t>SHEFFIELD CHILDREN'S NHS FOUNDATION TRUST</t>
  </si>
  <si>
    <t>REP</t>
  </si>
  <si>
    <t>LIVERPOOL WOMEN'S NHS FOUNDATION TRUST</t>
  </si>
  <si>
    <t>RP4</t>
  </si>
  <si>
    <t>GREAT ORMOND STREET HOSPITAL FOR CHILDREN NHS FOUNDATION TRUST</t>
  </si>
  <si>
    <t>SPIRE HEALTH TRUSTS</t>
  </si>
  <si>
    <t>BMI HEALTH TRUSTS</t>
  </si>
  <si>
    <t>THE PRINCESS GRACE HOSPITAL</t>
  </si>
  <si>
    <t>SUSSEX MSK PARTNERSHIP 2 LTD</t>
  </si>
  <si>
    <t>The collection and publication of critical care capacity data by NHS England for March was suspended due to the coronavirus illness (COVID-19) and the need to release capacity across the NHS to support the response.</t>
  </si>
  <si>
    <t xml:space="preserve">5. Figures for this month are low due to the last Thursday of March 2020 falling on 26 March 2020.  Therefore critical care records would have had to have been opened on or before 26 March 2020 and closed on 31 March 2019 to be included in the count.  See the Supporting Information document for further information. </t>
  </si>
  <si>
    <t>-</t>
  </si>
  <si>
    <t>*</t>
  </si>
  <si>
    <r>
      <t>Table 18: Comparison of available beds reported in SitReps</t>
    </r>
    <r>
      <rPr>
        <b/>
        <vertAlign val="superscript"/>
        <sz val="14"/>
        <color rgb="FF005EB8"/>
        <rFont val="Arial"/>
        <family val="2"/>
      </rPr>
      <t>1</t>
    </r>
    <r>
      <rPr>
        <b/>
        <sz val="14"/>
        <color rgb="FF005EB8"/>
        <rFont val="Arial"/>
        <family val="2"/>
      </rPr>
      <t xml:space="preserve"> and the number of open critical care records on the last Thursday of the reporting period </t>
    </r>
    <r>
      <rPr>
        <b/>
        <vertAlign val="superscript"/>
        <sz val="14"/>
        <color rgb="FF005EB8"/>
        <rFont val="Arial"/>
        <family val="2"/>
      </rPr>
      <t>2, 3, 4</t>
    </r>
    <r>
      <rPr>
        <b/>
        <sz val="14"/>
        <color rgb="FF005EB8"/>
        <rFont val="Arial"/>
        <family val="2"/>
      </rPr>
      <t>, 2019-20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</si>
</sst>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_-* #,##0_-;\-* #,##0_-;_-* &quot;-&quot;??_-;_-@_-"/>
    <numFmt numFmtId="166" formatCode="0.0"/>
    <numFmt numFmtId="167" formatCode="#,##0.0"/>
    <numFmt numFmtId="168" formatCode="#,##0.000"/>
    <numFmt numFmtId="169" formatCode="#,##0_ ;\-#,##0\ "/>
    <numFmt numFmtId="170" formatCode="_-* #,##0.000_-;\-* #,##0.000_-;_-* &quot;-&quot;??_-;_-@_-"/>
  </numFmts>
  <fonts count="44" x14ac:knownFonts="1">
    <font>
      <sz val="11"/>
      <color theme="1"/>
      <name val="Calibri"/>
      <family val="2"/>
      <scheme val="minor"/>
    </font>
    <font>
      <sz val="11"/>
      <color theme="1"/>
      <name val="Arial"/>
      <family val="2"/>
    </font>
    <font>
      <sz val="11"/>
      <color theme="1"/>
      <name val="Arial"/>
      <family val="2"/>
    </font>
    <font>
      <sz val="11"/>
      <color theme="1"/>
      <name val="Calibri"/>
      <family val="2"/>
      <scheme val="minor"/>
    </font>
    <font>
      <sz val="10"/>
      <name val="Arial"/>
      <family val="2"/>
    </font>
    <font>
      <sz val="8"/>
      <name val="Arial"/>
      <family val="2"/>
    </font>
    <font>
      <b/>
      <sz val="8"/>
      <name val="Arial"/>
      <family val="2"/>
    </font>
    <font>
      <u/>
      <sz val="10"/>
      <color indexed="12"/>
      <name val="Arial"/>
      <family val="2"/>
    </font>
    <font>
      <b/>
      <sz val="10"/>
      <name val="Arial"/>
      <family val="2"/>
    </font>
    <font>
      <sz val="9"/>
      <name val="Arial"/>
      <family val="2"/>
    </font>
    <font>
      <sz val="10"/>
      <name val="Arial"/>
      <family val="2"/>
    </font>
    <font>
      <b/>
      <vertAlign val="superscript"/>
      <sz val="10"/>
      <name val="Arial"/>
      <family val="2"/>
    </font>
    <font>
      <sz val="10"/>
      <color indexed="12"/>
      <name val="Arial"/>
      <family val="2"/>
    </font>
    <font>
      <i/>
      <sz val="10"/>
      <name val="Arial"/>
      <family val="2"/>
    </font>
    <font>
      <sz val="10"/>
      <color indexed="8"/>
      <name val="MS Sans Serif"/>
      <family val="2"/>
    </font>
    <font>
      <b/>
      <sz val="8"/>
      <color indexed="10"/>
      <name val="Arial"/>
      <family val="2"/>
    </font>
    <font>
      <i/>
      <sz val="9"/>
      <name val="Arial"/>
      <family val="2"/>
    </font>
    <font>
      <sz val="8"/>
      <color theme="1"/>
      <name val="Arial"/>
      <family val="2"/>
    </font>
    <font>
      <sz val="10"/>
      <color indexed="8"/>
      <name val="Arial"/>
      <family val="2"/>
    </font>
    <font>
      <sz val="10"/>
      <color theme="1"/>
      <name val="Arial"/>
      <family val="2"/>
    </font>
    <font>
      <b/>
      <sz val="14"/>
      <name val="Arial"/>
      <family val="2"/>
    </font>
    <font>
      <sz val="9"/>
      <color theme="1"/>
      <name val="Arial"/>
      <family val="2"/>
    </font>
    <font>
      <sz val="10"/>
      <color rgb="FFFF0000"/>
      <name val="Arial"/>
      <family val="2"/>
    </font>
    <font>
      <sz val="10"/>
      <color rgb="FF003360"/>
      <name val="Arial"/>
      <family val="2"/>
    </font>
    <font>
      <b/>
      <sz val="10"/>
      <color theme="1"/>
      <name val="Arial"/>
      <family val="2"/>
    </font>
    <font>
      <sz val="9"/>
      <color indexed="8"/>
      <name val="Arial"/>
      <family val="2"/>
    </font>
    <font>
      <b/>
      <sz val="11"/>
      <color theme="1"/>
      <name val="Arial"/>
      <family val="2"/>
    </font>
    <font>
      <u/>
      <sz val="11"/>
      <color theme="10"/>
      <name val="Calibri"/>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0"/>
      <color rgb="FF424D58"/>
      <name val="Arial"/>
      <family val="2"/>
    </font>
    <font>
      <b/>
      <sz val="27"/>
      <color rgb="FF005EB8"/>
      <name val="Arial"/>
      <family val="2"/>
    </font>
    <font>
      <sz val="9.5"/>
      <color rgb="FF000000"/>
      <name val="Arial"/>
      <family val="2"/>
    </font>
    <font>
      <sz val="9.5"/>
      <color rgb="FF000000"/>
      <name val="Arial"/>
      <family val="2"/>
    </font>
    <font>
      <u/>
      <sz val="10"/>
      <color rgb="FF0000FF"/>
      <name val="Arial"/>
      <family val="2"/>
    </font>
    <font>
      <b/>
      <sz val="14"/>
      <color rgb="FF005EB8"/>
      <name val="Arial"/>
      <family val="2"/>
    </font>
    <font>
      <b/>
      <vertAlign val="superscript"/>
      <sz val="14"/>
      <color rgb="FF005EB8"/>
      <name val="Arial"/>
      <family val="2"/>
    </font>
    <font>
      <sz val="9"/>
      <name val="Calibri"/>
      <family val="2"/>
    </font>
    <font>
      <b/>
      <sz val="11"/>
      <color theme="1"/>
      <name val="Calibri"/>
      <family val="2"/>
      <scheme val="minor"/>
    </font>
    <font>
      <b/>
      <sz val="8"/>
      <color theme="1"/>
      <name val="Arial"/>
      <family val="2"/>
    </font>
    <font>
      <sz val="9.5"/>
      <color rgb="FF000000"/>
      <name val="Arial"/>
      <family val="2"/>
    </font>
  </fonts>
  <fills count="9">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theme="0"/>
        <bgColor indexed="64"/>
      </patternFill>
    </fill>
    <fill>
      <patternFill patternType="solid">
        <fgColor rgb="FFFFFFCC"/>
      </patternFill>
    </fill>
    <fill>
      <patternFill patternType="solid">
        <fgColor indexed="26"/>
      </patternFill>
    </fill>
    <fill>
      <patternFill patternType="solid">
        <fgColor rgb="FF005EB8"/>
        <bgColor indexed="64"/>
      </patternFill>
    </fill>
    <fill>
      <patternFill patternType="solid">
        <fgColor rgb="FF84919C"/>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bottom style="thin">
        <color indexed="64"/>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style="medium">
        <color theme="0" tint="-0.249977111117893"/>
      </left>
      <right/>
      <top/>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auto="1"/>
      </left>
      <right style="hair">
        <color auto="1"/>
      </right>
      <top/>
      <bottom/>
      <diagonal/>
    </border>
    <border>
      <left style="hair">
        <color auto="1"/>
      </left>
      <right style="thin">
        <color auto="1"/>
      </right>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s>
  <cellStyleXfs count="33">
    <xf numFmtId="0" fontId="0" fillId="0" borderId="0"/>
    <xf numFmtId="0" fontId="4" fillId="0" borderId="0"/>
    <xf numFmtId="0" fontId="7" fillId="0" borderId="0" applyNumberFormat="0" applyFill="0" applyBorder="0" applyAlignment="0" applyProtection="0">
      <alignment vertical="top"/>
      <protection locked="0"/>
    </xf>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4" fillId="0" borderId="0"/>
    <xf numFmtId="0" fontId="3" fillId="0" borderId="0"/>
    <xf numFmtId="9" fontId="3" fillId="0" borderId="0" applyFont="0" applyFill="0" applyBorder="0" applyAlignment="0" applyProtection="0"/>
    <xf numFmtId="9" fontId="4"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xf numFmtId="0" fontId="27" fillId="0" borderId="0" applyNumberForma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29" fillId="0" borderId="0" applyNumberFormat="0" applyFill="0" applyBorder="0" applyAlignment="0" applyProtection="0"/>
    <xf numFmtId="0" fontId="4" fillId="0" borderId="0"/>
    <xf numFmtId="0" fontId="2" fillId="0" borderId="0"/>
    <xf numFmtId="0" fontId="2" fillId="0" borderId="0"/>
    <xf numFmtId="0" fontId="4" fillId="0" borderId="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4" fillId="0" borderId="0" applyFont="0" applyFill="0" applyBorder="0" applyAlignment="0" applyProtection="0"/>
    <xf numFmtId="9" fontId="30" fillId="0" borderId="0" applyFont="0" applyFill="0" applyBorder="0" applyAlignment="0" applyProtection="0"/>
    <xf numFmtId="0" fontId="28" fillId="0" borderId="0" applyNumberFormat="0" applyFill="0" applyBorder="0" applyAlignment="0" applyProtection="0">
      <alignment vertical="top"/>
      <protection locked="0"/>
    </xf>
    <xf numFmtId="0" fontId="31" fillId="0" borderId="0" applyNumberFormat="0" applyFill="0" applyBorder="0" applyAlignment="0" applyProtection="0"/>
    <xf numFmtId="0" fontId="32" fillId="5" borderId="5" applyNumberFormat="0" applyFont="0" applyAlignment="0" applyProtection="0"/>
    <xf numFmtId="0" fontId="32" fillId="6" borderId="17" applyNumberFormat="0" applyFont="0" applyAlignment="0" applyProtection="0"/>
    <xf numFmtId="0" fontId="35" fillId="0" borderId="0"/>
    <xf numFmtId="0" fontId="36" fillId="0" borderId="0"/>
    <xf numFmtId="0" fontId="43" fillId="0" borderId="0"/>
  </cellStyleXfs>
  <cellXfs count="614">
    <xf numFmtId="0" fontId="0" fillId="0" borderId="0" xfId="0"/>
    <xf numFmtId="0" fontId="4" fillId="2" borderId="0" xfId="1" applyFill="1"/>
    <xf numFmtId="0" fontId="8" fillId="2" borderId="0" xfId="1" applyFont="1" applyFill="1"/>
    <xf numFmtId="0" fontId="9" fillId="2" borderId="0" xfId="1" applyFont="1" applyFill="1"/>
    <xf numFmtId="164" fontId="8" fillId="0" borderId="0" xfId="3" applyNumberFormat="1" applyFont="1" applyBorder="1" applyAlignment="1">
      <alignment horizontal="right" indent="3"/>
    </xf>
    <xf numFmtId="3" fontId="8" fillId="0" borderId="0" xfId="1" applyNumberFormat="1" applyFont="1" applyBorder="1" applyAlignment="1">
      <alignment horizontal="right" indent="3"/>
    </xf>
    <xf numFmtId="164" fontId="8" fillId="0" borderId="0" xfId="3" applyNumberFormat="1" applyFont="1" applyBorder="1" applyAlignment="1">
      <alignment horizontal="center"/>
    </xf>
    <xf numFmtId="3" fontId="8" fillId="0" borderId="0" xfId="1" applyNumberFormat="1" applyFont="1" applyBorder="1" applyAlignment="1">
      <alignment horizontal="center"/>
    </xf>
    <xf numFmtId="0" fontId="8" fillId="2" borderId="0" xfId="1" applyFont="1" applyFill="1" applyBorder="1"/>
    <xf numFmtId="0" fontId="4" fillId="2" borderId="0" xfId="1" applyFill="1" applyAlignment="1"/>
    <xf numFmtId="0" fontId="4" fillId="0" borderId="0" xfId="1"/>
    <xf numFmtId="0" fontId="12" fillId="0" borderId="0" xfId="1" applyFont="1"/>
    <xf numFmtId="0" fontId="13" fillId="0" borderId="0" xfId="1" applyFont="1"/>
    <xf numFmtId="0" fontId="8" fillId="2" borderId="0" xfId="1" applyFont="1" applyFill="1" applyAlignment="1"/>
    <xf numFmtId="0" fontId="4" fillId="2" borderId="0" xfId="1" applyFill="1" applyAlignment="1">
      <alignment vertical="center" wrapText="1"/>
    </xf>
    <xf numFmtId="3" fontId="8" fillId="0" borderId="0" xfId="1" applyNumberFormat="1" applyFont="1" applyBorder="1"/>
    <xf numFmtId="0" fontId="5" fillId="2" borderId="0" xfId="1" applyFont="1" applyFill="1" applyAlignment="1">
      <alignment vertical="center"/>
    </xf>
    <xf numFmtId="0" fontId="16" fillId="2" borderId="0" xfId="1" applyFont="1" applyFill="1" applyAlignment="1">
      <alignment wrapText="1"/>
    </xf>
    <xf numFmtId="0" fontId="8" fillId="0" borderId="0" xfId="1" applyFont="1" applyBorder="1" applyAlignment="1">
      <alignment vertical="center"/>
    </xf>
    <xf numFmtId="0" fontId="8" fillId="0" borderId="0" xfId="1" applyFont="1" applyBorder="1" applyAlignment="1">
      <alignment horizontal="left"/>
    </xf>
    <xf numFmtId="164" fontId="4" fillId="2" borderId="0" xfId="1" applyNumberFormat="1" applyFill="1"/>
    <xf numFmtId="164" fontId="8" fillId="0" borderId="0" xfId="3" applyNumberFormat="1" applyFont="1" applyBorder="1" applyAlignment="1">
      <alignment horizontal="right" vertical="center" indent="3"/>
    </xf>
    <xf numFmtId="3" fontId="8" fillId="0" borderId="0" xfId="1" applyNumberFormat="1" applyFont="1" applyBorder="1" applyAlignment="1">
      <alignment horizontal="right" vertical="center" indent="3"/>
    </xf>
    <xf numFmtId="0" fontId="8" fillId="2" borderId="0" xfId="1" applyFont="1" applyFill="1" applyBorder="1" applyAlignment="1">
      <alignment wrapText="1"/>
    </xf>
    <xf numFmtId="0" fontId="4" fillId="2" borderId="0" xfId="1" applyFill="1" applyAlignment="1">
      <alignment wrapText="1"/>
    </xf>
    <xf numFmtId="0" fontId="8" fillId="0" borderId="0" xfId="1" applyFont="1" applyBorder="1" applyAlignment="1">
      <alignment horizontal="left" wrapText="1"/>
    </xf>
    <xf numFmtId="0" fontId="8" fillId="0" borderId="0" xfId="1" applyFont="1" applyBorder="1" applyAlignment="1">
      <alignment horizontal="left" vertical="center" wrapText="1"/>
    </xf>
    <xf numFmtId="0" fontId="8" fillId="2" borderId="0" xfId="1" applyFont="1" applyFill="1" applyBorder="1" applyAlignment="1">
      <alignment horizontal="left"/>
    </xf>
    <xf numFmtId="0" fontId="4" fillId="2" borderId="0" xfId="1" applyFill="1" applyBorder="1" applyAlignment="1"/>
    <xf numFmtId="166" fontId="4" fillId="2" borderId="0" xfId="1" applyNumberFormat="1" applyFill="1"/>
    <xf numFmtId="0" fontId="4" fillId="2" borderId="0" xfId="1" applyFill="1" applyBorder="1"/>
    <xf numFmtId="166" fontId="10" fillId="2" borderId="0" xfId="1" applyNumberFormat="1" applyFont="1" applyFill="1"/>
    <xf numFmtId="164" fontId="8" fillId="0" borderId="0" xfId="3" applyNumberFormat="1" applyFont="1" applyFill="1" applyBorder="1" applyAlignment="1">
      <alignment horizontal="center"/>
    </xf>
    <xf numFmtId="3" fontId="8" fillId="0" borderId="0" xfId="1" applyNumberFormat="1" applyFont="1" applyFill="1" applyBorder="1" applyAlignment="1">
      <alignment horizontal="center"/>
    </xf>
    <xf numFmtId="0" fontId="8" fillId="0" borderId="0" xfId="1" applyFont="1" applyFill="1" applyBorder="1"/>
    <xf numFmtId="164" fontId="8" fillId="0" borderId="0" xfId="3" applyNumberFormat="1" applyFont="1" applyBorder="1" applyAlignment="1">
      <alignment horizontal="center" vertical="center"/>
    </xf>
    <xf numFmtId="3" fontId="8" fillId="0" borderId="0" xfId="1" applyNumberFormat="1" applyFont="1" applyBorder="1" applyAlignment="1">
      <alignment horizontal="center" vertical="center"/>
    </xf>
    <xf numFmtId="0" fontId="8" fillId="2" borderId="0" xfId="1" applyFont="1" applyFill="1" applyBorder="1" applyAlignment="1">
      <alignment vertical="center" wrapText="1"/>
    </xf>
    <xf numFmtId="0" fontId="8" fillId="2" borderId="0" xfId="1" applyFont="1" applyFill="1" applyAlignment="1">
      <alignment vertical="center"/>
    </xf>
    <xf numFmtId="3" fontId="4" fillId="0" borderId="0" xfId="1" applyNumberFormat="1" applyBorder="1" applyAlignment="1">
      <alignment horizontal="center"/>
    </xf>
    <xf numFmtId="3" fontId="4" fillId="0" borderId="0" xfId="1" applyNumberFormat="1" applyBorder="1" applyAlignment="1">
      <alignment horizontal="right" indent="6"/>
    </xf>
    <xf numFmtId="0" fontId="3" fillId="0" borderId="0" xfId="8"/>
    <xf numFmtId="0" fontId="17" fillId="0" borderId="0" xfId="8" applyFont="1"/>
    <xf numFmtId="0" fontId="10" fillId="0" borderId="0" xfId="6"/>
    <xf numFmtId="3" fontId="18" fillId="0" borderId="0" xfId="7" applyNumberFormat="1" applyFont="1" applyFill="1" applyBorder="1" applyAlignment="1">
      <alignment horizontal="right" wrapText="1"/>
    </xf>
    <xf numFmtId="0" fontId="10" fillId="0" borderId="0" xfId="6" applyAlignment="1">
      <alignment vertical="center"/>
    </xf>
    <xf numFmtId="0" fontId="10" fillId="0" borderId="0" xfId="6" applyAlignment="1">
      <alignment horizontal="center"/>
    </xf>
    <xf numFmtId="0" fontId="15" fillId="2" borderId="0" xfId="6" applyFont="1" applyFill="1"/>
    <xf numFmtId="0" fontId="12" fillId="0" borderId="0" xfId="6" applyFont="1"/>
    <xf numFmtId="164" fontId="4" fillId="2" borderId="0" xfId="9" applyNumberFormat="1" applyFont="1" applyFill="1"/>
    <xf numFmtId="164" fontId="8" fillId="0" borderId="0" xfId="10" applyNumberFormat="1" applyFont="1" applyBorder="1" applyAlignment="1">
      <alignment horizontal="center"/>
    </xf>
    <xf numFmtId="0" fontId="20" fillId="0" borderId="0" xfId="1" applyFont="1"/>
    <xf numFmtId="0" fontId="20" fillId="0" borderId="0" xfId="1" applyFont="1" applyAlignment="1"/>
    <xf numFmtId="0" fontId="9" fillId="2" borderId="0" xfId="1" applyFont="1" applyFill="1" applyAlignment="1">
      <alignment horizontal="left"/>
    </xf>
    <xf numFmtId="0" fontId="4" fillId="2" borderId="0" xfId="1" applyFill="1" applyAlignment="1">
      <alignment horizontal="left"/>
    </xf>
    <xf numFmtId="0" fontId="23" fillId="0" borderId="0" xfId="1" applyFont="1"/>
    <xf numFmtId="0" fontId="8" fillId="0" borderId="0" xfId="1" applyFont="1" applyFill="1" applyBorder="1" applyAlignment="1">
      <alignment wrapText="1"/>
    </xf>
    <xf numFmtId="0" fontId="4" fillId="0" borderId="0" xfId="1" applyFont="1" applyFill="1" applyBorder="1" applyAlignment="1">
      <alignment horizontal="right" indent="2"/>
    </xf>
    <xf numFmtId="164" fontId="4" fillId="0" borderId="0" xfId="1" applyNumberFormat="1" applyFont="1" applyFill="1" applyBorder="1" applyAlignment="1">
      <alignment horizontal="right" indent="2"/>
    </xf>
    <xf numFmtId="0" fontId="4" fillId="2" borderId="0" xfId="1" applyFont="1" applyFill="1" applyBorder="1" applyAlignment="1">
      <alignment wrapText="1"/>
    </xf>
    <xf numFmtId="164" fontId="0" fillId="0" borderId="0" xfId="12" applyNumberFormat="1" applyFont="1" applyBorder="1" applyAlignment="1">
      <alignment horizontal="center"/>
    </xf>
    <xf numFmtId="0" fontId="4" fillId="2" borderId="0" xfId="1" applyFont="1" applyFill="1" applyBorder="1" applyAlignment="1">
      <alignment horizontal="left"/>
    </xf>
    <xf numFmtId="3" fontId="4" fillId="0" borderId="0" xfId="1" applyNumberFormat="1" applyFont="1" applyFill="1" applyBorder="1" applyAlignment="1">
      <alignment horizontal="right" indent="6"/>
    </xf>
    <xf numFmtId="49" fontId="4" fillId="2" borderId="0" xfId="6" applyNumberFormat="1" applyFont="1" applyFill="1" applyBorder="1" applyAlignment="1">
      <alignment horizontal="center" vertical="center"/>
    </xf>
    <xf numFmtId="1" fontId="4" fillId="2" borderId="0" xfId="6" applyNumberFormat="1" applyFont="1" applyFill="1" applyBorder="1" applyAlignment="1">
      <alignment horizontal="center" vertical="center" wrapText="1"/>
    </xf>
    <xf numFmtId="0" fontId="4" fillId="2" borderId="0" xfId="6" applyFont="1" applyFill="1" applyBorder="1" applyAlignment="1">
      <alignment horizontal="left" indent="2"/>
    </xf>
    <xf numFmtId="0" fontId="21" fillId="0" borderId="0" xfId="8" applyFont="1" applyBorder="1"/>
    <xf numFmtId="3" fontId="25" fillId="0" borderId="0" xfId="7" applyNumberFormat="1" applyFont="1" applyFill="1" applyBorder="1" applyAlignment="1">
      <alignment horizontal="right" wrapText="1"/>
    </xf>
    <xf numFmtId="0" fontId="9" fillId="0" borderId="0" xfId="6" applyFont="1"/>
    <xf numFmtId="0" fontId="9" fillId="2" borderId="0" xfId="6" applyFont="1" applyFill="1" applyBorder="1"/>
    <xf numFmtId="0" fontId="9" fillId="0" borderId="0" xfId="6" applyFont="1" applyBorder="1"/>
    <xf numFmtId="0" fontId="21" fillId="0" borderId="0" xfId="8" applyFont="1"/>
    <xf numFmtId="0" fontId="7" fillId="2" borderId="0" xfId="2" applyFill="1" applyAlignment="1" applyProtection="1"/>
    <xf numFmtId="3" fontId="8" fillId="0" borderId="0" xfId="1" applyNumberFormat="1" applyFont="1" applyBorder="1" applyAlignment="1">
      <alignment vertical="center"/>
    </xf>
    <xf numFmtId="166" fontId="8" fillId="0" borderId="0" xfId="1" applyNumberFormat="1" applyFont="1" applyBorder="1" applyAlignment="1">
      <alignment vertical="center"/>
    </xf>
    <xf numFmtId="3" fontId="8" fillId="0" borderId="0" xfId="1" applyNumberFormat="1" applyFont="1" applyBorder="1" applyAlignment="1">
      <alignment horizontal="right" vertical="center" indent="1"/>
    </xf>
    <xf numFmtId="166" fontId="8" fillId="0" borderId="0" xfId="1" applyNumberFormat="1" applyFont="1" applyBorder="1" applyAlignment="1">
      <alignment horizontal="right" vertical="center" indent="2"/>
    </xf>
    <xf numFmtId="0" fontId="4" fillId="2" borderId="0" xfId="0" applyFont="1" applyFill="1" applyAlignment="1">
      <alignment vertical="top"/>
    </xf>
    <xf numFmtId="0" fontId="9" fillId="2" borderId="0" xfId="0" applyFont="1" applyFill="1" applyAlignment="1">
      <alignment vertical="top" wrapText="1"/>
    </xf>
    <xf numFmtId="0" fontId="4" fillId="2" borderId="0" xfId="6" applyFont="1" applyFill="1" applyAlignment="1">
      <alignment vertical="center" wrapText="1"/>
    </xf>
    <xf numFmtId="0" fontId="4" fillId="0" borderId="0" xfId="1" applyFill="1"/>
    <xf numFmtId="0" fontId="4" fillId="0" borderId="0" xfId="1" applyFill="1" applyAlignment="1">
      <alignment vertical="center" wrapText="1"/>
    </xf>
    <xf numFmtId="0" fontId="8" fillId="0" borderId="0" xfId="1" applyFont="1" applyFill="1"/>
    <xf numFmtId="0" fontId="12" fillId="0" borderId="0" xfId="1" applyFont="1" applyFill="1"/>
    <xf numFmtId="0" fontId="15" fillId="0" borderId="0" xfId="1" applyFont="1" applyFill="1"/>
    <xf numFmtId="0" fontId="5" fillId="0" borderId="0" xfId="1" applyFont="1" applyFill="1" applyAlignment="1">
      <alignment vertical="center" wrapText="1"/>
    </xf>
    <xf numFmtId="3" fontId="5" fillId="0" borderId="0" xfId="1" applyNumberFormat="1" applyFont="1" applyFill="1" applyAlignment="1">
      <alignment horizontal="center"/>
    </xf>
    <xf numFmtId="0" fontId="5" fillId="0" borderId="0" xfId="1" applyFont="1" applyFill="1"/>
    <xf numFmtId="0" fontId="6" fillId="0" borderId="0" xfId="1" applyFont="1" applyFill="1" applyAlignment="1">
      <alignment vertical="center" wrapText="1"/>
    </xf>
    <xf numFmtId="0" fontId="5" fillId="0" borderId="0" xfId="1" applyFont="1" applyFill="1" applyAlignment="1">
      <alignment vertical="center"/>
    </xf>
    <xf numFmtId="0" fontId="4" fillId="0" borderId="0" xfId="1" applyFill="1" applyBorder="1"/>
    <xf numFmtId="0" fontId="4" fillId="0" borderId="0" xfId="1" applyFill="1" applyAlignment="1"/>
    <xf numFmtId="0" fontId="5" fillId="0" borderId="0" xfId="1" applyFont="1" applyFill="1" applyAlignment="1"/>
    <xf numFmtId="0" fontId="8" fillId="2" borderId="1" xfId="1" applyFont="1" applyFill="1" applyBorder="1" applyAlignment="1">
      <alignment horizontal="left" vertical="center" wrapText="1"/>
    </xf>
    <xf numFmtId="0" fontId="8" fillId="2" borderId="12" xfId="1" applyFont="1" applyFill="1" applyBorder="1" applyAlignment="1">
      <alignment horizontal="left"/>
    </xf>
    <xf numFmtId="3" fontId="8" fillId="2" borderId="13" xfId="1" applyNumberFormat="1" applyFont="1" applyFill="1" applyBorder="1" applyAlignment="1">
      <alignment horizontal="center" vertical="center" wrapText="1"/>
    </xf>
    <xf numFmtId="0" fontId="8" fillId="2" borderId="13" xfId="1" applyFont="1" applyFill="1" applyBorder="1" applyAlignment="1">
      <alignment horizontal="center" vertical="center" wrapText="1"/>
    </xf>
    <xf numFmtId="0" fontId="8" fillId="2" borderId="4" xfId="1" applyFont="1" applyFill="1" applyBorder="1" applyAlignment="1">
      <alignment horizontal="center" vertical="center" wrapText="1"/>
    </xf>
    <xf numFmtId="3" fontId="8" fillId="2" borderId="7" xfId="1" applyNumberFormat="1" applyFont="1" applyFill="1" applyBorder="1" applyAlignment="1">
      <alignment horizontal="center" vertical="center" wrapText="1"/>
    </xf>
    <xf numFmtId="0" fontId="8" fillId="2" borderId="8" xfId="1" applyFont="1" applyFill="1" applyBorder="1" applyAlignment="1">
      <alignment horizontal="center" vertical="center" wrapText="1"/>
    </xf>
    <xf numFmtId="164" fontId="8" fillId="0" borderId="11" xfId="10" applyNumberFormat="1" applyFont="1" applyBorder="1" applyAlignment="1">
      <alignment horizontal="right" vertical="center"/>
    </xf>
    <xf numFmtId="0" fontId="8" fillId="2" borderId="2" xfId="1" applyFont="1" applyFill="1" applyBorder="1" applyAlignment="1">
      <alignment horizontal="left" vertical="center" wrapText="1"/>
    </xf>
    <xf numFmtId="0" fontId="8" fillId="2" borderId="2" xfId="1" applyFont="1" applyFill="1" applyBorder="1" applyAlignment="1">
      <alignment horizontal="left"/>
    </xf>
    <xf numFmtId="3" fontId="8" fillId="2" borderId="6" xfId="1" applyNumberFormat="1" applyFont="1" applyFill="1" applyBorder="1" applyAlignment="1">
      <alignment horizontal="center" vertical="center" wrapText="1"/>
    </xf>
    <xf numFmtId="3" fontId="4" fillId="0" borderId="6" xfId="1" applyNumberFormat="1" applyFont="1" applyBorder="1" applyAlignment="1">
      <alignment horizontal="right" vertical="center"/>
    </xf>
    <xf numFmtId="3" fontId="4" fillId="0" borderId="15" xfId="1" applyNumberFormat="1" applyFont="1" applyBorder="1" applyAlignment="1">
      <alignment horizontal="right" vertical="center"/>
    </xf>
    <xf numFmtId="3" fontId="4" fillId="0" borderId="9" xfId="1" applyNumberFormat="1" applyFont="1" applyBorder="1" applyAlignment="1">
      <alignment horizontal="right" vertical="center"/>
    </xf>
    <xf numFmtId="3" fontId="8" fillId="0" borderId="9" xfId="1" applyNumberFormat="1" applyFont="1" applyBorder="1" applyAlignment="1">
      <alignment horizontal="right" vertical="center"/>
    </xf>
    <xf numFmtId="3" fontId="8" fillId="2" borderId="16" xfId="1" applyNumberFormat="1" applyFont="1" applyFill="1" applyBorder="1" applyAlignment="1">
      <alignment horizontal="center" vertical="center" wrapText="1"/>
    </xf>
    <xf numFmtId="0" fontId="4" fillId="2" borderId="0" xfId="1" applyFont="1" applyFill="1"/>
    <xf numFmtId="164" fontId="8" fillId="0" borderId="11" xfId="3" applyNumberFormat="1" applyFont="1" applyBorder="1" applyAlignment="1">
      <alignment horizontal="right"/>
    </xf>
    <xf numFmtId="0" fontId="8" fillId="2" borderId="2" xfId="1" applyFont="1" applyFill="1" applyBorder="1" applyAlignment="1">
      <alignment vertical="center"/>
    </xf>
    <xf numFmtId="0" fontId="8" fillId="0" borderId="12" xfId="1" applyFont="1" applyBorder="1" applyAlignment="1"/>
    <xf numFmtId="164" fontId="19" fillId="0" borderId="11" xfId="3" applyNumberFormat="1" applyFont="1" applyBorder="1" applyAlignment="1">
      <alignment horizontal="right"/>
    </xf>
    <xf numFmtId="0" fontId="8" fillId="4" borderId="0" xfId="8" applyFont="1" applyFill="1" applyBorder="1"/>
    <xf numFmtId="10" fontId="19" fillId="4" borderId="0" xfId="12" applyNumberFormat="1" applyFont="1" applyFill="1" applyBorder="1"/>
    <xf numFmtId="0" fontId="19" fillId="4" borderId="0" xfId="8" applyFont="1" applyFill="1"/>
    <xf numFmtId="0" fontId="2" fillId="4" borderId="0" xfId="0" applyFont="1" applyFill="1"/>
    <xf numFmtId="0" fontId="19" fillId="4" borderId="0" xfId="8" applyFont="1" applyFill="1"/>
    <xf numFmtId="0" fontId="8" fillId="4" borderId="0" xfId="8" applyFont="1" applyFill="1" applyBorder="1"/>
    <xf numFmtId="10" fontId="19" fillId="4" borderId="0" xfId="12" applyNumberFormat="1" applyFont="1" applyFill="1" applyBorder="1"/>
    <xf numFmtId="0" fontId="26" fillId="4" borderId="0" xfId="0" applyFont="1" applyFill="1"/>
    <xf numFmtId="0" fontId="4" fillId="2" borderId="0" xfId="1" applyFont="1" applyFill="1" applyAlignment="1"/>
    <xf numFmtId="0" fontId="8" fillId="2" borderId="12" xfId="1" applyFont="1" applyFill="1" applyBorder="1" applyAlignment="1">
      <alignment wrapText="1"/>
    </xf>
    <xf numFmtId="0" fontId="8" fillId="0" borderId="12" xfId="1" applyFont="1" applyBorder="1" applyAlignment="1">
      <alignment horizontal="left" wrapText="1"/>
    </xf>
    <xf numFmtId="0" fontId="8" fillId="2" borderId="2" xfId="1" applyFont="1" applyFill="1" applyBorder="1" applyAlignment="1">
      <alignment horizontal="left" vertical="center"/>
    </xf>
    <xf numFmtId="164" fontId="19" fillId="0" borderId="11" xfId="3" applyNumberFormat="1" applyFont="1" applyBorder="1" applyAlignment="1">
      <alignment horizontal="right" vertical="center"/>
    </xf>
    <xf numFmtId="164" fontId="19" fillId="0" borderId="8" xfId="3" applyNumberFormat="1" applyFont="1" applyBorder="1" applyAlignment="1">
      <alignment horizontal="right" vertical="center"/>
    </xf>
    <xf numFmtId="164" fontId="19" fillId="0" borderId="14" xfId="3" applyNumberFormat="1" applyFont="1" applyBorder="1" applyAlignment="1">
      <alignment horizontal="right" vertical="center"/>
    </xf>
    <xf numFmtId="164" fontId="8" fillId="0" borderId="11" xfId="3" applyNumberFormat="1" applyFont="1" applyBorder="1" applyAlignment="1">
      <alignment horizontal="right" vertical="center"/>
    </xf>
    <xf numFmtId="0" fontId="8" fillId="0" borderId="12" xfId="1" applyFont="1" applyBorder="1" applyAlignment="1">
      <alignment horizontal="left" vertical="center"/>
    </xf>
    <xf numFmtId="0" fontId="8" fillId="0" borderId="9" xfId="1" applyFont="1" applyBorder="1" applyAlignment="1">
      <alignment horizontal="left" vertical="center" wrapText="1"/>
    </xf>
    <xf numFmtId="0" fontId="8" fillId="2" borderId="9" xfId="1" applyFont="1" applyFill="1" applyBorder="1" applyAlignment="1">
      <alignment horizontal="center"/>
    </xf>
    <xf numFmtId="0" fontId="8" fillId="2" borderId="10" xfId="1" applyFont="1" applyFill="1" applyBorder="1" applyAlignment="1">
      <alignment horizontal="left"/>
    </xf>
    <xf numFmtId="0" fontId="22" fillId="2" borderId="9" xfId="1" applyFont="1" applyFill="1" applyBorder="1" applyAlignment="1">
      <alignment horizontal="center" vertical="center"/>
    </xf>
    <xf numFmtId="0" fontId="4" fillId="2" borderId="3" xfId="1" applyFont="1" applyFill="1" applyBorder="1" applyAlignment="1">
      <alignment horizontal="left"/>
    </xf>
    <xf numFmtId="0" fontId="4" fillId="0" borderId="0" xfId="1" applyFont="1" applyFill="1" applyBorder="1" applyAlignment="1">
      <alignment horizontal="left"/>
    </xf>
    <xf numFmtId="164" fontId="19" fillId="0" borderId="14" xfId="3" applyNumberFormat="1" applyFont="1" applyFill="1" applyBorder="1" applyAlignment="1">
      <alignment horizontal="right"/>
    </xf>
    <xf numFmtId="0" fontId="4" fillId="0" borderId="15" xfId="1" applyFont="1" applyFill="1" applyBorder="1" applyAlignment="1">
      <alignment horizontal="left"/>
    </xf>
    <xf numFmtId="0" fontId="8" fillId="0" borderId="9" xfId="1" applyFont="1" applyFill="1" applyBorder="1" applyAlignment="1">
      <alignment horizontal="left"/>
    </xf>
    <xf numFmtId="164" fontId="8" fillId="0" borderId="11" xfId="3" applyNumberFormat="1" applyFont="1" applyFill="1" applyBorder="1" applyAlignment="1">
      <alignment horizontal="right"/>
    </xf>
    <xf numFmtId="3" fontId="4" fillId="0" borderId="15" xfId="1" applyNumberFormat="1" applyFont="1" applyFill="1" applyBorder="1" applyAlignment="1">
      <alignment horizontal="right"/>
    </xf>
    <xf numFmtId="3" fontId="8" fillId="0" borderId="9" xfId="1" applyNumberFormat="1" applyFont="1" applyFill="1" applyBorder="1" applyAlignment="1">
      <alignment horizontal="right"/>
    </xf>
    <xf numFmtId="0" fontId="8" fillId="2" borderId="9" xfId="1" applyFont="1" applyFill="1" applyBorder="1" applyAlignment="1">
      <alignment horizontal="left" vertical="center" wrapText="1"/>
    </xf>
    <xf numFmtId="0" fontId="4" fillId="3" borderId="15" xfId="1" applyFont="1" applyFill="1" applyBorder="1" applyAlignment="1">
      <alignment wrapText="1"/>
    </xf>
    <xf numFmtId="164" fontId="19" fillId="0" borderId="14" xfId="11" applyNumberFormat="1" applyFont="1" applyFill="1" applyBorder="1" applyAlignment="1">
      <alignment horizontal="right"/>
    </xf>
    <xf numFmtId="0" fontId="4" fillId="3" borderId="9" xfId="1" applyFont="1" applyFill="1" applyBorder="1" applyAlignment="1">
      <alignment wrapText="1"/>
    </xf>
    <xf numFmtId="164" fontId="19" fillId="0" borderId="11" xfId="11" applyNumberFormat="1" applyFont="1" applyFill="1" applyBorder="1" applyAlignment="1">
      <alignment horizontal="right"/>
    </xf>
    <xf numFmtId="0" fontId="8" fillId="2" borderId="16" xfId="1" applyFont="1" applyFill="1" applyBorder="1" applyAlignment="1">
      <alignment horizontal="left" vertical="center" wrapText="1"/>
    </xf>
    <xf numFmtId="0" fontId="8" fillId="2" borderId="16" xfId="1" applyFont="1" applyFill="1" applyBorder="1" applyAlignment="1">
      <alignment horizontal="center" vertical="center" wrapText="1"/>
    </xf>
    <xf numFmtId="3" fontId="4" fillId="0" borderId="9" xfId="1" applyNumberFormat="1" applyFont="1" applyFill="1" applyBorder="1" applyAlignment="1">
      <alignment horizontal="right"/>
    </xf>
    <xf numFmtId="0" fontId="4" fillId="2" borderId="1" xfId="1" applyFont="1" applyFill="1" applyBorder="1" applyAlignment="1">
      <alignment wrapText="1"/>
    </xf>
    <xf numFmtId="0" fontId="4" fillId="2" borderId="3" xfId="1" applyFont="1" applyFill="1" applyBorder="1" applyAlignment="1">
      <alignment wrapText="1"/>
    </xf>
    <xf numFmtId="0" fontId="4" fillId="2" borderId="12" xfId="1" applyFont="1" applyFill="1" applyBorder="1" applyAlignment="1">
      <alignment wrapText="1"/>
    </xf>
    <xf numFmtId="164" fontId="19" fillId="0" borderId="8" xfId="0" applyNumberFormat="1" applyFont="1" applyBorder="1" applyAlignment="1">
      <alignment horizontal="right"/>
    </xf>
    <xf numFmtId="165" fontId="19" fillId="0" borderId="0" xfId="11" applyNumberFormat="1" applyFont="1" applyBorder="1"/>
    <xf numFmtId="0" fontId="4" fillId="2" borderId="15" xfId="1" applyFont="1" applyFill="1" applyBorder="1" applyAlignment="1">
      <alignment horizontal="center"/>
    </xf>
    <xf numFmtId="0" fontId="33" fillId="4" borderId="0" xfId="0" applyFont="1" applyFill="1" applyAlignment="1">
      <alignment horizontal="left"/>
    </xf>
    <xf numFmtId="0" fontId="4" fillId="7" borderId="0" xfId="1" applyFill="1"/>
    <xf numFmtId="0" fontId="4" fillId="8" borderId="0" xfId="1" applyFill="1"/>
    <xf numFmtId="165" fontId="24" fillId="0" borderId="16" xfId="11" applyNumberFormat="1" applyFont="1" applyBorder="1"/>
    <xf numFmtId="164" fontId="4" fillId="2" borderId="8" xfId="9" applyNumberFormat="1" applyFont="1" applyFill="1" applyBorder="1"/>
    <xf numFmtId="164" fontId="4" fillId="2" borderId="14" xfId="9" applyNumberFormat="1" applyFont="1" applyFill="1" applyBorder="1"/>
    <xf numFmtId="165" fontId="19" fillId="0" borderId="6" xfId="11" applyNumberFormat="1" applyFont="1" applyBorder="1"/>
    <xf numFmtId="165" fontId="19" fillId="0" borderId="15" xfId="11" applyNumberFormat="1" applyFont="1" applyBorder="1"/>
    <xf numFmtId="165" fontId="19" fillId="0" borderId="9" xfId="11" applyNumberFormat="1" applyFont="1" applyBorder="1"/>
    <xf numFmtId="164" fontId="4" fillId="2" borderId="11" xfId="9" applyNumberFormat="1" applyFont="1" applyFill="1" applyBorder="1"/>
    <xf numFmtId="164" fontId="8" fillId="2" borderId="4" xfId="9" applyNumberFormat="1" applyFont="1" applyFill="1" applyBorder="1"/>
    <xf numFmtId="3" fontId="8" fillId="0" borderId="16" xfId="1" applyNumberFormat="1" applyFont="1" applyBorder="1" applyAlignment="1">
      <alignment horizontal="right" vertical="center"/>
    </xf>
    <xf numFmtId="165" fontId="4" fillId="2" borderId="6" xfId="11" applyNumberFormat="1" applyFont="1" applyFill="1" applyBorder="1"/>
    <xf numFmtId="165" fontId="4" fillId="2" borderId="15" xfId="11" applyNumberFormat="1" applyFont="1" applyFill="1" applyBorder="1"/>
    <xf numFmtId="165" fontId="4" fillId="2" borderId="9" xfId="11" applyNumberFormat="1" applyFont="1" applyFill="1" applyBorder="1"/>
    <xf numFmtId="165" fontId="4" fillId="2" borderId="7" xfId="11" applyNumberFormat="1" applyFont="1" applyFill="1" applyBorder="1"/>
    <xf numFmtId="165" fontId="4" fillId="2" borderId="0" xfId="11" applyNumberFormat="1" applyFont="1" applyFill="1" applyBorder="1"/>
    <xf numFmtId="165" fontId="4" fillId="2" borderId="10" xfId="11" applyNumberFormat="1" applyFont="1" applyFill="1" applyBorder="1"/>
    <xf numFmtId="165" fontId="8" fillId="2" borderId="16" xfId="11" applyNumberFormat="1" applyFont="1" applyFill="1" applyBorder="1"/>
    <xf numFmtId="165" fontId="8" fillId="2" borderId="13" xfId="11" applyNumberFormat="1" applyFont="1" applyFill="1" applyBorder="1"/>
    <xf numFmtId="164" fontId="4" fillId="2" borderId="8" xfId="9" applyNumberFormat="1" applyFont="1" applyFill="1" applyBorder="1" applyAlignment="1">
      <alignment horizontal="right" vertical="center"/>
    </xf>
    <xf numFmtId="164" fontId="4" fillId="2" borderId="14" xfId="9" applyNumberFormat="1" applyFont="1" applyFill="1" applyBorder="1" applyAlignment="1">
      <alignment horizontal="right" vertical="center"/>
    </xf>
    <xf numFmtId="165" fontId="19" fillId="0" borderId="9" xfId="11" applyNumberFormat="1" applyFont="1" applyBorder="1" applyAlignment="1">
      <alignment horizontal="right" vertical="center"/>
    </xf>
    <xf numFmtId="164" fontId="4" fillId="2" borderId="11" xfId="9" applyNumberFormat="1" applyFont="1" applyFill="1" applyBorder="1" applyAlignment="1">
      <alignment horizontal="right" vertical="center"/>
    </xf>
    <xf numFmtId="165" fontId="24" fillId="0" borderId="16" xfId="11" applyNumberFormat="1" applyFont="1" applyBorder="1" applyAlignment="1">
      <alignment horizontal="right" vertical="center"/>
    </xf>
    <xf numFmtId="164" fontId="8" fillId="2" borderId="4" xfId="9" applyNumberFormat="1" applyFont="1" applyFill="1" applyBorder="1" applyAlignment="1">
      <alignment horizontal="right" vertical="center"/>
    </xf>
    <xf numFmtId="3" fontId="8" fillId="2" borderId="7" xfId="0" applyNumberFormat="1" applyFont="1" applyFill="1" applyBorder="1" applyAlignment="1">
      <alignment horizontal="center" vertical="center" wrapText="1"/>
    </xf>
    <xf numFmtId="0" fontId="8" fillId="2" borderId="8" xfId="0" applyFont="1" applyFill="1" applyBorder="1" applyAlignment="1">
      <alignment horizontal="center" vertical="center" wrapText="1"/>
    </xf>
    <xf numFmtId="167" fontId="8" fillId="0" borderId="13" xfId="1" applyNumberFormat="1" applyFont="1" applyBorder="1" applyAlignment="1">
      <alignment vertical="center"/>
    </xf>
    <xf numFmtId="167" fontId="8" fillId="0" borderId="4" xfId="1" applyNumberFormat="1" applyFont="1" applyBorder="1" applyAlignment="1">
      <alignment vertical="center"/>
    </xf>
    <xf numFmtId="3" fontId="4" fillId="0" borderId="6" xfId="1" applyNumberFormat="1" applyFont="1" applyFill="1" applyBorder="1" applyAlignment="1">
      <alignment horizontal="right"/>
    </xf>
    <xf numFmtId="164" fontId="19" fillId="0" borderId="11" xfId="3" applyNumberFormat="1" applyFont="1" applyFill="1" applyBorder="1" applyAlignment="1">
      <alignment horizontal="right"/>
    </xf>
    <xf numFmtId="164" fontId="19" fillId="0" borderId="8" xfId="11" applyNumberFormat="1" applyFont="1" applyFill="1" applyBorder="1" applyAlignment="1">
      <alignment horizontal="right"/>
    </xf>
    <xf numFmtId="164" fontId="19" fillId="0" borderId="14" xfId="0" applyNumberFormat="1" applyFont="1" applyBorder="1" applyAlignment="1">
      <alignment horizontal="right"/>
    </xf>
    <xf numFmtId="164" fontId="19" fillId="0" borderId="11" xfId="0" applyNumberFormat="1" applyFont="1" applyBorder="1" applyAlignment="1">
      <alignment horizontal="right"/>
    </xf>
    <xf numFmtId="164" fontId="19" fillId="0" borderId="14" xfId="3" applyNumberFormat="1" applyFont="1" applyBorder="1" applyAlignment="1">
      <alignment horizontal="right"/>
    </xf>
    <xf numFmtId="164" fontId="19" fillId="0" borderId="14" xfId="3" applyNumberFormat="1" applyFont="1" applyBorder="1" applyAlignment="1">
      <alignment vertical="center"/>
    </xf>
    <xf numFmtId="164" fontId="19" fillId="0" borderId="11" xfId="3" applyNumberFormat="1" applyFont="1" applyBorder="1" applyAlignment="1">
      <alignment vertical="center"/>
    </xf>
    <xf numFmtId="164" fontId="19" fillId="0" borderId="8" xfId="3" applyNumberFormat="1" applyFont="1" applyBorder="1" applyAlignment="1">
      <alignment vertical="center"/>
    </xf>
    <xf numFmtId="165" fontId="19" fillId="0" borderId="7" xfId="11" applyNumberFormat="1" applyFont="1" applyBorder="1" applyAlignment="1">
      <alignment horizontal="right" vertical="center"/>
    </xf>
    <xf numFmtId="165" fontId="19" fillId="0" borderId="0" xfId="11" applyNumberFormat="1" applyFont="1" applyBorder="1" applyAlignment="1">
      <alignment horizontal="right" vertical="center"/>
    </xf>
    <xf numFmtId="165" fontId="19" fillId="0" borderId="10" xfId="11" applyNumberFormat="1" applyFont="1" applyBorder="1" applyAlignment="1">
      <alignment horizontal="right" vertical="center"/>
    </xf>
    <xf numFmtId="165" fontId="19" fillId="0" borderId="10" xfId="11" applyNumberFormat="1" applyFont="1" applyBorder="1"/>
    <xf numFmtId="0" fontId="8" fillId="0" borderId="0" xfId="8" applyFont="1" applyFill="1" applyBorder="1"/>
    <xf numFmtId="10" fontId="19" fillId="0" borderId="0" xfId="12" applyNumberFormat="1" applyFont="1" applyFill="1" applyBorder="1"/>
    <xf numFmtId="0" fontId="4" fillId="0" borderId="0" xfId="1" applyFont="1" applyFill="1"/>
    <xf numFmtId="0" fontId="4" fillId="0" borderId="0" xfId="1" applyFill="1" applyAlignment="1">
      <alignment horizontal="right"/>
    </xf>
    <xf numFmtId="3" fontId="5" fillId="0" borderId="0" xfId="1" applyNumberFormat="1" applyFont="1" applyFill="1" applyAlignment="1">
      <alignment horizontal="right"/>
    </xf>
    <xf numFmtId="3" fontId="8" fillId="0" borderId="0" xfId="1" applyNumberFormat="1" applyFont="1" applyFill="1" applyBorder="1" applyAlignment="1">
      <alignment horizontal="right"/>
    </xf>
    <xf numFmtId="10" fontId="19" fillId="0" borderId="0" xfId="12" applyNumberFormat="1" applyFont="1" applyFill="1" applyBorder="1" applyAlignment="1">
      <alignment horizontal="right"/>
    </xf>
    <xf numFmtId="0" fontId="4" fillId="0" borderId="0" xfId="1" applyFont="1" applyFill="1" applyAlignment="1">
      <alignment horizontal="right"/>
    </xf>
    <xf numFmtId="0" fontId="13" fillId="0" borderId="0" xfId="1" applyFont="1" applyFill="1" applyAlignment="1">
      <alignment horizontal="right"/>
    </xf>
    <xf numFmtId="0" fontId="8" fillId="0" borderId="0" xfId="1" applyFont="1" applyFill="1" applyAlignment="1">
      <alignment horizontal="right"/>
    </xf>
    <xf numFmtId="3" fontId="6" fillId="0" borderId="0" xfId="1" applyNumberFormat="1" applyFont="1" applyFill="1" applyAlignment="1">
      <alignment horizontal="right"/>
    </xf>
    <xf numFmtId="0" fontId="19" fillId="0" borderId="0" xfId="8" applyFont="1" applyFill="1" applyAlignment="1">
      <alignment horizontal="right"/>
    </xf>
    <xf numFmtId="0" fontId="2" fillId="4" borderId="0" xfId="0" applyFont="1" applyFill="1"/>
    <xf numFmtId="0" fontId="2" fillId="4" borderId="0" xfId="0" applyFont="1" applyFill="1" applyAlignment="1"/>
    <xf numFmtId="0" fontId="4" fillId="0" borderId="0" xfId="1" applyFont="1"/>
    <xf numFmtId="0" fontId="19" fillId="0" borderId="0" xfId="8" applyFont="1"/>
    <xf numFmtId="0" fontId="19" fillId="0" borderId="0" xfId="8" applyNumberFormat="1" applyFont="1" applyFill="1" applyAlignment="1"/>
    <xf numFmtId="0" fontId="4" fillId="0" borderId="1" xfId="1" applyFont="1" applyBorder="1" applyAlignment="1">
      <alignment horizontal="left" wrapText="1"/>
    </xf>
    <xf numFmtId="0" fontId="4" fillId="2" borderId="0" xfId="1" applyFont="1" applyFill="1" applyBorder="1" applyAlignment="1">
      <alignment horizontal="left" vertical="center"/>
    </xf>
    <xf numFmtId="0" fontId="24" fillId="2" borderId="0" xfId="1" applyFont="1" applyFill="1" applyAlignment="1">
      <alignment horizontal="left"/>
    </xf>
    <xf numFmtId="0" fontId="8" fillId="2" borderId="13" xfId="1" applyFont="1" applyFill="1" applyBorder="1" applyAlignment="1">
      <alignment horizontal="center" vertical="center"/>
    </xf>
    <xf numFmtId="0" fontId="8" fillId="2" borderId="16" xfId="1" applyFont="1" applyFill="1" applyBorder="1" applyAlignment="1">
      <alignment horizontal="left" vertical="center"/>
    </xf>
    <xf numFmtId="0" fontId="4" fillId="0" borderId="0" xfId="1" applyFont="1" applyFill="1" applyAlignment="1">
      <alignment vertical="center" wrapText="1"/>
    </xf>
    <xf numFmtId="3" fontId="4" fillId="0" borderId="0" xfId="1" applyNumberFormat="1" applyFont="1" applyFill="1" applyAlignment="1">
      <alignment horizontal="right"/>
    </xf>
    <xf numFmtId="3" fontId="8" fillId="0" borderId="0" xfId="1" applyNumberFormat="1" applyFont="1" applyFill="1" applyAlignment="1">
      <alignment horizontal="right"/>
    </xf>
    <xf numFmtId="0" fontId="4" fillId="2" borderId="0" xfId="1" applyFont="1" applyFill="1" applyAlignment="1">
      <alignment vertical="center" wrapText="1"/>
    </xf>
    <xf numFmtId="0" fontId="4" fillId="2" borderId="0" xfId="1" applyFont="1" applyFill="1" applyAlignment="1">
      <alignment vertical="top" wrapText="1"/>
    </xf>
    <xf numFmtId="0" fontId="38" fillId="2" borderId="0" xfId="1" applyFont="1" applyFill="1" applyAlignment="1">
      <alignment vertical="center"/>
    </xf>
    <xf numFmtId="0" fontId="38" fillId="2" borderId="0" xfId="6" applyFont="1" applyFill="1" applyAlignment="1">
      <alignment vertical="center"/>
    </xf>
    <xf numFmtId="0" fontId="38" fillId="0" borderId="0" xfId="1" applyFont="1" applyFill="1" applyAlignment="1">
      <alignment vertical="center"/>
    </xf>
    <xf numFmtId="0" fontId="4" fillId="2" borderId="0" xfId="1" applyFont="1" applyFill="1" applyBorder="1"/>
    <xf numFmtId="0" fontId="4" fillId="2" borderId="1" xfId="1" applyFont="1" applyFill="1" applyBorder="1" applyAlignment="1">
      <alignment horizontal="left"/>
    </xf>
    <xf numFmtId="0" fontId="4" fillId="2" borderId="12" xfId="1" applyFont="1" applyFill="1" applyBorder="1" applyAlignment="1">
      <alignment horizontal="left"/>
    </xf>
    <xf numFmtId="0" fontId="4" fillId="0" borderId="0" xfId="1" applyFont="1" applyBorder="1"/>
    <xf numFmtId="0" fontId="8" fillId="0" borderId="16" xfId="1" applyFont="1" applyFill="1" applyBorder="1" applyAlignment="1">
      <alignment horizontal="left" wrapText="1"/>
    </xf>
    <xf numFmtId="0" fontId="8" fillId="0" borderId="16" xfId="1" applyFont="1" applyFill="1" applyBorder="1" applyAlignment="1">
      <alignment horizontal="left"/>
    </xf>
    <xf numFmtId="0" fontId="4" fillId="0" borderId="3" xfId="1" applyFont="1" applyBorder="1" applyAlignment="1">
      <alignment horizontal="left"/>
    </xf>
    <xf numFmtId="0" fontId="4" fillId="0" borderId="3" xfId="1" applyFont="1" applyBorder="1" applyAlignment="1"/>
    <xf numFmtId="0" fontId="4" fillId="0" borderId="12" xfId="1" applyFont="1" applyFill="1" applyBorder="1" applyAlignment="1"/>
    <xf numFmtId="0" fontId="4" fillId="2" borderId="0" xfId="1" applyFont="1" applyFill="1" applyBorder="1" applyAlignment="1"/>
    <xf numFmtId="0" fontId="4" fillId="0" borderId="12" xfId="1" applyFont="1" applyFill="1" applyBorder="1"/>
    <xf numFmtId="0" fontId="4" fillId="0" borderId="3" xfId="1" applyFont="1" applyBorder="1" applyAlignment="1">
      <alignment horizontal="left" wrapText="1"/>
    </xf>
    <xf numFmtId="0" fontId="4" fillId="0" borderId="1" xfId="1" applyFont="1" applyBorder="1" applyAlignment="1">
      <alignment horizontal="left" vertical="center"/>
    </xf>
    <xf numFmtId="0" fontId="4" fillId="0" borderId="3" xfId="1" applyFont="1" applyBorder="1" applyAlignment="1">
      <alignment horizontal="left" vertical="center"/>
    </xf>
    <xf numFmtId="0" fontId="4" fillId="0" borderId="12" xfId="1" applyFont="1" applyFill="1" applyBorder="1" applyAlignment="1">
      <alignment horizontal="left"/>
    </xf>
    <xf numFmtId="0" fontId="4" fillId="0" borderId="15" xfId="1" applyFont="1" applyBorder="1" applyAlignment="1">
      <alignment horizontal="left" vertical="center" wrapText="1"/>
    </xf>
    <xf numFmtId="0" fontId="4" fillId="0" borderId="9" xfId="1" applyFont="1" applyFill="1" applyBorder="1"/>
    <xf numFmtId="0" fontId="4" fillId="2" borderId="15" xfId="1" applyFont="1" applyFill="1" applyBorder="1" applyAlignment="1">
      <alignment horizontal="center" vertical="center"/>
    </xf>
    <xf numFmtId="0" fontId="4" fillId="2" borderId="0" xfId="1" applyFont="1" applyFill="1" applyBorder="1" applyAlignment="1">
      <alignment horizontal="left" vertical="center" wrapText="1"/>
    </xf>
    <xf numFmtId="0" fontId="4" fillId="0" borderId="10" xfId="1" applyFont="1" applyFill="1" applyBorder="1" applyAlignment="1">
      <alignment horizontal="left"/>
    </xf>
    <xf numFmtId="0" fontId="4" fillId="0" borderId="9" xfId="1" applyFont="1" applyFill="1" applyBorder="1" applyAlignment="1">
      <alignment horizontal="left"/>
    </xf>
    <xf numFmtId="0" fontId="4" fillId="2" borderId="15" xfId="1" applyFont="1" applyFill="1" applyBorder="1" applyAlignment="1">
      <alignment horizontal="left" vertical="center" wrapText="1"/>
    </xf>
    <xf numFmtId="0" fontId="4" fillId="0" borderId="0" xfId="6" applyFont="1" applyAlignment="1">
      <alignment vertical="center"/>
    </xf>
    <xf numFmtId="0" fontId="19" fillId="4" borderId="0" xfId="0" applyFont="1" applyFill="1"/>
    <xf numFmtId="0" fontId="4" fillId="0" borderId="0" xfId="1" applyAlignment="1"/>
    <xf numFmtId="0" fontId="9" fillId="2" borderId="0" xfId="1" applyFont="1" applyFill="1" applyBorder="1" applyAlignment="1"/>
    <xf numFmtId="0" fontId="5" fillId="0" borderId="0" xfId="1" applyFont="1" applyFill="1" applyAlignment="1">
      <alignment wrapText="1"/>
    </xf>
    <xf numFmtId="0" fontId="2" fillId="4" borderId="0" xfId="0" applyFont="1" applyFill="1"/>
    <xf numFmtId="0" fontId="24" fillId="0" borderId="2" xfId="1" applyFont="1" applyBorder="1" applyAlignment="1">
      <alignment horizontal="left" wrapText="1"/>
    </xf>
    <xf numFmtId="49" fontId="8" fillId="2" borderId="2" xfId="6" applyNumberFormat="1" applyFont="1" applyFill="1" applyBorder="1" applyAlignment="1">
      <alignment horizontal="left" vertical="center" wrapText="1"/>
    </xf>
    <xf numFmtId="0" fontId="24" fillId="0" borderId="18" xfId="0" applyFont="1" applyBorder="1" applyAlignment="1">
      <alignment horizontal="left"/>
    </xf>
    <xf numFmtId="0" fontId="41" fillId="0" borderId="0" xfId="0" applyFont="1"/>
    <xf numFmtId="0" fontId="42" fillId="0" borderId="0" xfId="8" applyFont="1"/>
    <xf numFmtId="0" fontId="4" fillId="0" borderId="10" xfId="1" applyFont="1" applyBorder="1" applyAlignment="1">
      <alignment horizontal="left"/>
    </xf>
    <xf numFmtId="3" fontId="4" fillId="0" borderId="9" xfId="1" applyNumberFormat="1" applyFont="1" applyBorder="1" applyAlignment="1">
      <alignment horizontal="right"/>
    </xf>
    <xf numFmtId="0" fontId="19" fillId="4" borderId="0" xfId="0" applyFont="1" applyFill="1" applyAlignment="1">
      <alignment vertical="top"/>
    </xf>
    <xf numFmtId="0" fontId="24" fillId="4" borderId="0" xfId="0" applyFont="1" applyFill="1"/>
    <xf numFmtId="0" fontId="4" fillId="2" borderId="0" xfId="1" applyFont="1" applyFill="1" applyAlignment="1">
      <alignment horizontal="left" wrapText="1"/>
    </xf>
    <xf numFmtId="0" fontId="10" fillId="0" borderId="0" xfId="6" applyNumberFormat="1"/>
    <xf numFmtId="0" fontId="8" fillId="2" borderId="0" xfId="6" applyNumberFormat="1" applyFont="1" applyFill="1" applyAlignment="1">
      <alignment horizontal="center"/>
    </xf>
    <xf numFmtId="0" fontId="4" fillId="0" borderId="0" xfId="6" applyNumberFormat="1" applyFont="1" applyAlignment="1">
      <alignment vertical="center"/>
    </xf>
    <xf numFmtId="0" fontId="4" fillId="2" borderId="0" xfId="6" applyNumberFormat="1" applyFont="1" applyFill="1" applyBorder="1"/>
    <xf numFmtId="0" fontId="19" fillId="4" borderId="0" xfId="12" applyNumberFormat="1" applyFont="1" applyFill="1" applyBorder="1"/>
    <xf numFmtId="0" fontId="8" fillId="0" borderId="0" xfId="1" applyNumberFormat="1" applyFont="1" applyBorder="1" applyAlignment="1">
      <alignment horizontal="center"/>
    </xf>
    <xf numFmtId="0" fontId="4" fillId="2" borderId="0" xfId="0" applyNumberFormat="1" applyFont="1" applyFill="1" applyAlignment="1">
      <alignment vertical="top"/>
    </xf>
    <xf numFmtId="0" fontId="4" fillId="2" borderId="0" xfId="1" applyNumberFormat="1" applyFont="1" applyFill="1"/>
    <xf numFmtId="0" fontId="4" fillId="0" borderId="0" xfId="6" applyNumberFormat="1" applyFont="1" applyBorder="1"/>
    <xf numFmtId="0" fontId="21" fillId="0" borderId="0" xfId="8" applyNumberFormat="1" applyFont="1" applyBorder="1"/>
    <xf numFmtId="0" fontId="3" fillId="0" borderId="0" xfId="8" applyNumberFormat="1"/>
    <xf numFmtId="0" fontId="7" fillId="4" borderId="0" xfId="2" applyFill="1" applyAlignment="1" applyProtection="1"/>
    <xf numFmtId="164" fontId="19" fillId="0" borderId="8" xfId="10" applyNumberFormat="1" applyFont="1" applyBorder="1" applyAlignment="1">
      <alignment horizontal="right" vertical="center"/>
    </xf>
    <xf numFmtId="164" fontId="19" fillId="0" borderId="14" xfId="10" applyNumberFormat="1" applyFont="1" applyBorder="1" applyAlignment="1">
      <alignment horizontal="right" vertical="center"/>
    </xf>
    <xf numFmtId="164" fontId="19" fillId="0" borderId="11" xfId="10" applyNumberFormat="1" applyFont="1" applyBorder="1" applyAlignment="1">
      <alignment horizontal="right" vertical="center"/>
    </xf>
    <xf numFmtId="0" fontId="8" fillId="0" borderId="0" xfId="1" applyFont="1" applyFill="1" applyBorder="1" applyAlignment="1">
      <alignment horizontal="left"/>
    </xf>
    <xf numFmtId="165" fontId="24" fillId="0" borderId="0" xfId="11" applyNumberFormat="1" applyFont="1" applyFill="1" applyBorder="1" applyAlignment="1">
      <alignment horizontal="right"/>
    </xf>
    <xf numFmtId="165" fontId="4" fillId="2" borderId="0" xfId="11" applyNumberFormat="1" applyFont="1" applyFill="1"/>
    <xf numFmtId="165" fontId="4" fillId="2" borderId="0" xfId="11" applyNumberFormat="1" applyFont="1" applyFill="1" applyAlignment="1"/>
    <xf numFmtId="0" fontId="24" fillId="0" borderId="9" xfId="0" applyNumberFormat="1" applyFont="1" applyBorder="1" applyAlignment="1">
      <alignment horizontal="left"/>
    </xf>
    <xf numFmtId="0" fontId="8" fillId="2" borderId="16" xfId="6" applyNumberFormat="1" applyFont="1" applyFill="1" applyBorder="1" applyAlignment="1">
      <alignment horizontal="left" vertical="center" wrapText="1"/>
    </xf>
    <xf numFmtId="0" fontId="4" fillId="0" borderId="13" xfId="1" applyFont="1" applyFill="1" applyBorder="1" applyAlignment="1">
      <alignment vertical="center"/>
    </xf>
    <xf numFmtId="2" fontId="4" fillId="2" borderId="0" xfId="1" applyNumberFormat="1" applyFill="1"/>
    <xf numFmtId="0" fontId="4" fillId="0" borderId="0" xfId="6" applyFont="1"/>
    <xf numFmtId="0" fontId="4" fillId="0" borderId="15" xfId="1" applyFont="1" applyFill="1" applyBorder="1" applyAlignment="1">
      <alignment vertical="center" wrapText="1"/>
    </xf>
    <xf numFmtId="0" fontId="4" fillId="0" borderId="0" xfId="1" applyFont="1" applyFill="1" applyBorder="1" applyAlignment="1">
      <alignment vertical="center"/>
    </xf>
    <xf numFmtId="0" fontId="4" fillId="0" borderId="15" xfId="1" applyFont="1" applyFill="1" applyBorder="1" applyAlignment="1">
      <alignment vertical="center"/>
    </xf>
    <xf numFmtId="3" fontId="4" fillId="0" borderId="6" xfId="1" applyNumberFormat="1" applyFont="1" applyBorder="1" applyAlignment="1">
      <alignment horizontal="right"/>
    </xf>
    <xf numFmtId="3" fontId="4" fillId="0" borderId="15" xfId="1" applyNumberFormat="1" applyFont="1" applyBorder="1" applyAlignment="1">
      <alignment horizontal="right"/>
    </xf>
    <xf numFmtId="165" fontId="24" fillId="0" borderId="10" xfId="11" applyNumberFormat="1" applyFont="1" applyBorder="1"/>
    <xf numFmtId="164" fontId="24" fillId="0" borderId="4" xfId="3" applyNumberFormat="1" applyFont="1" applyBorder="1" applyAlignment="1">
      <alignment vertical="center"/>
    </xf>
    <xf numFmtId="165" fontId="4" fillId="0" borderId="8" xfId="11" applyNumberFormat="1" applyFont="1" applyBorder="1" applyAlignment="1">
      <alignment horizontal="right" vertical="center"/>
    </xf>
    <xf numFmtId="165" fontId="4" fillId="0" borderId="15" xfId="11" applyNumberFormat="1" applyFont="1" applyBorder="1" applyAlignment="1">
      <alignment horizontal="right" vertical="center"/>
    </xf>
    <xf numFmtId="165" fontId="4" fillId="0" borderId="0" xfId="11" applyNumberFormat="1" applyFont="1" applyBorder="1" applyAlignment="1">
      <alignment horizontal="right" vertical="center"/>
    </xf>
    <xf numFmtId="165" fontId="4" fillId="0" borderId="14" xfId="11" applyNumberFormat="1" applyFont="1" applyBorder="1" applyAlignment="1">
      <alignment horizontal="right" vertical="center"/>
    </xf>
    <xf numFmtId="165" fontId="4" fillId="0" borderId="9" xfId="11" applyNumberFormat="1" applyFont="1" applyBorder="1" applyAlignment="1">
      <alignment horizontal="right" vertical="center"/>
    </xf>
    <xf numFmtId="165" fontId="4" fillId="0" borderId="10" xfId="11" applyNumberFormat="1" applyFont="1" applyBorder="1" applyAlignment="1">
      <alignment horizontal="right" vertical="center"/>
    </xf>
    <xf numFmtId="165" fontId="4" fillId="0" borderId="11" xfId="11" applyNumberFormat="1" applyFont="1" applyBorder="1" applyAlignment="1">
      <alignment horizontal="right" vertical="center"/>
    </xf>
    <xf numFmtId="165" fontId="8" fillId="0" borderId="9" xfId="11" applyNumberFormat="1" applyFont="1" applyBorder="1" applyAlignment="1">
      <alignment horizontal="right" vertical="center"/>
    </xf>
    <xf numFmtId="165" fontId="8" fillId="0" borderId="10" xfId="11" applyNumberFormat="1" applyFont="1" applyBorder="1" applyAlignment="1">
      <alignment horizontal="right" vertical="center"/>
    </xf>
    <xf numFmtId="165" fontId="8" fillId="0" borderId="4" xfId="11" applyNumberFormat="1" applyFont="1" applyBorder="1" applyAlignment="1">
      <alignment horizontal="right" vertical="center"/>
    </xf>
    <xf numFmtId="165" fontId="4" fillId="0" borderId="6" xfId="11" applyNumberFormat="1" applyFont="1" applyBorder="1" applyAlignment="1">
      <alignment horizontal="right" vertical="center"/>
    </xf>
    <xf numFmtId="165" fontId="4" fillId="0" borderId="7" xfId="11" applyNumberFormat="1" applyFont="1" applyBorder="1" applyAlignment="1">
      <alignment horizontal="right" vertical="center"/>
    </xf>
    <xf numFmtId="165" fontId="4" fillId="2" borderId="6" xfId="11" applyNumberFormat="1" applyFont="1" applyFill="1" applyBorder="1" applyAlignment="1"/>
    <xf numFmtId="165" fontId="4" fillId="2" borderId="7" xfId="11" applyNumberFormat="1" applyFont="1" applyFill="1" applyBorder="1" applyAlignment="1"/>
    <xf numFmtId="165" fontId="4" fillId="2" borderId="8" xfId="11" applyNumberFormat="1" applyFont="1" applyFill="1" applyBorder="1" applyAlignment="1"/>
    <xf numFmtId="165" fontId="4" fillId="2" borderId="15" xfId="11" applyNumberFormat="1" applyFont="1" applyFill="1" applyBorder="1" applyAlignment="1"/>
    <xf numFmtId="165" fontId="4" fillId="2" borderId="0" xfId="11" applyNumberFormat="1" applyFont="1" applyFill="1" applyBorder="1" applyAlignment="1"/>
    <xf numFmtId="165" fontId="4" fillId="2" borderId="14" xfId="11" applyNumberFormat="1" applyFont="1" applyFill="1" applyBorder="1" applyAlignment="1"/>
    <xf numFmtId="166" fontId="4" fillId="0" borderId="8" xfId="1" applyNumberFormat="1" applyFont="1" applyBorder="1" applyAlignment="1">
      <alignment horizontal="right"/>
    </xf>
    <xf numFmtId="166" fontId="4" fillId="0" borderId="14" xfId="1" applyNumberFormat="1" applyFont="1" applyBorder="1" applyAlignment="1">
      <alignment horizontal="right"/>
    </xf>
    <xf numFmtId="166" fontId="4" fillId="0" borderId="14" xfId="9" applyNumberFormat="1" applyFont="1" applyBorder="1" applyAlignment="1">
      <alignment horizontal="right"/>
    </xf>
    <xf numFmtId="166" fontId="4" fillId="0" borderId="11" xfId="9" applyNumberFormat="1" applyFont="1" applyBorder="1" applyAlignment="1">
      <alignment horizontal="right"/>
    </xf>
    <xf numFmtId="0" fontId="7" fillId="0" borderId="0" xfId="2" applyAlignment="1" applyProtection="1">
      <alignment horizontal="left"/>
    </xf>
    <xf numFmtId="0" fontId="4" fillId="2" borderId="0" xfId="1" applyFont="1" applyFill="1" applyAlignment="1">
      <alignment horizontal="left" vertical="top"/>
    </xf>
    <xf numFmtId="0" fontId="4" fillId="0" borderId="0" xfId="1" applyFont="1" applyFill="1" applyAlignment="1">
      <alignment horizontal="left"/>
    </xf>
    <xf numFmtId="0" fontId="4" fillId="0" borderId="0" xfId="1" applyFont="1" applyFill="1" applyAlignment="1">
      <alignment horizontal="left" vertical="top"/>
    </xf>
    <xf numFmtId="0" fontId="19" fillId="0" borderId="3" xfId="0" applyFont="1" applyBorder="1" applyAlignment="1">
      <alignment horizontal="left"/>
    </xf>
    <xf numFmtId="0" fontId="19" fillId="0" borderId="3" xfId="0" applyFont="1" applyFill="1" applyBorder="1" applyAlignment="1">
      <alignment horizontal="left"/>
    </xf>
    <xf numFmtId="0" fontId="19" fillId="0" borderId="12" xfId="0" applyFont="1" applyBorder="1" applyAlignment="1">
      <alignment horizontal="left"/>
    </xf>
    <xf numFmtId="165" fontId="8" fillId="2" borderId="16" xfId="11" applyNumberFormat="1" applyFont="1" applyFill="1" applyBorder="1" applyAlignment="1"/>
    <xf numFmtId="165" fontId="8" fillId="2" borderId="13" xfId="11" applyNumberFormat="1" applyFont="1" applyFill="1" applyBorder="1" applyAlignment="1"/>
    <xf numFmtId="165" fontId="8" fillId="2" borderId="4" xfId="11" applyNumberFormat="1" applyFont="1" applyFill="1" applyBorder="1" applyAlignment="1"/>
    <xf numFmtId="0" fontId="19" fillId="0" borderId="15" xfId="0" applyNumberFormat="1" applyFont="1" applyBorder="1" applyAlignment="1">
      <alignment horizontal="left"/>
    </xf>
    <xf numFmtId="0" fontId="19" fillId="0" borderId="9" xfId="0" applyNumberFormat="1" applyFont="1" applyBorder="1" applyAlignment="1">
      <alignment horizontal="left"/>
    </xf>
    <xf numFmtId="3" fontId="4" fillId="2" borderId="6" xfId="9" applyNumberFormat="1" applyFont="1" applyFill="1" applyBorder="1"/>
    <xf numFmtId="3" fontId="4" fillId="2" borderId="15" xfId="9" applyNumberFormat="1" applyFont="1" applyFill="1" applyBorder="1"/>
    <xf numFmtId="3" fontId="4" fillId="2" borderId="9" xfId="9" applyNumberFormat="1" applyFont="1" applyFill="1" applyBorder="1"/>
    <xf numFmtId="3" fontId="8" fillId="2" borderId="16" xfId="9" applyNumberFormat="1" applyFont="1" applyFill="1" applyBorder="1"/>
    <xf numFmtId="164" fontId="4" fillId="2" borderId="8" xfId="9" applyNumberFormat="1" applyFont="1" applyFill="1" applyBorder="1" applyAlignment="1">
      <alignment horizontal="right"/>
    </xf>
    <xf numFmtId="164" fontId="4" fillId="2" borderId="0" xfId="9" applyNumberFormat="1" applyFont="1" applyFill="1" applyBorder="1"/>
    <xf numFmtId="164" fontId="4" fillId="2" borderId="14" xfId="9" applyNumberFormat="1" applyFont="1" applyFill="1" applyBorder="1" applyAlignment="1">
      <alignment horizontal="right"/>
    </xf>
    <xf numFmtId="164" fontId="4" fillId="2" borderId="11" xfId="9" applyNumberFormat="1" applyFont="1" applyFill="1" applyBorder="1" applyAlignment="1">
      <alignment horizontal="right"/>
    </xf>
    <xf numFmtId="165" fontId="8" fillId="2" borderId="9" xfId="11" applyNumberFormat="1" applyFont="1" applyFill="1" applyBorder="1"/>
    <xf numFmtId="164" fontId="8" fillId="2" borderId="11" xfId="9" applyNumberFormat="1" applyFont="1" applyFill="1" applyBorder="1" applyAlignment="1">
      <alignment horizontal="right"/>
    </xf>
    <xf numFmtId="3" fontId="4" fillId="0" borderId="6" xfId="1" applyNumberFormat="1" applyBorder="1"/>
    <xf numFmtId="167" fontId="4" fillId="0" borderId="8" xfId="1" applyNumberFormat="1" applyFont="1" applyBorder="1"/>
    <xf numFmtId="3" fontId="4" fillId="0" borderId="15" xfId="1" applyNumberFormat="1" applyBorder="1"/>
    <xf numFmtId="167" fontId="4" fillId="0" borderId="14" xfId="1" applyNumberFormat="1" applyBorder="1"/>
    <xf numFmtId="3" fontId="4" fillId="0" borderId="9" xfId="1" applyNumberFormat="1" applyBorder="1"/>
    <xf numFmtId="167" fontId="4" fillId="0" borderId="11" xfId="1" applyNumberFormat="1" applyBorder="1"/>
    <xf numFmtId="0" fontId="24" fillId="0" borderId="16" xfId="1" applyFont="1" applyBorder="1" applyAlignment="1">
      <alignment horizontal="right" wrapText="1"/>
    </xf>
    <xf numFmtId="0" fontId="24" fillId="0" borderId="4" xfId="1" applyFont="1" applyBorder="1" applyAlignment="1">
      <alignment horizontal="right" wrapText="1"/>
    </xf>
    <xf numFmtId="0" fontId="24" fillId="0" borderId="13" xfId="1" applyFont="1" applyBorder="1" applyAlignment="1">
      <alignment horizontal="right" wrapText="1"/>
    </xf>
    <xf numFmtId="164" fontId="4" fillId="2" borderId="11" xfId="11" applyNumberFormat="1" applyFont="1" applyFill="1" applyBorder="1" applyAlignment="1">
      <alignment horizontal="right"/>
    </xf>
    <xf numFmtId="164" fontId="8" fillId="2" borderId="11" xfId="11" applyNumberFormat="1" applyFont="1" applyFill="1" applyBorder="1" applyAlignment="1">
      <alignment horizontal="right"/>
    </xf>
    <xf numFmtId="3" fontId="4" fillId="2" borderId="6" xfId="9" applyNumberFormat="1" applyFont="1" applyFill="1" applyBorder="1" applyAlignment="1"/>
    <xf numFmtId="164" fontId="4" fillId="2" borderId="8" xfId="9" applyNumberFormat="1" applyFont="1" applyFill="1" applyBorder="1" applyAlignment="1"/>
    <xf numFmtId="3" fontId="4" fillId="2" borderId="15" xfId="9" applyNumberFormat="1" applyFont="1" applyFill="1" applyBorder="1" applyAlignment="1"/>
    <xf numFmtId="164" fontId="4" fillId="2" borderId="14" xfId="9" applyNumberFormat="1" applyFont="1" applyFill="1" applyBorder="1" applyAlignment="1"/>
    <xf numFmtId="3" fontId="4" fillId="2" borderId="9" xfId="9" applyNumberFormat="1" applyFont="1" applyFill="1" applyBorder="1" applyAlignment="1"/>
    <xf numFmtId="164" fontId="4" fillId="2" borderId="11" xfId="9" applyNumberFormat="1" applyFont="1" applyFill="1" applyBorder="1" applyAlignment="1"/>
    <xf numFmtId="3" fontId="4" fillId="2" borderId="9" xfId="1" applyNumberFormat="1" applyFill="1" applyBorder="1" applyAlignment="1"/>
    <xf numFmtId="3" fontId="8" fillId="2" borderId="16" xfId="1" applyNumberFormat="1" applyFont="1" applyFill="1" applyBorder="1" applyAlignment="1"/>
    <xf numFmtId="164" fontId="8" fillId="2" borderId="4" xfId="9" applyNumberFormat="1" applyFont="1" applyFill="1" applyBorder="1" applyAlignment="1"/>
    <xf numFmtId="3" fontId="4" fillId="2" borderId="0" xfId="1" applyNumberFormat="1" applyFill="1"/>
    <xf numFmtId="3" fontId="4" fillId="2" borderId="6" xfId="1" applyNumberFormat="1" applyFill="1" applyBorder="1"/>
    <xf numFmtId="164" fontId="8" fillId="2" borderId="11" xfId="9" applyNumberFormat="1" applyFont="1" applyFill="1" applyBorder="1"/>
    <xf numFmtId="3" fontId="8" fillId="2" borderId="15" xfId="1" applyNumberFormat="1" applyFont="1" applyFill="1" applyBorder="1" applyAlignment="1">
      <alignment horizontal="right" vertical="center" wrapText="1"/>
    </xf>
    <xf numFmtId="0" fontId="8" fillId="2" borderId="14" xfId="1" applyFont="1" applyFill="1" applyBorder="1" applyAlignment="1">
      <alignment horizontal="right" vertical="center" wrapText="1"/>
    </xf>
    <xf numFmtId="3" fontId="8" fillId="2" borderId="0" xfId="1" applyNumberFormat="1" applyFont="1" applyFill="1" applyBorder="1" applyAlignment="1">
      <alignment horizontal="right" vertical="center" wrapText="1"/>
    </xf>
    <xf numFmtId="3" fontId="4" fillId="2" borderId="6" xfId="1" applyNumberFormat="1" applyFill="1" applyBorder="1" applyAlignment="1">
      <alignment horizontal="right"/>
    </xf>
    <xf numFmtId="3" fontId="4" fillId="2" borderId="15" xfId="9" applyNumberFormat="1" applyFont="1" applyFill="1" applyBorder="1" applyAlignment="1">
      <alignment horizontal="right"/>
    </xf>
    <xf numFmtId="3" fontId="4" fillId="2" borderId="9" xfId="9" applyNumberFormat="1" applyFont="1" applyFill="1" applyBorder="1" applyAlignment="1">
      <alignment horizontal="right"/>
    </xf>
    <xf numFmtId="165" fontId="8" fillId="2" borderId="9" xfId="11" applyNumberFormat="1" applyFont="1" applyFill="1" applyBorder="1" applyAlignment="1">
      <alignment horizontal="right"/>
    </xf>
    <xf numFmtId="3" fontId="4" fillId="2" borderId="15" xfId="1" applyNumberFormat="1" applyFill="1" applyBorder="1"/>
    <xf numFmtId="3" fontId="4" fillId="2" borderId="9" xfId="1" applyNumberFormat="1" applyFill="1" applyBorder="1"/>
    <xf numFmtId="3" fontId="8" fillId="2" borderId="9" xfId="1" applyNumberFormat="1" applyFont="1" applyFill="1" applyBorder="1"/>
    <xf numFmtId="3" fontId="4" fillId="2" borderId="15" xfId="1" applyNumberFormat="1" applyFill="1" applyBorder="1" applyAlignment="1"/>
    <xf numFmtId="3" fontId="8" fillId="2" borderId="9" xfId="1" applyNumberFormat="1" applyFont="1" applyFill="1" applyBorder="1" applyAlignment="1"/>
    <xf numFmtId="3" fontId="4" fillId="2" borderId="6" xfId="9" applyNumberFormat="1" applyFont="1" applyFill="1" applyBorder="1" applyAlignment="1">
      <alignment vertical="center"/>
    </xf>
    <xf numFmtId="164" fontId="4" fillId="2" borderId="8" xfId="9" applyNumberFormat="1" applyFont="1" applyFill="1" applyBorder="1" applyAlignment="1">
      <alignment vertical="center"/>
    </xf>
    <xf numFmtId="3" fontId="4" fillId="2" borderId="15" xfId="9" applyNumberFormat="1" applyFont="1" applyFill="1" applyBorder="1" applyAlignment="1">
      <alignment vertical="center"/>
    </xf>
    <xf numFmtId="164" fontId="4" fillId="2" borderId="14" xfId="9" applyNumberFormat="1" applyFont="1" applyFill="1" applyBorder="1" applyAlignment="1">
      <alignment vertical="center"/>
    </xf>
    <xf numFmtId="3" fontId="4" fillId="2" borderId="9" xfId="9" applyNumberFormat="1" applyFont="1" applyFill="1" applyBorder="1" applyAlignment="1">
      <alignment vertical="center"/>
    </xf>
    <xf numFmtId="164" fontId="4" fillId="2" borderId="11" xfId="9" applyNumberFormat="1" applyFont="1" applyFill="1" applyBorder="1" applyAlignment="1">
      <alignment vertical="center"/>
    </xf>
    <xf numFmtId="3" fontId="8" fillId="2" borderId="9" xfId="1" applyNumberFormat="1" applyFont="1" applyFill="1" applyBorder="1" applyAlignment="1">
      <alignment vertical="center"/>
    </xf>
    <xf numFmtId="164" fontId="8" fillId="2" borderId="11" xfId="9" applyNumberFormat="1" applyFont="1" applyFill="1" applyBorder="1" applyAlignment="1">
      <alignment vertical="center"/>
    </xf>
    <xf numFmtId="3" fontId="4" fillId="2" borderId="7" xfId="1" applyNumberFormat="1" applyFill="1" applyBorder="1"/>
    <xf numFmtId="3" fontId="4" fillId="2" borderId="0" xfId="1" applyNumberFormat="1" applyFill="1" applyBorder="1"/>
    <xf numFmtId="3" fontId="4" fillId="2" borderId="10" xfId="1" applyNumberFormat="1" applyFill="1" applyBorder="1"/>
    <xf numFmtId="0" fontId="8" fillId="2" borderId="16" xfId="1" applyFont="1" applyFill="1" applyBorder="1" applyAlignment="1">
      <alignment horizontal="right"/>
    </xf>
    <xf numFmtId="0" fontId="8" fillId="2" borderId="13" xfId="1" applyFont="1" applyFill="1" applyBorder="1" applyAlignment="1">
      <alignment horizontal="right"/>
    </xf>
    <xf numFmtId="0" fontId="8" fillId="2" borderId="6" xfId="1" applyFont="1" applyFill="1" applyBorder="1" applyAlignment="1">
      <alignment horizontal="right"/>
    </xf>
    <xf numFmtId="0" fontId="8" fillId="2" borderId="7" xfId="1" applyFont="1" applyFill="1" applyBorder="1" applyAlignment="1">
      <alignment horizontal="right"/>
    </xf>
    <xf numFmtId="0" fontId="8" fillId="2" borderId="8" xfId="1" applyFont="1" applyFill="1" applyBorder="1" applyAlignment="1">
      <alignment horizontal="right"/>
    </xf>
    <xf numFmtId="3" fontId="4" fillId="2" borderId="7" xfId="1" applyNumberFormat="1" applyFill="1" applyBorder="1" applyAlignment="1">
      <alignment horizontal="right"/>
    </xf>
    <xf numFmtId="3" fontId="4" fillId="2" borderId="8" xfId="1" applyNumberFormat="1" applyFill="1" applyBorder="1" applyAlignment="1">
      <alignment horizontal="right"/>
    </xf>
    <xf numFmtId="3" fontId="4" fillId="2" borderId="15" xfId="1" applyNumberFormat="1" applyFill="1" applyBorder="1" applyAlignment="1">
      <alignment horizontal="right"/>
    </xf>
    <xf numFmtId="3" fontId="4" fillId="2" borderId="0" xfId="1" applyNumberFormat="1" applyFill="1" applyBorder="1" applyAlignment="1">
      <alignment horizontal="right"/>
    </xf>
    <xf numFmtId="3" fontId="4" fillId="2" borderId="14" xfId="1" applyNumberFormat="1" applyFill="1" applyBorder="1" applyAlignment="1">
      <alignment horizontal="right"/>
    </xf>
    <xf numFmtId="3" fontId="4" fillId="2" borderId="9" xfId="1" applyNumberFormat="1" applyFill="1" applyBorder="1" applyAlignment="1">
      <alignment horizontal="right"/>
    </xf>
    <xf numFmtId="3" fontId="4" fillId="2" borderId="10" xfId="1" applyNumberFormat="1" applyFill="1" applyBorder="1" applyAlignment="1">
      <alignment horizontal="right"/>
    </xf>
    <xf numFmtId="3" fontId="4" fillId="2" borderId="11" xfId="1" applyNumberFormat="1" applyFill="1" applyBorder="1" applyAlignment="1">
      <alignment horizontal="right"/>
    </xf>
    <xf numFmtId="165" fontId="19" fillId="0" borderId="9" xfId="11" applyNumberFormat="1" applyFont="1" applyBorder="1" applyAlignment="1">
      <alignment horizontal="right"/>
    </xf>
    <xf numFmtId="165" fontId="19" fillId="0" borderId="10" xfId="11" applyNumberFormat="1" applyFont="1" applyBorder="1" applyAlignment="1">
      <alignment horizontal="right"/>
    </xf>
    <xf numFmtId="165" fontId="4" fillId="2" borderId="9" xfId="11" applyNumberFormat="1" applyFont="1" applyFill="1" applyBorder="1" applyAlignment="1">
      <alignment horizontal="right"/>
    </xf>
    <xf numFmtId="165" fontId="4" fillId="2" borderId="10" xfId="11" applyNumberFormat="1" applyFont="1" applyFill="1" applyBorder="1" applyAlignment="1">
      <alignment horizontal="right"/>
    </xf>
    <xf numFmtId="165" fontId="4" fillId="2" borderId="11" xfId="11" applyNumberFormat="1" applyFont="1" applyFill="1" applyBorder="1" applyAlignment="1">
      <alignment horizontal="right"/>
    </xf>
    <xf numFmtId="3" fontId="8" fillId="2" borderId="9" xfId="1" applyNumberFormat="1" applyFont="1" applyFill="1" applyBorder="1" applyAlignment="1">
      <alignment horizontal="right"/>
    </xf>
    <xf numFmtId="3" fontId="8" fillId="2" borderId="10" xfId="1" applyNumberFormat="1" applyFont="1" applyFill="1" applyBorder="1" applyAlignment="1">
      <alignment horizontal="right"/>
    </xf>
    <xf numFmtId="3" fontId="8" fillId="2" borderId="11" xfId="1" applyNumberFormat="1" applyFont="1" applyFill="1" applyBorder="1" applyAlignment="1">
      <alignment horizontal="right"/>
    </xf>
    <xf numFmtId="165" fontId="4" fillId="2" borderId="15" xfId="11" applyNumberFormat="1" applyFont="1" applyFill="1" applyBorder="1" applyAlignment="1">
      <alignment horizontal="right"/>
    </xf>
    <xf numFmtId="164" fontId="19" fillId="0" borderId="8" xfId="9" applyNumberFormat="1" applyFont="1" applyBorder="1"/>
    <xf numFmtId="164" fontId="19" fillId="0" borderId="14" xfId="9" applyNumberFormat="1" applyFont="1" applyBorder="1"/>
    <xf numFmtId="164" fontId="19" fillId="0" borderId="11" xfId="9" applyNumberFormat="1" applyFont="1" applyBorder="1"/>
    <xf numFmtId="3" fontId="4" fillId="2" borderId="9" xfId="1" applyNumberFormat="1" applyFont="1" applyFill="1" applyBorder="1"/>
    <xf numFmtId="164" fontId="24" fillId="0" borderId="11" xfId="9" applyNumberFormat="1" applyFont="1" applyBorder="1"/>
    <xf numFmtId="3" fontId="4" fillId="2" borderId="6" xfId="1" applyNumberFormat="1" applyFill="1" applyBorder="1" applyAlignment="1">
      <alignment vertical="center"/>
    </xf>
    <xf numFmtId="3" fontId="4" fillId="2" borderId="15" xfId="1" applyNumberFormat="1" applyFill="1" applyBorder="1" applyAlignment="1">
      <alignment vertical="center"/>
    </xf>
    <xf numFmtId="3" fontId="4" fillId="2" borderId="9" xfId="1" applyNumberFormat="1" applyFill="1" applyBorder="1" applyAlignment="1">
      <alignment vertical="center"/>
    </xf>
    <xf numFmtId="3" fontId="4" fillId="2" borderId="6" xfId="11" applyNumberFormat="1" applyFont="1" applyFill="1" applyBorder="1"/>
    <xf numFmtId="164" fontId="4" fillId="2" borderId="8" xfId="1" applyNumberFormat="1" applyFill="1" applyBorder="1"/>
    <xf numFmtId="3" fontId="4" fillId="2" borderId="15" xfId="11" applyNumberFormat="1" applyFont="1" applyFill="1" applyBorder="1"/>
    <xf numFmtId="164" fontId="4" fillId="2" borderId="14" xfId="1" applyNumberFormat="1" applyFill="1" applyBorder="1"/>
    <xf numFmtId="164" fontId="4" fillId="2" borderId="11" xfId="1" applyNumberFormat="1" applyFill="1" applyBorder="1"/>
    <xf numFmtId="3" fontId="4" fillId="2" borderId="0" xfId="1" applyNumberFormat="1" applyFill="1" applyBorder="1" applyAlignment="1"/>
    <xf numFmtId="3" fontId="4" fillId="2" borderId="14" xfId="1" applyNumberFormat="1" applyFill="1" applyBorder="1" applyAlignment="1"/>
    <xf numFmtId="3" fontId="4" fillId="2" borderId="10" xfId="1" applyNumberFormat="1" applyFill="1" applyBorder="1" applyAlignment="1"/>
    <xf numFmtId="3" fontId="4" fillId="2" borderId="11" xfId="1" applyNumberFormat="1" applyFill="1" applyBorder="1" applyAlignment="1"/>
    <xf numFmtId="3" fontId="8" fillId="2" borderId="10" xfId="1" applyNumberFormat="1" applyFont="1" applyFill="1" applyBorder="1" applyAlignment="1"/>
    <xf numFmtId="3" fontId="8" fillId="2" borderId="11" xfId="1" applyNumberFormat="1" applyFont="1" applyFill="1" applyBorder="1" applyAlignment="1"/>
    <xf numFmtId="43" fontId="4" fillId="2" borderId="15" xfId="11" applyFont="1" applyFill="1" applyBorder="1" applyAlignment="1"/>
    <xf numFmtId="43" fontId="4" fillId="2" borderId="0" xfId="11" applyFont="1" applyFill="1" applyBorder="1" applyAlignment="1"/>
    <xf numFmtId="43" fontId="4" fillId="2" borderId="14" xfId="11" applyFont="1" applyFill="1" applyBorder="1" applyAlignment="1"/>
    <xf numFmtId="0" fontId="4" fillId="0" borderId="0" xfId="1" applyFill="1" applyAlignment="1">
      <alignment vertical="center"/>
    </xf>
    <xf numFmtId="168" fontId="19" fillId="4" borderId="0" xfId="12" applyNumberFormat="1" applyFont="1" applyFill="1" applyBorder="1"/>
    <xf numFmtId="0" fontId="8" fillId="2" borderId="16" xfId="1" applyFont="1" applyFill="1" applyBorder="1" applyAlignment="1">
      <alignment horizontal="right" vertical="center"/>
    </xf>
    <xf numFmtId="0" fontId="8" fillId="2" borderId="4" xfId="1" applyFont="1" applyFill="1" applyBorder="1" applyAlignment="1">
      <alignment horizontal="right" vertical="center"/>
    </xf>
    <xf numFmtId="3" fontId="4" fillId="0" borderId="6" xfId="1" applyNumberFormat="1" applyFont="1" applyBorder="1" applyAlignment="1">
      <alignment vertical="center"/>
    </xf>
    <xf numFmtId="3" fontId="4" fillId="0" borderId="8" xfId="1" applyNumberFormat="1" applyFont="1" applyBorder="1" applyAlignment="1">
      <alignment vertical="center"/>
    </xf>
    <xf numFmtId="166" fontId="4" fillId="0" borderId="7" xfId="1" applyNumberFormat="1" applyFont="1" applyBorder="1" applyAlignment="1">
      <alignment vertical="center"/>
    </xf>
    <xf numFmtId="166" fontId="4" fillId="0" borderId="8" xfId="1" applyNumberFormat="1" applyFont="1" applyBorder="1" applyAlignment="1">
      <alignment vertical="center"/>
    </xf>
    <xf numFmtId="3" fontId="4" fillId="0" borderId="6" xfId="1" applyNumberFormat="1" applyFill="1" applyBorder="1" applyAlignment="1">
      <alignment vertical="center"/>
    </xf>
    <xf numFmtId="3" fontId="4" fillId="0" borderId="8" xfId="1" applyNumberFormat="1" applyFill="1" applyBorder="1" applyAlignment="1">
      <alignment vertical="center"/>
    </xf>
    <xf numFmtId="3" fontId="4" fillId="0" borderId="7" xfId="1" applyNumberFormat="1" applyFill="1" applyBorder="1" applyAlignment="1">
      <alignment vertical="center"/>
    </xf>
    <xf numFmtId="167" fontId="4" fillId="0" borderId="7" xfId="1" applyNumberFormat="1" applyFill="1" applyBorder="1" applyAlignment="1">
      <alignment vertical="center"/>
    </xf>
    <xf numFmtId="167" fontId="4" fillId="0" borderId="8" xfId="1" applyNumberFormat="1" applyFill="1" applyBorder="1" applyAlignment="1">
      <alignment vertical="center"/>
    </xf>
    <xf numFmtId="3" fontId="4" fillId="0" borderId="15" xfId="1" applyNumberFormat="1" applyFont="1" applyBorder="1" applyAlignment="1">
      <alignment vertical="center"/>
    </xf>
    <xf numFmtId="3" fontId="4" fillId="0" borderId="14" xfId="1" applyNumberFormat="1" applyFont="1" applyBorder="1" applyAlignment="1">
      <alignment vertical="center"/>
    </xf>
    <xf numFmtId="166" fontId="4" fillId="0" borderId="0" xfId="1" applyNumberFormat="1" applyFont="1" applyBorder="1" applyAlignment="1">
      <alignment vertical="center"/>
    </xf>
    <xf numFmtId="166" fontId="4" fillId="0" borderId="14" xfId="1" applyNumberFormat="1" applyFont="1" applyBorder="1" applyAlignment="1">
      <alignment vertical="center"/>
    </xf>
    <xf numFmtId="3" fontId="4" fillId="0" borderId="15" xfId="1" applyNumberFormat="1" applyFill="1" applyBorder="1" applyAlignment="1">
      <alignment vertical="center"/>
    </xf>
    <xf numFmtId="3" fontId="4" fillId="0" borderId="14" xfId="1" applyNumberFormat="1" applyFill="1" applyBorder="1" applyAlignment="1">
      <alignment vertical="center"/>
    </xf>
    <xf numFmtId="3" fontId="4" fillId="0" borderId="0" xfId="1" applyNumberFormat="1" applyFill="1" applyBorder="1" applyAlignment="1">
      <alignment vertical="center"/>
    </xf>
    <xf numFmtId="167" fontId="4" fillId="0" borderId="0" xfId="1" applyNumberFormat="1" applyFill="1" applyBorder="1" applyAlignment="1">
      <alignment vertical="center"/>
    </xf>
    <xf numFmtId="167" fontId="4" fillId="0" borderId="14" xfId="1" applyNumberFormat="1" applyFill="1" applyBorder="1" applyAlignment="1">
      <alignment vertical="center"/>
    </xf>
    <xf numFmtId="3" fontId="4" fillId="0" borderId="9" xfId="1" applyNumberFormat="1" applyFont="1" applyBorder="1" applyAlignment="1">
      <alignment vertical="center"/>
    </xf>
    <xf numFmtId="3" fontId="4" fillId="0" borderId="11" xfId="1" applyNumberFormat="1" applyFont="1" applyBorder="1" applyAlignment="1">
      <alignment vertical="center"/>
    </xf>
    <xf numFmtId="166" fontId="4" fillId="0" borderId="10" xfId="1" applyNumberFormat="1" applyFont="1" applyBorder="1" applyAlignment="1">
      <alignment vertical="center"/>
    </xf>
    <xf numFmtId="166" fontId="4" fillId="0" borderId="11" xfId="1" applyNumberFormat="1" applyFont="1" applyBorder="1" applyAlignment="1">
      <alignment vertical="center"/>
    </xf>
    <xf numFmtId="43" fontId="4" fillId="0" borderId="9" xfId="11" applyFont="1" applyBorder="1" applyAlignment="1">
      <alignment vertical="center"/>
    </xf>
    <xf numFmtId="43" fontId="4" fillId="0" borderId="11" xfId="11" applyFont="1" applyBorder="1" applyAlignment="1">
      <alignment vertical="center"/>
    </xf>
    <xf numFmtId="43" fontId="4" fillId="0" borderId="10" xfId="11" applyFont="1" applyBorder="1" applyAlignment="1">
      <alignment vertical="center"/>
    </xf>
    <xf numFmtId="3" fontId="4" fillId="0" borderId="9" xfId="1" applyNumberFormat="1" applyFill="1" applyBorder="1" applyAlignment="1">
      <alignment vertical="center"/>
    </xf>
    <xf numFmtId="3" fontId="4" fillId="0" borderId="11" xfId="1" applyNumberFormat="1" applyFill="1" applyBorder="1" applyAlignment="1">
      <alignment vertical="center"/>
    </xf>
    <xf numFmtId="3" fontId="8" fillId="0" borderId="16" xfId="1" applyNumberFormat="1" applyFont="1" applyBorder="1" applyAlignment="1">
      <alignment vertical="center"/>
    </xf>
    <xf numFmtId="3" fontId="8" fillId="0" borderId="4" xfId="1" applyNumberFormat="1" applyFont="1" applyBorder="1" applyAlignment="1">
      <alignment vertical="center"/>
    </xf>
    <xf numFmtId="3" fontId="4" fillId="0" borderId="10" xfId="1" applyNumberFormat="1" applyFill="1" applyBorder="1" applyAlignment="1">
      <alignment vertical="center"/>
    </xf>
    <xf numFmtId="3" fontId="8" fillId="0" borderId="13" xfId="1" applyNumberFormat="1" applyFont="1" applyBorder="1" applyAlignment="1">
      <alignment vertical="center"/>
    </xf>
    <xf numFmtId="167" fontId="8" fillId="0" borderId="9" xfId="1" applyNumberFormat="1" applyFont="1" applyFill="1" applyBorder="1" applyAlignment="1">
      <alignment vertical="center"/>
    </xf>
    <xf numFmtId="167" fontId="8" fillId="0" borderId="11" xfId="1" applyNumberFormat="1" applyFont="1" applyFill="1" applyBorder="1" applyAlignment="1">
      <alignment vertical="center"/>
    </xf>
    <xf numFmtId="0" fontId="0" fillId="0" borderId="0" xfId="0" applyAlignment="1">
      <alignment vertical="center" wrapText="1"/>
    </xf>
    <xf numFmtId="166" fontId="4" fillId="0" borderId="0" xfId="1" applyNumberFormat="1"/>
    <xf numFmtId="164" fontId="4" fillId="2" borderId="0" xfId="9" applyNumberFormat="1" applyFont="1" applyFill="1" applyAlignment="1"/>
    <xf numFmtId="164" fontId="4" fillId="2" borderId="14" xfId="1" applyNumberFormat="1" applyFill="1" applyBorder="1" applyAlignment="1">
      <alignment horizontal="right"/>
    </xf>
    <xf numFmtId="164" fontId="4" fillId="2" borderId="11" xfId="1" applyNumberFormat="1" applyFill="1" applyBorder="1" applyAlignment="1">
      <alignment horizontal="right"/>
    </xf>
    <xf numFmtId="0" fontId="0" fillId="0" borderId="10" xfId="0" applyBorder="1"/>
    <xf numFmtId="0" fontId="3" fillId="0" borderId="10" xfId="8" applyBorder="1"/>
    <xf numFmtId="0" fontId="8" fillId="2" borderId="13" xfId="1" applyFont="1" applyFill="1" applyBorder="1" applyAlignment="1">
      <alignment horizontal="left" vertical="center"/>
    </xf>
    <xf numFmtId="0" fontId="8" fillId="0" borderId="13" xfId="1" applyFont="1" applyFill="1" applyBorder="1" applyAlignment="1">
      <alignment horizontal="left" vertical="center" wrapText="1"/>
    </xf>
    <xf numFmtId="0" fontId="19" fillId="0" borderId="0" xfId="0" applyFont="1" applyBorder="1" applyAlignment="1">
      <alignment horizontal="left"/>
    </xf>
    <xf numFmtId="0" fontId="19" fillId="0" borderId="21" xfId="0" applyNumberFormat="1" applyFont="1" applyBorder="1" applyAlignment="1">
      <alignment horizontal="left"/>
    </xf>
    <xf numFmtId="49" fontId="8" fillId="0" borderId="16" xfId="1" applyNumberFormat="1" applyFont="1" applyFill="1" applyBorder="1" applyAlignment="1">
      <alignment horizontal="right" wrapText="1"/>
    </xf>
    <xf numFmtId="49" fontId="8" fillId="0" borderId="13" xfId="1" applyNumberFormat="1" applyFont="1" applyFill="1" applyBorder="1" applyAlignment="1">
      <alignment horizontal="right" wrapText="1"/>
    </xf>
    <xf numFmtId="49" fontId="8" fillId="0" borderId="2" xfId="1" applyNumberFormat="1" applyFont="1" applyFill="1" applyBorder="1" applyAlignment="1">
      <alignment horizontal="right" wrapText="1"/>
    </xf>
    <xf numFmtId="169" fontId="19" fillId="0" borderId="3" xfId="11" applyNumberFormat="1" applyFont="1" applyFill="1" applyBorder="1" applyAlignment="1">
      <alignment horizontal="right"/>
    </xf>
    <xf numFmtId="169" fontId="24" fillId="0" borderId="2" xfId="11" applyNumberFormat="1" applyFont="1" applyFill="1" applyBorder="1" applyAlignment="1">
      <alignment horizontal="right"/>
    </xf>
    <xf numFmtId="0" fontId="8" fillId="0" borderId="2" xfId="1" applyFont="1" applyBorder="1" applyAlignment="1"/>
    <xf numFmtId="164" fontId="8" fillId="0" borderId="4" xfId="3" applyNumberFormat="1" applyFont="1" applyBorder="1" applyAlignment="1">
      <alignment horizontal="right"/>
    </xf>
    <xf numFmtId="165" fontId="8" fillId="2" borderId="16" xfId="1" applyNumberFormat="1" applyFont="1" applyFill="1" applyBorder="1"/>
    <xf numFmtId="164" fontId="8" fillId="2" borderId="4" xfId="9" applyNumberFormat="1" applyFont="1" applyFill="1" applyBorder="1" applyAlignment="1">
      <alignment horizontal="right"/>
    </xf>
    <xf numFmtId="0" fontId="8" fillId="2" borderId="2" xfId="1" applyFont="1" applyFill="1" applyBorder="1" applyAlignment="1">
      <alignment wrapText="1"/>
    </xf>
    <xf numFmtId="0" fontId="8" fillId="0" borderId="2" xfId="1" applyFont="1" applyBorder="1" applyAlignment="1">
      <alignment horizontal="left" wrapText="1"/>
    </xf>
    <xf numFmtId="165" fontId="8" fillId="2" borderId="16" xfId="11" applyNumberFormat="1" applyFont="1" applyFill="1" applyBorder="1" applyAlignment="1">
      <alignment horizontal="right" vertical="center"/>
    </xf>
    <xf numFmtId="3" fontId="8" fillId="2" borderId="16" xfId="1" applyNumberFormat="1" applyFont="1" applyFill="1" applyBorder="1" applyAlignment="1">
      <alignment horizontal="right"/>
    </xf>
    <xf numFmtId="0" fontId="8" fillId="0" borderId="2" xfId="1" applyFont="1" applyBorder="1" applyAlignment="1">
      <alignment horizontal="left" vertical="center"/>
    </xf>
    <xf numFmtId="165" fontId="8" fillId="0" borderId="16" xfId="11" applyNumberFormat="1" applyFont="1" applyBorder="1" applyAlignment="1">
      <alignment horizontal="right" vertical="center"/>
    </xf>
    <xf numFmtId="3" fontId="8" fillId="2" borderId="16" xfId="1" applyNumberFormat="1" applyFont="1" applyFill="1" applyBorder="1"/>
    <xf numFmtId="0" fontId="8" fillId="0" borderId="16" xfId="1" applyFont="1" applyBorder="1" applyAlignment="1">
      <alignment horizontal="left" vertical="center" wrapText="1"/>
    </xf>
    <xf numFmtId="3" fontId="8" fillId="2" borderId="16" xfId="1" applyNumberFormat="1" applyFont="1" applyFill="1" applyBorder="1" applyAlignment="1">
      <alignment wrapText="1"/>
    </xf>
    <xf numFmtId="164" fontId="8" fillId="0" borderId="4" xfId="3" applyNumberFormat="1" applyFont="1" applyBorder="1" applyAlignment="1">
      <alignment horizontal="right" vertical="center"/>
    </xf>
    <xf numFmtId="3" fontId="8" fillId="2" borderId="16" xfId="1" applyNumberFormat="1" applyFont="1" applyFill="1" applyBorder="1" applyAlignment="1">
      <alignment vertical="center"/>
    </xf>
    <xf numFmtId="164" fontId="8" fillId="2" borderId="4" xfId="9" applyNumberFormat="1" applyFont="1" applyFill="1" applyBorder="1" applyAlignment="1">
      <alignment vertical="center"/>
    </xf>
    <xf numFmtId="0" fontId="4" fillId="2" borderId="16" xfId="1" applyFont="1" applyFill="1" applyBorder="1" applyAlignment="1">
      <alignment horizontal="center" vertical="center"/>
    </xf>
    <xf numFmtId="165" fontId="8" fillId="0" borderId="13" xfId="11" applyNumberFormat="1" applyFont="1" applyBorder="1" applyAlignment="1">
      <alignment horizontal="right" vertical="center"/>
    </xf>
    <xf numFmtId="3" fontId="8" fillId="0" borderId="16" xfId="1" applyNumberFormat="1" applyFont="1" applyFill="1" applyBorder="1" applyAlignment="1">
      <alignment vertical="center"/>
    </xf>
    <xf numFmtId="3" fontId="8" fillId="0" borderId="13" xfId="1" applyNumberFormat="1" applyFont="1" applyFill="1" applyBorder="1" applyAlignment="1">
      <alignment vertical="center"/>
    </xf>
    <xf numFmtId="167" fontId="8" fillId="0" borderId="16" xfId="1" applyNumberFormat="1" applyFont="1" applyFill="1" applyBorder="1" applyAlignment="1">
      <alignment vertical="center"/>
    </xf>
    <xf numFmtId="167" fontId="8" fillId="0" borderId="4" xfId="1" applyNumberFormat="1" applyFont="1" applyFill="1" applyBorder="1" applyAlignment="1">
      <alignment vertical="center"/>
    </xf>
    <xf numFmtId="3" fontId="8" fillId="0" borderId="16" xfId="1" applyNumberFormat="1" applyFont="1" applyFill="1" applyBorder="1" applyAlignment="1">
      <alignment horizontal="right"/>
    </xf>
    <xf numFmtId="164" fontId="24" fillId="0" borderId="4" xfId="9" applyNumberFormat="1" applyFont="1" applyBorder="1"/>
    <xf numFmtId="165" fontId="24" fillId="0" borderId="22" xfId="11" applyNumberFormat="1" applyFont="1" applyBorder="1" applyAlignment="1">
      <alignment horizontal="right"/>
    </xf>
    <xf numFmtId="165" fontId="24" fillId="0" borderId="23" xfId="11" applyNumberFormat="1" applyFont="1" applyBorder="1" applyAlignment="1">
      <alignment horizontal="right"/>
    </xf>
    <xf numFmtId="165" fontId="24" fillId="0" borderId="4" xfId="11" applyNumberFormat="1" applyFont="1" applyBorder="1" applyAlignment="1">
      <alignment horizontal="right"/>
    </xf>
    <xf numFmtId="1" fontId="8" fillId="2" borderId="22" xfId="6" applyNumberFormat="1" applyFont="1" applyFill="1" applyBorder="1" applyAlignment="1">
      <alignment horizontal="center" vertical="center" wrapText="1"/>
    </xf>
    <xf numFmtId="1" fontId="8" fillId="2" borderId="23" xfId="6" applyNumberFormat="1" applyFont="1" applyFill="1" applyBorder="1" applyAlignment="1">
      <alignment horizontal="center" vertical="center" wrapText="1"/>
    </xf>
    <xf numFmtId="169" fontId="19" fillId="0" borderId="12" xfId="11" applyNumberFormat="1" applyFont="1" applyFill="1" applyBorder="1" applyAlignment="1">
      <alignment horizontal="right"/>
    </xf>
    <xf numFmtId="169" fontId="19" fillId="0" borderId="26" xfId="11" applyNumberFormat="1" applyFont="1" applyBorder="1" applyAlignment="1">
      <alignment horizontal="right"/>
    </xf>
    <xf numFmtId="169" fontId="19" fillId="0" borderId="27" xfId="11" applyNumberFormat="1" applyFont="1" applyBorder="1" applyAlignment="1">
      <alignment horizontal="right"/>
    </xf>
    <xf numFmtId="165" fontId="19" fillId="0" borderId="15" xfId="11" applyNumberFormat="1" applyFont="1" applyFill="1" applyBorder="1" applyAlignment="1">
      <alignment horizontal="right"/>
    </xf>
    <xf numFmtId="165" fontId="19" fillId="0" borderId="0" xfId="11" applyNumberFormat="1" applyFont="1" applyFill="1" applyBorder="1" applyAlignment="1">
      <alignment horizontal="right"/>
    </xf>
    <xf numFmtId="169" fontId="24" fillId="0" borderId="13" xfId="11" applyNumberFormat="1" applyFont="1" applyFill="1" applyBorder="1" applyAlignment="1">
      <alignment horizontal="right"/>
    </xf>
    <xf numFmtId="164" fontId="4" fillId="2" borderId="4" xfId="9" applyNumberFormat="1" applyFont="1" applyFill="1" applyBorder="1" applyAlignment="1">
      <alignment horizontal="right"/>
    </xf>
    <xf numFmtId="170" fontId="4" fillId="2" borderId="0" xfId="11" applyNumberFormat="1" applyFont="1" applyFill="1"/>
    <xf numFmtId="170" fontId="4" fillId="2" borderId="0" xfId="11" applyNumberFormat="1" applyFont="1" applyFill="1" applyBorder="1"/>
    <xf numFmtId="170" fontId="4" fillId="2" borderId="0" xfId="11" applyNumberFormat="1" applyFont="1" applyFill="1" applyAlignment="1"/>
    <xf numFmtId="0" fontId="8" fillId="2" borderId="13" xfId="1" applyFont="1" applyFill="1" applyBorder="1" applyAlignment="1">
      <alignment horizontal="right" vertical="center"/>
    </xf>
    <xf numFmtId="43" fontId="4" fillId="2" borderId="15" xfId="11" applyFont="1" applyFill="1" applyBorder="1" applyAlignment="1">
      <alignment horizontal="right"/>
    </xf>
    <xf numFmtId="43" fontId="4" fillId="2" borderId="0" xfId="11" applyFont="1" applyFill="1" applyBorder="1" applyAlignment="1">
      <alignment horizontal="right"/>
    </xf>
    <xf numFmtId="43" fontId="4" fillId="2" borderId="14" xfId="11" applyFont="1" applyFill="1" applyBorder="1" applyAlignment="1">
      <alignment horizontal="right"/>
    </xf>
    <xf numFmtId="165" fontId="19" fillId="0" borderId="20" xfId="11" applyNumberFormat="1" applyFont="1" applyBorder="1" applyAlignment="1">
      <alignment horizontal="right"/>
    </xf>
    <xf numFmtId="165" fontId="19" fillId="0" borderId="19" xfId="11" applyNumberFormat="1" applyFont="1" applyBorder="1" applyAlignment="1">
      <alignment horizontal="right"/>
    </xf>
    <xf numFmtId="165" fontId="19" fillId="0" borderId="24" xfId="11" applyNumberFormat="1" applyFont="1" applyBorder="1" applyAlignment="1">
      <alignment horizontal="right"/>
    </xf>
    <xf numFmtId="165" fontId="19" fillId="0" borderId="25" xfId="11" applyNumberFormat="1" applyFont="1" applyBorder="1" applyAlignment="1">
      <alignment horizontal="right"/>
    </xf>
    <xf numFmtId="165" fontId="19" fillId="0" borderId="24" xfId="11" applyNumberFormat="1" applyFont="1" applyFill="1" applyBorder="1" applyAlignment="1">
      <alignment horizontal="right"/>
    </xf>
    <xf numFmtId="165" fontId="19" fillId="0" borderId="25" xfId="11" applyNumberFormat="1" applyFont="1" applyFill="1" applyBorder="1" applyAlignment="1">
      <alignment horizontal="right"/>
    </xf>
    <xf numFmtId="0" fontId="19" fillId="0" borderId="0" xfId="0" applyNumberFormat="1" applyFont="1" applyBorder="1" applyAlignment="1">
      <alignment horizontal="left"/>
    </xf>
    <xf numFmtId="0" fontId="4" fillId="0" borderId="15" xfId="0" applyFont="1" applyBorder="1"/>
    <xf numFmtId="165" fontId="0" fillId="0" borderId="0" xfId="11" applyNumberFormat="1" applyFont="1" applyAlignment="1">
      <alignment horizontal="right"/>
    </xf>
    <xf numFmtId="165" fontId="0" fillId="0" borderId="14" xfId="11" applyNumberFormat="1" applyFont="1" applyBorder="1" applyAlignment="1">
      <alignment horizontal="right"/>
    </xf>
    <xf numFmtId="0" fontId="0" fillId="0" borderId="0" xfId="0" applyAlignment="1">
      <alignment horizontal="right"/>
    </xf>
    <xf numFmtId="165" fontId="0" fillId="0" borderId="0" xfId="0" applyNumberFormat="1" applyAlignment="1">
      <alignment horizontal="right"/>
    </xf>
    <xf numFmtId="0" fontId="3" fillId="0" borderId="0" xfId="8" applyAlignment="1">
      <alignment horizontal="right"/>
    </xf>
    <xf numFmtId="0" fontId="34" fillId="4" borderId="0" xfId="0" applyFont="1" applyFill="1" applyAlignment="1">
      <alignment horizontal="left"/>
    </xf>
    <xf numFmtId="0" fontId="1" fillId="4" borderId="0" xfId="0" applyFont="1" applyFill="1"/>
    <xf numFmtId="0" fontId="2" fillId="4" borderId="0" xfId="0" applyFont="1" applyFill="1"/>
    <xf numFmtId="0" fontId="7" fillId="0" borderId="0" xfId="2" applyFill="1" applyAlignment="1" applyProtection="1"/>
    <xf numFmtId="0" fontId="18" fillId="0" borderId="0" xfId="0" applyFont="1" applyAlignment="1" applyProtection="1">
      <alignment horizontal="left" vertical="top" wrapText="1" readingOrder="1"/>
      <protection locked="0"/>
    </xf>
    <xf numFmtId="0" fontId="19" fillId="4" borderId="0" xfId="0" applyFont="1" applyFill="1" applyAlignment="1">
      <alignment wrapText="1"/>
    </xf>
    <xf numFmtId="0" fontId="7" fillId="0" borderId="0" xfId="2" quotePrefix="1" applyAlignment="1" applyProtection="1">
      <alignment horizontal="left"/>
    </xf>
    <xf numFmtId="0" fontId="7" fillId="0" borderId="0" xfId="2" quotePrefix="1" applyAlignment="1" applyProtection="1"/>
    <xf numFmtId="0" fontId="20" fillId="0" borderId="0" xfId="1" applyFont="1" applyAlignment="1">
      <alignment horizontal="left"/>
    </xf>
    <xf numFmtId="0" fontId="7" fillId="0" borderId="0" xfId="2" applyAlignment="1" applyProtection="1">
      <alignment horizontal="left"/>
    </xf>
    <xf numFmtId="0" fontId="4" fillId="2" borderId="0" xfId="1" applyFont="1" applyFill="1" applyAlignment="1">
      <alignment horizontal="left" wrapText="1"/>
    </xf>
    <xf numFmtId="0" fontId="8" fillId="2" borderId="16" xfId="1" applyFont="1" applyFill="1" applyBorder="1" applyAlignment="1">
      <alignment horizontal="center"/>
    </xf>
    <xf numFmtId="0" fontId="8" fillId="2" borderId="4" xfId="1" applyFont="1" applyFill="1" applyBorder="1" applyAlignment="1">
      <alignment horizontal="center"/>
    </xf>
    <xf numFmtId="0" fontId="4" fillId="2" borderId="0" xfId="1" applyFont="1" applyFill="1" applyAlignment="1">
      <alignment horizontal="left" vertical="top" wrapText="1"/>
    </xf>
    <xf numFmtId="0" fontId="4" fillId="0" borderId="0" xfId="1" applyFont="1" applyFill="1" applyAlignment="1">
      <alignment horizontal="left" wrapText="1"/>
    </xf>
    <xf numFmtId="0" fontId="4" fillId="2" borderId="0" xfId="1" applyFont="1" applyFill="1" applyBorder="1" applyAlignment="1">
      <alignment horizontal="left" vertical="top" wrapText="1"/>
    </xf>
    <xf numFmtId="0" fontId="8" fillId="2" borderId="7" xfId="1" applyFont="1" applyFill="1" applyBorder="1" applyAlignment="1">
      <alignment horizontal="center"/>
    </xf>
    <xf numFmtId="0" fontId="8" fillId="2" borderId="8" xfId="1" applyFont="1" applyFill="1" applyBorder="1" applyAlignment="1">
      <alignment horizontal="center"/>
    </xf>
    <xf numFmtId="0" fontId="8" fillId="0" borderId="16" xfId="1" applyFont="1" applyBorder="1" applyAlignment="1">
      <alignment horizontal="center"/>
    </xf>
    <xf numFmtId="0" fontId="8" fillId="0" borderId="4" xfId="1" applyFont="1" applyBorder="1" applyAlignment="1">
      <alignment horizontal="center"/>
    </xf>
    <xf numFmtId="0" fontId="7" fillId="0" borderId="0" xfId="2" applyFill="1" applyAlignment="1" applyProtection="1">
      <alignment horizontal="left"/>
    </xf>
    <xf numFmtId="0" fontId="4" fillId="0" borderId="0" xfId="1" applyFont="1" applyFill="1" applyBorder="1" applyAlignment="1">
      <alignment horizontal="left" vertical="top" wrapText="1"/>
    </xf>
    <xf numFmtId="0" fontId="4" fillId="0" borderId="0" xfId="1" applyFont="1" applyFill="1" applyAlignment="1">
      <alignment horizontal="left" vertical="top" wrapText="1"/>
    </xf>
    <xf numFmtId="0" fontId="4" fillId="0" borderId="0" xfId="1" applyFont="1" applyFill="1" applyAlignment="1">
      <alignment wrapText="1"/>
    </xf>
    <xf numFmtId="0" fontId="4" fillId="0" borderId="0" xfId="0" applyFont="1" applyFill="1" applyAlignment="1">
      <alignment horizontal="left" vertical="top" wrapText="1"/>
    </xf>
    <xf numFmtId="0" fontId="7" fillId="2" borderId="0" xfId="2" applyFill="1" applyAlignment="1" applyProtection="1">
      <alignment horizontal="left"/>
    </xf>
    <xf numFmtId="0" fontId="4" fillId="4" borderId="0" xfId="1" applyFont="1" applyFill="1" applyAlignment="1">
      <alignment horizontal="left" wrapText="1"/>
    </xf>
    <xf numFmtId="0" fontId="8" fillId="0" borderId="16" xfId="1" applyFont="1" applyBorder="1" applyAlignment="1">
      <alignment horizontal="center" vertical="center"/>
    </xf>
    <xf numFmtId="0" fontId="8" fillId="0" borderId="13" xfId="1" applyFont="1" applyBorder="1" applyAlignment="1">
      <alignment horizontal="center" vertical="center"/>
    </xf>
    <xf numFmtId="0" fontId="8" fillId="0" borderId="4" xfId="1" applyFont="1" applyBorder="1" applyAlignment="1">
      <alignment horizontal="center" vertical="center"/>
    </xf>
    <xf numFmtId="0" fontId="8" fillId="2" borderId="16" xfId="1" applyFont="1" applyFill="1" applyBorder="1" applyAlignment="1">
      <alignment horizontal="center" vertical="center"/>
    </xf>
    <xf numFmtId="0" fontId="8" fillId="2" borderId="4" xfId="1" applyFont="1" applyFill="1" applyBorder="1" applyAlignment="1">
      <alignment horizontal="center" vertical="center"/>
    </xf>
    <xf numFmtId="0" fontId="8"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37" fillId="0" borderId="0" xfId="2" applyFont="1" applyFill="1" applyAlignment="1" applyProtection="1">
      <alignment wrapText="1"/>
    </xf>
    <xf numFmtId="0" fontId="8" fillId="2" borderId="13" xfId="1" applyFont="1" applyFill="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8" fillId="0" borderId="16" xfId="0" applyFont="1" applyBorder="1" applyAlignment="1">
      <alignment horizontal="center"/>
    </xf>
    <xf numFmtId="0" fontId="8" fillId="0" borderId="4" xfId="0" applyFont="1" applyBorder="1" applyAlignment="1">
      <alignment horizontal="center"/>
    </xf>
    <xf numFmtId="0" fontId="8" fillId="0" borderId="7" xfId="1" applyFont="1" applyBorder="1" applyAlignment="1">
      <alignment horizontal="center"/>
    </xf>
    <xf numFmtId="0" fontId="8" fillId="0" borderId="8" xfId="1" applyFont="1" applyBorder="1" applyAlignment="1">
      <alignment horizontal="center"/>
    </xf>
    <xf numFmtId="0" fontId="8" fillId="0" borderId="6" xfId="1" applyFont="1" applyBorder="1" applyAlignment="1">
      <alignment horizontal="center"/>
    </xf>
    <xf numFmtId="0" fontId="8" fillId="2" borderId="16" xfId="1" applyFont="1" applyFill="1" applyBorder="1" applyAlignment="1">
      <alignment horizontal="left"/>
    </xf>
    <xf numFmtId="0" fontId="8" fillId="2" borderId="13" xfId="1" applyFont="1" applyFill="1" applyBorder="1" applyAlignment="1">
      <alignment horizontal="left"/>
    </xf>
    <xf numFmtId="0" fontId="4" fillId="2" borderId="0" xfId="1" applyFont="1" applyFill="1" applyBorder="1" applyAlignment="1">
      <alignment horizontal="left" vertical="center"/>
    </xf>
    <xf numFmtId="0" fontId="19" fillId="0" borderId="0" xfId="0" applyFont="1" applyFill="1" applyAlignment="1">
      <alignment horizontal="left" vertical="top" wrapText="1"/>
    </xf>
    <xf numFmtId="0" fontId="19" fillId="0" borderId="0" xfId="0" applyFont="1" applyAlignment="1">
      <alignment horizontal="left" wrapText="1"/>
    </xf>
    <xf numFmtId="0" fontId="9" fillId="2" borderId="0" xfId="1" applyFont="1" applyFill="1" applyAlignment="1">
      <alignment horizontal="left" wrapText="1"/>
    </xf>
    <xf numFmtId="0" fontId="8" fillId="2" borderId="13" xfId="1" applyFont="1" applyFill="1" applyBorder="1" applyAlignment="1">
      <alignment horizontal="center" vertical="top" wrapText="1"/>
    </xf>
    <xf numFmtId="0" fontId="8" fillId="2" borderId="4" xfId="1" applyFont="1" applyFill="1" applyBorder="1" applyAlignment="1">
      <alignment horizontal="center" vertical="top" wrapText="1"/>
    </xf>
    <xf numFmtId="0" fontId="8" fillId="2" borderId="16" xfId="1" applyFont="1" applyFill="1" applyBorder="1" applyAlignment="1">
      <alignment horizontal="center" vertical="top" wrapText="1"/>
    </xf>
    <xf numFmtId="0" fontId="8" fillId="2" borderId="6" xfId="1" applyFont="1" applyFill="1" applyBorder="1" applyAlignment="1">
      <alignment horizontal="center"/>
    </xf>
    <xf numFmtId="0" fontId="9" fillId="2" borderId="0" xfId="1" applyFont="1" applyFill="1" applyBorder="1" applyAlignment="1">
      <alignment horizontal="left" wrapText="1"/>
    </xf>
    <xf numFmtId="0" fontId="8" fillId="2" borderId="13" xfId="1" applyFont="1" applyFill="1" applyBorder="1" applyAlignment="1">
      <alignment horizontal="center" vertical="center"/>
    </xf>
    <xf numFmtId="0" fontId="8" fillId="2" borderId="16" xfId="1" applyFont="1" applyFill="1" applyBorder="1" applyAlignment="1">
      <alignment horizontal="left" vertical="center"/>
    </xf>
    <xf numFmtId="0" fontId="8" fillId="2" borderId="13" xfId="1" applyFont="1" applyFill="1" applyBorder="1" applyAlignment="1">
      <alignment horizontal="left" vertical="center"/>
    </xf>
    <xf numFmtId="0" fontId="8" fillId="4" borderId="0" xfId="8" applyFont="1" applyFill="1" applyBorder="1" applyAlignment="1">
      <alignment horizontal="left"/>
    </xf>
    <xf numFmtId="0" fontId="8" fillId="2" borderId="0" xfId="1" applyFont="1" applyFill="1" applyAlignment="1">
      <alignment horizontal="left"/>
    </xf>
    <xf numFmtId="49" fontId="8" fillId="2" borderId="1" xfId="6" applyNumberFormat="1" applyFont="1" applyFill="1" applyBorder="1" applyAlignment="1">
      <alignment horizontal="center" vertical="center"/>
    </xf>
    <xf numFmtId="49" fontId="8" fillId="2" borderId="3" xfId="6" applyNumberFormat="1" applyFont="1" applyFill="1" applyBorder="1" applyAlignment="1">
      <alignment horizontal="center" vertical="center"/>
    </xf>
    <xf numFmtId="49" fontId="8" fillId="2" borderId="16" xfId="6" applyNumberFormat="1" applyFont="1" applyFill="1" applyBorder="1" applyAlignment="1">
      <alignment horizontal="center" vertical="center"/>
    </xf>
    <xf numFmtId="49" fontId="8" fillId="2" borderId="4" xfId="6" applyNumberFormat="1" applyFont="1" applyFill="1" applyBorder="1" applyAlignment="1">
      <alignment horizontal="center" vertical="center"/>
    </xf>
    <xf numFmtId="49" fontId="19" fillId="2" borderId="0" xfId="8" applyNumberFormat="1" applyFont="1" applyFill="1" applyAlignment="1">
      <alignment horizontal="left" wrapText="1"/>
    </xf>
    <xf numFmtId="17" fontId="8" fillId="2" borderId="16" xfId="6" applyNumberFormat="1" applyFont="1" applyFill="1" applyBorder="1" applyAlignment="1">
      <alignment horizontal="center" vertical="center"/>
    </xf>
    <xf numFmtId="49" fontId="8" fillId="2" borderId="13" xfId="6" applyNumberFormat="1" applyFont="1" applyFill="1" applyBorder="1" applyAlignment="1">
      <alignment horizontal="center" vertical="center"/>
    </xf>
    <xf numFmtId="3" fontId="8" fillId="2" borderId="4" xfId="1" applyNumberFormat="1" applyFont="1" applyFill="1" applyBorder="1" applyAlignment="1">
      <alignment horizontal="right"/>
    </xf>
    <xf numFmtId="3" fontId="8" fillId="2" borderId="13" xfId="1" applyNumberFormat="1" applyFont="1" applyFill="1" applyBorder="1" applyAlignment="1">
      <alignment horizontal="right"/>
    </xf>
    <xf numFmtId="0" fontId="8" fillId="0" borderId="10" xfId="1" applyFont="1" applyFill="1" applyBorder="1" applyAlignment="1"/>
    <xf numFmtId="0" fontId="4" fillId="0" borderId="10" xfId="1" applyFont="1" applyFill="1" applyBorder="1" applyAlignment="1">
      <alignment horizontal="right" indent="2"/>
    </xf>
    <xf numFmtId="164" fontId="4" fillId="0" borderId="10" xfId="1" applyNumberFormat="1" applyFont="1" applyFill="1" applyBorder="1" applyAlignment="1">
      <alignment horizontal="right" indent="2"/>
    </xf>
    <xf numFmtId="3" fontId="4" fillId="2" borderId="10" xfId="9" applyNumberFormat="1" applyFont="1" applyFill="1" applyBorder="1"/>
  </cellXfs>
  <cellStyles count="33">
    <cellStyle name="Comma" xfId="11" builtinId="3"/>
    <cellStyle name="Comma 2" xfId="4" xr:uid="{00000000-0005-0000-0000-000001000000}"/>
    <cellStyle name="Comma 2 2" xfId="14" xr:uid="{00000000-0005-0000-0000-000002000000}"/>
    <cellStyle name="Comma 3" xfId="15" xr:uid="{00000000-0005-0000-0000-000003000000}"/>
    <cellStyle name="Followed Hyperlink 2" xfId="27" xr:uid="{00000000-0005-0000-0000-000004000000}"/>
    <cellStyle name="Hyperlink" xfId="2" builtinId="8"/>
    <cellStyle name="Hyperlink 2" xfId="16" xr:uid="{00000000-0005-0000-0000-000006000000}"/>
    <cellStyle name="Hyperlink 3" xfId="26" xr:uid="{00000000-0005-0000-0000-000007000000}"/>
    <cellStyle name="Hyperlink 4" xfId="13" xr:uid="{00000000-0005-0000-0000-000008000000}"/>
    <cellStyle name="Normal" xfId="0" builtinId="0"/>
    <cellStyle name="Normal 2" xfId="1" xr:uid="{00000000-0005-0000-0000-00000A000000}"/>
    <cellStyle name="Normal 2 2" xfId="5" xr:uid="{00000000-0005-0000-0000-00000B000000}"/>
    <cellStyle name="Normal 2 2 2" xfId="17" xr:uid="{00000000-0005-0000-0000-00000C000000}"/>
    <cellStyle name="Normal 2 3" xfId="8" xr:uid="{00000000-0005-0000-0000-00000D000000}"/>
    <cellStyle name="Normal 3" xfId="6" xr:uid="{00000000-0005-0000-0000-00000E000000}"/>
    <cellStyle name="Normal 3 2" xfId="19" xr:uid="{00000000-0005-0000-0000-00000F000000}"/>
    <cellStyle name="Normal 3 3" xfId="18" xr:uid="{00000000-0005-0000-0000-000010000000}"/>
    <cellStyle name="Normal 4" xfId="20" xr:uid="{00000000-0005-0000-0000-000011000000}"/>
    <cellStyle name="Normal 5" xfId="30" xr:uid="{00000000-0005-0000-0000-000012000000}"/>
    <cellStyle name="Normal 6" xfId="31" xr:uid="{00000000-0005-0000-0000-000013000000}"/>
    <cellStyle name="Normal 7" xfId="32" xr:uid="{7E8AEBD4-7664-499A-91C0-152B0B3FF28E}"/>
    <cellStyle name="Normal_TEMP2" xfId="7" xr:uid="{00000000-0005-0000-0000-000014000000}"/>
    <cellStyle name="Note 2" xfId="28" xr:uid="{00000000-0005-0000-0000-000015000000}"/>
    <cellStyle name="Note 3" xfId="29" xr:uid="{00000000-0005-0000-0000-000016000000}"/>
    <cellStyle name="Percent" xfId="9" builtinId="5"/>
    <cellStyle name="Percent 2" xfId="3" xr:uid="{00000000-0005-0000-0000-000018000000}"/>
    <cellStyle name="Percent 2 2" xfId="12" xr:uid="{00000000-0005-0000-0000-000019000000}"/>
    <cellStyle name="Percent 3" xfId="10" xr:uid="{00000000-0005-0000-0000-00001A000000}"/>
    <cellStyle name="Percent 3 2" xfId="22" xr:uid="{00000000-0005-0000-0000-00001B000000}"/>
    <cellStyle name="Percent 3 2 2" xfId="23" xr:uid="{00000000-0005-0000-0000-00001C000000}"/>
    <cellStyle name="Percent 3 3" xfId="21" xr:uid="{00000000-0005-0000-0000-00001D000000}"/>
    <cellStyle name="Percent 4" xfId="24" xr:uid="{00000000-0005-0000-0000-00001E000000}"/>
    <cellStyle name="Percent 5" xfId="25" xr:uid="{00000000-0005-0000-0000-00001F000000}"/>
  </cellStyles>
  <dxfs count="1">
    <dxf>
      <font>
        <color rgb="FF9C0006"/>
      </font>
      <fill>
        <patternFill>
          <bgColor rgb="FFFFC7CE"/>
        </patternFill>
      </fill>
    </dxf>
  </dxfs>
  <tableStyles count="0" defaultTableStyle="TableStyleMedium2" defaultPivotStyle="PivotStyleLight16"/>
  <colors>
    <mruColors>
      <color rgb="FF84919C"/>
      <color rgb="FF005EB8"/>
      <color rgb="FF424D58"/>
      <color rgb="FF0000FF"/>
      <color rgb="FF003350"/>
      <color rgb="FF003360"/>
      <color rgb="FFD8E0E8"/>
      <color rgb="FFDFFE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 Id="rId30"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314325</xdr:colOff>
      <xdr:row>0</xdr:row>
      <xdr:rowOff>0</xdr:rowOff>
    </xdr:from>
    <xdr:to>
      <xdr:col>4</xdr:col>
      <xdr:colOff>292215</xdr:colOff>
      <xdr:row>5</xdr:row>
      <xdr:rowOff>42822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43800" y="0"/>
          <a:ext cx="1197090" cy="947697"/>
        </a:xfrm>
        <a:prstGeom prst="rect">
          <a:avLst/>
        </a:prstGeom>
      </xdr:spPr>
    </xdr:pic>
    <xdr:clientData/>
  </xdr:twoCellAnchor>
  <xdr:twoCellAnchor>
    <xdr:from>
      <xdr:col>0</xdr:col>
      <xdr:colOff>0</xdr:colOff>
      <xdr:row>33</xdr:row>
      <xdr:rowOff>0</xdr:rowOff>
    </xdr:from>
    <xdr:to>
      <xdr:col>1</xdr:col>
      <xdr:colOff>374409</xdr:colOff>
      <xdr:row>33</xdr:row>
      <xdr:rowOff>428066</xdr:rowOff>
    </xdr:to>
    <xdr:pic>
      <xdr:nvPicPr>
        <xdr:cNvPr id="4" name="Picture 3" descr="48bf4cd158a94aebada082d9c5a61d4a">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67625"/>
          <a:ext cx="984009"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600075</xdr:colOff>
      <xdr:row>10</xdr:row>
      <xdr:rowOff>38100</xdr:rowOff>
    </xdr:from>
    <xdr:to>
      <xdr:col>5</xdr:col>
      <xdr:colOff>560066</xdr:colOff>
      <xdr:row>13</xdr:row>
      <xdr:rowOff>0</xdr:rowOff>
    </xdr:to>
    <xdr:sp macro="" textlink="">
      <xdr:nvSpPr>
        <xdr:cNvPr id="5" name="Text Box 3">
          <a:extLst>
            <a:ext uri="{FF2B5EF4-FFF2-40B4-BE49-F238E27FC236}">
              <a16:creationId xmlns:a16="http://schemas.microsoft.com/office/drawing/2014/main" id="{00000000-0008-0000-0100-000005000000}"/>
            </a:ext>
          </a:extLst>
        </xdr:cNvPr>
        <xdr:cNvSpPr txBox="1">
          <a:spLocks noChangeArrowheads="1"/>
        </xdr:cNvSpPr>
      </xdr:nvSpPr>
      <xdr:spPr bwMode="auto">
        <a:xfrm>
          <a:off x="600075" y="1495425"/>
          <a:ext cx="10199366" cy="7524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FF" mc:Ignorable="a14" a14:legacySpreadsheetColorIndex="12"/>
              </a:solidFill>
              <a:miter lim="800000"/>
              <a:headEnd/>
              <a:tailEnd/>
            </a14:hiddenLine>
          </a:ext>
        </a:extLst>
      </xdr:spPr>
      <xdr:txBody>
        <a:bodyPr vertOverflow="clip" wrap="square" lIns="82296" tIns="68580" rIns="0" bIns="0" anchor="t" upright="1"/>
        <a:lstStyle/>
        <a:p>
          <a:pPr algn="l" rtl="0">
            <a:defRPr sz="1000"/>
          </a:pPr>
          <a:r>
            <a:rPr lang="en-GB" sz="3500" b="0" i="0" u="none" strike="noStrike" baseline="0">
              <a:solidFill>
                <a:srgbClr val="003360"/>
              </a:solidFill>
              <a:latin typeface="+mn-lt"/>
              <a:cs typeface="Arial"/>
            </a:rPr>
            <a:t>Contents</a:t>
          </a:r>
        </a:p>
        <a:p>
          <a:pPr algn="l" rtl="0">
            <a:defRPr sz="1000"/>
          </a:pPr>
          <a:endParaRPr lang="en-GB" sz="4000" b="0" i="0" u="none" strike="noStrike" baseline="0">
            <a:solidFill>
              <a:srgbClr val="008080"/>
            </a:solidFill>
            <a:latin typeface="Arial"/>
            <a:cs typeface="Arial"/>
          </a:endParaRPr>
        </a:p>
        <a:p>
          <a:pPr algn="l" rtl="0">
            <a:defRPr sz="1000"/>
          </a:pPr>
          <a:endParaRPr lang="en-GB" sz="4000" b="0" i="0" u="none" strike="noStrike" baseline="0">
            <a:solidFill>
              <a:srgbClr val="008080"/>
            </a:solidFill>
            <a:latin typeface="Arial"/>
            <a:cs typeface="Arial"/>
          </a:endParaRPr>
        </a:p>
      </xdr:txBody>
    </xdr:sp>
    <xdr:clientData/>
  </xdr:twoCellAnchor>
  <xdr:twoCellAnchor editAs="oneCell">
    <xdr:from>
      <xdr:col>3</xdr:col>
      <xdr:colOff>0</xdr:colOff>
      <xdr:row>1</xdr:row>
      <xdr:rowOff>0</xdr:rowOff>
    </xdr:from>
    <xdr:to>
      <xdr:col>4</xdr:col>
      <xdr:colOff>594808</xdr:colOff>
      <xdr:row>7</xdr:row>
      <xdr:rowOff>36282</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20735" y="0"/>
          <a:ext cx="1199926" cy="9775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1086982</xdr:colOff>
      <xdr:row>0</xdr:row>
      <xdr:rowOff>11201</xdr:rowOff>
    </xdr:from>
    <xdr:to>
      <xdr:col>5</xdr:col>
      <xdr:colOff>908</xdr:colOff>
      <xdr:row>6</xdr:row>
      <xdr:rowOff>47483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81394" y="11201"/>
          <a:ext cx="1199926" cy="9775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1086970</xdr:colOff>
      <xdr:row>0</xdr:row>
      <xdr:rowOff>11203</xdr:rowOff>
    </xdr:from>
    <xdr:to>
      <xdr:col>5</xdr:col>
      <xdr:colOff>896</xdr:colOff>
      <xdr:row>6</xdr:row>
      <xdr:rowOff>47485</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3235" y="11203"/>
          <a:ext cx="1199926" cy="9775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235348</xdr:colOff>
      <xdr:row>0</xdr:row>
      <xdr:rowOff>11199</xdr:rowOff>
    </xdr:from>
    <xdr:to>
      <xdr:col>15</xdr:col>
      <xdr:colOff>104335</xdr:colOff>
      <xdr:row>6</xdr:row>
      <xdr:rowOff>47481</xdr:rowOff>
    </xdr:to>
    <xdr:pic>
      <xdr:nvPicPr>
        <xdr:cNvPr id="2" name="Picture 1">
          <a:extLst>
            <a:ext uri="{FF2B5EF4-FFF2-40B4-BE49-F238E27FC236}">
              <a16:creationId xmlns:a16="http://schemas.microsoft.com/office/drawing/2014/main" id="{DD2B79B5-5FEF-404B-A40C-9282B9B166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56223" y="11199"/>
          <a:ext cx="1194323" cy="10078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974912</xdr:colOff>
      <xdr:row>0</xdr:row>
      <xdr:rowOff>11204</xdr:rowOff>
    </xdr:from>
    <xdr:to>
      <xdr:col>9</xdr:col>
      <xdr:colOff>897</xdr:colOff>
      <xdr:row>6</xdr:row>
      <xdr:rowOff>47486</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45706" y="11204"/>
          <a:ext cx="1199926" cy="9775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1423144</xdr:colOff>
      <xdr:row>0</xdr:row>
      <xdr:rowOff>11204</xdr:rowOff>
    </xdr:from>
    <xdr:to>
      <xdr:col>5</xdr:col>
      <xdr:colOff>12100</xdr:colOff>
      <xdr:row>6</xdr:row>
      <xdr:rowOff>47486</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5438" y="11204"/>
          <a:ext cx="1199926" cy="97757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33618</xdr:colOff>
      <xdr:row>0</xdr:row>
      <xdr:rowOff>0</xdr:rowOff>
    </xdr:from>
    <xdr:to>
      <xdr:col>4</xdr:col>
      <xdr:colOff>1233544</xdr:colOff>
      <xdr:row>6</xdr:row>
      <xdr:rowOff>36282</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76030" y="0"/>
          <a:ext cx="1199926" cy="97757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56030</xdr:colOff>
      <xdr:row>0</xdr:row>
      <xdr:rowOff>11204</xdr:rowOff>
    </xdr:from>
    <xdr:to>
      <xdr:col>4</xdr:col>
      <xdr:colOff>1255956</xdr:colOff>
      <xdr:row>6</xdr:row>
      <xdr:rowOff>47486</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18177" y="11204"/>
          <a:ext cx="1199926" cy="9775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89662</xdr:colOff>
      <xdr:row>0</xdr:row>
      <xdr:rowOff>11201</xdr:rowOff>
    </xdr:from>
    <xdr:to>
      <xdr:col>4</xdr:col>
      <xdr:colOff>1289588</xdr:colOff>
      <xdr:row>6</xdr:row>
      <xdr:rowOff>47483</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7838" y="11201"/>
          <a:ext cx="1199926" cy="97757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67239</xdr:colOff>
      <xdr:row>0</xdr:row>
      <xdr:rowOff>0</xdr:rowOff>
    </xdr:from>
    <xdr:to>
      <xdr:col>4</xdr:col>
      <xdr:colOff>1267165</xdr:colOff>
      <xdr:row>6</xdr:row>
      <xdr:rowOff>36282</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19886" y="0"/>
          <a:ext cx="1199926" cy="97757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100854</xdr:colOff>
      <xdr:row>0</xdr:row>
      <xdr:rowOff>0</xdr:rowOff>
    </xdr:from>
    <xdr:to>
      <xdr:col>5</xdr:col>
      <xdr:colOff>897</xdr:colOff>
      <xdr:row>6</xdr:row>
      <xdr:rowOff>36282</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03560" y="0"/>
          <a:ext cx="1199926" cy="97757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89648</xdr:colOff>
      <xdr:row>0</xdr:row>
      <xdr:rowOff>11203</xdr:rowOff>
    </xdr:from>
    <xdr:to>
      <xdr:col>5</xdr:col>
      <xdr:colOff>897</xdr:colOff>
      <xdr:row>6</xdr:row>
      <xdr:rowOff>47485</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79442" y="11203"/>
          <a:ext cx="1199926" cy="97757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795615</xdr:colOff>
      <xdr:row>0</xdr:row>
      <xdr:rowOff>0</xdr:rowOff>
    </xdr:from>
    <xdr:to>
      <xdr:col>8</xdr:col>
      <xdr:colOff>894</xdr:colOff>
      <xdr:row>6</xdr:row>
      <xdr:rowOff>36282</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50086" y="0"/>
          <a:ext cx="1199926" cy="97757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369793</xdr:colOff>
      <xdr:row>0</xdr:row>
      <xdr:rowOff>0</xdr:rowOff>
    </xdr:from>
    <xdr:to>
      <xdr:col>13</xdr:col>
      <xdr:colOff>895</xdr:colOff>
      <xdr:row>6</xdr:row>
      <xdr:rowOff>36282</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52528" y="0"/>
          <a:ext cx="1199926" cy="97757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89646</xdr:colOff>
      <xdr:row>0</xdr:row>
      <xdr:rowOff>0</xdr:rowOff>
    </xdr:from>
    <xdr:to>
      <xdr:col>4</xdr:col>
      <xdr:colOff>1289572</xdr:colOff>
      <xdr:row>6</xdr:row>
      <xdr:rowOff>36282</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96734" y="0"/>
          <a:ext cx="1199926" cy="97757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89646</xdr:colOff>
      <xdr:row>0</xdr:row>
      <xdr:rowOff>0</xdr:rowOff>
    </xdr:from>
    <xdr:to>
      <xdr:col>4</xdr:col>
      <xdr:colOff>1289572</xdr:colOff>
      <xdr:row>6</xdr:row>
      <xdr:rowOff>36282</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50205" y="0"/>
          <a:ext cx="1199926" cy="97757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89649</xdr:colOff>
      <xdr:row>0</xdr:row>
      <xdr:rowOff>0</xdr:rowOff>
    </xdr:from>
    <xdr:to>
      <xdr:col>6</xdr:col>
      <xdr:colOff>1289575</xdr:colOff>
      <xdr:row>6</xdr:row>
      <xdr:rowOff>36282</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67267" y="0"/>
          <a:ext cx="1199926" cy="97757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6</xdr:col>
      <xdr:colOff>616324</xdr:colOff>
      <xdr:row>0</xdr:row>
      <xdr:rowOff>0</xdr:rowOff>
    </xdr:from>
    <xdr:to>
      <xdr:col>7</xdr:col>
      <xdr:colOff>830132</xdr:colOff>
      <xdr:row>6</xdr:row>
      <xdr:rowOff>36282</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26824" y="0"/>
          <a:ext cx="1199926" cy="97757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3787589</xdr:colOff>
      <xdr:row>0</xdr:row>
      <xdr:rowOff>0</xdr:rowOff>
    </xdr:from>
    <xdr:to>
      <xdr:col>2</xdr:col>
      <xdr:colOff>448197</xdr:colOff>
      <xdr:row>6</xdr:row>
      <xdr:rowOff>11444</xdr:rowOff>
    </xdr:to>
    <xdr:pic>
      <xdr:nvPicPr>
        <xdr:cNvPr id="2" name="Picture 1">
          <a:extLst>
            <a:ext uri="{FF2B5EF4-FFF2-40B4-BE49-F238E27FC236}">
              <a16:creationId xmlns:a16="http://schemas.microsoft.com/office/drawing/2014/main" id="{970ACE03-545A-4A62-85D7-1722015EF4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59139" y="0"/>
          <a:ext cx="1199926" cy="9775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hscic.gov.uk/Documents%20and%20Settings/Sarah.Thomson/Desktop/CC/Critical%20Care/CC%20Tables%20and%20Charts%20Raw%20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eld Validity"/>
      <sheetName val="CC Unit Function"/>
      <sheetName val="CC Admission Type"/>
      <sheetName val="CC Admission Source"/>
      <sheetName val="CC Source Location"/>
      <sheetName val="CC Discharge Status"/>
      <sheetName val="CC Discharge Destination"/>
      <sheetName val="CC Discharge Location"/>
      <sheetName val="CC Unit Bed Config"/>
      <sheetName val="CC Start Discharge Time"/>
      <sheetName val="CC Gender"/>
      <sheetName val="CC Quinary Start Age"/>
      <sheetName val="CC Gender and Age"/>
      <sheetName val="CC IMD Group"/>
      <sheetName val="CC Quarter Month Day"/>
      <sheetName val="CC Support Days Raw"/>
      <sheetName val="CC Support Days Pivot"/>
      <sheetName val="CC HRG 3.5"/>
      <sheetName val="CC Duration"/>
      <sheetName val="Support Activities"/>
      <sheetName val="Best Match"/>
      <sheetName val="Basic Resp Support"/>
      <sheetName val="Neurological Support"/>
      <sheetName val="Adv Respiratory Support"/>
      <sheetName val="Basic Cardio Support"/>
      <sheetName val="Adv Cardio Support"/>
      <sheetName val="Dermatological Support"/>
      <sheetName val="Gastro Support"/>
      <sheetName val="Liver Support"/>
      <sheetName val="Renal Support"/>
    </sheetNames>
    <sheetDataSet>
      <sheetData sheetId="0"/>
      <sheetData sheetId="1">
        <row r="20">
          <cell r="A20">
            <v>1</v>
          </cell>
          <cell r="B20" t="str">
            <v>Non-specific, general adult critical care patients predominate</v>
          </cell>
          <cell r="C20" t="str">
            <v>Adult</v>
          </cell>
        </row>
        <row r="21">
          <cell r="A21">
            <v>2</v>
          </cell>
          <cell r="B21" t="str">
            <v>Surgical adult patients (unspecified specialty)</v>
          </cell>
          <cell r="C21" t="str">
            <v>Adult</v>
          </cell>
        </row>
        <row r="22">
          <cell r="A22">
            <v>3</v>
          </cell>
          <cell r="B22" t="str">
            <v>Medical adult patients (unspecified specialty)</v>
          </cell>
          <cell r="C22" t="str">
            <v>Adult</v>
          </cell>
        </row>
        <row r="23">
          <cell r="A23">
            <v>4</v>
          </cell>
          <cell r="B23" t="str">
            <v>Paediatric Intensive Care Unit (Paediatric critical care patients predominate)</v>
          </cell>
          <cell r="C23" t="str">
            <v>Paediatric</v>
          </cell>
        </row>
        <row r="24">
          <cell r="A24">
            <v>5</v>
          </cell>
          <cell r="B24" t="str">
            <v>Neurosciences adult patients predominate</v>
          </cell>
          <cell r="C24" t="str">
            <v>Adult</v>
          </cell>
        </row>
        <row r="25">
          <cell r="A25">
            <v>6</v>
          </cell>
          <cell r="B25" t="str">
            <v>Cardiac surgical adult patients predominate</v>
          </cell>
          <cell r="C25" t="str">
            <v>Adult</v>
          </cell>
        </row>
        <row r="26">
          <cell r="A26">
            <v>7</v>
          </cell>
          <cell r="B26" t="str">
            <v>Thoracic surgical adult patients predominate</v>
          </cell>
          <cell r="C26" t="str">
            <v>Adult</v>
          </cell>
        </row>
        <row r="27">
          <cell r="A27">
            <v>8</v>
          </cell>
          <cell r="B27" t="str">
            <v>Burns and plastic surgery adult patients predominate</v>
          </cell>
          <cell r="C27" t="str">
            <v>Adult</v>
          </cell>
        </row>
        <row r="28">
          <cell r="A28">
            <v>9</v>
          </cell>
          <cell r="B28" t="str">
            <v>Spinal adult patients predominate</v>
          </cell>
          <cell r="C28" t="str">
            <v>Adult</v>
          </cell>
        </row>
        <row r="29">
          <cell r="A29">
            <v>10</v>
          </cell>
          <cell r="B29" t="str">
            <v>Renal adult patients predominate</v>
          </cell>
          <cell r="C29" t="str">
            <v>Adult</v>
          </cell>
        </row>
        <row r="30">
          <cell r="A30">
            <v>11</v>
          </cell>
          <cell r="B30" t="str">
            <v>Liver adult patients predominate</v>
          </cell>
          <cell r="C30" t="str">
            <v>Adult</v>
          </cell>
        </row>
        <row r="31">
          <cell r="A31">
            <v>12</v>
          </cell>
          <cell r="B31" t="str">
            <v>Obstetric and gynaecology critical care patients predominate</v>
          </cell>
          <cell r="C31" t="str">
            <v>Adult</v>
          </cell>
        </row>
        <row r="32">
          <cell r="A32">
            <v>13</v>
          </cell>
          <cell r="B32" t="str">
            <v>Neonatal Intensive Care Unit (Neonatal critical care patients predominate)</v>
          </cell>
          <cell r="C32" t="str">
            <v>Neonatal</v>
          </cell>
        </row>
        <row r="33">
          <cell r="A33">
            <v>14</v>
          </cell>
          <cell r="B33" t="str">
            <v>Facility for Babies on a Neonatal Transitional Care Ward</v>
          </cell>
          <cell r="C33" t="str">
            <v>Neonatal</v>
          </cell>
        </row>
        <row r="34">
          <cell r="A34">
            <v>15</v>
          </cell>
          <cell r="B34" t="str">
            <v>Facility for Babies on a Maternity Ward</v>
          </cell>
          <cell r="C34" t="str">
            <v>Neonatal</v>
          </cell>
        </row>
        <row r="35">
          <cell r="A35">
            <v>16</v>
          </cell>
          <cell r="B35" t="str">
            <v>Ward for children and young people</v>
          </cell>
          <cell r="C35" t="str">
            <v>Paediatric</v>
          </cell>
        </row>
        <row r="36">
          <cell r="A36">
            <v>17</v>
          </cell>
          <cell r="B36" t="str">
            <v>High Dependency Unit for children and young people</v>
          </cell>
          <cell r="C36" t="str">
            <v>Paediatric</v>
          </cell>
        </row>
        <row r="37">
          <cell r="A37">
            <v>18</v>
          </cell>
          <cell r="B37" t="str">
            <v>Renal Unit for children and young people</v>
          </cell>
          <cell r="C37" t="str">
            <v>Paediatric</v>
          </cell>
        </row>
        <row r="38">
          <cell r="A38">
            <v>19</v>
          </cell>
          <cell r="B38" t="str">
            <v>Burns Unit for children and young people</v>
          </cell>
          <cell r="C38" t="str">
            <v>Paediatric</v>
          </cell>
        </row>
        <row r="39">
          <cell r="A39">
            <v>90</v>
          </cell>
          <cell r="B39" t="str">
            <v>non standard location using a ward area</v>
          </cell>
          <cell r="C39" t="str">
            <v>Adult</v>
          </cell>
        </row>
        <row r="40">
          <cell r="A40">
            <v>91</v>
          </cell>
          <cell r="B40" t="str">
            <v>non standard location using the operating department</v>
          </cell>
          <cell r="C40" t="str">
            <v>Other</v>
          </cell>
        </row>
        <row r="41">
          <cell r="A41">
            <v>92</v>
          </cell>
          <cell r="B41" t="str">
            <v>Non standard location using the operating department for children and young people</v>
          </cell>
          <cell r="C41" t="str">
            <v>Paediatric</v>
          </cell>
        </row>
      </sheetData>
      <sheetData sheetId="2"/>
      <sheetData sheetId="3">
        <row r="16">
          <cell r="A16">
            <v>1</v>
          </cell>
          <cell r="B16" t="str">
            <v>Same NHS hospital site</v>
          </cell>
        </row>
        <row r="17">
          <cell r="A17">
            <v>2</v>
          </cell>
          <cell r="B17" t="str">
            <v>Other NHS hospital site (same or different NHS Trust)</v>
          </cell>
        </row>
        <row r="18">
          <cell r="A18">
            <v>3</v>
          </cell>
          <cell r="B18" t="str">
            <v>Independent Hospital Provider in the UK</v>
          </cell>
        </row>
        <row r="19">
          <cell r="A19">
            <v>4</v>
          </cell>
          <cell r="B19" t="str">
            <v>Non-hospital source within the UK (e.g. home)</v>
          </cell>
        </row>
        <row r="20">
          <cell r="A20">
            <v>5</v>
          </cell>
          <cell r="B20" t="str">
            <v>Non UK source such as repatriation, military personnel or foreign national</v>
          </cell>
        </row>
      </sheetData>
      <sheetData sheetId="4">
        <row r="21">
          <cell r="A21">
            <v>1</v>
          </cell>
          <cell r="B21" t="str">
            <v>Theatre and Recovery (following surgical and/or anaesthetic procedure)</v>
          </cell>
        </row>
        <row r="22">
          <cell r="A22">
            <v>2</v>
          </cell>
          <cell r="B22" t="str">
            <v>Recovery only (when used to provide temporary critical care facility)</v>
          </cell>
        </row>
        <row r="23">
          <cell r="A23">
            <v>3</v>
          </cell>
          <cell r="B23" t="str">
            <v>Other Ward (not critical care)</v>
          </cell>
        </row>
        <row r="24">
          <cell r="A24">
            <v>4</v>
          </cell>
          <cell r="B24" t="str">
            <v>Imaging department</v>
          </cell>
        </row>
        <row r="25">
          <cell r="A25">
            <v>5</v>
          </cell>
          <cell r="B25" t="str">
            <v>Accident and emergency</v>
          </cell>
        </row>
        <row r="26">
          <cell r="A26">
            <v>6</v>
          </cell>
          <cell r="B26" t="str">
            <v>Other intermediate care or specialist treatment areas including endoscopy units and catheter suites</v>
          </cell>
        </row>
        <row r="27">
          <cell r="A27">
            <v>7</v>
          </cell>
          <cell r="B27" t="str">
            <v>Obstetrics area</v>
          </cell>
        </row>
        <row r="28">
          <cell r="A28">
            <v>8</v>
          </cell>
          <cell r="B28" t="str">
            <v>Clinic</v>
          </cell>
        </row>
        <row r="29">
          <cell r="A29">
            <v>9</v>
          </cell>
          <cell r="B29" t="str">
            <v>Home or other residence (including nursing home, H.M. Prison or other residential care)</v>
          </cell>
        </row>
        <row r="30">
          <cell r="A30">
            <v>10</v>
          </cell>
          <cell r="B30" t="str">
            <v>Adult level three critical care bed (ICU bed)</v>
          </cell>
        </row>
        <row r="31">
          <cell r="A31">
            <v>11</v>
          </cell>
          <cell r="B31" t="str">
            <v>Adult level two critical care bed (HDU bed)</v>
          </cell>
        </row>
        <row r="32">
          <cell r="A32">
            <v>12</v>
          </cell>
          <cell r="B32" t="str">
            <v>Paediatric critical care area (neonatal and paediatric care)</v>
          </cell>
        </row>
      </sheetData>
      <sheetData sheetId="5">
        <row r="21">
          <cell r="A21">
            <v>1</v>
          </cell>
          <cell r="B21" t="str">
            <v>Fully ready for discharge</v>
          </cell>
        </row>
        <row r="22">
          <cell r="A22">
            <v>2</v>
          </cell>
          <cell r="B22" t="str">
            <v>Discharge for palliative care</v>
          </cell>
        </row>
        <row r="23">
          <cell r="A23">
            <v>3</v>
          </cell>
          <cell r="B23" t="str">
            <v>Early discharge due to shortage of critical care beds</v>
          </cell>
        </row>
        <row r="24">
          <cell r="A24">
            <v>4</v>
          </cell>
          <cell r="B24" t="str">
            <v>Delayed discharge due to shortage of other ward beds</v>
          </cell>
        </row>
        <row r="25">
          <cell r="A25">
            <v>5</v>
          </cell>
          <cell r="B25" t="str">
            <v>Current level of care continuing in another location</v>
          </cell>
        </row>
        <row r="26">
          <cell r="A26">
            <v>6</v>
          </cell>
          <cell r="B26" t="str">
            <v>More specialised care in another location</v>
          </cell>
        </row>
        <row r="27">
          <cell r="A27">
            <v>7</v>
          </cell>
          <cell r="B27" t="str">
            <v>Self discharge against medical advice</v>
          </cell>
        </row>
        <row r="28">
          <cell r="A28">
            <v>8</v>
          </cell>
          <cell r="B28" t="str">
            <v>Patient died (no organs donated)</v>
          </cell>
        </row>
        <row r="29">
          <cell r="A29">
            <v>9</v>
          </cell>
          <cell r="B29" t="str">
            <v>Patient died and became heart beating organ donor for heart, lungs, kidney, liver or other solid internal organ.</v>
          </cell>
        </row>
        <row r="30">
          <cell r="A30">
            <v>10</v>
          </cell>
          <cell r="B30" t="str">
            <v>Patient died and provided cadaveric tissue donation</v>
          </cell>
        </row>
      </sheetData>
      <sheetData sheetId="6">
        <row r="16">
          <cell r="A16">
            <v>1</v>
          </cell>
          <cell r="B16" t="str">
            <v>Same NHS hospital site</v>
          </cell>
        </row>
        <row r="17">
          <cell r="A17">
            <v>2</v>
          </cell>
          <cell r="B17" t="str">
            <v>Other NHS hospital site (can be same Trust or a different NHS Trust)</v>
          </cell>
        </row>
        <row r="18">
          <cell r="A18">
            <v>3</v>
          </cell>
          <cell r="B18" t="str">
            <v>Independent Hospital Provider in the UK</v>
          </cell>
        </row>
        <row r="19">
          <cell r="A19">
            <v>4</v>
          </cell>
          <cell r="B19" t="str">
            <v>Non-hospital destination within the UK (e.g. home as coded in Location)</v>
          </cell>
        </row>
        <row r="20">
          <cell r="A20">
            <v>5</v>
          </cell>
          <cell r="B20" t="str">
            <v>Non United Kingdom destination (e.g. repatriation)</v>
          </cell>
        </row>
        <row r="21">
          <cell r="A21">
            <v>6</v>
          </cell>
          <cell r="B21" t="str">
            <v>No discharge destination, patient died in unit</v>
          </cell>
        </row>
      </sheetData>
      <sheetData sheetId="7">
        <row r="19">
          <cell r="A19">
            <v>1</v>
          </cell>
          <cell r="B19" t="str">
            <v>Ward</v>
          </cell>
        </row>
        <row r="20">
          <cell r="A20">
            <v>2</v>
          </cell>
          <cell r="B20" t="str">
            <v>Recovery only (when used to provide temporary critical care facility)</v>
          </cell>
        </row>
        <row r="21">
          <cell r="A21">
            <v>3</v>
          </cell>
          <cell r="B21" t="str">
            <v>Other intermediate care or specialised treatment area but excluding temporary visits en route, e.g. imaging, endoscopy, catheter suites and operating departments.</v>
          </cell>
        </row>
        <row r="22">
          <cell r="A22">
            <v>4</v>
          </cell>
          <cell r="B22" t="str">
            <v>Adult level three critical care bed (e.g. in a flexibly configured unit)</v>
          </cell>
        </row>
        <row r="23">
          <cell r="A23">
            <v>5</v>
          </cell>
          <cell r="B23" t="str">
            <v>Adult level two critical care bed (e.g. in a flexibly configured unit)</v>
          </cell>
        </row>
        <row r="24">
          <cell r="A24">
            <v>6</v>
          </cell>
          <cell r="B24" t="str">
            <v>No discharge location, patient died in unit</v>
          </cell>
        </row>
        <row r="25">
          <cell r="A25">
            <v>7</v>
          </cell>
          <cell r="B25" t="str">
            <v>Obstetrics area</v>
          </cell>
        </row>
        <row r="26">
          <cell r="A26">
            <v>8</v>
          </cell>
          <cell r="B26" t="str">
            <v>Paediatric critical care area (neonatal and paediatric care)</v>
          </cell>
        </row>
        <row r="27">
          <cell r="A27">
            <v>9</v>
          </cell>
          <cell r="B27" t="str">
            <v>Home or other residence (e.g. nursing home, H.M. Prison, residential care)</v>
          </cell>
        </row>
        <row r="28">
          <cell r="A28">
            <v>10</v>
          </cell>
          <cell r="B28" t="str">
            <v>Other non-hospital location</v>
          </cell>
        </row>
      </sheetData>
      <sheetData sheetId="8">
        <row r="13">
          <cell r="A13">
            <v>2</v>
          </cell>
          <cell r="B13" t="str">
            <v>Level 2 beds only where patients require more detailed observation or intervention including support for a single failing organ system or post-operative care and those 'stepping down' from higher levels of care</v>
          </cell>
        </row>
        <row r="14">
          <cell r="A14">
            <v>3</v>
          </cell>
          <cell r="B14" t="str">
            <v>Level 3 beds only. Level 3 care is defined as patients needing advanced respiratory support alone or support of at least two organ systems. Note basic respiratory and basic cardiovascular support occurring on one day count as one organ. This level include</v>
          </cell>
        </row>
        <row r="15">
          <cell r="A15">
            <v>5</v>
          </cell>
          <cell r="B15" t="str">
            <v>Flexible critical care beds where there is a mix of level 2 and level 3 beds</v>
          </cell>
        </row>
        <row r="16">
          <cell r="A16">
            <v>90</v>
          </cell>
          <cell r="B16" t="str">
            <v>Temporary use of non critical care bed</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nationalarchives.gov.uk/doc/open-government-licence" TargetMode="External"/><Relationship Id="rId7" Type="http://schemas.openxmlformats.org/officeDocument/2006/relationships/hyperlink" Target="https://digital.nhs.uk/data-and-information/data-tools-and-services/data-services/hospital-episode-statistics"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data-tools-and-services/data-services/hospital-episode-statistics/hospital-episode-statistics-data-dictionary" TargetMode="External"/><Relationship Id="rId5" Type="http://schemas.openxmlformats.org/officeDocument/2006/relationships/hyperlink" Target="https://digital.nhs.uk/data-and-information/publications/statistical/hospital-admitted-patient-care-activity/2018-19"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gov.uk/government/organisations/department-for-communities-and-local-government/series/english-indices-of-deprivation"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digital.nhs.uk/binaries/content/assets/legacy/pdf/n/d/hrg4__201718_local_payment_grouper_summary_of_changes_v1.2.pdf"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8:I46"/>
  <sheetViews>
    <sheetView showGridLines="0" tabSelected="1" workbookViewId="0"/>
  </sheetViews>
  <sheetFormatPr defaultColWidth="9.140625" defaultRowHeight="14.25" x14ac:dyDescent="0.2"/>
  <cols>
    <col min="1" max="1" width="9.140625" style="117"/>
    <col min="2" max="2" width="102.140625" style="117" customWidth="1"/>
    <col min="3" max="16384" width="9.140625" style="117"/>
  </cols>
  <sheetData>
    <row r="8" spans="1:4" ht="34.5" x14ac:dyDescent="0.5">
      <c r="A8" s="542" t="s">
        <v>592</v>
      </c>
      <c r="B8" s="542"/>
    </row>
    <row r="9" spans="1:4" ht="26.25" x14ac:dyDescent="0.4">
      <c r="A9" s="157" t="s">
        <v>263</v>
      </c>
      <c r="B9" s="157"/>
    </row>
    <row r="10" spans="1:4" x14ac:dyDescent="0.2">
      <c r="A10" s="543" t="s">
        <v>591</v>
      </c>
      <c r="B10" s="544"/>
    </row>
    <row r="11" spans="1:4" x14ac:dyDescent="0.2">
      <c r="A11" s="545" t="s">
        <v>593</v>
      </c>
      <c r="B11" s="545"/>
    </row>
    <row r="12" spans="1:4" s="212" customFormat="1" x14ac:dyDescent="0.2">
      <c r="A12" s="213"/>
      <c r="B12" s="213"/>
    </row>
    <row r="13" spans="1:4" ht="15" x14ac:dyDescent="0.25">
      <c r="A13" s="121" t="s">
        <v>235</v>
      </c>
    </row>
    <row r="14" spans="1:4" ht="68.25" customHeight="1" x14ac:dyDescent="0.2">
      <c r="A14" s="547" t="s">
        <v>594</v>
      </c>
      <c r="B14" s="547"/>
      <c r="C14" s="253"/>
      <c r="D14" s="253"/>
    </row>
    <row r="15" spans="1:4" x14ac:dyDescent="0.2">
      <c r="A15" s="253"/>
      <c r="B15" s="253"/>
      <c r="C15" s="253"/>
      <c r="D15" s="253"/>
    </row>
    <row r="16" spans="1:4" x14ac:dyDescent="0.2">
      <c r="A16" s="253" t="s">
        <v>264</v>
      </c>
      <c r="B16" s="253"/>
      <c r="C16" s="253"/>
      <c r="D16" s="253"/>
    </row>
    <row r="17" spans="1:4" x14ac:dyDescent="0.2">
      <c r="A17" s="253"/>
      <c r="B17" s="253"/>
      <c r="C17" s="253"/>
      <c r="D17" s="253"/>
    </row>
    <row r="18" spans="1:4" x14ac:dyDescent="0.2">
      <c r="A18" s="266" t="s">
        <v>265</v>
      </c>
      <c r="B18" s="253"/>
      <c r="C18" s="253"/>
      <c r="D18" s="253"/>
    </row>
    <row r="19" spans="1:4" x14ac:dyDescent="0.2">
      <c r="A19" s="253" t="s">
        <v>266</v>
      </c>
      <c r="B19" s="253"/>
      <c r="C19" s="253"/>
      <c r="D19" s="253"/>
    </row>
    <row r="20" spans="1:4" ht="15" x14ac:dyDescent="0.25">
      <c r="A20" s="279" t="s">
        <v>589</v>
      </c>
      <c r="B20"/>
      <c r="C20" s="253"/>
      <c r="D20" s="253"/>
    </row>
    <row r="21" spans="1:4" s="257" customFormat="1" ht="15" x14ac:dyDescent="0.25">
      <c r="A21" s="253" t="s">
        <v>267</v>
      </c>
      <c r="B21"/>
      <c r="C21" s="253"/>
      <c r="D21" s="253"/>
    </row>
    <row r="22" spans="1:4" s="257" customFormat="1" ht="15" x14ac:dyDescent="0.25">
      <c r="A22" s="279" t="s">
        <v>280</v>
      </c>
      <c r="B22"/>
      <c r="C22" s="253"/>
      <c r="D22" s="253"/>
    </row>
    <row r="23" spans="1:4" x14ac:dyDescent="0.2">
      <c r="A23" s="253"/>
      <c r="B23" s="253"/>
      <c r="C23" s="253"/>
      <c r="D23" s="253"/>
    </row>
    <row r="24" spans="1:4" x14ac:dyDescent="0.2">
      <c r="A24" s="266" t="s">
        <v>268</v>
      </c>
      <c r="B24" s="253"/>
      <c r="C24" s="253"/>
      <c r="D24" s="253"/>
    </row>
    <row r="25" spans="1:4" x14ac:dyDescent="0.2">
      <c r="A25" s="253" t="s">
        <v>269</v>
      </c>
      <c r="B25" s="253"/>
      <c r="C25" s="253"/>
      <c r="D25" s="253"/>
    </row>
    <row r="26" spans="1:4" x14ac:dyDescent="0.2">
      <c r="A26" s="253" t="s">
        <v>588</v>
      </c>
      <c r="B26" s="253"/>
      <c r="C26" s="253"/>
      <c r="D26" s="253"/>
    </row>
    <row r="27" spans="1:4" x14ac:dyDescent="0.2">
      <c r="A27" s="253" t="s">
        <v>270</v>
      </c>
      <c r="B27" s="253"/>
      <c r="C27" s="253"/>
      <c r="D27" s="253"/>
    </row>
    <row r="28" spans="1:4" x14ac:dyDescent="0.2">
      <c r="A28" s="253" t="s">
        <v>271</v>
      </c>
      <c r="B28" s="253"/>
      <c r="C28" s="253"/>
      <c r="D28" s="253"/>
    </row>
    <row r="29" spans="1:4" x14ac:dyDescent="0.2">
      <c r="A29" s="253" t="s">
        <v>272</v>
      </c>
      <c r="B29" s="253"/>
      <c r="C29" s="253"/>
      <c r="D29" s="253"/>
    </row>
    <row r="30" spans="1:4" x14ac:dyDescent="0.2">
      <c r="A30" s="253"/>
      <c r="B30" s="253"/>
      <c r="C30" s="253"/>
      <c r="D30" s="253"/>
    </row>
    <row r="31" spans="1:4" x14ac:dyDescent="0.2">
      <c r="A31" s="253" t="s">
        <v>273</v>
      </c>
      <c r="B31" s="253"/>
      <c r="C31" s="253"/>
      <c r="D31" s="253"/>
    </row>
    <row r="32" spans="1:4" x14ac:dyDescent="0.2">
      <c r="A32" s="253" t="s">
        <v>274</v>
      </c>
      <c r="B32" s="253"/>
      <c r="C32" s="253"/>
      <c r="D32" s="253"/>
    </row>
    <row r="33" spans="1:9" ht="18.75" customHeight="1" x14ac:dyDescent="0.2">
      <c r="A33" s="265" t="s">
        <v>595</v>
      </c>
      <c r="B33" s="253"/>
      <c r="C33" s="253"/>
      <c r="D33" s="253"/>
    </row>
    <row r="34" spans="1:9" ht="47.25" customHeight="1" x14ac:dyDescent="0.2">
      <c r="A34" s="253"/>
      <c r="B34" s="253"/>
      <c r="C34" s="253"/>
      <c r="D34" s="253"/>
    </row>
    <row r="35" spans="1:9" ht="78.75" customHeight="1" x14ac:dyDescent="0.2">
      <c r="A35" s="546" t="s">
        <v>275</v>
      </c>
      <c r="B35" s="546"/>
      <c r="C35" s="546"/>
      <c r="D35" s="546"/>
      <c r="E35" s="546"/>
      <c r="F35" s="546"/>
      <c r="G35" s="546"/>
      <c r="H35" s="546"/>
      <c r="I35" s="546"/>
    </row>
    <row r="36" spans="1:9" x14ac:dyDescent="0.2">
      <c r="A36" s="253"/>
      <c r="B36" s="253"/>
      <c r="C36" s="253"/>
      <c r="D36" s="253"/>
    </row>
    <row r="37" spans="1:9" x14ac:dyDescent="0.2">
      <c r="A37" s="253"/>
      <c r="B37" s="253"/>
      <c r="C37" s="253"/>
      <c r="D37" s="253"/>
    </row>
    <row r="38" spans="1:9" x14ac:dyDescent="0.2">
      <c r="A38" s="253"/>
      <c r="B38" s="253"/>
      <c r="C38" s="253"/>
      <c r="D38" s="253"/>
    </row>
    <row r="39" spans="1:9" x14ac:dyDescent="0.2">
      <c r="A39" s="253"/>
      <c r="B39" s="253"/>
      <c r="C39" s="253"/>
      <c r="D39" s="253"/>
    </row>
    <row r="40" spans="1:9" x14ac:dyDescent="0.2">
      <c r="A40" s="253"/>
      <c r="B40" s="253"/>
      <c r="C40" s="253"/>
      <c r="D40" s="253"/>
    </row>
    <row r="41" spans="1:9" x14ac:dyDescent="0.2">
      <c r="A41" s="253"/>
      <c r="B41" s="253"/>
      <c r="C41" s="253"/>
      <c r="D41" s="253"/>
    </row>
    <row r="42" spans="1:9" x14ac:dyDescent="0.2">
      <c r="A42" s="253"/>
      <c r="B42" s="253"/>
      <c r="C42" s="253"/>
      <c r="D42" s="253"/>
    </row>
    <row r="43" spans="1:9" x14ac:dyDescent="0.2">
      <c r="A43" s="253"/>
      <c r="B43" s="253"/>
      <c r="C43" s="253"/>
      <c r="D43" s="253"/>
    </row>
    <row r="44" spans="1:9" x14ac:dyDescent="0.2">
      <c r="A44" s="253"/>
      <c r="B44" s="253"/>
      <c r="C44" s="253"/>
      <c r="D44" s="253"/>
    </row>
    <row r="45" spans="1:9" x14ac:dyDescent="0.2">
      <c r="A45" s="253"/>
      <c r="B45" s="253"/>
      <c r="C45" s="253"/>
      <c r="D45" s="253"/>
    </row>
    <row r="46" spans="1:9" x14ac:dyDescent="0.2">
      <c r="A46" s="253"/>
      <c r="B46" s="253"/>
      <c r="C46" s="253"/>
      <c r="D46" s="253"/>
    </row>
  </sheetData>
  <mergeCells count="5">
    <mergeCell ref="A8:B8"/>
    <mergeCell ref="A10:B10"/>
    <mergeCell ref="A11:B11"/>
    <mergeCell ref="A35:I35"/>
    <mergeCell ref="A14:B14"/>
  </mergeCells>
  <hyperlinks>
    <hyperlink ref="B46" r:id="rId1" display="mailto:psi@nationalarchives.gsi.gov.uk" xr:uid="{00000000-0004-0000-0000-000000000000}"/>
    <hyperlink ref="A46" r:id="rId2" display="mailto:psi@nationalarchives.gsi.gov.uk" xr:uid="{00000000-0004-0000-0000-000001000000}"/>
    <hyperlink ref="B43" r:id="rId3" display="http://www.nationalarchives.gov.uk/doc/open-government-licence" xr:uid="{00000000-0004-0000-0000-000002000000}"/>
    <hyperlink ref="A43" r:id="rId4" display="http://www.nationalarchives.gov.uk/doc/open-government-licence" xr:uid="{00000000-0004-0000-0000-000003000000}"/>
    <hyperlink ref="A11:B11" r:id="rId5" display="Link to publication: https://digital.nhs.uk/data-and-information/publications/statistical/hospital-admitted-patient-care-activity/2018-19" xr:uid="{00000000-0004-0000-0000-000004000000}"/>
    <hyperlink ref="A22" r:id="rId6" xr:uid="{00000000-0004-0000-0000-000006000000}"/>
    <hyperlink ref="A20" r:id="rId7" xr:uid="{A59BBF95-CCDE-4966-90D2-54C2BD6E693D}"/>
  </hyperlinks>
  <pageMargins left="0.7" right="0.7" top="0.75" bottom="0.75" header="0.3" footer="0.3"/>
  <pageSetup paperSize="9" scale="64" fitToHeight="0"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pageSetUpPr fitToPage="1"/>
  </sheetPr>
  <dimension ref="B11:N53"/>
  <sheetViews>
    <sheetView showGridLines="0" zoomScaleNormal="100" workbookViewId="0"/>
  </sheetViews>
  <sheetFormatPr defaultColWidth="9.140625" defaultRowHeight="12.75" x14ac:dyDescent="0.2"/>
  <cols>
    <col min="1" max="1" width="10.85546875" style="10" customWidth="1"/>
    <col min="2" max="2" width="5.28515625" style="10" customWidth="1"/>
    <col min="3" max="3" width="119.140625" style="10" customWidth="1"/>
    <col min="4" max="16384" width="9.140625" style="10"/>
  </cols>
  <sheetData>
    <row r="11" spans="2:14" ht="18" x14ac:dyDescent="0.25">
      <c r="B11" s="550"/>
      <c r="C11" s="550"/>
      <c r="D11" s="52"/>
      <c r="E11" s="52"/>
      <c r="F11" s="52"/>
      <c r="G11" s="52"/>
      <c r="H11" s="52"/>
      <c r="I11" s="52"/>
      <c r="J11" s="52"/>
      <c r="K11" s="52"/>
      <c r="L11" s="52"/>
      <c r="M11" s="52"/>
      <c r="N11" s="52"/>
    </row>
    <row r="12" spans="2:14" ht="18" x14ac:dyDescent="0.25">
      <c r="B12" s="51"/>
    </row>
    <row r="13" spans="2:14" ht="18" x14ac:dyDescent="0.25">
      <c r="B13" s="51"/>
    </row>
    <row r="14" spans="2:14" ht="18" x14ac:dyDescent="0.25">
      <c r="B14" s="51"/>
    </row>
    <row r="15" spans="2:14" x14ac:dyDescent="0.2">
      <c r="B15" s="158"/>
      <c r="C15" s="55" t="s">
        <v>596</v>
      </c>
    </row>
    <row r="17" spans="2:3" x14ac:dyDescent="0.2">
      <c r="B17" s="159"/>
      <c r="C17" s="55" t="s">
        <v>597</v>
      </c>
    </row>
    <row r="19" spans="2:3" x14ac:dyDescent="0.2">
      <c r="B19" s="551" t="s">
        <v>182</v>
      </c>
      <c r="C19" s="551"/>
    </row>
    <row r="21" spans="2:3" x14ac:dyDescent="0.2">
      <c r="B21" s="548" t="s">
        <v>183</v>
      </c>
      <c r="C21" s="548"/>
    </row>
    <row r="23" spans="2:3" x14ac:dyDescent="0.2">
      <c r="B23" s="548" t="s">
        <v>184</v>
      </c>
      <c r="C23" s="548"/>
    </row>
    <row r="25" spans="2:3" x14ac:dyDescent="0.2">
      <c r="B25" s="548" t="s">
        <v>29</v>
      </c>
      <c r="C25" s="548"/>
    </row>
    <row r="27" spans="2:3" x14ac:dyDescent="0.2">
      <c r="B27" s="548" t="s">
        <v>227</v>
      </c>
      <c r="C27" s="548"/>
    </row>
    <row r="29" spans="2:3" x14ac:dyDescent="0.2">
      <c r="B29" s="548" t="s">
        <v>185</v>
      </c>
      <c r="C29" s="548"/>
    </row>
    <row r="31" spans="2:3" x14ac:dyDescent="0.2">
      <c r="B31" s="549" t="s">
        <v>186</v>
      </c>
      <c r="C31" s="549"/>
    </row>
    <row r="33" spans="2:3" x14ac:dyDescent="0.2">
      <c r="B33" s="548" t="s">
        <v>176</v>
      </c>
      <c r="C33" s="548"/>
    </row>
    <row r="35" spans="2:3" x14ac:dyDescent="0.2">
      <c r="B35" s="548" t="s">
        <v>177</v>
      </c>
      <c r="C35" s="548"/>
    </row>
    <row r="37" spans="2:3" x14ac:dyDescent="0.2">
      <c r="B37" s="548" t="s">
        <v>178</v>
      </c>
      <c r="C37" s="548"/>
    </row>
    <row r="39" spans="2:3" x14ac:dyDescent="0.2">
      <c r="B39" s="548" t="s">
        <v>179</v>
      </c>
      <c r="C39" s="548"/>
    </row>
    <row r="41" spans="2:3" x14ac:dyDescent="0.2">
      <c r="B41" s="548" t="s">
        <v>286</v>
      </c>
      <c r="C41" s="548"/>
    </row>
    <row r="43" spans="2:3" x14ac:dyDescent="0.2">
      <c r="B43" s="548" t="s">
        <v>103</v>
      </c>
      <c r="C43" s="548"/>
    </row>
    <row r="45" spans="2:3" x14ac:dyDescent="0.2">
      <c r="B45" s="548" t="s">
        <v>180</v>
      </c>
      <c r="C45" s="548"/>
    </row>
    <row r="47" spans="2:3" x14ac:dyDescent="0.2">
      <c r="B47" s="548" t="s">
        <v>181</v>
      </c>
      <c r="C47" s="548"/>
    </row>
    <row r="49" spans="2:3" x14ac:dyDescent="0.2">
      <c r="B49" s="548" t="s">
        <v>124</v>
      </c>
      <c r="C49" s="548"/>
    </row>
    <row r="51" spans="2:3" x14ac:dyDescent="0.2">
      <c r="B51" s="548" t="s">
        <v>141</v>
      </c>
      <c r="C51" s="548"/>
    </row>
    <row r="53" spans="2:3" x14ac:dyDescent="0.2">
      <c r="B53" s="548" t="s">
        <v>225</v>
      </c>
      <c r="C53" s="548"/>
    </row>
  </sheetData>
  <mergeCells count="19">
    <mergeCell ref="B11:C11"/>
    <mergeCell ref="B19:C19"/>
    <mergeCell ref="B21:C21"/>
    <mergeCell ref="B23:C23"/>
    <mergeCell ref="B25:C25"/>
    <mergeCell ref="B27:C27"/>
    <mergeCell ref="B29:C29"/>
    <mergeCell ref="B31:C31"/>
    <mergeCell ref="B33:C33"/>
    <mergeCell ref="B35:C35"/>
    <mergeCell ref="B47:C47"/>
    <mergeCell ref="B49:C49"/>
    <mergeCell ref="B51:C51"/>
    <mergeCell ref="B53:C53"/>
    <mergeCell ref="B37:C37"/>
    <mergeCell ref="B39:C39"/>
    <mergeCell ref="B41:C41"/>
    <mergeCell ref="B43:C43"/>
    <mergeCell ref="B45:C45"/>
  </mergeCells>
  <hyperlinks>
    <hyperlink ref="B19" location="'Table 1'!A1" display="Table 1: Number of critical care records by month of discharge" xr:uid="{00000000-0004-0000-0100-000000000000}"/>
    <hyperlink ref="B21" location="'Table 2'!A1" display="Table 2: Breakdown of critical care unit discharge date by quarter" xr:uid="{00000000-0004-0000-0100-000001000000}"/>
    <hyperlink ref="B25" location="'Table 4'!A1" display="Table 4: Critical care records by start day and discharge day" xr:uid="{00000000-0004-0000-0100-000002000000}"/>
    <hyperlink ref="B27" location="'Table 5'!A1" display="Table 5: Number of critical care records and average duration in days by Index of Multiple Deprevation group" xr:uid="{00000000-0004-0000-0100-000003000000}"/>
    <hyperlink ref="B29" location="'Table 6'!A1" display="Table 6: Breakdown of critical care unit admission type" xr:uid="{00000000-0004-0000-0100-000004000000}"/>
    <hyperlink ref="B31" location="'Table 7'!A1" display="Table 7: Breakdown of critical care unit admission source" xr:uid="{00000000-0004-0000-0100-000005000000}"/>
    <hyperlink ref="B35" location="'Table 9'!A1" display="Table 9: Breakdown of critical care unit discharge destination" xr:uid="{00000000-0004-0000-0100-000006000000}"/>
    <hyperlink ref="B37" location="'Table 10'!A1" display="Table 10: Breakdown of critical care unit discharge status" xr:uid="{00000000-0004-0000-0100-000007000000}"/>
    <hyperlink ref="B39" location="'Table 11'!A1" display="Table 11: Breakdown of critical care unit discharge location" xr:uid="{00000000-0004-0000-0100-000008000000}"/>
    <hyperlink ref="B41" location="'Table 12'!A1" display="Table 12: Number of critical care records by Health Resource Group (HRG) 4.0 and gender" xr:uid="{00000000-0004-0000-0100-000009000000}"/>
    <hyperlink ref="B43" location="'Table 13'!A1" display="Table 13: Duration of support by gender and support type" xr:uid="{00000000-0004-0000-0100-00000A000000}"/>
    <hyperlink ref="B45" location="'Table 14'!A1" display="Table 14: Breakdown of critical care unit function field" xr:uid="{00000000-0004-0000-0100-00000B000000}"/>
    <hyperlink ref="B47" location="'Table 15'!A1" display="Table 15: Breakdown of critical care unit bed configuration" xr:uid="{00000000-0004-0000-0100-00000C000000}"/>
    <hyperlink ref="B49" location="'Table 16'!A1" display="Table 16: Number and percentage of valid records in key fields" xr:uid="{00000000-0004-0000-0100-00000D000000}"/>
    <hyperlink ref="B51" location="'Table 17'!A1" display="Table 17: Number of critical care records for each type of relationship" xr:uid="{00000000-0004-0000-0100-00000E000000}"/>
    <hyperlink ref="B53" location="'Table 18'!A1" display="Table 18: Comparison of available beds reported in SitReps and the number of inpatient-episode-linked critical care records on the last Thursday of the reporting period " xr:uid="{00000000-0004-0000-0100-00000F000000}"/>
    <hyperlink ref="B23" location="'Table 3'!A1" display="Table 3: Count of critical care records by provider and month of discharge" xr:uid="{00000000-0004-0000-0100-000010000000}"/>
    <hyperlink ref="B33" location="'Table 8'!A1" display="Table 8: Breakdown of critical care unit source location" xr:uid="{00000000-0004-0000-0100-000011000000}"/>
    <hyperlink ref="B41:C41" location="'Table 12'!A1" display="Table 12: Number of critical care records by Health Resource Group (HRG) 4+ and gender" xr:uid="{A18A13E1-7242-4D2F-9E92-D55B3AD3276F}"/>
  </hyperlinks>
  <pageMargins left="0.7" right="0.7" top="0.75" bottom="0.75" header="0.3" footer="0.3"/>
  <pageSetup paperSize="9" scale="7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5EB8"/>
    <pageSetUpPr fitToPage="1"/>
  </sheetPr>
  <dimension ref="A1:Y34"/>
  <sheetViews>
    <sheetView showGridLines="0" zoomScaleNormal="100" workbookViewId="0"/>
  </sheetViews>
  <sheetFormatPr defaultColWidth="9.140625" defaultRowHeight="12.75" x14ac:dyDescent="0.2"/>
  <cols>
    <col min="1" max="1" width="21.140625" style="1" customWidth="1"/>
    <col min="2" max="5" width="17.140625" style="1" customWidth="1"/>
    <col min="6" max="16384" width="9.140625" style="1"/>
  </cols>
  <sheetData>
    <row r="1" spans="1:25" s="10" customFormat="1" ht="12.75" customHeight="1" x14ac:dyDescent="0.2">
      <c r="F1" s="12"/>
      <c r="Y1" s="11"/>
    </row>
    <row r="2" spans="1:25" s="10" customFormat="1" ht="12.75" customHeight="1" x14ac:dyDescent="0.2">
      <c r="F2" s="12"/>
      <c r="Y2" s="11"/>
    </row>
    <row r="3" spans="1:25" s="10" customFormat="1" ht="12.75" customHeight="1" x14ac:dyDescent="0.2">
      <c r="F3" s="12"/>
      <c r="Y3" s="11"/>
    </row>
    <row r="4" spans="1:25" s="10" customFormat="1" ht="12.75" customHeight="1" x14ac:dyDescent="0.2">
      <c r="F4" s="12"/>
      <c r="Y4" s="11"/>
    </row>
    <row r="5" spans="1:25" s="10" customFormat="1" ht="12.75" customHeight="1" x14ac:dyDescent="0.2">
      <c r="F5" s="12"/>
      <c r="Y5" s="11"/>
    </row>
    <row r="6" spans="1:25" s="10" customFormat="1" ht="12.75" customHeight="1" x14ac:dyDescent="0.2">
      <c r="F6" s="12"/>
      <c r="Y6" s="11"/>
    </row>
    <row r="7" spans="1:25" s="9" customFormat="1" ht="12.75" customHeight="1" x14ac:dyDescent="0.2"/>
    <row r="8" spans="1:25" ht="14.25" customHeight="1" x14ac:dyDescent="0.2">
      <c r="A8" s="72" t="s">
        <v>217</v>
      </c>
      <c r="B8" s="1" t="s">
        <v>148</v>
      </c>
      <c r="C8" s="1" t="s">
        <v>148</v>
      </c>
    </row>
    <row r="9" spans="1:25" s="9" customFormat="1" ht="12.75" customHeight="1" x14ac:dyDescent="0.2"/>
    <row r="10" spans="1:25" ht="22.5" customHeight="1" x14ac:dyDescent="0.2">
      <c r="A10" s="227" t="s">
        <v>243</v>
      </c>
    </row>
    <row r="11" spans="1:25" x14ac:dyDescent="0.2">
      <c r="A11" s="2"/>
    </row>
    <row r="12" spans="1:25" x14ac:dyDescent="0.2">
      <c r="A12" s="230"/>
      <c r="B12" s="553" t="s">
        <v>300</v>
      </c>
      <c r="C12" s="554"/>
      <c r="D12" s="558" t="s">
        <v>599</v>
      </c>
      <c r="E12" s="559"/>
    </row>
    <row r="13" spans="1:25" ht="38.25" x14ac:dyDescent="0.2">
      <c r="A13" s="93" t="s">
        <v>16</v>
      </c>
      <c r="B13" s="103" t="s">
        <v>15</v>
      </c>
      <c r="C13" s="99" t="s">
        <v>14</v>
      </c>
      <c r="D13" s="103" t="s">
        <v>15</v>
      </c>
      <c r="E13" s="99" t="s">
        <v>14</v>
      </c>
      <c r="H13" s="2"/>
    </row>
    <row r="14" spans="1:25" ht="12.75" customHeight="1" x14ac:dyDescent="0.2">
      <c r="A14" s="231" t="s">
        <v>13</v>
      </c>
      <c r="B14" s="163">
        <v>23280</v>
      </c>
      <c r="C14" s="161">
        <v>0.08</v>
      </c>
      <c r="D14" s="163">
        <v>23691</v>
      </c>
      <c r="E14" s="161">
        <v>8.2770836827100458E-2</v>
      </c>
      <c r="H14" s="49"/>
      <c r="J14" s="49"/>
    </row>
    <row r="15" spans="1:25" ht="12.75" customHeight="1" x14ac:dyDescent="0.2">
      <c r="A15" s="135" t="s">
        <v>12</v>
      </c>
      <c r="B15" s="164">
        <v>25365</v>
      </c>
      <c r="C15" s="162">
        <v>8.6999999999999994E-2</v>
      </c>
      <c r="D15" s="164">
        <v>25233</v>
      </c>
      <c r="E15" s="162">
        <v>8.8158225725306058E-2</v>
      </c>
      <c r="G15" s="20"/>
      <c r="H15" s="49"/>
      <c r="I15" s="29"/>
      <c r="J15" s="49"/>
    </row>
    <row r="16" spans="1:25" x14ac:dyDescent="0.2">
      <c r="A16" s="135" t="s">
        <v>11</v>
      </c>
      <c r="B16" s="164">
        <v>24750</v>
      </c>
      <c r="C16" s="162">
        <v>8.5000000000000006E-2</v>
      </c>
      <c r="D16" s="164">
        <v>24304</v>
      </c>
      <c r="E16" s="162">
        <v>8.4912516071328756E-2</v>
      </c>
      <c r="G16" s="20"/>
      <c r="H16" s="49"/>
      <c r="I16" s="29"/>
      <c r="J16" s="49"/>
    </row>
    <row r="17" spans="1:10" x14ac:dyDescent="0.2">
      <c r="A17" s="135" t="s">
        <v>10</v>
      </c>
      <c r="B17" s="164">
        <v>24909</v>
      </c>
      <c r="C17" s="162">
        <v>8.5000000000000006E-2</v>
      </c>
      <c r="D17" s="164">
        <v>25205</v>
      </c>
      <c r="E17" s="162">
        <v>8.8060400245961207E-2</v>
      </c>
      <c r="G17" s="20"/>
      <c r="H17" s="49"/>
      <c r="I17" s="29"/>
      <c r="J17" s="49"/>
    </row>
    <row r="18" spans="1:10" x14ac:dyDescent="0.2">
      <c r="A18" s="135" t="s">
        <v>9</v>
      </c>
      <c r="B18" s="164">
        <v>24693</v>
      </c>
      <c r="C18" s="162">
        <v>8.5000000000000006E-2</v>
      </c>
      <c r="D18" s="164">
        <v>24078</v>
      </c>
      <c r="E18" s="162">
        <v>8.4122924702331042E-2</v>
      </c>
      <c r="G18" s="20"/>
      <c r="H18" s="49"/>
      <c r="I18" s="29"/>
      <c r="J18" s="49"/>
    </row>
    <row r="19" spans="1:10" x14ac:dyDescent="0.2">
      <c r="A19" s="135" t="s">
        <v>8</v>
      </c>
      <c r="B19" s="164">
        <v>23696</v>
      </c>
      <c r="C19" s="162">
        <v>8.1000000000000003E-2</v>
      </c>
      <c r="D19" s="164">
        <v>23421</v>
      </c>
      <c r="E19" s="162">
        <v>8.1827519704846557E-2</v>
      </c>
      <c r="G19" s="20"/>
      <c r="H19" s="49"/>
      <c r="I19" s="29"/>
      <c r="J19" s="49"/>
    </row>
    <row r="20" spans="1:10" x14ac:dyDescent="0.2">
      <c r="A20" s="135" t="s">
        <v>7</v>
      </c>
      <c r="B20" s="164">
        <v>25728</v>
      </c>
      <c r="C20" s="162">
        <v>8.7999999999999995E-2</v>
      </c>
      <c r="D20" s="164">
        <v>25581</v>
      </c>
      <c r="E20" s="162">
        <v>8.9374056682877748E-2</v>
      </c>
      <c r="G20" s="20"/>
      <c r="H20" s="49"/>
      <c r="I20" s="29"/>
      <c r="J20" s="49"/>
    </row>
    <row r="21" spans="1:10" x14ac:dyDescent="0.2">
      <c r="A21" s="135" t="s">
        <v>6</v>
      </c>
      <c r="B21" s="164">
        <v>25474</v>
      </c>
      <c r="C21" s="162">
        <v>8.6999999999999994E-2</v>
      </c>
      <c r="D21" s="164">
        <v>24812</v>
      </c>
      <c r="E21" s="162">
        <v>8.6687349768013858E-2</v>
      </c>
      <c r="G21" s="20"/>
      <c r="H21" s="49"/>
      <c r="I21" s="29"/>
      <c r="J21" s="49"/>
    </row>
    <row r="22" spans="1:10" x14ac:dyDescent="0.2">
      <c r="A22" s="135" t="s">
        <v>5</v>
      </c>
      <c r="B22" s="164">
        <v>24340</v>
      </c>
      <c r="C22" s="162">
        <v>8.3000000000000004E-2</v>
      </c>
      <c r="D22" s="164">
        <v>24113</v>
      </c>
      <c r="E22" s="162">
        <v>8.4245206551512103E-2</v>
      </c>
      <c r="G22" s="20"/>
      <c r="H22" s="49"/>
      <c r="I22" s="29"/>
      <c r="J22" s="49"/>
    </row>
    <row r="23" spans="1:10" x14ac:dyDescent="0.2">
      <c r="A23" s="135" t="s">
        <v>4</v>
      </c>
      <c r="B23" s="164">
        <v>25535</v>
      </c>
      <c r="C23" s="162">
        <v>8.7999999999999995E-2</v>
      </c>
      <c r="D23" s="164">
        <v>24638</v>
      </c>
      <c r="E23" s="162">
        <v>8.6079434289228013E-2</v>
      </c>
      <c r="G23" s="20"/>
      <c r="H23" s="49"/>
      <c r="I23" s="29"/>
      <c r="J23" s="49"/>
    </row>
    <row r="24" spans="1:10" x14ac:dyDescent="0.2">
      <c r="A24" s="135" t="s">
        <v>3</v>
      </c>
      <c r="B24" s="164">
        <v>22985</v>
      </c>
      <c r="C24" s="162">
        <v>7.9000000000000001E-2</v>
      </c>
      <c r="D24" s="164">
        <v>22886</v>
      </c>
      <c r="E24" s="162">
        <v>7.9958354295936049E-2</v>
      </c>
      <c r="G24" s="20"/>
      <c r="H24" s="49"/>
      <c r="I24" s="29"/>
      <c r="J24" s="49"/>
    </row>
    <row r="25" spans="1:10" x14ac:dyDescent="0.2">
      <c r="A25" s="232" t="s">
        <v>2</v>
      </c>
      <c r="B25" s="165">
        <v>20924</v>
      </c>
      <c r="C25" s="166">
        <v>7.1999999999999995E-2</v>
      </c>
      <c r="D25" s="165">
        <v>18262</v>
      </c>
      <c r="E25" s="166">
        <v>6.3803175135558166E-2</v>
      </c>
      <c r="G25" s="20"/>
      <c r="H25" s="49"/>
      <c r="I25" s="29"/>
      <c r="J25" s="49"/>
    </row>
    <row r="26" spans="1:10" x14ac:dyDescent="0.2">
      <c r="A26" s="94" t="s">
        <v>1</v>
      </c>
      <c r="B26" s="160">
        <v>291679</v>
      </c>
      <c r="C26" s="167">
        <v>1</v>
      </c>
      <c r="D26" s="160">
        <v>286224</v>
      </c>
      <c r="E26" s="167">
        <v>1</v>
      </c>
      <c r="G26" s="20"/>
      <c r="H26" s="49"/>
      <c r="I26" s="29"/>
      <c r="J26" s="49"/>
    </row>
    <row r="27" spans="1:10" x14ac:dyDescent="0.2">
      <c r="A27" s="8"/>
      <c r="B27" s="7"/>
      <c r="C27" s="6"/>
      <c r="D27" s="5"/>
      <c r="E27" s="4"/>
    </row>
    <row r="28" spans="1:10" s="116" customFormat="1" x14ac:dyDescent="0.2">
      <c r="A28" s="114" t="s">
        <v>262</v>
      </c>
      <c r="B28" s="115"/>
      <c r="C28" s="115"/>
      <c r="D28" s="115"/>
      <c r="E28" s="115"/>
      <c r="F28" s="115"/>
    </row>
    <row r="29" spans="1:10" s="116" customFormat="1" x14ac:dyDescent="0.2">
      <c r="A29" s="114"/>
      <c r="B29" s="115"/>
      <c r="C29" s="115"/>
      <c r="D29" s="115"/>
      <c r="E29" s="115"/>
      <c r="F29" s="115"/>
    </row>
    <row r="30" spans="1:10" x14ac:dyDescent="0.2">
      <c r="A30" s="2" t="s">
        <v>232</v>
      </c>
    </row>
    <row r="31" spans="1:10" ht="53.25" customHeight="1" x14ac:dyDescent="0.2">
      <c r="A31" s="557" t="s">
        <v>598</v>
      </c>
      <c r="B31" s="557"/>
      <c r="C31" s="557"/>
      <c r="D31" s="557"/>
      <c r="E31" s="557"/>
    </row>
    <row r="32" spans="1:10" s="109" customFormat="1" ht="27" customHeight="1" x14ac:dyDescent="0.2">
      <c r="A32" s="555" t="s">
        <v>233</v>
      </c>
      <c r="B32" s="555"/>
      <c r="C32" s="555"/>
      <c r="D32" s="555"/>
      <c r="E32" s="555"/>
    </row>
    <row r="33" spans="1:5" ht="25.5" customHeight="1" x14ac:dyDescent="0.2">
      <c r="A33" s="556" t="s">
        <v>234</v>
      </c>
      <c r="B33" s="556"/>
      <c r="C33" s="556"/>
      <c r="D33" s="556"/>
      <c r="E33" s="556"/>
    </row>
    <row r="34" spans="1:5" ht="25.5" customHeight="1" x14ac:dyDescent="0.2">
      <c r="A34" s="552"/>
      <c r="B34" s="552"/>
      <c r="C34" s="552"/>
      <c r="D34" s="552"/>
      <c r="E34" s="552"/>
    </row>
  </sheetData>
  <mergeCells count="6">
    <mergeCell ref="A34:E34"/>
    <mergeCell ref="B12:C12"/>
    <mergeCell ref="A32:E32"/>
    <mergeCell ref="A33:E33"/>
    <mergeCell ref="A31:E31"/>
    <mergeCell ref="D12:E12"/>
  </mergeCells>
  <hyperlinks>
    <hyperlink ref="A8" location="Contents!A1" display="Return to Contents" xr:uid="{00000000-0004-0000-0200-000000000000}"/>
  </hyperlinks>
  <pageMargins left="0.75" right="0.75" top="1" bottom="1" header="0.5" footer="0.5"/>
  <pageSetup paperSize="9" scale="9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5EB8"/>
    <pageSetUpPr fitToPage="1"/>
  </sheetPr>
  <dimension ref="A1:Y26"/>
  <sheetViews>
    <sheetView showGridLines="0" zoomScaleNormal="100" workbookViewId="0"/>
  </sheetViews>
  <sheetFormatPr defaultColWidth="9.140625" defaultRowHeight="12.75" x14ac:dyDescent="0.2"/>
  <cols>
    <col min="1" max="1" width="28.42578125" style="1" bestFit="1" customWidth="1"/>
    <col min="2" max="5" width="17.140625" style="1" customWidth="1"/>
    <col min="6" max="16384" width="9.140625" style="1"/>
  </cols>
  <sheetData>
    <row r="1" spans="1:25" s="10" customFormat="1" ht="12.75" customHeight="1" x14ac:dyDescent="0.2">
      <c r="F1" s="12"/>
      <c r="Y1" s="11"/>
    </row>
    <row r="2" spans="1:25" s="10" customFormat="1" ht="12.75" customHeight="1" x14ac:dyDescent="0.2">
      <c r="F2" s="12"/>
      <c r="Y2" s="11"/>
    </row>
    <row r="3" spans="1:25" s="10" customFormat="1" ht="12.75" customHeight="1" x14ac:dyDescent="0.2">
      <c r="F3" s="12"/>
      <c r="Y3" s="11"/>
    </row>
    <row r="4" spans="1:25" s="10" customFormat="1" ht="12.75" customHeight="1" x14ac:dyDescent="0.2">
      <c r="F4" s="12"/>
      <c r="Y4" s="11"/>
    </row>
    <row r="5" spans="1:25" s="10" customFormat="1" ht="12.75" customHeight="1" x14ac:dyDescent="0.2">
      <c r="F5" s="12"/>
      <c r="Y5" s="11"/>
    </row>
    <row r="6" spans="1:25" s="10" customFormat="1" ht="12.75" customHeight="1" x14ac:dyDescent="0.2">
      <c r="F6" s="12"/>
      <c r="Y6" s="11"/>
    </row>
    <row r="7" spans="1:25" s="9" customFormat="1" ht="12.75" customHeight="1" x14ac:dyDescent="0.2"/>
    <row r="8" spans="1:25" ht="14.25" customHeight="1" x14ac:dyDescent="0.2">
      <c r="A8" s="72" t="s">
        <v>217</v>
      </c>
    </row>
    <row r="9" spans="1:25" ht="12.75" customHeight="1" x14ac:dyDescent="0.2">
      <c r="A9" s="72"/>
    </row>
    <row r="10" spans="1:25" ht="22.5" customHeight="1" x14ac:dyDescent="0.2">
      <c r="A10" s="227" t="s">
        <v>254</v>
      </c>
    </row>
    <row r="11" spans="1:25" x14ac:dyDescent="0.2">
      <c r="A11" s="2"/>
    </row>
    <row r="12" spans="1:25" x14ac:dyDescent="0.2">
      <c r="A12" s="233"/>
      <c r="B12" s="560" t="s">
        <v>300</v>
      </c>
      <c r="C12" s="561"/>
      <c r="D12" s="560" t="s">
        <v>599</v>
      </c>
      <c r="E12" s="561"/>
    </row>
    <row r="13" spans="1:25" ht="38.25" x14ac:dyDescent="0.2">
      <c r="A13" s="93" t="s">
        <v>153</v>
      </c>
      <c r="B13" s="103" t="s">
        <v>15</v>
      </c>
      <c r="C13" s="99" t="s">
        <v>14</v>
      </c>
      <c r="D13" s="108" t="s">
        <v>15</v>
      </c>
      <c r="E13" s="99" t="s">
        <v>14</v>
      </c>
      <c r="F13" s="80"/>
    </row>
    <row r="14" spans="1:25" x14ac:dyDescent="0.2">
      <c r="A14" s="231" t="s">
        <v>152</v>
      </c>
      <c r="B14" s="104">
        <v>73395</v>
      </c>
      <c r="C14" s="280">
        <v>0.252</v>
      </c>
      <c r="D14" s="333">
        <v>73228</v>
      </c>
      <c r="E14" s="337">
        <v>0.25584157862373524</v>
      </c>
    </row>
    <row r="15" spans="1:25" x14ac:dyDescent="0.2">
      <c r="A15" s="135" t="s">
        <v>151</v>
      </c>
      <c r="B15" s="105">
        <v>73298</v>
      </c>
      <c r="C15" s="281">
        <v>0.251</v>
      </c>
      <c r="D15" s="334">
        <v>72704</v>
      </c>
      <c r="E15" s="339">
        <v>0.25401084465313878</v>
      </c>
    </row>
    <row r="16" spans="1:25" x14ac:dyDescent="0.2">
      <c r="A16" s="135" t="s">
        <v>150</v>
      </c>
      <c r="B16" s="105">
        <v>75542</v>
      </c>
      <c r="C16" s="281">
        <v>0.25900000000000001</v>
      </c>
      <c r="D16" s="334">
        <v>74506</v>
      </c>
      <c r="E16" s="339">
        <v>0.26030661300240371</v>
      </c>
    </row>
    <row r="17" spans="1:6" x14ac:dyDescent="0.2">
      <c r="A17" s="232" t="s">
        <v>149</v>
      </c>
      <c r="B17" s="106">
        <v>69444</v>
      </c>
      <c r="C17" s="282">
        <v>0.23799999999999999</v>
      </c>
      <c r="D17" s="335">
        <v>65786</v>
      </c>
      <c r="E17" s="340">
        <v>0.22984096372072224</v>
      </c>
    </row>
    <row r="18" spans="1:6" s="2" customFormat="1" x14ac:dyDescent="0.2">
      <c r="A18" s="94" t="s">
        <v>1</v>
      </c>
      <c r="B18" s="168">
        <v>291679</v>
      </c>
      <c r="C18" s="100">
        <v>1</v>
      </c>
      <c r="D18" s="336">
        <v>286224</v>
      </c>
      <c r="E18" s="100">
        <v>1</v>
      </c>
      <c r="F18" s="1"/>
    </row>
    <row r="19" spans="1:6" s="2" customFormat="1" x14ac:dyDescent="0.2">
      <c r="A19" s="8"/>
      <c r="B19" s="7"/>
      <c r="C19" s="50"/>
      <c r="D19" s="7"/>
      <c r="E19" s="50"/>
      <c r="F19" s="82"/>
    </row>
    <row r="20" spans="1:6" s="118" customFormat="1" x14ac:dyDescent="0.2">
      <c r="A20" s="119" t="s">
        <v>262</v>
      </c>
      <c r="B20" s="120"/>
      <c r="C20" s="120"/>
      <c r="D20" s="120"/>
      <c r="E20" s="120"/>
      <c r="F20" s="120"/>
    </row>
    <row r="21" spans="1:6" s="118" customFormat="1" x14ac:dyDescent="0.2">
      <c r="A21" s="119"/>
      <c r="B21" s="120"/>
      <c r="C21" s="120"/>
      <c r="D21" s="120"/>
      <c r="E21" s="120"/>
      <c r="F21" s="120"/>
    </row>
    <row r="22" spans="1:6" x14ac:dyDescent="0.2">
      <c r="A22" s="2" t="s">
        <v>232</v>
      </c>
    </row>
    <row r="23" spans="1:6" ht="53.25" customHeight="1" x14ac:dyDescent="0.2">
      <c r="A23" s="557" t="s">
        <v>598</v>
      </c>
      <c r="B23" s="557"/>
      <c r="C23" s="557"/>
      <c r="D23" s="557"/>
      <c r="E23" s="557"/>
    </row>
    <row r="24" spans="1:6" s="109" customFormat="1" ht="27" customHeight="1" x14ac:dyDescent="0.2">
      <c r="A24" s="555" t="s">
        <v>233</v>
      </c>
      <c r="B24" s="555"/>
      <c r="C24" s="555"/>
      <c r="D24" s="555"/>
      <c r="E24" s="555"/>
    </row>
    <row r="25" spans="1:6" ht="25.5" customHeight="1" x14ac:dyDescent="0.2">
      <c r="A25" s="556" t="s">
        <v>234</v>
      </c>
      <c r="B25" s="556"/>
      <c r="C25" s="556"/>
      <c r="D25" s="556"/>
      <c r="E25" s="556"/>
    </row>
    <row r="26" spans="1:6" ht="25.5" customHeight="1" x14ac:dyDescent="0.2">
      <c r="A26" s="552"/>
      <c r="B26" s="552"/>
      <c r="C26" s="552"/>
      <c r="D26" s="552"/>
      <c r="E26" s="552"/>
    </row>
  </sheetData>
  <mergeCells count="6">
    <mergeCell ref="A26:E26"/>
    <mergeCell ref="A23:E23"/>
    <mergeCell ref="A25:E25"/>
    <mergeCell ref="A24:E24"/>
    <mergeCell ref="B12:C12"/>
    <mergeCell ref="D12:E12"/>
  </mergeCells>
  <hyperlinks>
    <hyperlink ref="A8" location="Contents!A1" display="Return to Contents" xr:uid="{00000000-0004-0000-0300-000000000000}"/>
  </hyperlinks>
  <pageMargins left="0.75" right="0.75" top="1" bottom="1" header="0.5" footer="0.5"/>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FCFF7-310B-4069-A3DC-F7E954D8A0C2}">
  <sheetPr>
    <tabColor rgb="FF005EB8"/>
    <pageSetUpPr fitToPage="1"/>
  </sheetPr>
  <dimension ref="A1:AB179"/>
  <sheetViews>
    <sheetView showGridLines="0" zoomScaleNormal="100" workbookViewId="0">
      <pane xSplit="2" ySplit="12" topLeftCell="C13" activePane="bottomRight" state="frozen"/>
      <selection pane="topRight"/>
      <selection pane="bottomLeft"/>
      <selection pane="bottomRight"/>
    </sheetView>
  </sheetViews>
  <sheetFormatPr defaultColWidth="9.140625" defaultRowHeight="11.25" x14ac:dyDescent="0.2"/>
  <cols>
    <col min="1" max="1" width="12.42578125" style="87" customWidth="1"/>
    <col min="2" max="2" width="65.85546875" style="85" customWidth="1"/>
    <col min="3" max="9" width="10.7109375" style="204" customWidth="1"/>
    <col min="10" max="10" width="12.42578125" style="204" customWidth="1"/>
    <col min="11" max="11" width="12.28515625" style="204" customWidth="1"/>
    <col min="12" max="13" width="10.7109375" style="204" customWidth="1"/>
    <col min="14" max="14" width="9.28515625" style="204" customWidth="1"/>
    <col min="15" max="15" width="10.7109375" style="210" customWidth="1"/>
    <col min="16" max="16384" width="9.140625" style="87"/>
  </cols>
  <sheetData>
    <row r="1" spans="1:28" s="80" customFormat="1" ht="12.75" customHeight="1" x14ac:dyDescent="0.2">
      <c r="B1" s="81"/>
      <c r="C1" s="203"/>
      <c r="D1" s="208"/>
      <c r="E1" s="203"/>
      <c r="F1" s="208"/>
      <c r="G1" s="203"/>
      <c r="H1" s="203"/>
      <c r="I1" s="203"/>
      <c r="J1" s="203"/>
      <c r="K1" s="203"/>
      <c r="L1" s="203"/>
      <c r="M1" s="203"/>
      <c r="N1" s="203"/>
      <c r="O1" s="209"/>
      <c r="Y1" s="83"/>
    </row>
    <row r="2" spans="1:28" s="80" customFormat="1" ht="12.75" customHeight="1" x14ac:dyDescent="0.2">
      <c r="B2" s="81"/>
      <c r="C2" s="203"/>
      <c r="D2" s="208"/>
      <c r="E2" s="203"/>
      <c r="F2" s="208"/>
      <c r="G2" s="203"/>
      <c r="H2" s="203"/>
      <c r="I2" s="203"/>
      <c r="J2" s="203"/>
      <c r="K2" s="203"/>
      <c r="L2" s="203"/>
      <c r="M2" s="203"/>
      <c r="N2" s="203"/>
      <c r="O2" s="209"/>
      <c r="Y2" s="83"/>
    </row>
    <row r="3" spans="1:28" s="80" customFormat="1" ht="12.75" customHeight="1" x14ac:dyDescent="0.2">
      <c r="B3" s="81"/>
      <c r="C3" s="203"/>
      <c r="D3" s="208"/>
      <c r="E3" s="203"/>
      <c r="F3" s="208"/>
      <c r="G3" s="203"/>
      <c r="H3" s="203"/>
      <c r="I3" s="203"/>
      <c r="J3" s="203"/>
      <c r="K3" s="203"/>
      <c r="L3" s="203"/>
      <c r="M3" s="203"/>
      <c r="N3" s="203"/>
      <c r="O3" s="209"/>
      <c r="Y3" s="83"/>
    </row>
    <row r="4" spans="1:28" s="80" customFormat="1" ht="12.75" customHeight="1" x14ac:dyDescent="0.2">
      <c r="B4" s="81"/>
      <c r="C4" s="203"/>
      <c r="D4" s="208"/>
      <c r="E4" s="203"/>
      <c r="F4" s="208"/>
      <c r="G4" s="203"/>
      <c r="H4" s="203"/>
      <c r="I4" s="203"/>
      <c r="J4" s="203"/>
      <c r="K4" s="203"/>
      <c r="L4" s="203"/>
      <c r="M4" s="203"/>
      <c r="N4" s="203"/>
      <c r="O4" s="209"/>
      <c r="Y4" s="83"/>
    </row>
    <row r="5" spans="1:28" s="80" customFormat="1" ht="12.75" customHeight="1" x14ac:dyDescent="0.2">
      <c r="B5" s="81"/>
      <c r="C5" s="203"/>
      <c r="D5" s="208"/>
      <c r="E5" s="203"/>
      <c r="F5" s="208"/>
      <c r="G5" s="203"/>
      <c r="H5" s="203"/>
      <c r="I5" s="203"/>
      <c r="J5" s="203"/>
      <c r="K5" s="203"/>
      <c r="L5" s="203"/>
      <c r="M5" s="203"/>
      <c r="N5" s="203"/>
      <c r="O5" s="209"/>
      <c r="Y5" s="83"/>
    </row>
    <row r="6" spans="1:28" s="80" customFormat="1" ht="12.75" customHeight="1" x14ac:dyDescent="0.2">
      <c r="B6" s="81"/>
      <c r="C6" s="203"/>
      <c r="D6" s="208"/>
      <c r="E6" s="203"/>
      <c r="F6" s="208"/>
      <c r="G6" s="203"/>
      <c r="H6" s="203"/>
      <c r="I6" s="203"/>
      <c r="J6" s="203"/>
      <c r="K6" s="203"/>
      <c r="L6" s="203"/>
      <c r="M6" s="203"/>
      <c r="N6" s="203"/>
      <c r="O6" s="209"/>
      <c r="Y6" s="83"/>
    </row>
    <row r="7" spans="1:28" ht="12.75" customHeight="1" x14ac:dyDescent="0.2">
      <c r="A7" s="84"/>
    </row>
    <row r="8" spans="1:28" ht="14.25" customHeight="1" x14ac:dyDescent="0.2">
      <c r="A8" s="562" t="s">
        <v>217</v>
      </c>
      <c r="B8" s="562"/>
    </row>
    <row r="9" spans="1:28" ht="12.75" customHeight="1" x14ac:dyDescent="0.2">
      <c r="A9" s="84"/>
    </row>
    <row r="10" spans="1:28" ht="22.5" customHeight="1" x14ac:dyDescent="0.2">
      <c r="A10" s="229" t="s">
        <v>600</v>
      </c>
      <c r="O10" s="204"/>
    </row>
    <row r="11" spans="1:28" ht="12.75" customHeight="1" x14ac:dyDescent="0.2"/>
    <row r="12" spans="1:28" s="256" customFormat="1" ht="25.5" x14ac:dyDescent="0.2">
      <c r="A12" s="234" t="s">
        <v>18</v>
      </c>
      <c r="B12" s="478" t="s">
        <v>17</v>
      </c>
      <c r="C12" s="481" t="s">
        <v>602</v>
      </c>
      <c r="D12" s="482" t="s">
        <v>603</v>
      </c>
      <c r="E12" s="482" t="s">
        <v>604</v>
      </c>
      <c r="F12" s="482" t="s">
        <v>605</v>
      </c>
      <c r="G12" s="482" t="s">
        <v>606</v>
      </c>
      <c r="H12" s="482" t="s">
        <v>607</v>
      </c>
      <c r="I12" s="482" t="s">
        <v>608</v>
      </c>
      <c r="J12" s="482" t="s">
        <v>609</v>
      </c>
      <c r="K12" s="482" t="s">
        <v>610</v>
      </c>
      <c r="L12" s="482" t="s">
        <v>611</v>
      </c>
      <c r="M12" s="482" t="s">
        <v>612</v>
      </c>
      <c r="N12" s="482" t="s">
        <v>613</v>
      </c>
      <c r="O12" s="483" t="s">
        <v>1</v>
      </c>
    </row>
    <row r="13" spans="1:28" s="85" customFormat="1" ht="12.75" x14ac:dyDescent="0.2">
      <c r="A13" s="292" t="s">
        <v>302</v>
      </c>
      <c r="B13" s="293" t="s">
        <v>584</v>
      </c>
      <c r="C13" s="518">
        <v>0</v>
      </c>
      <c r="D13" s="519" t="s">
        <v>636</v>
      </c>
      <c r="E13" s="519">
        <v>0</v>
      </c>
      <c r="F13" s="519" t="s">
        <v>636</v>
      </c>
      <c r="G13" s="519">
        <v>0</v>
      </c>
      <c r="H13" s="519" t="s">
        <v>636</v>
      </c>
      <c r="I13" s="519">
        <v>0</v>
      </c>
      <c r="J13" s="519">
        <v>0</v>
      </c>
      <c r="K13" s="519" t="s">
        <v>636</v>
      </c>
      <c r="L13" s="519" t="s">
        <v>636</v>
      </c>
      <c r="M13" s="519" t="s">
        <v>636</v>
      </c>
      <c r="N13" s="519">
        <v>0</v>
      </c>
      <c r="O13" s="484">
        <v>10</v>
      </c>
      <c r="P13" s="86"/>
      <c r="Q13" s="86"/>
      <c r="R13" s="86"/>
      <c r="S13" s="86"/>
      <c r="T13" s="86"/>
      <c r="U13" s="86"/>
      <c r="V13" s="86"/>
      <c r="W13" s="86"/>
      <c r="X13" s="86"/>
      <c r="Y13" s="86"/>
      <c r="Z13" s="86"/>
      <c r="AA13" s="86"/>
      <c r="AB13" s="86"/>
    </row>
    <row r="14" spans="1:28" s="85" customFormat="1" ht="12.75" x14ac:dyDescent="0.2">
      <c r="A14" s="292" t="s">
        <v>303</v>
      </c>
      <c r="B14" s="293" t="s">
        <v>585</v>
      </c>
      <c r="C14" s="518">
        <v>10</v>
      </c>
      <c r="D14" s="519">
        <v>15</v>
      </c>
      <c r="E14" s="519">
        <v>15</v>
      </c>
      <c r="F14" s="519">
        <v>10</v>
      </c>
      <c r="G14" s="519">
        <v>10</v>
      </c>
      <c r="H14" s="519" t="s">
        <v>636</v>
      </c>
      <c r="I14" s="519">
        <v>25</v>
      </c>
      <c r="J14" s="519">
        <v>35</v>
      </c>
      <c r="K14" s="519">
        <v>10</v>
      </c>
      <c r="L14" s="519">
        <v>10</v>
      </c>
      <c r="M14" s="519" t="s">
        <v>636</v>
      </c>
      <c r="N14" s="519" t="s">
        <v>636</v>
      </c>
      <c r="O14" s="484">
        <v>155</v>
      </c>
      <c r="P14" s="86"/>
      <c r="Q14" s="86"/>
      <c r="R14" s="86"/>
      <c r="S14" s="86"/>
      <c r="T14" s="86"/>
      <c r="U14" s="86"/>
      <c r="V14" s="86"/>
      <c r="W14" s="86"/>
      <c r="X14" s="86"/>
      <c r="Y14" s="86"/>
      <c r="Z14" s="86"/>
      <c r="AA14" s="86"/>
      <c r="AB14" s="86"/>
    </row>
    <row r="15" spans="1:28" s="85" customFormat="1" ht="12.75" x14ac:dyDescent="0.2">
      <c r="A15" s="292" t="s">
        <v>304</v>
      </c>
      <c r="B15" s="293" t="s">
        <v>586</v>
      </c>
      <c r="C15" s="518" t="s">
        <v>636</v>
      </c>
      <c r="D15" s="519" t="s">
        <v>636</v>
      </c>
      <c r="E15" s="519">
        <v>10</v>
      </c>
      <c r="F15" s="519">
        <v>10</v>
      </c>
      <c r="G15" s="519">
        <v>10</v>
      </c>
      <c r="H15" s="519" t="s">
        <v>636</v>
      </c>
      <c r="I15" s="519" t="s">
        <v>636</v>
      </c>
      <c r="J15" s="519" t="s">
        <v>636</v>
      </c>
      <c r="K15" s="519" t="s">
        <v>636</v>
      </c>
      <c r="L15" s="519">
        <v>10</v>
      </c>
      <c r="M15" s="519">
        <v>10</v>
      </c>
      <c r="N15" s="519" t="s">
        <v>636</v>
      </c>
      <c r="O15" s="484">
        <v>70</v>
      </c>
      <c r="P15" s="86"/>
      <c r="Q15" s="86"/>
      <c r="R15" s="86"/>
      <c r="S15" s="86"/>
      <c r="T15" s="86"/>
      <c r="U15" s="86"/>
      <c r="V15" s="86"/>
      <c r="W15" s="86"/>
      <c r="X15" s="86"/>
      <c r="Y15" s="86"/>
      <c r="Z15" s="86"/>
      <c r="AA15" s="86"/>
      <c r="AB15" s="86"/>
    </row>
    <row r="16" spans="1:28" s="85" customFormat="1" ht="12.75" x14ac:dyDescent="0.2">
      <c r="A16" s="292" t="s">
        <v>614</v>
      </c>
      <c r="B16" s="293" t="s">
        <v>619</v>
      </c>
      <c r="C16" s="518">
        <v>0</v>
      </c>
      <c r="D16" s="519">
        <v>0</v>
      </c>
      <c r="E16" s="519">
        <v>0</v>
      </c>
      <c r="F16" s="519">
        <v>0</v>
      </c>
      <c r="G16" s="519">
        <v>0</v>
      </c>
      <c r="H16" s="519">
        <v>0</v>
      </c>
      <c r="I16" s="519">
        <v>0</v>
      </c>
      <c r="J16" s="519">
        <v>0</v>
      </c>
      <c r="K16" s="519">
        <v>0</v>
      </c>
      <c r="L16" s="519">
        <v>0</v>
      </c>
      <c r="M16" s="519">
        <v>0</v>
      </c>
      <c r="N16" s="519" t="s">
        <v>636</v>
      </c>
      <c r="O16" s="484" t="s">
        <v>636</v>
      </c>
      <c r="P16" s="86"/>
      <c r="Q16" s="86"/>
      <c r="R16" s="86"/>
      <c r="S16" s="86"/>
      <c r="T16" s="86"/>
      <c r="U16" s="86"/>
      <c r="V16" s="86"/>
      <c r="W16" s="86"/>
      <c r="X16" s="86"/>
      <c r="Y16" s="86"/>
      <c r="Z16" s="86"/>
      <c r="AA16" s="86"/>
      <c r="AB16" s="86"/>
    </row>
    <row r="17" spans="1:28" s="85" customFormat="1" ht="12.75" x14ac:dyDescent="0.2">
      <c r="A17" s="292" t="s">
        <v>305</v>
      </c>
      <c r="B17" s="293" t="s">
        <v>445</v>
      </c>
      <c r="C17" s="518">
        <v>555</v>
      </c>
      <c r="D17" s="519">
        <v>625</v>
      </c>
      <c r="E17" s="519">
        <v>570</v>
      </c>
      <c r="F17" s="519">
        <v>585</v>
      </c>
      <c r="G17" s="519">
        <v>555</v>
      </c>
      <c r="H17" s="519">
        <v>540</v>
      </c>
      <c r="I17" s="519">
        <v>580</v>
      </c>
      <c r="J17" s="519">
        <v>605</v>
      </c>
      <c r="K17" s="519">
        <v>565</v>
      </c>
      <c r="L17" s="519">
        <v>580</v>
      </c>
      <c r="M17" s="519">
        <v>550</v>
      </c>
      <c r="N17" s="519">
        <v>455</v>
      </c>
      <c r="O17" s="484">
        <v>6775</v>
      </c>
      <c r="P17" s="86"/>
      <c r="Q17" s="86"/>
      <c r="R17" s="86"/>
      <c r="S17" s="86"/>
      <c r="T17" s="86"/>
      <c r="U17" s="86"/>
      <c r="V17" s="86"/>
      <c r="W17" s="86"/>
      <c r="X17" s="86"/>
      <c r="Y17" s="86"/>
      <c r="Z17" s="86"/>
      <c r="AA17" s="86"/>
      <c r="AB17" s="86"/>
    </row>
    <row r="18" spans="1:28" s="85" customFormat="1" ht="12.75" x14ac:dyDescent="0.2">
      <c r="A18" s="292" t="s">
        <v>615</v>
      </c>
      <c r="B18" s="293" t="s">
        <v>618</v>
      </c>
      <c r="C18" s="518">
        <v>90</v>
      </c>
      <c r="D18" s="519">
        <v>90</v>
      </c>
      <c r="E18" s="519">
        <v>110</v>
      </c>
      <c r="F18" s="519">
        <v>95</v>
      </c>
      <c r="G18" s="519">
        <v>100</v>
      </c>
      <c r="H18" s="519">
        <v>90</v>
      </c>
      <c r="I18" s="519">
        <v>70</v>
      </c>
      <c r="J18" s="519">
        <v>65</v>
      </c>
      <c r="K18" s="519">
        <v>70</v>
      </c>
      <c r="L18" s="519">
        <v>65</v>
      </c>
      <c r="M18" s="519">
        <v>60</v>
      </c>
      <c r="N18" s="519">
        <v>50</v>
      </c>
      <c r="O18" s="484">
        <v>950</v>
      </c>
      <c r="P18" s="86"/>
      <c r="Q18" s="86"/>
      <c r="R18" s="86"/>
      <c r="S18" s="86"/>
      <c r="T18" s="86"/>
      <c r="U18" s="86"/>
      <c r="V18" s="86"/>
      <c r="W18" s="86"/>
      <c r="X18" s="86"/>
      <c r="Y18" s="86"/>
      <c r="Z18" s="86"/>
      <c r="AA18" s="86"/>
      <c r="AB18" s="86"/>
    </row>
    <row r="19" spans="1:28" s="85" customFormat="1" ht="12.75" x14ac:dyDescent="0.2">
      <c r="A19" s="292" t="s">
        <v>306</v>
      </c>
      <c r="B19" s="293" t="s">
        <v>446</v>
      </c>
      <c r="C19" s="518">
        <v>30</v>
      </c>
      <c r="D19" s="519">
        <v>25</v>
      </c>
      <c r="E19" s="519">
        <v>20</v>
      </c>
      <c r="F19" s="519">
        <v>30</v>
      </c>
      <c r="G19" s="519">
        <v>25</v>
      </c>
      <c r="H19" s="519">
        <v>25</v>
      </c>
      <c r="I19" s="519">
        <v>25</v>
      </c>
      <c r="J19" s="519">
        <v>35</v>
      </c>
      <c r="K19" s="519">
        <v>35</v>
      </c>
      <c r="L19" s="519">
        <v>25</v>
      </c>
      <c r="M19" s="519">
        <v>25</v>
      </c>
      <c r="N19" s="519">
        <v>15</v>
      </c>
      <c r="O19" s="484">
        <v>315</v>
      </c>
      <c r="P19" s="86"/>
      <c r="Q19" s="86"/>
      <c r="R19" s="86"/>
      <c r="S19" s="86"/>
      <c r="T19" s="86"/>
      <c r="U19" s="86"/>
      <c r="V19" s="86"/>
      <c r="W19" s="86"/>
      <c r="X19" s="86"/>
      <c r="Y19" s="86"/>
      <c r="Z19" s="86"/>
      <c r="AA19" s="86"/>
      <c r="AB19" s="86"/>
    </row>
    <row r="20" spans="1:28" s="85" customFormat="1" ht="12.75" x14ac:dyDescent="0.2">
      <c r="A20" s="292" t="s">
        <v>307</v>
      </c>
      <c r="B20" s="293" t="s">
        <v>447</v>
      </c>
      <c r="C20" s="518">
        <v>765</v>
      </c>
      <c r="D20" s="519">
        <v>815</v>
      </c>
      <c r="E20" s="519">
        <v>815</v>
      </c>
      <c r="F20" s="519">
        <v>870</v>
      </c>
      <c r="G20" s="519">
        <v>805</v>
      </c>
      <c r="H20" s="519">
        <v>715</v>
      </c>
      <c r="I20" s="519">
        <v>855</v>
      </c>
      <c r="J20" s="519">
        <v>755</v>
      </c>
      <c r="K20" s="519">
        <v>740</v>
      </c>
      <c r="L20" s="519">
        <v>815</v>
      </c>
      <c r="M20" s="519">
        <v>790</v>
      </c>
      <c r="N20" s="519">
        <v>595</v>
      </c>
      <c r="O20" s="484">
        <v>9330</v>
      </c>
      <c r="P20" s="86"/>
      <c r="Q20" s="86"/>
      <c r="R20" s="86"/>
      <c r="S20" s="86"/>
      <c r="T20" s="86"/>
      <c r="U20" s="86"/>
      <c r="V20" s="86"/>
      <c r="W20" s="86"/>
      <c r="X20" s="86"/>
      <c r="Y20" s="86"/>
      <c r="Z20" s="86"/>
      <c r="AA20" s="86"/>
      <c r="AB20" s="86"/>
    </row>
    <row r="21" spans="1:28" s="85" customFormat="1" ht="12.75" x14ac:dyDescent="0.2">
      <c r="A21" s="292" t="s">
        <v>308</v>
      </c>
      <c r="B21" s="293" t="s">
        <v>448</v>
      </c>
      <c r="C21" s="518">
        <v>230</v>
      </c>
      <c r="D21" s="519">
        <v>235</v>
      </c>
      <c r="E21" s="519">
        <v>235</v>
      </c>
      <c r="F21" s="519">
        <v>240</v>
      </c>
      <c r="G21" s="519">
        <v>250</v>
      </c>
      <c r="H21" s="519">
        <v>235</v>
      </c>
      <c r="I21" s="519">
        <v>270</v>
      </c>
      <c r="J21" s="519">
        <v>260</v>
      </c>
      <c r="K21" s="519">
        <v>235</v>
      </c>
      <c r="L21" s="519">
        <v>290</v>
      </c>
      <c r="M21" s="519">
        <v>235</v>
      </c>
      <c r="N21" s="519">
        <v>240</v>
      </c>
      <c r="O21" s="484">
        <v>2960</v>
      </c>
      <c r="P21" s="86"/>
      <c r="Q21" s="86"/>
      <c r="R21" s="86"/>
      <c r="S21" s="86"/>
      <c r="T21" s="86"/>
      <c r="U21" s="86"/>
      <c r="V21" s="86"/>
      <c r="W21" s="86"/>
      <c r="X21" s="86"/>
      <c r="Y21" s="86"/>
      <c r="Z21" s="86"/>
      <c r="AA21" s="86"/>
      <c r="AB21" s="86"/>
    </row>
    <row r="22" spans="1:28" s="85" customFormat="1" ht="12.75" x14ac:dyDescent="0.2">
      <c r="A22" s="294" t="s">
        <v>309</v>
      </c>
      <c r="B22" s="293" t="s">
        <v>449</v>
      </c>
      <c r="C22" s="518">
        <v>105</v>
      </c>
      <c r="D22" s="519">
        <v>120</v>
      </c>
      <c r="E22" s="519">
        <v>105</v>
      </c>
      <c r="F22" s="519">
        <v>100</v>
      </c>
      <c r="G22" s="519">
        <v>105</v>
      </c>
      <c r="H22" s="519">
        <v>90</v>
      </c>
      <c r="I22" s="519">
        <v>120</v>
      </c>
      <c r="J22" s="519">
        <v>100</v>
      </c>
      <c r="K22" s="519">
        <v>115</v>
      </c>
      <c r="L22" s="519">
        <v>110</v>
      </c>
      <c r="M22" s="519">
        <v>110</v>
      </c>
      <c r="N22" s="519">
        <v>110</v>
      </c>
      <c r="O22" s="484">
        <v>1295</v>
      </c>
      <c r="P22" s="86"/>
      <c r="Q22" s="86"/>
      <c r="R22" s="86"/>
      <c r="S22" s="86"/>
      <c r="T22" s="86"/>
      <c r="U22" s="86"/>
      <c r="V22" s="86"/>
      <c r="W22" s="86"/>
      <c r="X22" s="86"/>
      <c r="Y22" s="86"/>
      <c r="Z22" s="86"/>
      <c r="AA22" s="86"/>
      <c r="AB22" s="86"/>
    </row>
    <row r="23" spans="1:28" s="85" customFormat="1" ht="12.75" x14ac:dyDescent="0.2">
      <c r="A23" s="292" t="s">
        <v>310</v>
      </c>
      <c r="B23" s="433" t="s">
        <v>450</v>
      </c>
      <c r="C23" s="518">
        <v>20</v>
      </c>
      <c r="D23" s="519">
        <v>35</v>
      </c>
      <c r="E23" s="519">
        <v>30</v>
      </c>
      <c r="F23" s="519">
        <v>25</v>
      </c>
      <c r="G23" s="519">
        <v>30</v>
      </c>
      <c r="H23" s="519">
        <v>25</v>
      </c>
      <c r="I23" s="519">
        <v>30</v>
      </c>
      <c r="J23" s="519">
        <v>30</v>
      </c>
      <c r="K23" s="519">
        <v>35</v>
      </c>
      <c r="L23" s="519">
        <v>30</v>
      </c>
      <c r="M23" s="519">
        <v>35</v>
      </c>
      <c r="N23" s="519">
        <v>20</v>
      </c>
      <c r="O23" s="484">
        <v>335</v>
      </c>
      <c r="P23" s="86"/>
      <c r="Q23" s="86"/>
      <c r="R23" s="86"/>
      <c r="S23" s="86"/>
      <c r="T23" s="86"/>
      <c r="U23" s="86"/>
      <c r="V23" s="86"/>
      <c r="W23" s="86"/>
      <c r="X23" s="86"/>
      <c r="Y23" s="86"/>
      <c r="Z23" s="86"/>
      <c r="AA23" s="86"/>
      <c r="AB23" s="86"/>
    </row>
    <row r="24" spans="1:28" s="85" customFormat="1" ht="12.75" x14ac:dyDescent="0.2">
      <c r="A24" s="292" t="s">
        <v>311</v>
      </c>
      <c r="B24" s="293" t="s">
        <v>451</v>
      </c>
      <c r="C24" s="518">
        <v>50</v>
      </c>
      <c r="D24" s="519">
        <v>40</v>
      </c>
      <c r="E24" s="519">
        <v>45</v>
      </c>
      <c r="F24" s="519">
        <v>50</v>
      </c>
      <c r="G24" s="519">
        <v>40</v>
      </c>
      <c r="H24" s="519">
        <v>35</v>
      </c>
      <c r="I24" s="519">
        <v>45</v>
      </c>
      <c r="J24" s="519">
        <v>35</v>
      </c>
      <c r="K24" s="519">
        <v>60</v>
      </c>
      <c r="L24" s="519">
        <v>50</v>
      </c>
      <c r="M24" s="519">
        <v>35</v>
      </c>
      <c r="N24" s="519">
        <v>30</v>
      </c>
      <c r="O24" s="484">
        <v>515</v>
      </c>
      <c r="P24" s="86"/>
      <c r="Q24" s="86"/>
      <c r="R24" s="86"/>
      <c r="S24" s="86"/>
      <c r="T24" s="86"/>
      <c r="U24" s="86"/>
      <c r="V24" s="86"/>
      <c r="W24" s="86"/>
      <c r="X24" s="86"/>
      <c r="Y24" s="86"/>
      <c r="Z24" s="86"/>
      <c r="AA24" s="86"/>
      <c r="AB24" s="86"/>
    </row>
    <row r="25" spans="1:28" s="85" customFormat="1" ht="12.75" x14ac:dyDescent="0.2">
      <c r="A25" s="294" t="s">
        <v>312</v>
      </c>
      <c r="B25" s="293" t="s">
        <v>452</v>
      </c>
      <c r="C25" s="518">
        <v>260</v>
      </c>
      <c r="D25" s="519">
        <v>265</v>
      </c>
      <c r="E25" s="519">
        <v>275</v>
      </c>
      <c r="F25" s="519">
        <v>270</v>
      </c>
      <c r="G25" s="519">
        <v>260</v>
      </c>
      <c r="H25" s="519">
        <v>250</v>
      </c>
      <c r="I25" s="519">
        <v>265</v>
      </c>
      <c r="J25" s="519">
        <v>280</v>
      </c>
      <c r="K25" s="519">
        <v>265</v>
      </c>
      <c r="L25" s="519">
        <v>240</v>
      </c>
      <c r="M25" s="519">
        <v>220</v>
      </c>
      <c r="N25" s="519">
        <v>190</v>
      </c>
      <c r="O25" s="484">
        <v>3040</v>
      </c>
      <c r="P25" s="86"/>
      <c r="Q25" s="86"/>
      <c r="R25" s="86"/>
      <c r="S25" s="86"/>
      <c r="T25" s="86"/>
      <c r="U25" s="86"/>
      <c r="V25" s="86"/>
      <c r="W25" s="86"/>
      <c r="X25" s="86"/>
      <c r="Y25" s="86"/>
      <c r="Z25" s="86"/>
      <c r="AA25" s="86"/>
      <c r="AB25" s="86"/>
    </row>
    <row r="26" spans="1:28" s="85" customFormat="1" ht="12.75" x14ac:dyDescent="0.2">
      <c r="A26" s="292" t="s">
        <v>313</v>
      </c>
      <c r="B26" s="433" t="s">
        <v>453</v>
      </c>
      <c r="C26" s="518">
        <v>65</v>
      </c>
      <c r="D26" s="519">
        <v>70</v>
      </c>
      <c r="E26" s="519">
        <v>55</v>
      </c>
      <c r="F26" s="519">
        <v>85</v>
      </c>
      <c r="G26" s="519">
        <v>70</v>
      </c>
      <c r="H26" s="519">
        <v>55</v>
      </c>
      <c r="I26" s="519">
        <v>65</v>
      </c>
      <c r="J26" s="519">
        <v>65</v>
      </c>
      <c r="K26" s="519">
        <v>55</v>
      </c>
      <c r="L26" s="519">
        <v>70</v>
      </c>
      <c r="M26" s="519">
        <v>60</v>
      </c>
      <c r="N26" s="519">
        <v>45</v>
      </c>
      <c r="O26" s="484">
        <v>760</v>
      </c>
      <c r="P26" s="86"/>
      <c r="Q26" s="86"/>
      <c r="R26" s="86"/>
      <c r="S26" s="86"/>
      <c r="T26" s="86"/>
      <c r="U26" s="86"/>
      <c r="V26" s="86"/>
      <c r="W26" s="86"/>
      <c r="X26" s="86"/>
      <c r="Y26" s="86"/>
      <c r="Z26" s="86"/>
      <c r="AA26" s="86"/>
      <c r="AB26" s="86"/>
    </row>
    <row r="27" spans="1:28" s="85" customFormat="1" ht="12.75" x14ac:dyDescent="0.2">
      <c r="A27" s="292" t="s">
        <v>314</v>
      </c>
      <c r="B27" s="293" t="s">
        <v>454</v>
      </c>
      <c r="C27" s="518">
        <v>140</v>
      </c>
      <c r="D27" s="519">
        <v>160</v>
      </c>
      <c r="E27" s="519">
        <v>145</v>
      </c>
      <c r="F27" s="519">
        <v>145</v>
      </c>
      <c r="G27" s="519">
        <v>140</v>
      </c>
      <c r="H27" s="519">
        <v>115</v>
      </c>
      <c r="I27" s="519">
        <v>145</v>
      </c>
      <c r="J27" s="519">
        <v>155</v>
      </c>
      <c r="K27" s="519">
        <v>130</v>
      </c>
      <c r="L27" s="519">
        <v>140</v>
      </c>
      <c r="M27" s="519">
        <v>125</v>
      </c>
      <c r="N27" s="519">
        <v>100</v>
      </c>
      <c r="O27" s="484">
        <v>1645</v>
      </c>
      <c r="P27" s="86"/>
      <c r="Q27" s="86"/>
      <c r="R27" s="86"/>
      <c r="S27" s="86"/>
      <c r="T27" s="86"/>
      <c r="U27" s="86"/>
      <c r="V27" s="86"/>
      <c r="W27" s="86"/>
      <c r="X27" s="86"/>
      <c r="Y27" s="86"/>
      <c r="Z27" s="86"/>
      <c r="AA27" s="86"/>
      <c r="AB27" s="86"/>
    </row>
    <row r="28" spans="1:28" s="85" customFormat="1" ht="12.75" x14ac:dyDescent="0.2">
      <c r="A28" s="292" t="s">
        <v>315</v>
      </c>
      <c r="B28" s="293" t="s">
        <v>455</v>
      </c>
      <c r="C28" s="518">
        <v>135</v>
      </c>
      <c r="D28" s="519">
        <v>140</v>
      </c>
      <c r="E28" s="519">
        <v>130</v>
      </c>
      <c r="F28" s="519">
        <v>115</v>
      </c>
      <c r="G28" s="519">
        <v>120</v>
      </c>
      <c r="H28" s="519">
        <v>120</v>
      </c>
      <c r="I28" s="519">
        <v>125</v>
      </c>
      <c r="J28" s="519">
        <v>140</v>
      </c>
      <c r="K28" s="519">
        <v>170</v>
      </c>
      <c r="L28" s="519">
        <v>145</v>
      </c>
      <c r="M28" s="519">
        <v>115</v>
      </c>
      <c r="N28" s="519">
        <v>100</v>
      </c>
      <c r="O28" s="484">
        <v>1560</v>
      </c>
      <c r="P28" s="86"/>
      <c r="Q28" s="86"/>
      <c r="R28" s="86"/>
      <c r="S28" s="86"/>
      <c r="T28" s="86"/>
      <c r="U28" s="86"/>
      <c r="V28" s="86"/>
      <c r="W28" s="86"/>
      <c r="X28" s="86"/>
      <c r="Y28" s="86"/>
      <c r="Z28" s="86"/>
      <c r="AA28" s="86"/>
      <c r="AB28" s="86"/>
    </row>
    <row r="29" spans="1:28" s="85" customFormat="1" ht="12.75" x14ac:dyDescent="0.2">
      <c r="A29" s="292" t="s">
        <v>316</v>
      </c>
      <c r="B29" s="293" t="s">
        <v>456</v>
      </c>
      <c r="C29" s="518">
        <v>395</v>
      </c>
      <c r="D29" s="519">
        <v>495</v>
      </c>
      <c r="E29" s="519">
        <v>335</v>
      </c>
      <c r="F29" s="519">
        <v>300</v>
      </c>
      <c r="G29" s="519">
        <v>275</v>
      </c>
      <c r="H29" s="519">
        <v>280</v>
      </c>
      <c r="I29" s="519">
        <v>300</v>
      </c>
      <c r="J29" s="519">
        <v>270</v>
      </c>
      <c r="K29" s="519">
        <v>285</v>
      </c>
      <c r="L29" s="519">
        <v>270</v>
      </c>
      <c r="M29" s="519">
        <v>265</v>
      </c>
      <c r="N29" s="519">
        <v>185</v>
      </c>
      <c r="O29" s="484">
        <v>3655</v>
      </c>
      <c r="P29" s="86"/>
      <c r="Q29" s="86"/>
      <c r="R29" s="86"/>
      <c r="S29" s="86"/>
      <c r="T29" s="86"/>
      <c r="U29" s="86"/>
      <c r="V29" s="86"/>
      <c r="W29" s="86"/>
      <c r="X29" s="86"/>
      <c r="Y29" s="86"/>
      <c r="Z29" s="86"/>
      <c r="AA29" s="86"/>
      <c r="AB29" s="86"/>
    </row>
    <row r="30" spans="1:28" s="85" customFormat="1" ht="12.75" x14ac:dyDescent="0.2">
      <c r="A30" s="292" t="s">
        <v>317</v>
      </c>
      <c r="B30" s="293" t="s">
        <v>457</v>
      </c>
      <c r="C30" s="518">
        <v>80</v>
      </c>
      <c r="D30" s="519">
        <v>90</v>
      </c>
      <c r="E30" s="519">
        <v>75</v>
      </c>
      <c r="F30" s="519">
        <v>85</v>
      </c>
      <c r="G30" s="519">
        <v>80</v>
      </c>
      <c r="H30" s="519">
        <v>85</v>
      </c>
      <c r="I30" s="519">
        <v>100</v>
      </c>
      <c r="J30" s="519">
        <v>110</v>
      </c>
      <c r="K30" s="519">
        <v>70</v>
      </c>
      <c r="L30" s="519">
        <v>80</v>
      </c>
      <c r="M30" s="519">
        <v>65</v>
      </c>
      <c r="N30" s="519">
        <v>45</v>
      </c>
      <c r="O30" s="484">
        <v>955</v>
      </c>
      <c r="P30" s="86"/>
      <c r="Q30" s="86"/>
      <c r="R30" s="86"/>
      <c r="S30" s="86"/>
      <c r="T30" s="86"/>
      <c r="U30" s="86"/>
      <c r="V30" s="86"/>
      <c r="W30" s="86"/>
      <c r="X30" s="86"/>
      <c r="Y30" s="86"/>
      <c r="Z30" s="86"/>
      <c r="AA30" s="86"/>
      <c r="AB30" s="86"/>
    </row>
    <row r="31" spans="1:28" s="85" customFormat="1" ht="12.75" x14ac:dyDescent="0.2">
      <c r="A31" s="292" t="s">
        <v>318</v>
      </c>
      <c r="B31" s="293" t="s">
        <v>458</v>
      </c>
      <c r="C31" s="518">
        <v>205</v>
      </c>
      <c r="D31" s="519">
        <v>240</v>
      </c>
      <c r="E31" s="519">
        <v>215</v>
      </c>
      <c r="F31" s="519">
        <v>210</v>
      </c>
      <c r="G31" s="519">
        <v>190</v>
      </c>
      <c r="H31" s="519">
        <v>165</v>
      </c>
      <c r="I31" s="519">
        <v>205</v>
      </c>
      <c r="J31" s="519">
        <v>210</v>
      </c>
      <c r="K31" s="519">
        <v>185</v>
      </c>
      <c r="L31" s="519">
        <v>185</v>
      </c>
      <c r="M31" s="519">
        <v>145</v>
      </c>
      <c r="N31" s="519">
        <v>95</v>
      </c>
      <c r="O31" s="484">
        <v>2250</v>
      </c>
      <c r="P31" s="86"/>
      <c r="Q31" s="86"/>
      <c r="R31" s="86"/>
      <c r="S31" s="86"/>
      <c r="T31" s="86"/>
      <c r="U31" s="86"/>
      <c r="V31" s="86"/>
      <c r="W31" s="86"/>
      <c r="X31" s="86"/>
      <c r="Y31" s="86"/>
      <c r="Z31" s="86"/>
      <c r="AA31" s="86"/>
      <c r="AB31" s="86"/>
    </row>
    <row r="32" spans="1:28" s="85" customFormat="1" ht="12.75" x14ac:dyDescent="0.2">
      <c r="A32" s="292" t="s">
        <v>319</v>
      </c>
      <c r="B32" s="293" t="s">
        <v>459</v>
      </c>
      <c r="C32" s="518">
        <v>65</v>
      </c>
      <c r="D32" s="519">
        <v>55</v>
      </c>
      <c r="E32" s="519">
        <v>55</v>
      </c>
      <c r="F32" s="519">
        <v>75</v>
      </c>
      <c r="G32" s="519">
        <v>70</v>
      </c>
      <c r="H32" s="519">
        <v>55</v>
      </c>
      <c r="I32" s="519">
        <v>75</v>
      </c>
      <c r="J32" s="519">
        <v>80</v>
      </c>
      <c r="K32" s="519">
        <v>75</v>
      </c>
      <c r="L32" s="519">
        <v>90</v>
      </c>
      <c r="M32" s="519">
        <v>75</v>
      </c>
      <c r="N32" s="519">
        <v>50</v>
      </c>
      <c r="O32" s="484">
        <v>825</v>
      </c>
      <c r="P32" s="86"/>
      <c r="Q32" s="86"/>
      <c r="R32" s="86"/>
      <c r="S32" s="86"/>
      <c r="T32" s="86"/>
      <c r="U32" s="86"/>
      <c r="V32" s="86"/>
      <c r="W32" s="86"/>
      <c r="X32" s="86"/>
      <c r="Y32" s="86"/>
      <c r="Z32" s="86"/>
      <c r="AA32" s="86"/>
      <c r="AB32" s="86"/>
    </row>
    <row r="33" spans="1:28" s="85" customFormat="1" ht="12.75" x14ac:dyDescent="0.2">
      <c r="A33" s="294" t="s">
        <v>320</v>
      </c>
      <c r="B33" s="293" t="s">
        <v>460</v>
      </c>
      <c r="C33" s="518">
        <v>60</v>
      </c>
      <c r="D33" s="519">
        <v>65</v>
      </c>
      <c r="E33" s="519">
        <v>60</v>
      </c>
      <c r="F33" s="519">
        <v>65</v>
      </c>
      <c r="G33" s="519">
        <v>50</v>
      </c>
      <c r="H33" s="519">
        <v>55</v>
      </c>
      <c r="I33" s="519">
        <v>70</v>
      </c>
      <c r="J33" s="519">
        <v>60</v>
      </c>
      <c r="K33" s="519">
        <v>60</v>
      </c>
      <c r="L33" s="519">
        <v>60</v>
      </c>
      <c r="M33" s="519">
        <v>65</v>
      </c>
      <c r="N33" s="519">
        <v>60</v>
      </c>
      <c r="O33" s="484">
        <v>730</v>
      </c>
      <c r="P33" s="86"/>
      <c r="Q33" s="86"/>
      <c r="R33" s="86"/>
      <c r="S33" s="86"/>
      <c r="T33" s="86"/>
      <c r="U33" s="86"/>
      <c r="V33" s="86"/>
      <c r="W33" s="86"/>
      <c r="X33" s="86"/>
      <c r="Y33" s="86"/>
      <c r="Z33" s="86"/>
      <c r="AA33" s="86"/>
      <c r="AB33" s="86"/>
    </row>
    <row r="34" spans="1:28" s="85" customFormat="1" ht="12.75" x14ac:dyDescent="0.2">
      <c r="A34" s="294" t="s">
        <v>321</v>
      </c>
      <c r="B34" s="293" t="s">
        <v>461</v>
      </c>
      <c r="C34" s="518">
        <v>125</v>
      </c>
      <c r="D34" s="519">
        <v>125</v>
      </c>
      <c r="E34" s="519">
        <v>105</v>
      </c>
      <c r="F34" s="519">
        <v>125</v>
      </c>
      <c r="G34" s="519">
        <v>100</v>
      </c>
      <c r="H34" s="519">
        <v>95</v>
      </c>
      <c r="I34" s="519">
        <v>110</v>
      </c>
      <c r="J34" s="519">
        <v>125</v>
      </c>
      <c r="K34" s="519">
        <v>105</v>
      </c>
      <c r="L34" s="519">
        <v>105</v>
      </c>
      <c r="M34" s="519">
        <v>120</v>
      </c>
      <c r="N34" s="519">
        <v>80</v>
      </c>
      <c r="O34" s="484">
        <v>1310</v>
      </c>
      <c r="P34" s="86"/>
      <c r="Q34" s="86"/>
      <c r="R34" s="86"/>
      <c r="S34" s="86"/>
      <c r="T34" s="86"/>
      <c r="U34" s="86"/>
      <c r="V34" s="86"/>
      <c r="W34" s="86"/>
      <c r="X34" s="86"/>
      <c r="Y34" s="86"/>
      <c r="Z34" s="86"/>
      <c r="AA34" s="86"/>
      <c r="AB34" s="86"/>
    </row>
    <row r="35" spans="1:28" s="85" customFormat="1" ht="12.75" x14ac:dyDescent="0.2">
      <c r="A35" s="292" t="s">
        <v>322</v>
      </c>
      <c r="B35" s="293" t="s">
        <v>462</v>
      </c>
      <c r="C35" s="518">
        <v>55</v>
      </c>
      <c r="D35" s="519">
        <v>50</v>
      </c>
      <c r="E35" s="519">
        <v>55</v>
      </c>
      <c r="F35" s="519">
        <v>60</v>
      </c>
      <c r="G35" s="519">
        <v>65</v>
      </c>
      <c r="H35" s="519">
        <v>45</v>
      </c>
      <c r="I35" s="519">
        <v>60</v>
      </c>
      <c r="J35" s="519">
        <v>55</v>
      </c>
      <c r="K35" s="519">
        <v>65</v>
      </c>
      <c r="L35" s="519">
        <v>65</v>
      </c>
      <c r="M35" s="519">
        <v>60</v>
      </c>
      <c r="N35" s="519">
        <v>40</v>
      </c>
      <c r="O35" s="484">
        <v>675</v>
      </c>
      <c r="P35" s="86"/>
      <c r="Q35" s="86"/>
      <c r="R35" s="86"/>
      <c r="S35" s="86"/>
      <c r="T35" s="86"/>
      <c r="U35" s="86"/>
      <c r="V35" s="86"/>
      <c r="W35" s="86"/>
      <c r="X35" s="86"/>
      <c r="Y35" s="86"/>
      <c r="Z35" s="86"/>
      <c r="AA35" s="86"/>
      <c r="AB35" s="86"/>
    </row>
    <row r="36" spans="1:28" s="85" customFormat="1" ht="12.75" x14ac:dyDescent="0.2">
      <c r="A36" s="292" t="s">
        <v>323</v>
      </c>
      <c r="B36" s="293" t="s">
        <v>463</v>
      </c>
      <c r="C36" s="518">
        <v>45</v>
      </c>
      <c r="D36" s="519">
        <v>50</v>
      </c>
      <c r="E36" s="519">
        <v>60</v>
      </c>
      <c r="F36" s="519">
        <v>75</v>
      </c>
      <c r="G36" s="519">
        <v>55</v>
      </c>
      <c r="H36" s="519">
        <v>65</v>
      </c>
      <c r="I36" s="519">
        <v>80</v>
      </c>
      <c r="J36" s="519">
        <v>70</v>
      </c>
      <c r="K36" s="519">
        <v>90</v>
      </c>
      <c r="L36" s="519">
        <v>65</v>
      </c>
      <c r="M36" s="519">
        <v>70</v>
      </c>
      <c r="N36" s="519">
        <v>60</v>
      </c>
      <c r="O36" s="484">
        <v>785</v>
      </c>
      <c r="P36" s="86"/>
      <c r="Q36" s="86"/>
      <c r="R36" s="86"/>
      <c r="S36" s="86"/>
      <c r="T36" s="86"/>
      <c r="U36" s="86"/>
      <c r="V36" s="86"/>
      <c r="W36" s="86"/>
      <c r="X36" s="86"/>
      <c r="Y36" s="86"/>
      <c r="Z36" s="86"/>
      <c r="AA36" s="86"/>
      <c r="AB36" s="86"/>
    </row>
    <row r="37" spans="1:28" s="85" customFormat="1" ht="12.75" x14ac:dyDescent="0.2">
      <c r="A37" s="294" t="s">
        <v>324</v>
      </c>
      <c r="B37" s="293" t="s">
        <v>464</v>
      </c>
      <c r="C37" s="518">
        <v>70</v>
      </c>
      <c r="D37" s="519">
        <v>65</v>
      </c>
      <c r="E37" s="519">
        <v>70</v>
      </c>
      <c r="F37" s="519">
        <v>70</v>
      </c>
      <c r="G37" s="519">
        <v>60</v>
      </c>
      <c r="H37" s="519">
        <v>65</v>
      </c>
      <c r="I37" s="519">
        <v>70</v>
      </c>
      <c r="J37" s="519">
        <v>65</v>
      </c>
      <c r="K37" s="519">
        <v>60</v>
      </c>
      <c r="L37" s="519">
        <v>55</v>
      </c>
      <c r="M37" s="519">
        <v>60</v>
      </c>
      <c r="N37" s="519">
        <v>45</v>
      </c>
      <c r="O37" s="484">
        <v>755</v>
      </c>
      <c r="P37" s="86"/>
      <c r="Q37" s="86"/>
      <c r="R37" s="86"/>
      <c r="S37" s="86"/>
      <c r="T37" s="86"/>
      <c r="U37" s="86"/>
      <c r="V37" s="86"/>
      <c r="W37" s="86"/>
      <c r="X37" s="86"/>
      <c r="Y37" s="86"/>
      <c r="Z37" s="86"/>
      <c r="AA37" s="86"/>
      <c r="AB37" s="86"/>
    </row>
    <row r="38" spans="1:28" s="85" customFormat="1" ht="12.75" x14ac:dyDescent="0.2">
      <c r="A38" s="292" t="s">
        <v>325</v>
      </c>
      <c r="B38" s="293" t="s">
        <v>465</v>
      </c>
      <c r="C38" s="518">
        <v>60</v>
      </c>
      <c r="D38" s="519">
        <v>55</v>
      </c>
      <c r="E38" s="519">
        <v>70</v>
      </c>
      <c r="F38" s="519">
        <v>65</v>
      </c>
      <c r="G38" s="519">
        <v>70</v>
      </c>
      <c r="H38" s="519">
        <v>55</v>
      </c>
      <c r="I38" s="519">
        <v>45</v>
      </c>
      <c r="J38" s="519">
        <v>60</v>
      </c>
      <c r="K38" s="519">
        <v>75</v>
      </c>
      <c r="L38" s="519">
        <v>85</v>
      </c>
      <c r="M38" s="519">
        <v>60</v>
      </c>
      <c r="N38" s="519">
        <v>45</v>
      </c>
      <c r="O38" s="484">
        <v>750</v>
      </c>
      <c r="P38" s="86"/>
      <c r="Q38" s="86"/>
      <c r="R38" s="86"/>
      <c r="S38" s="86"/>
      <c r="T38" s="86"/>
      <c r="U38" s="86"/>
      <c r="V38" s="86"/>
      <c r="W38" s="86"/>
      <c r="X38" s="86"/>
      <c r="Y38" s="86"/>
      <c r="Z38" s="86"/>
      <c r="AA38" s="86"/>
      <c r="AB38" s="86"/>
    </row>
    <row r="39" spans="1:28" s="85" customFormat="1" ht="12.75" x14ac:dyDescent="0.2">
      <c r="A39" s="292" t="s">
        <v>326</v>
      </c>
      <c r="B39" s="293" t="s">
        <v>466</v>
      </c>
      <c r="C39" s="518">
        <v>205</v>
      </c>
      <c r="D39" s="519">
        <v>235</v>
      </c>
      <c r="E39" s="519">
        <v>215</v>
      </c>
      <c r="F39" s="519">
        <v>240</v>
      </c>
      <c r="G39" s="519">
        <v>200</v>
      </c>
      <c r="H39" s="519">
        <v>210</v>
      </c>
      <c r="I39" s="519">
        <v>240</v>
      </c>
      <c r="J39" s="519">
        <v>225</v>
      </c>
      <c r="K39" s="519">
        <v>185</v>
      </c>
      <c r="L39" s="519">
        <v>245</v>
      </c>
      <c r="M39" s="519">
        <v>220</v>
      </c>
      <c r="N39" s="519">
        <v>170</v>
      </c>
      <c r="O39" s="484">
        <v>2585</v>
      </c>
      <c r="P39" s="86"/>
      <c r="Q39" s="86"/>
      <c r="R39" s="86"/>
      <c r="S39" s="86"/>
      <c r="T39" s="86"/>
      <c r="U39" s="86"/>
      <c r="V39" s="86"/>
      <c r="W39" s="86"/>
      <c r="X39" s="86"/>
      <c r="Y39" s="86"/>
      <c r="Z39" s="86"/>
      <c r="AA39" s="86"/>
      <c r="AB39" s="86"/>
    </row>
    <row r="40" spans="1:28" s="85" customFormat="1" ht="12.75" x14ac:dyDescent="0.2">
      <c r="A40" s="292" t="s">
        <v>327</v>
      </c>
      <c r="B40" s="293" t="s">
        <v>467</v>
      </c>
      <c r="C40" s="518">
        <v>40</v>
      </c>
      <c r="D40" s="519">
        <v>30</v>
      </c>
      <c r="E40" s="519">
        <v>30</v>
      </c>
      <c r="F40" s="519">
        <v>30</v>
      </c>
      <c r="G40" s="519">
        <v>40</v>
      </c>
      <c r="H40" s="519">
        <v>30</v>
      </c>
      <c r="I40" s="519">
        <v>40</v>
      </c>
      <c r="J40" s="519">
        <v>35</v>
      </c>
      <c r="K40" s="519">
        <v>40</v>
      </c>
      <c r="L40" s="519">
        <v>40</v>
      </c>
      <c r="M40" s="519">
        <v>50</v>
      </c>
      <c r="N40" s="519">
        <v>35</v>
      </c>
      <c r="O40" s="484">
        <v>450</v>
      </c>
      <c r="P40" s="86"/>
      <c r="Q40" s="86"/>
      <c r="R40" s="86"/>
      <c r="S40" s="86"/>
      <c r="T40" s="86"/>
      <c r="U40" s="86"/>
      <c r="V40" s="86"/>
      <c r="W40" s="86"/>
      <c r="X40" s="86"/>
      <c r="Y40" s="86"/>
      <c r="Z40" s="86"/>
      <c r="AA40" s="86"/>
      <c r="AB40" s="86"/>
    </row>
    <row r="41" spans="1:28" s="85" customFormat="1" ht="12.75" x14ac:dyDescent="0.2">
      <c r="A41" s="292" t="s">
        <v>328</v>
      </c>
      <c r="B41" s="293" t="s">
        <v>468</v>
      </c>
      <c r="C41" s="518">
        <v>45</v>
      </c>
      <c r="D41" s="519">
        <v>55</v>
      </c>
      <c r="E41" s="519">
        <v>50</v>
      </c>
      <c r="F41" s="519">
        <v>45</v>
      </c>
      <c r="G41" s="519">
        <v>60</v>
      </c>
      <c r="H41" s="519">
        <v>40</v>
      </c>
      <c r="I41" s="519">
        <v>55</v>
      </c>
      <c r="J41" s="519">
        <v>55</v>
      </c>
      <c r="K41" s="519">
        <v>40</v>
      </c>
      <c r="L41" s="519">
        <v>50</v>
      </c>
      <c r="M41" s="519">
        <v>40</v>
      </c>
      <c r="N41" s="519">
        <v>30</v>
      </c>
      <c r="O41" s="484">
        <v>570</v>
      </c>
      <c r="P41" s="86"/>
      <c r="Q41" s="86"/>
      <c r="R41" s="86"/>
      <c r="S41" s="86"/>
      <c r="T41" s="86"/>
      <c r="U41" s="86"/>
      <c r="V41" s="86"/>
      <c r="W41" s="86"/>
      <c r="X41" s="86"/>
      <c r="Y41" s="86"/>
      <c r="Z41" s="86"/>
      <c r="AA41" s="86"/>
      <c r="AB41" s="86"/>
    </row>
    <row r="42" spans="1:28" s="85" customFormat="1" ht="12.75" x14ac:dyDescent="0.2">
      <c r="A42" s="292" t="s">
        <v>329</v>
      </c>
      <c r="B42" s="293" t="s">
        <v>469</v>
      </c>
      <c r="C42" s="518">
        <v>60</v>
      </c>
      <c r="D42" s="519">
        <v>45</v>
      </c>
      <c r="E42" s="519">
        <v>40</v>
      </c>
      <c r="F42" s="519">
        <v>35</v>
      </c>
      <c r="G42" s="519">
        <v>35</v>
      </c>
      <c r="H42" s="519">
        <v>35</v>
      </c>
      <c r="I42" s="519">
        <v>35</v>
      </c>
      <c r="J42" s="519">
        <v>40</v>
      </c>
      <c r="K42" s="519">
        <v>40</v>
      </c>
      <c r="L42" s="519">
        <v>40</v>
      </c>
      <c r="M42" s="519">
        <v>35</v>
      </c>
      <c r="N42" s="519">
        <v>25</v>
      </c>
      <c r="O42" s="484">
        <v>465</v>
      </c>
      <c r="P42" s="86"/>
      <c r="Q42" s="86"/>
      <c r="R42" s="86"/>
      <c r="S42" s="86"/>
      <c r="T42" s="86"/>
      <c r="U42" s="86"/>
      <c r="V42" s="86"/>
      <c r="W42" s="86"/>
      <c r="X42" s="86"/>
      <c r="Y42" s="86"/>
      <c r="Z42" s="86"/>
      <c r="AA42" s="86"/>
      <c r="AB42" s="86"/>
    </row>
    <row r="43" spans="1:28" s="85" customFormat="1" ht="12.75" x14ac:dyDescent="0.2">
      <c r="A43" s="292" t="s">
        <v>330</v>
      </c>
      <c r="B43" s="293" t="s">
        <v>470</v>
      </c>
      <c r="C43" s="518">
        <v>45</v>
      </c>
      <c r="D43" s="519">
        <v>35</v>
      </c>
      <c r="E43" s="519">
        <v>40</v>
      </c>
      <c r="F43" s="519">
        <v>50</v>
      </c>
      <c r="G43" s="519">
        <v>35</v>
      </c>
      <c r="H43" s="519">
        <v>40</v>
      </c>
      <c r="I43" s="519">
        <v>40</v>
      </c>
      <c r="J43" s="519">
        <v>40</v>
      </c>
      <c r="K43" s="519">
        <v>40</v>
      </c>
      <c r="L43" s="519">
        <v>40</v>
      </c>
      <c r="M43" s="519">
        <v>40</v>
      </c>
      <c r="N43" s="519">
        <v>45</v>
      </c>
      <c r="O43" s="484">
        <v>500</v>
      </c>
      <c r="P43" s="86"/>
      <c r="Q43" s="86"/>
      <c r="R43" s="86"/>
      <c r="S43" s="86"/>
      <c r="T43" s="86"/>
      <c r="U43" s="86"/>
      <c r="V43" s="86"/>
      <c r="W43" s="86"/>
      <c r="X43" s="86"/>
      <c r="Y43" s="86"/>
      <c r="Z43" s="86"/>
      <c r="AA43" s="86"/>
      <c r="AB43" s="86"/>
    </row>
    <row r="44" spans="1:28" s="85" customFormat="1" ht="12.75" x14ac:dyDescent="0.2">
      <c r="A44" s="292" t="s">
        <v>331</v>
      </c>
      <c r="B44" s="293" t="s">
        <v>471</v>
      </c>
      <c r="C44" s="518">
        <v>145</v>
      </c>
      <c r="D44" s="519">
        <v>140</v>
      </c>
      <c r="E44" s="519">
        <v>115</v>
      </c>
      <c r="F44" s="519">
        <v>115</v>
      </c>
      <c r="G44" s="519">
        <v>95</v>
      </c>
      <c r="H44" s="519">
        <v>130</v>
      </c>
      <c r="I44" s="519">
        <v>130</v>
      </c>
      <c r="J44" s="519">
        <v>130</v>
      </c>
      <c r="K44" s="519">
        <v>130</v>
      </c>
      <c r="L44" s="519">
        <v>145</v>
      </c>
      <c r="M44" s="519">
        <v>125</v>
      </c>
      <c r="N44" s="519">
        <v>95</v>
      </c>
      <c r="O44" s="484">
        <v>1485</v>
      </c>
      <c r="P44" s="86"/>
      <c r="Q44" s="86"/>
      <c r="R44" s="86"/>
      <c r="S44" s="86"/>
      <c r="T44" s="86"/>
      <c r="U44" s="86"/>
      <c r="V44" s="86"/>
      <c r="W44" s="86"/>
      <c r="X44" s="86"/>
      <c r="Y44" s="86"/>
      <c r="Z44" s="86"/>
      <c r="AA44" s="86"/>
      <c r="AB44" s="86"/>
    </row>
    <row r="45" spans="1:28" s="85" customFormat="1" ht="12.75" x14ac:dyDescent="0.2">
      <c r="A45" s="292" t="s">
        <v>332</v>
      </c>
      <c r="B45" s="293" t="s">
        <v>472</v>
      </c>
      <c r="C45" s="518">
        <v>180</v>
      </c>
      <c r="D45" s="519">
        <v>160</v>
      </c>
      <c r="E45" s="519">
        <v>160</v>
      </c>
      <c r="F45" s="519">
        <v>175</v>
      </c>
      <c r="G45" s="519">
        <v>165</v>
      </c>
      <c r="H45" s="519">
        <v>160</v>
      </c>
      <c r="I45" s="519">
        <v>180</v>
      </c>
      <c r="J45" s="519">
        <v>140</v>
      </c>
      <c r="K45" s="519">
        <v>145</v>
      </c>
      <c r="L45" s="519">
        <v>160</v>
      </c>
      <c r="M45" s="519">
        <v>140</v>
      </c>
      <c r="N45" s="519">
        <v>75</v>
      </c>
      <c r="O45" s="484">
        <v>1845</v>
      </c>
      <c r="P45" s="86"/>
      <c r="Q45" s="86"/>
      <c r="R45" s="86"/>
      <c r="S45" s="86"/>
      <c r="T45" s="86"/>
      <c r="U45" s="86"/>
      <c r="V45" s="86"/>
      <c r="W45" s="86"/>
      <c r="X45" s="86"/>
      <c r="Y45" s="86"/>
      <c r="Z45" s="86"/>
      <c r="AA45" s="86"/>
      <c r="AB45" s="86"/>
    </row>
    <row r="46" spans="1:28" s="85" customFormat="1" ht="12.75" x14ac:dyDescent="0.2">
      <c r="A46" s="292" t="s">
        <v>333</v>
      </c>
      <c r="B46" s="293" t="s">
        <v>473</v>
      </c>
      <c r="C46" s="518">
        <v>40</v>
      </c>
      <c r="D46" s="519">
        <v>40</v>
      </c>
      <c r="E46" s="519">
        <v>35</v>
      </c>
      <c r="F46" s="519">
        <v>30</v>
      </c>
      <c r="G46" s="519">
        <v>40</v>
      </c>
      <c r="H46" s="519">
        <v>30</v>
      </c>
      <c r="I46" s="519">
        <v>40</v>
      </c>
      <c r="J46" s="519">
        <v>40</v>
      </c>
      <c r="K46" s="519">
        <v>45</v>
      </c>
      <c r="L46" s="519">
        <v>40</v>
      </c>
      <c r="M46" s="519">
        <v>45</v>
      </c>
      <c r="N46" s="519">
        <v>30</v>
      </c>
      <c r="O46" s="484">
        <v>460</v>
      </c>
      <c r="P46" s="86"/>
      <c r="Q46" s="86"/>
      <c r="R46" s="86"/>
      <c r="S46" s="86"/>
      <c r="T46" s="86"/>
      <c r="U46" s="86"/>
      <c r="V46" s="86"/>
      <c r="W46" s="86"/>
      <c r="X46" s="86"/>
      <c r="Y46" s="86"/>
      <c r="Z46" s="86"/>
      <c r="AA46" s="86"/>
      <c r="AB46" s="86"/>
    </row>
    <row r="47" spans="1:28" s="85" customFormat="1" ht="12.75" x14ac:dyDescent="0.2">
      <c r="A47" s="292" t="s">
        <v>334</v>
      </c>
      <c r="B47" s="293" t="s">
        <v>474</v>
      </c>
      <c r="C47" s="518">
        <v>40</v>
      </c>
      <c r="D47" s="519">
        <v>30</v>
      </c>
      <c r="E47" s="519">
        <v>35</v>
      </c>
      <c r="F47" s="519">
        <v>40</v>
      </c>
      <c r="G47" s="519">
        <v>40</v>
      </c>
      <c r="H47" s="519">
        <v>40</v>
      </c>
      <c r="I47" s="519">
        <v>50</v>
      </c>
      <c r="J47" s="519">
        <v>55</v>
      </c>
      <c r="K47" s="519">
        <v>50</v>
      </c>
      <c r="L47" s="519">
        <v>50</v>
      </c>
      <c r="M47" s="519">
        <v>35</v>
      </c>
      <c r="N47" s="519">
        <v>30</v>
      </c>
      <c r="O47" s="484">
        <v>505</v>
      </c>
      <c r="P47" s="86"/>
      <c r="Q47" s="86"/>
      <c r="R47" s="86"/>
      <c r="S47" s="86"/>
      <c r="T47" s="86"/>
      <c r="U47" s="86"/>
      <c r="V47" s="86"/>
      <c r="W47" s="86"/>
      <c r="X47" s="86"/>
      <c r="Y47" s="86"/>
      <c r="Z47" s="86"/>
      <c r="AA47" s="86"/>
      <c r="AB47" s="86"/>
    </row>
    <row r="48" spans="1:28" s="85" customFormat="1" ht="12.75" x14ac:dyDescent="0.2">
      <c r="A48" s="292" t="s">
        <v>335</v>
      </c>
      <c r="B48" s="293" t="s">
        <v>475</v>
      </c>
      <c r="C48" s="518">
        <v>65</v>
      </c>
      <c r="D48" s="519">
        <v>70</v>
      </c>
      <c r="E48" s="519">
        <v>50</v>
      </c>
      <c r="F48" s="519">
        <v>60</v>
      </c>
      <c r="G48" s="519">
        <v>70</v>
      </c>
      <c r="H48" s="519">
        <v>60</v>
      </c>
      <c r="I48" s="519">
        <v>75</v>
      </c>
      <c r="J48" s="519">
        <v>70</v>
      </c>
      <c r="K48" s="519">
        <v>75</v>
      </c>
      <c r="L48" s="519">
        <v>50</v>
      </c>
      <c r="M48" s="519">
        <v>60</v>
      </c>
      <c r="N48" s="519">
        <v>45</v>
      </c>
      <c r="O48" s="484">
        <v>750</v>
      </c>
      <c r="P48" s="86"/>
      <c r="Q48" s="86"/>
      <c r="R48" s="86"/>
      <c r="S48" s="86"/>
      <c r="T48" s="86"/>
      <c r="U48" s="86"/>
      <c r="V48" s="86"/>
      <c r="W48" s="86"/>
      <c r="X48" s="86"/>
      <c r="Y48" s="86"/>
      <c r="Z48" s="86"/>
      <c r="AA48" s="86"/>
      <c r="AB48" s="86"/>
    </row>
    <row r="49" spans="1:28" s="85" customFormat="1" ht="12.75" x14ac:dyDescent="0.2">
      <c r="A49" s="292" t="s">
        <v>336</v>
      </c>
      <c r="B49" s="293" t="s">
        <v>476</v>
      </c>
      <c r="C49" s="518">
        <v>60</v>
      </c>
      <c r="D49" s="519">
        <v>65</v>
      </c>
      <c r="E49" s="519">
        <v>60</v>
      </c>
      <c r="F49" s="519">
        <v>75</v>
      </c>
      <c r="G49" s="519">
        <v>80</v>
      </c>
      <c r="H49" s="519">
        <v>60</v>
      </c>
      <c r="I49" s="519">
        <v>70</v>
      </c>
      <c r="J49" s="519">
        <v>75</v>
      </c>
      <c r="K49" s="519">
        <v>65</v>
      </c>
      <c r="L49" s="519">
        <v>65</v>
      </c>
      <c r="M49" s="519">
        <v>65</v>
      </c>
      <c r="N49" s="519">
        <v>60</v>
      </c>
      <c r="O49" s="484">
        <v>805</v>
      </c>
      <c r="P49" s="86"/>
      <c r="Q49" s="86"/>
      <c r="R49" s="86"/>
      <c r="S49" s="86"/>
      <c r="T49" s="86"/>
      <c r="U49" s="86"/>
      <c r="V49" s="86"/>
      <c r="W49" s="86"/>
      <c r="X49" s="86"/>
      <c r="Y49" s="86"/>
      <c r="Z49" s="86"/>
      <c r="AA49" s="86"/>
      <c r="AB49" s="86"/>
    </row>
    <row r="50" spans="1:28" s="85" customFormat="1" ht="12.75" x14ac:dyDescent="0.2">
      <c r="A50" s="292" t="s">
        <v>337</v>
      </c>
      <c r="B50" s="293" t="s">
        <v>477</v>
      </c>
      <c r="C50" s="518">
        <v>50</v>
      </c>
      <c r="D50" s="519">
        <v>50</v>
      </c>
      <c r="E50" s="519">
        <v>45</v>
      </c>
      <c r="F50" s="519">
        <v>45</v>
      </c>
      <c r="G50" s="519">
        <v>65</v>
      </c>
      <c r="H50" s="519">
        <v>45</v>
      </c>
      <c r="I50" s="519">
        <v>55</v>
      </c>
      <c r="J50" s="519">
        <v>45</v>
      </c>
      <c r="K50" s="519">
        <v>50</v>
      </c>
      <c r="L50" s="519">
        <v>40</v>
      </c>
      <c r="M50" s="519">
        <v>45</v>
      </c>
      <c r="N50" s="519">
        <v>45</v>
      </c>
      <c r="O50" s="484">
        <v>580</v>
      </c>
      <c r="P50" s="86"/>
      <c r="Q50" s="86"/>
      <c r="R50" s="86"/>
      <c r="S50" s="86"/>
      <c r="T50" s="86"/>
      <c r="U50" s="86"/>
      <c r="V50" s="86"/>
      <c r="W50" s="86"/>
      <c r="X50" s="86"/>
      <c r="Y50" s="86"/>
      <c r="Z50" s="86"/>
      <c r="AA50" s="86"/>
      <c r="AB50" s="86"/>
    </row>
    <row r="51" spans="1:28" s="85" customFormat="1" ht="12.75" x14ac:dyDescent="0.2">
      <c r="A51" s="292" t="s">
        <v>338</v>
      </c>
      <c r="B51" s="293" t="s">
        <v>478</v>
      </c>
      <c r="C51" s="518">
        <v>30</v>
      </c>
      <c r="D51" s="519">
        <v>35</v>
      </c>
      <c r="E51" s="519">
        <v>30</v>
      </c>
      <c r="F51" s="519">
        <v>40</v>
      </c>
      <c r="G51" s="519">
        <v>40</v>
      </c>
      <c r="H51" s="519">
        <v>40</v>
      </c>
      <c r="I51" s="519">
        <v>45</v>
      </c>
      <c r="J51" s="519">
        <v>45</v>
      </c>
      <c r="K51" s="519">
        <v>45</v>
      </c>
      <c r="L51" s="519">
        <v>50</v>
      </c>
      <c r="M51" s="519">
        <v>35</v>
      </c>
      <c r="N51" s="519">
        <v>35</v>
      </c>
      <c r="O51" s="484">
        <v>465</v>
      </c>
      <c r="P51" s="86"/>
      <c r="Q51" s="86"/>
      <c r="R51" s="86"/>
      <c r="S51" s="86"/>
      <c r="T51" s="86"/>
      <c r="U51" s="86"/>
      <c r="V51" s="86"/>
      <c r="W51" s="86"/>
      <c r="X51" s="86"/>
      <c r="Y51" s="86"/>
      <c r="Z51" s="86"/>
      <c r="AA51" s="86"/>
      <c r="AB51" s="86"/>
    </row>
    <row r="52" spans="1:28" s="85" customFormat="1" ht="12.75" x14ac:dyDescent="0.2">
      <c r="A52" s="294" t="s">
        <v>339</v>
      </c>
      <c r="B52" s="293" t="s">
        <v>479</v>
      </c>
      <c r="C52" s="518">
        <v>160</v>
      </c>
      <c r="D52" s="519">
        <v>160</v>
      </c>
      <c r="E52" s="519">
        <v>170</v>
      </c>
      <c r="F52" s="519">
        <v>215</v>
      </c>
      <c r="G52" s="519">
        <v>185</v>
      </c>
      <c r="H52" s="519">
        <v>175</v>
      </c>
      <c r="I52" s="519">
        <v>200</v>
      </c>
      <c r="J52" s="519">
        <v>215</v>
      </c>
      <c r="K52" s="519">
        <v>205</v>
      </c>
      <c r="L52" s="519">
        <v>210</v>
      </c>
      <c r="M52" s="519">
        <v>210</v>
      </c>
      <c r="N52" s="519">
        <v>140</v>
      </c>
      <c r="O52" s="484">
        <v>2240</v>
      </c>
      <c r="P52" s="86"/>
      <c r="Q52" s="86"/>
      <c r="R52" s="86"/>
      <c r="S52" s="86"/>
      <c r="T52" s="86"/>
      <c r="U52" s="86"/>
      <c r="V52" s="86"/>
      <c r="W52" s="86"/>
      <c r="X52" s="86"/>
      <c r="Y52" s="86"/>
      <c r="Z52" s="86"/>
      <c r="AA52" s="86"/>
      <c r="AB52" s="86"/>
    </row>
    <row r="53" spans="1:28" s="85" customFormat="1" ht="12.75" x14ac:dyDescent="0.2">
      <c r="A53" s="292" t="s">
        <v>340</v>
      </c>
      <c r="B53" s="293" t="s">
        <v>480</v>
      </c>
      <c r="C53" s="518">
        <v>135</v>
      </c>
      <c r="D53" s="519">
        <v>130</v>
      </c>
      <c r="E53" s="519">
        <v>105</v>
      </c>
      <c r="F53" s="519">
        <v>130</v>
      </c>
      <c r="G53" s="519">
        <v>115</v>
      </c>
      <c r="H53" s="519">
        <v>115</v>
      </c>
      <c r="I53" s="519">
        <v>130</v>
      </c>
      <c r="J53" s="519">
        <v>135</v>
      </c>
      <c r="K53" s="519">
        <v>120</v>
      </c>
      <c r="L53" s="519">
        <v>120</v>
      </c>
      <c r="M53" s="519">
        <v>105</v>
      </c>
      <c r="N53" s="519">
        <v>95</v>
      </c>
      <c r="O53" s="484">
        <v>1445</v>
      </c>
      <c r="P53" s="86"/>
      <c r="Q53" s="86"/>
      <c r="R53" s="86"/>
      <c r="S53" s="86"/>
      <c r="T53" s="86"/>
      <c r="U53" s="86"/>
      <c r="V53" s="86"/>
      <c r="W53" s="86"/>
      <c r="X53" s="86"/>
      <c r="Y53" s="86"/>
      <c r="Z53" s="86"/>
      <c r="AA53" s="86"/>
      <c r="AB53" s="86"/>
    </row>
    <row r="54" spans="1:28" s="85" customFormat="1" ht="12.75" x14ac:dyDescent="0.2">
      <c r="A54" s="292" t="s">
        <v>341</v>
      </c>
      <c r="B54" s="293" t="s">
        <v>481</v>
      </c>
      <c r="C54" s="518">
        <v>190</v>
      </c>
      <c r="D54" s="519">
        <v>215</v>
      </c>
      <c r="E54" s="519">
        <v>180</v>
      </c>
      <c r="F54" s="519">
        <v>190</v>
      </c>
      <c r="G54" s="519">
        <v>155</v>
      </c>
      <c r="H54" s="519">
        <v>190</v>
      </c>
      <c r="I54" s="519">
        <v>185</v>
      </c>
      <c r="J54" s="519">
        <v>190</v>
      </c>
      <c r="K54" s="519">
        <v>205</v>
      </c>
      <c r="L54" s="519">
        <v>220</v>
      </c>
      <c r="M54" s="519">
        <v>190</v>
      </c>
      <c r="N54" s="519">
        <v>190</v>
      </c>
      <c r="O54" s="484">
        <v>2310</v>
      </c>
      <c r="P54" s="86"/>
      <c r="Q54" s="86"/>
      <c r="R54" s="86"/>
      <c r="S54" s="86"/>
      <c r="T54" s="86"/>
      <c r="U54" s="86"/>
      <c r="V54" s="86"/>
      <c r="W54" s="86"/>
      <c r="X54" s="86"/>
      <c r="Y54" s="86"/>
      <c r="Z54" s="86"/>
      <c r="AA54" s="86"/>
      <c r="AB54" s="86"/>
    </row>
    <row r="55" spans="1:28" s="85" customFormat="1" ht="12.75" x14ac:dyDescent="0.2">
      <c r="A55" s="292" t="s">
        <v>342</v>
      </c>
      <c r="B55" s="293" t="s">
        <v>482</v>
      </c>
      <c r="C55" s="518">
        <v>70</v>
      </c>
      <c r="D55" s="519">
        <v>65</v>
      </c>
      <c r="E55" s="519">
        <v>60</v>
      </c>
      <c r="F55" s="519">
        <v>85</v>
      </c>
      <c r="G55" s="519">
        <v>70</v>
      </c>
      <c r="H55" s="519">
        <v>55</v>
      </c>
      <c r="I55" s="519">
        <v>75</v>
      </c>
      <c r="J55" s="519">
        <v>70</v>
      </c>
      <c r="K55" s="519">
        <v>60</v>
      </c>
      <c r="L55" s="519">
        <v>70</v>
      </c>
      <c r="M55" s="519">
        <v>70</v>
      </c>
      <c r="N55" s="519">
        <v>60</v>
      </c>
      <c r="O55" s="484">
        <v>805</v>
      </c>
      <c r="P55" s="86"/>
      <c r="Q55" s="86"/>
      <c r="R55" s="86"/>
      <c r="S55" s="86"/>
      <c r="T55" s="86"/>
      <c r="U55" s="86"/>
      <c r="V55" s="86"/>
      <c r="W55" s="86"/>
      <c r="X55" s="86"/>
      <c r="Y55" s="86"/>
      <c r="Z55" s="86"/>
      <c r="AA55" s="86"/>
      <c r="AB55" s="86"/>
    </row>
    <row r="56" spans="1:28" s="85" customFormat="1" ht="12.75" x14ac:dyDescent="0.2">
      <c r="A56" s="294" t="s">
        <v>343</v>
      </c>
      <c r="B56" s="293" t="s">
        <v>483</v>
      </c>
      <c r="C56" s="518">
        <v>90</v>
      </c>
      <c r="D56" s="519">
        <v>65</v>
      </c>
      <c r="E56" s="519">
        <v>65</v>
      </c>
      <c r="F56" s="519">
        <v>70</v>
      </c>
      <c r="G56" s="519">
        <v>75</v>
      </c>
      <c r="H56" s="519">
        <v>85</v>
      </c>
      <c r="I56" s="519">
        <v>80</v>
      </c>
      <c r="J56" s="519">
        <v>80</v>
      </c>
      <c r="K56" s="519">
        <v>90</v>
      </c>
      <c r="L56" s="519">
        <v>80</v>
      </c>
      <c r="M56" s="519">
        <v>75</v>
      </c>
      <c r="N56" s="519">
        <v>60</v>
      </c>
      <c r="O56" s="484">
        <v>915</v>
      </c>
      <c r="P56" s="86"/>
      <c r="Q56" s="86"/>
      <c r="R56" s="86"/>
      <c r="S56" s="86"/>
      <c r="T56" s="86"/>
      <c r="U56" s="86"/>
      <c r="V56" s="86"/>
      <c r="W56" s="86"/>
      <c r="X56" s="86"/>
      <c r="Y56" s="86"/>
      <c r="Z56" s="86"/>
      <c r="AA56" s="86"/>
      <c r="AB56" s="86"/>
    </row>
    <row r="57" spans="1:28" s="85" customFormat="1" ht="12.75" x14ac:dyDescent="0.2">
      <c r="A57" s="292" t="s">
        <v>344</v>
      </c>
      <c r="B57" s="81" t="s">
        <v>484</v>
      </c>
      <c r="C57" s="518">
        <v>100</v>
      </c>
      <c r="D57" s="519">
        <v>115</v>
      </c>
      <c r="E57" s="519">
        <v>115</v>
      </c>
      <c r="F57" s="519">
        <v>115</v>
      </c>
      <c r="G57" s="519">
        <v>95</v>
      </c>
      <c r="H57" s="519">
        <v>140</v>
      </c>
      <c r="I57" s="519">
        <v>355</v>
      </c>
      <c r="J57" s="519">
        <v>360</v>
      </c>
      <c r="K57" s="519">
        <v>350</v>
      </c>
      <c r="L57" s="519">
        <v>340</v>
      </c>
      <c r="M57" s="519">
        <v>325</v>
      </c>
      <c r="N57" s="519">
        <v>295</v>
      </c>
      <c r="O57" s="484">
        <v>2705</v>
      </c>
      <c r="P57" s="86"/>
      <c r="Q57" s="86"/>
      <c r="R57" s="86"/>
      <c r="S57" s="86"/>
      <c r="T57" s="86"/>
      <c r="U57" s="86"/>
      <c r="V57" s="86"/>
      <c r="W57" s="86"/>
      <c r="X57" s="86"/>
      <c r="Y57" s="86"/>
      <c r="Z57" s="86"/>
      <c r="AA57" s="86"/>
      <c r="AB57" s="86"/>
    </row>
    <row r="58" spans="1:28" s="85" customFormat="1" ht="12.75" x14ac:dyDescent="0.2">
      <c r="A58" s="294" t="s">
        <v>345</v>
      </c>
      <c r="B58" s="293" t="s">
        <v>485</v>
      </c>
      <c r="C58" s="518" t="s">
        <v>636</v>
      </c>
      <c r="D58" s="519">
        <v>20</v>
      </c>
      <c r="E58" s="519">
        <v>35</v>
      </c>
      <c r="F58" s="519">
        <v>20</v>
      </c>
      <c r="G58" s="519">
        <v>35</v>
      </c>
      <c r="H58" s="519">
        <v>50</v>
      </c>
      <c r="I58" s="519">
        <v>45</v>
      </c>
      <c r="J58" s="519">
        <v>45</v>
      </c>
      <c r="K58" s="519">
        <v>40</v>
      </c>
      <c r="L58" s="519">
        <v>50</v>
      </c>
      <c r="M58" s="519">
        <v>45</v>
      </c>
      <c r="N58" s="519">
        <v>50</v>
      </c>
      <c r="O58" s="484">
        <v>435</v>
      </c>
      <c r="P58" s="86"/>
      <c r="Q58" s="86"/>
      <c r="R58" s="86"/>
      <c r="S58" s="86"/>
      <c r="T58" s="86"/>
      <c r="U58" s="86"/>
      <c r="V58" s="86"/>
      <c r="W58" s="86"/>
      <c r="X58" s="86"/>
      <c r="Y58" s="86"/>
      <c r="Z58" s="86"/>
      <c r="AA58" s="86"/>
      <c r="AB58" s="86"/>
    </row>
    <row r="59" spans="1:28" s="85" customFormat="1" ht="12.75" x14ac:dyDescent="0.2">
      <c r="A59" s="292" t="s">
        <v>346</v>
      </c>
      <c r="B59" s="293" t="s">
        <v>486</v>
      </c>
      <c r="C59" s="518">
        <v>280</v>
      </c>
      <c r="D59" s="519">
        <v>290</v>
      </c>
      <c r="E59" s="519">
        <v>270</v>
      </c>
      <c r="F59" s="519">
        <v>285</v>
      </c>
      <c r="G59" s="519">
        <v>280</v>
      </c>
      <c r="H59" s="519">
        <v>265</v>
      </c>
      <c r="I59" s="519">
        <v>280</v>
      </c>
      <c r="J59" s="519">
        <v>280</v>
      </c>
      <c r="K59" s="519">
        <v>275</v>
      </c>
      <c r="L59" s="519">
        <v>295</v>
      </c>
      <c r="M59" s="519">
        <v>255</v>
      </c>
      <c r="N59" s="519">
        <v>190</v>
      </c>
      <c r="O59" s="484">
        <v>3240</v>
      </c>
      <c r="P59" s="86"/>
      <c r="Q59" s="86"/>
      <c r="R59" s="86"/>
      <c r="S59" s="86"/>
      <c r="T59" s="86"/>
      <c r="U59" s="86"/>
      <c r="V59" s="86"/>
      <c r="W59" s="86"/>
      <c r="X59" s="86"/>
      <c r="Y59" s="86"/>
      <c r="Z59" s="86"/>
      <c r="AA59" s="86"/>
      <c r="AB59" s="86"/>
    </row>
    <row r="60" spans="1:28" s="85" customFormat="1" ht="12.75" x14ac:dyDescent="0.2">
      <c r="A60" s="292" t="s">
        <v>347</v>
      </c>
      <c r="B60" s="293" t="s">
        <v>487</v>
      </c>
      <c r="C60" s="518">
        <v>50</v>
      </c>
      <c r="D60" s="519">
        <v>70</v>
      </c>
      <c r="E60" s="519">
        <v>65</v>
      </c>
      <c r="F60" s="519">
        <v>65</v>
      </c>
      <c r="G60" s="519">
        <v>75</v>
      </c>
      <c r="H60" s="519">
        <v>70</v>
      </c>
      <c r="I60" s="519">
        <v>65</v>
      </c>
      <c r="J60" s="519">
        <v>60</v>
      </c>
      <c r="K60" s="519">
        <v>50</v>
      </c>
      <c r="L60" s="519">
        <v>60</v>
      </c>
      <c r="M60" s="519">
        <v>60</v>
      </c>
      <c r="N60" s="519">
        <v>55</v>
      </c>
      <c r="O60" s="484">
        <v>735</v>
      </c>
      <c r="P60" s="86"/>
      <c r="Q60" s="86"/>
      <c r="R60" s="86"/>
      <c r="S60" s="86"/>
      <c r="T60" s="86"/>
      <c r="U60" s="86"/>
      <c r="V60" s="86"/>
      <c r="W60" s="86"/>
      <c r="X60" s="86"/>
      <c r="Y60" s="86"/>
      <c r="Z60" s="86"/>
      <c r="AA60" s="86"/>
      <c r="AB60" s="86"/>
    </row>
    <row r="61" spans="1:28" s="85" customFormat="1" ht="12.75" x14ac:dyDescent="0.2">
      <c r="A61" s="292" t="s">
        <v>348</v>
      </c>
      <c r="B61" s="293" t="s">
        <v>488</v>
      </c>
      <c r="C61" s="518">
        <v>55</v>
      </c>
      <c r="D61" s="519">
        <v>45</v>
      </c>
      <c r="E61" s="519">
        <v>50</v>
      </c>
      <c r="F61" s="519">
        <v>60</v>
      </c>
      <c r="G61" s="519">
        <v>55</v>
      </c>
      <c r="H61" s="519">
        <v>50</v>
      </c>
      <c r="I61" s="519">
        <v>60</v>
      </c>
      <c r="J61" s="519">
        <v>45</v>
      </c>
      <c r="K61" s="519">
        <v>55</v>
      </c>
      <c r="L61" s="519">
        <v>65</v>
      </c>
      <c r="M61" s="519">
        <v>50</v>
      </c>
      <c r="N61" s="519">
        <v>40</v>
      </c>
      <c r="O61" s="484">
        <v>635</v>
      </c>
      <c r="P61" s="86"/>
      <c r="Q61" s="86"/>
      <c r="R61" s="86"/>
      <c r="S61" s="86"/>
      <c r="T61" s="86"/>
      <c r="U61" s="86"/>
      <c r="V61" s="86"/>
      <c r="W61" s="86"/>
      <c r="X61" s="86"/>
      <c r="Y61" s="86"/>
      <c r="Z61" s="86"/>
      <c r="AA61" s="86"/>
      <c r="AB61" s="86"/>
    </row>
    <row r="62" spans="1:28" s="85" customFormat="1" ht="12.75" x14ac:dyDescent="0.2">
      <c r="A62" s="292" t="s">
        <v>349</v>
      </c>
      <c r="B62" s="293" t="s">
        <v>489</v>
      </c>
      <c r="C62" s="518">
        <v>80</v>
      </c>
      <c r="D62" s="519">
        <v>75</v>
      </c>
      <c r="E62" s="519">
        <v>85</v>
      </c>
      <c r="F62" s="519">
        <v>100</v>
      </c>
      <c r="G62" s="519">
        <v>100</v>
      </c>
      <c r="H62" s="519">
        <v>90</v>
      </c>
      <c r="I62" s="519">
        <v>85</v>
      </c>
      <c r="J62" s="519">
        <v>100</v>
      </c>
      <c r="K62" s="519">
        <v>105</v>
      </c>
      <c r="L62" s="519">
        <v>100</v>
      </c>
      <c r="M62" s="519">
        <v>95</v>
      </c>
      <c r="N62" s="519">
        <v>65</v>
      </c>
      <c r="O62" s="484">
        <v>1075</v>
      </c>
      <c r="P62" s="86"/>
      <c r="Q62" s="86"/>
      <c r="R62" s="86"/>
      <c r="S62" s="86"/>
      <c r="T62" s="86"/>
      <c r="U62" s="86"/>
      <c r="V62" s="86"/>
      <c r="W62" s="86"/>
      <c r="X62" s="86"/>
      <c r="Y62" s="86"/>
      <c r="Z62" s="86"/>
      <c r="AA62" s="86"/>
      <c r="AB62" s="86"/>
    </row>
    <row r="63" spans="1:28" s="85" customFormat="1" ht="12.75" x14ac:dyDescent="0.2">
      <c r="A63" s="292" t="s">
        <v>350</v>
      </c>
      <c r="B63" s="293" t="s">
        <v>490</v>
      </c>
      <c r="C63" s="518">
        <v>200</v>
      </c>
      <c r="D63" s="519">
        <v>175</v>
      </c>
      <c r="E63" s="519">
        <v>205</v>
      </c>
      <c r="F63" s="519">
        <v>230</v>
      </c>
      <c r="G63" s="519">
        <v>225</v>
      </c>
      <c r="H63" s="519">
        <v>220</v>
      </c>
      <c r="I63" s="519">
        <v>240</v>
      </c>
      <c r="J63" s="519">
        <v>225</v>
      </c>
      <c r="K63" s="519">
        <v>170</v>
      </c>
      <c r="L63" s="519">
        <v>195</v>
      </c>
      <c r="M63" s="519">
        <v>180</v>
      </c>
      <c r="N63" s="519">
        <v>145</v>
      </c>
      <c r="O63" s="484">
        <v>2415</v>
      </c>
      <c r="P63" s="86"/>
      <c r="Q63" s="86"/>
      <c r="R63" s="86"/>
      <c r="S63" s="86"/>
      <c r="T63" s="86"/>
      <c r="U63" s="86"/>
      <c r="V63" s="86"/>
      <c r="W63" s="86"/>
      <c r="X63" s="86"/>
      <c r="Y63" s="86"/>
      <c r="Z63" s="86"/>
      <c r="AA63" s="86"/>
      <c r="AB63" s="86"/>
    </row>
    <row r="64" spans="1:28" s="85" customFormat="1" ht="12.75" x14ac:dyDescent="0.2">
      <c r="A64" s="292" t="s">
        <v>351</v>
      </c>
      <c r="B64" s="293" t="s">
        <v>491</v>
      </c>
      <c r="C64" s="518">
        <v>85</v>
      </c>
      <c r="D64" s="519">
        <v>90</v>
      </c>
      <c r="E64" s="519">
        <v>85</v>
      </c>
      <c r="F64" s="519">
        <v>95</v>
      </c>
      <c r="G64" s="519">
        <v>90</v>
      </c>
      <c r="H64" s="519">
        <v>80</v>
      </c>
      <c r="I64" s="519">
        <v>90</v>
      </c>
      <c r="J64" s="519">
        <v>85</v>
      </c>
      <c r="K64" s="519">
        <v>90</v>
      </c>
      <c r="L64" s="519">
        <v>0</v>
      </c>
      <c r="M64" s="519">
        <v>0</v>
      </c>
      <c r="N64" s="519">
        <v>0</v>
      </c>
      <c r="O64" s="484">
        <v>790</v>
      </c>
      <c r="P64" s="86"/>
      <c r="Q64" s="86"/>
      <c r="R64" s="86"/>
      <c r="S64" s="86"/>
      <c r="T64" s="86"/>
      <c r="U64" s="86"/>
      <c r="V64" s="86"/>
      <c r="W64" s="86"/>
      <c r="X64" s="86"/>
      <c r="Y64" s="86"/>
      <c r="Z64" s="86"/>
      <c r="AA64" s="86"/>
      <c r="AB64" s="86"/>
    </row>
    <row r="65" spans="1:28" s="85" customFormat="1" ht="12.75" x14ac:dyDescent="0.2">
      <c r="A65" s="292" t="s">
        <v>352</v>
      </c>
      <c r="B65" s="293" t="s">
        <v>492</v>
      </c>
      <c r="C65" s="518">
        <v>60</v>
      </c>
      <c r="D65" s="519">
        <v>60</v>
      </c>
      <c r="E65" s="519">
        <v>70</v>
      </c>
      <c r="F65" s="519">
        <v>65</v>
      </c>
      <c r="G65" s="519">
        <v>55</v>
      </c>
      <c r="H65" s="519">
        <v>75</v>
      </c>
      <c r="I65" s="519">
        <v>65</v>
      </c>
      <c r="J65" s="519">
        <v>70</v>
      </c>
      <c r="K65" s="519">
        <v>55</v>
      </c>
      <c r="L65" s="519">
        <v>75</v>
      </c>
      <c r="M65" s="519">
        <v>60</v>
      </c>
      <c r="N65" s="519">
        <v>55</v>
      </c>
      <c r="O65" s="484">
        <v>770</v>
      </c>
      <c r="P65" s="86"/>
      <c r="Q65" s="86"/>
      <c r="R65" s="86"/>
      <c r="S65" s="86"/>
      <c r="T65" s="86"/>
      <c r="U65" s="86"/>
      <c r="V65" s="86"/>
      <c r="W65" s="86"/>
      <c r="X65" s="86"/>
      <c r="Y65" s="86"/>
      <c r="Z65" s="86"/>
      <c r="AA65" s="86"/>
      <c r="AB65" s="86"/>
    </row>
    <row r="66" spans="1:28" s="85" customFormat="1" ht="12.75" x14ac:dyDescent="0.2">
      <c r="A66" s="292" t="s">
        <v>353</v>
      </c>
      <c r="B66" s="293" t="s">
        <v>493</v>
      </c>
      <c r="C66" s="518">
        <v>45</v>
      </c>
      <c r="D66" s="519">
        <v>50</v>
      </c>
      <c r="E66" s="519">
        <v>55</v>
      </c>
      <c r="F66" s="519">
        <v>60</v>
      </c>
      <c r="G66" s="519">
        <v>55</v>
      </c>
      <c r="H66" s="519">
        <v>55</v>
      </c>
      <c r="I66" s="519">
        <v>50</v>
      </c>
      <c r="J66" s="519">
        <v>60</v>
      </c>
      <c r="K66" s="519">
        <v>55</v>
      </c>
      <c r="L66" s="519">
        <v>55</v>
      </c>
      <c r="M66" s="519">
        <v>50</v>
      </c>
      <c r="N66" s="519">
        <v>25</v>
      </c>
      <c r="O66" s="484">
        <v>605</v>
      </c>
      <c r="P66" s="86"/>
      <c r="Q66" s="86"/>
      <c r="R66" s="86"/>
      <c r="S66" s="86"/>
      <c r="T66" s="86"/>
      <c r="U66" s="86"/>
      <c r="V66" s="86"/>
      <c r="W66" s="86"/>
      <c r="X66" s="86"/>
      <c r="Y66" s="86"/>
      <c r="Z66" s="86"/>
      <c r="AA66" s="86"/>
      <c r="AB66" s="86"/>
    </row>
    <row r="67" spans="1:28" s="85" customFormat="1" ht="12.75" x14ac:dyDescent="0.2">
      <c r="A67" s="292" t="s">
        <v>354</v>
      </c>
      <c r="B67" s="293" t="s">
        <v>494</v>
      </c>
      <c r="C67" s="518">
        <v>380</v>
      </c>
      <c r="D67" s="519">
        <v>380</v>
      </c>
      <c r="E67" s="519">
        <v>390</v>
      </c>
      <c r="F67" s="519">
        <v>415</v>
      </c>
      <c r="G67" s="519">
        <v>420</v>
      </c>
      <c r="H67" s="519">
        <v>420</v>
      </c>
      <c r="I67" s="519">
        <v>430</v>
      </c>
      <c r="J67" s="519">
        <v>420</v>
      </c>
      <c r="K67" s="519">
        <v>395</v>
      </c>
      <c r="L67" s="519">
        <v>360</v>
      </c>
      <c r="M67" s="519">
        <v>365</v>
      </c>
      <c r="N67" s="519">
        <v>290</v>
      </c>
      <c r="O67" s="484">
        <v>4655</v>
      </c>
      <c r="P67" s="86"/>
      <c r="Q67" s="86"/>
      <c r="R67" s="86"/>
      <c r="S67" s="86"/>
      <c r="T67" s="86"/>
      <c r="U67" s="86"/>
      <c r="V67" s="86"/>
      <c r="W67" s="86"/>
      <c r="X67" s="86"/>
      <c r="Y67" s="86"/>
      <c r="Z67" s="86"/>
      <c r="AA67" s="86"/>
      <c r="AB67" s="86"/>
    </row>
    <row r="68" spans="1:28" s="85" customFormat="1" ht="12.75" x14ac:dyDescent="0.2">
      <c r="A68" s="292" t="s">
        <v>355</v>
      </c>
      <c r="B68" s="293" t="s">
        <v>495</v>
      </c>
      <c r="C68" s="518">
        <v>90</v>
      </c>
      <c r="D68" s="519">
        <v>105</v>
      </c>
      <c r="E68" s="519">
        <v>75</v>
      </c>
      <c r="F68" s="519">
        <v>85</v>
      </c>
      <c r="G68" s="519">
        <v>85</v>
      </c>
      <c r="H68" s="519">
        <v>90</v>
      </c>
      <c r="I68" s="519">
        <v>100</v>
      </c>
      <c r="J68" s="519">
        <v>90</v>
      </c>
      <c r="K68" s="519">
        <v>95</v>
      </c>
      <c r="L68" s="519">
        <v>90</v>
      </c>
      <c r="M68" s="519">
        <v>80</v>
      </c>
      <c r="N68" s="519">
        <v>65</v>
      </c>
      <c r="O68" s="484">
        <v>1060</v>
      </c>
      <c r="P68" s="86"/>
      <c r="Q68" s="86"/>
      <c r="R68" s="86"/>
      <c r="S68" s="86"/>
      <c r="T68" s="86"/>
      <c r="U68" s="86"/>
      <c r="V68" s="86"/>
      <c r="W68" s="86"/>
      <c r="X68" s="86"/>
      <c r="Y68" s="86"/>
      <c r="Z68" s="86"/>
      <c r="AA68" s="86"/>
      <c r="AB68" s="86"/>
    </row>
    <row r="69" spans="1:28" s="85" customFormat="1" ht="12.75" x14ac:dyDescent="0.2">
      <c r="A69" s="292" t="s">
        <v>356</v>
      </c>
      <c r="B69" s="293" t="s">
        <v>496</v>
      </c>
      <c r="C69" s="518">
        <v>550</v>
      </c>
      <c r="D69" s="519">
        <v>615</v>
      </c>
      <c r="E69" s="519">
        <v>615</v>
      </c>
      <c r="F69" s="519">
        <v>650</v>
      </c>
      <c r="G69" s="519">
        <v>595</v>
      </c>
      <c r="H69" s="519">
        <v>595</v>
      </c>
      <c r="I69" s="519">
        <v>660</v>
      </c>
      <c r="J69" s="519">
        <v>610</v>
      </c>
      <c r="K69" s="519">
        <v>575</v>
      </c>
      <c r="L69" s="519">
        <v>605</v>
      </c>
      <c r="M69" s="519">
        <v>575</v>
      </c>
      <c r="N69" s="519">
        <v>465</v>
      </c>
      <c r="O69" s="484">
        <v>7110</v>
      </c>
      <c r="P69" s="86"/>
      <c r="Q69" s="86"/>
      <c r="R69" s="86"/>
      <c r="S69" s="86"/>
      <c r="T69" s="86"/>
      <c r="U69" s="86"/>
      <c r="V69" s="86"/>
      <c r="W69" s="86"/>
      <c r="X69" s="86"/>
      <c r="Y69" s="86"/>
      <c r="Z69" s="86"/>
      <c r="AA69" s="86"/>
      <c r="AB69" s="86"/>
    </row>
    <row r="70" spans="1:28" s="85" customFormat="1" ht="12.75" x14ac:dyDescent="0.2">
      <c r="A70" s="294" t="s">
        <v>357</v>
      </c>
      <c r="B70" s="293" t="s">
        <v>497</v>
      </c>
      <c r="C70" s="518">
        <v>780</v>
      </c>
      <c r="D70" s="519">
        <v>830</v>
      </c>
      <c r="E70" s="519">
        <v>810</v>
      </c>
      <c r="F70" s="519">
        <v>805</v>
      </c>
      <c r="G70" s="519">
        <v>820</v>
      </c>
      <c r="H70" s="519">
        <v>735</v>
      </c>
      <c r="I70" s="519">
        <v>800</v>
      </c>
      <c r="J70" s="519">
        <v>820</v>
      </c>
      <c r="K70" s="519">
        <v>735</v>
      </c>
      <c r="L70" s="519">
        <v>840</v>
      </c>
      <c r="M70" s="519">
        <v>725</v>
      </c>
      <c r="N70" s="519">
        <v>570</v>
      </c>
      <c r="O70" s="484">
        <v>9275</v>
      </c>
      <c r="P70" s="86"/>
      <c r="Q70" s="86"/>
      <c r="R70" s="86"/>
      <c r="S70" s="86"/>
      <c r="T70" s="86"/>
      <c r="U70" s="86"/>
      <c r="V70" s="86"/>
      <c r="W70" s="86"/>
      <c r="X70" s="86"/>
      <c r="Y70" s="86"/>
      <c r="Z70" s="86"/>
      <c r="AA70" s="86"/>
      <c r="AB70" s="86"/>
    </row>
    <row r="71" spans="1:28" s="85" customFormat="1" ht="12.75" x14ac:dyDescent="0.2">
      <c r="A71" s="292" t="s">
        <v>358</v>
      </c>
      <c r="B71" s="293" t="s">
        <v>498</v>
      </c>
      <c r="C71" s="518">
        <v>115</v>
      </c>
      <c r="D71" s="519">
        <v>135</v>
      </c>
      <c r="E71" s="519">
        <v>120</v>
      </c>
      <c r="F71" s="519">
        <v>130</v>
      </c>
      <c r="G71" s="519">
        <v>120</v>
      </c>
      <c r="H71" s="519">
        <v>115</v>
      </c>
      <c r="I71" s="519">
        <v>125</v>
      </c>
      <c r="J71" s="519">
        <v>135</v>
      </c>
      <c r="K71" s="519">
        <v>135</v>
      </c>
      <c r="L71" s="519">
        <v>115</v>
      </c>
      <c r="M71" s="519">
        <v>120</v>
      </c>
      <c r="N71" s="519">
        <v>75</v>
      </c>
      <c r="O71" s="484">
        <v>1440</v>
      </c>
      <c r="P71" s="86"/>
      <c r="Q71" s="86"/>
      <c r="R71" s="86"/>
      <c r="S71" s="86"/>
      <c r="T71" s="86"/>
      <c r="U71" s="86"/>
      <c r="V71" s="86"/>
      <c r="W71" s="86"/>
      <c r="X71" s="86"/>
      <c r="Y71" s="86"/>
      <c r="Z71" s="86"/>
      <c r="AA71" s="86"/>
      <c r="AB71" s="86"/>
    </row>
    <row r="72" spans="1:28" s="85" customFormat="1" ht="12.75" x14ac:dyDescent="0.2">
      <c r="A72" s="292" t="s">
        <v>359</v>
      </c>
      <c r="B72" s="293" t="s">
        <v>499</v>
      </c>
      <c r="C72" s="518">
        <v>50</v>
      </c>
      <c r="D72" s="519">
        <v>50</v>
      </c>
      <c r="E72" s="519">
        <v>60</v>
      </c>
      <c r="F72" s="519">
        <v>70</v>
      </c>
      <c r="G72" s="519">
        <v>60</v>
      </c>
      <c r="H72" s="519">
        <v>65</v>
      </c>
      <c r="I72" s="519">
        <v>65</v>
      </c>
      <c r="J72" s="519">
        <v>55</v>
      </c>
      <c r="K72" s="519">
        <v>75</v>
      </c>
      <c r="L72" s="519">
        <v>65</v>
      </c>
      <c r="M72" s="519">
        <v>65</v>
      </c>
      <c r="N72" s="519">
        <v>70</v>
      </c>
      <c r="O72" s="484">
        <v>755</v>
      </c>
      <c r="P72" s="86"/>
      <c r="Q72" s="86"/>
      <c r="R72" s="86"/>
      <c r="S72" s="86"/>
      <c r="T72" s="86"/>
      <c r="U72" s="86"/>
      <c r="V72" s="86"/>
      <c r="W72" s="86"/>
      <c r="X72" s="86"/>
      <c r="Y72" s="86"/>
      <c r="Z72" s="86"/>
      <c r="AA72" s="86"/>
      <c r="AB72" s="86"/>
    </row>
    <row r="73" spans="1:28" s="85" customFormat="1" ht="12.75" x14ac:dyDescent="0.2">
      <c r="A73" s="294" t="s">
        <v>360</v>
      </c>
      <c r="B73" s="293" t="s">
        <v>500</v>
      </c>
      <c r="C73" s="518">
        <v>535</v>
      </c>
      <c r="D73" s="519">
        <v>615</v>
      </c>
      <c r="E73" s="519">
        <v>590</v>
      </c>
      <c r="F73" s="519">
        <v>580</v>
      </c>
      <c r="G73" s="519">
        <v>545</v>
      </c>
      <c r="H73" s="519">
        <v>550</v>
      </c>
      <c r="I73" s="519">
        <v>565</v>
      </c>
      <c r="J73" s="519">
        <v>560</v>
      </c>
      <c r="K73" s="519">
        <v>540</v>
      </c>
      <c r="L73" s="519">
        <v>550</v>
      </c>
      <c r="M73" s="519">
        <v>555</v>
      </c>
      <c r="N73" s="519">
        <v>435</v>
      </c>
      <c r="O73" s="484">
        <v>6620</v>
      </c>
      <c r="P73" s="86"/>
      <c r="Q73" s="86"/>
      <c r="R73" s="86"/>
      <c r="S73" s="86"/>
      <c r="T73" s="86"/>
      <c r="U73" s="86"/>
      <c r="V73" s="86"/>
      <c r="W73" s="86"/>
      <c r="X73" s="86"/>
      <c r="Y73" s="86"/>
      <c r="Z73" s="86"/>
      <c r="AA73" s="86"/>
      <c r="AB73" s="86"/>
    </row>
    <row r="74" spans="1:28" s="85" customFormat="1" ht="12.75" x14ac:dyDescent="0.2">
      <c r="A74" s="292" t="s">
        <v>361</v>
      </c>
      <c r="B74" s="293" t="s">
        <v>501</v>
      </c>
      <c r="C74" s="518">
        <v>120</v>
      </c>
      <c r="D74" s="519">
        <v>120</v>
      </c>
      <c r="E74" s="519">
        <v>135</v>
      </c>
      <c r="F74" s="519">
        <v>135</v>
      </c>
      <c r="G74" s="519">
        <v>125</v>
      </c>
      <c r="H74" s="519">
        <v>120</v>
      </c>
      <c r="I74" s="519">
        <v>105</v>
      </c>
      <c r="J74" s="519">
        <v>135</v>
      </c>
      <c r="K74" s="519">
        <v>150</v>
      </c>
      <c r="L74" s="519">
        <v>140</v>
      </c>
      <c r="M74" s="519">
        <v>120</v>
      </c>
      <c r="N74" s="519">
        <v>150</v>
      </c>
      <c r="O74" s="484">
        <v>1565</v>
      </c>
      <c r="P74" s="86"/>
      <c r="Q74" s="86"/>
      <c r="R74" s="86"/>
      <c r="S74" s="86"/>
      <c r="T74" s="86"/>
      <c r="U74" s="86"/>
      <c r="V74" s="86"/>
      <c r="W74" s="86"/>
      <c r="X74" s="86"/>
      <c r="Y74" s="86"/>
      <c r="Z74" s="86"/>
      <c r="AA74" s="86"/>
      <c r="AB74" s="86"/>
    </row>
    <row r="75" spans="1:28" s="85" customFormat="1" ht="12.75" x14ac:dyDescent="0.2">
      <c r="A75" s="292" t="s">
        <v>362</v>
      </c>
      <c r="B75" s="293" t="s">
        <v>502</v>
      </c>
      <c r="C75" s="518">
        <v>55</v>
      </c>
      <c r="D75" s="519">
        <v>65</v>
      </c>
      <c r="E75" s="519">
        <v>50</v>
      </c>
      <c r="F75" s="519">
        <v>50</v>
      </c>
      <c r="G75" s="519">
        <v>55</v>
      </c>
      <c r="H75" s="519">
        <v>50</v>
      </c>
      <c r="I75" s="519">
        <v>55</v>
      </c>
      <c r="J75" s="519">
        <v>55</v>
      </c>
      <c r="K75" s="519">
        <v>65</v>
      </c>
      <c r="L75" s="519">
        <v>60</v>
      </c>
      <c r="M75" s="519">
        <v>60</v>
      </c>
      <c r="N75" s="519">
        <v>65</v>
      </c>
      <c r="O75" s="484">
        <v>680</v>
      </c>
      <c r="P75" s="86"/>
      <c r="Q75" s="86"/>
      <c r="R75" s="86"/>
      <c r="S75" s="86"/>
      <c r="T75" s="86"/>
      <c r="U75" s="86"/>
      <c r="V75" s="86"/>
      <c r="W75" s="86"/>
      <c r="X75" s="86"/>
      <c r="Y75" s="86"/>
      <c r="Z75" s="86"/>
      <c r="AA75" s="86"/>
      <c r="AB75" s="86"/>
    </row>
    <row r="76" spans="1:28" s="85" customFormat="1" ht="12.75" x14ac:dyDescent="0.2">
      <c r="A76" s="292" t="s">
        <v>363</v>
      </c>
      <c r="B76" s="293" t="s">
        <v>503</v>
      </c>
      <c r="C76" s="518">
        <v>460</v>
      </c>
      <c r="D76" s="519">
        <v>485</v>
      </c>
      <c r="E76" s="519">
        <v>465</v>
      </c>
      <c r="F76" s="519">
        <v>475</v>
      </c>
      <c r="G76" s="519">
        <v>440</v>
      </c>
      <c r="H76" s="519">
        <v>435</v>
      </c>
      <c r="I76" s="519">
        <v>490</v>
      </c>
      <c r="J76" s="519">
        <v>475</v>
      </c>
      <c r="K76" s="519">
        <v>415</v>
      </c>
      <c r="L76" s="519">
        <v>435</v>
      </c>
      <c r="M76" s="519">
        <v>385</v>
      </c>
      <c r="N76" s="519">
        <v>305</v>
      </c>
      <c r="O76" s="484">
        <v>5260</v>
      </c>
      <c r="P76" s="86"/>
      <c r="Q76" s="86"/>
      <c r="R76" s="86"/>
      <c r="S76" s="86"/>
      <c r="T76" s="86"/>
      <c r="U76" s="86"/>
      <c r="V76" s="86"/>
      <c r="W76" s="86"/>
      <c r="X76" s="86"/>
      <c r="Y76" s="86"/>
      <c r="Z76" s="86"/>
      <c r="AA76" s="86"/>
      <c r="AB76" s="86"/>
    </row>
    <row r="77" spans="1:28" s="85" customFormat="1" ht="12.75" x14ac:dyDescent="0.2">
      <c r="A77" s="292" t="s">
        <v>364</v>
      </c>
      <c r="B77" s="293" t="s">
        <v>504</v>
      </c>
      <c r="C77" s="518">
        <v>40</v>
      </c>
      <c r="D77" s="519">
        <v>40</v>
      </c>
      <c r="E77" s="519">
        <v>40</v>
      </c>
      <c r="F77" s="519">
        <v>35</v>
      </c>
      <c r="G77" s="519">
        <v>35</v>
      </c>
      <c r="H77" s="519">
        <v>25</v>
      </c>
      <c r="I77" s="519">
        <v>40</v>
      </c>
      <c r="J77" s="519">
        <v>30</v>
      </c>
      <c r="K77" s="519">
        <v>45</v>
      </c>
      <c r="L77" s="519">
        <v>35</v>
      </c>
      <c r="M77" s="519">
        <v>40</v>
      </c>
      <c r="N77" s="519">
        <v>40</v>
      </c>
      <c r="O77" s="484">
        <v>450</v>
      </c>
      <c r="P77" s="86"/>
      <c r="Q77" s="86"/>
      <c r="R77" s="86"/>
      <c r="S77" s="86"/>
      <c r="T77" s="86"/>
      <c r="U77" s="86"/>
      <c r="V77" s="86"/>
      <c r="W77" s="86"/>
      <c r="X77" s="86"/>
      <c r="Y77" s="86"/>
      <c r="Z77" s="86"/>
      <c r="AA77" s="86"/>
      <c r="AB77" s="86"/>
    </row>
    <row r="78" spans="1:28" s="85" customFormat="1" ht="12.75" x14ac:dyDescent="0.2">
      <c r="A78" s="292" t="s">
        <v>365</v>
      </c>
      <c r="B78" s="293" t="s">
        <v>505</v>
      </c>
      <c r="C78" s="518">
        <v>325</v>
      </c>
      <c r="D78" s="519">
        <v>345</v>
      </c>
      <c r="E78" s="519">
        <v>340</v>
      </c>
      <c r="F78" s="519">
        <v>380</v>
      </c>
      <c r="G78" s="519">
        <v>325</v>
      </c>
      <c r="H78" s="519">
        <v>375</v>
      </c>
      <c r="I78" s="519">
        <v>390</v>
      </c>
      <c r="J78" s="519">
        <v>375</v>
      </c>
      <c r="K78" s="519">
        <v>380</v>
      </c>
      <c r="L78" s="519">
        <v>380</v>
      </c>
      <c r="M78" s="519">
        <v>315</v>
      </c>
      <c r="N78" s="519">
        <v>275</v>
      </c>
      <c r="O78" s="484">
        <v>4210</v>
      </c>
      <c r="P78" s="86"/>
      <c r="Q78" s="86"/>
      <c r="R78" s="86"/>
      <c r="S78" s="86"/>
      <c r="T78" s="86"/>
      <c r="U78" s="86"/>
      <c r="V78" s="86"/>
      <c r="W78" s="86"/>
      <c r="X78" s="86"/>
      <c r="Y78" s="86"/>
      <c r="Z78" s="86"/>
      <c r="AA78" s="86"/>
      <c r="AB78" s="86"/>
    </row>
    <row r="79" spans="1:28" s="85" customFormat="1" ht="12.75" x14ac:dyDescent="0.2">
      <c r="A79" s="292" t="s">
        <v>366</v>
      </c>
      <c r="B79" s="293" t="s">
        <v>506</v>
      </c>
      <c r="C79" s="518">
        <v>195</v>
      </c>
      <c r="D79" s="519">
        <v>205</v>
      </c>
      <c r="E79" s="519">
        <v>195</v>
      </c>
      <c r="F79" s="519">
        <v>210</v>
      </c>
      <c r="G79" s="519">
        <v>175</v>
      </c>
      <c r="H79" s="519">
        <v>170</v>
      </c>
      <c r="I79" s="519">
        <v>195</v>
      </c>
      <c r="J79" s="519">
        <v>190</v>
      </c>
      <c r="K79" s="519">
        <v>190</v>
      </c>
      <c r="L79" s="519">
        <v>210</v>
      </c>
      <c r="M79" s="519">
        <v>165</v>
      </c>
      <c r="N79" s="519">
        <v>155</v>
      </c>
      <c r="O79" s="484">
        <v>2245</v>
      </c>
      <c r="P79" s="86"/>
      <c r="Q79" s="86"/>
      <c r="R79" s="86"/>
      <c r="S79" s="86"/>
      <c r="T79" s="86"/>
      <c r="U79" s="86"/>
      <c r="V79" s="86"/>
      <c r="W79" s="86"/>
      <c r="X79" s="86"/>
      <c r="Y79" s="86"/>
      <c r="Z79" s="86"/>
      <c r="AA79" s="86"/>
      <c r="AB79" s="86"/>
    </row>
    <row r="80" spans="1:28" s="85" customFormat="1" ht="12.75" x14ac:dyDescent="0.2">
      <c r="A80" s="292" t="s">
        <v>367</v>
      </c>
      <c r="B80" s="293" t="s">
        <v>507</v>
      </c>
      <c r="C80" s="518">
        <v>35</v>
      </c>
      <c r="D80" s="519">
        <v>30</v>
      </c>
      <c r="E80" s="519">
        <v>30</v>
      </c>
      <c r="F80" s="519">
        <v>35</v>
      </c>
      <c r="G80" s="519">
        <v>30</v>
      </c>
      <c r="H80" s="519">
        <v>25</v>
      </c>
      <c r="I80" s="519">
        <v>30</v>
      </c>
      <c r="J80" s="519">
        <v>25</v>
      </c>
      <c r="K80" s="519">
        <v>30</v>
      </c>
      <c r="L80" s="519">
        <v>25</v>
      </c>
      <c r="M80" s="519">
        <v>20</v>
      </c>
      <c r="N80" s="519">
        <v>20</v>
      </c>
      <c r="O80" s="484">
        <v>340</v>
      </c>
      <c r="P80" s="86"/>
      <c r="Q80" s="86"/>
      <c r="R80" s="86"/>
      <c r="S80" s="86"/>
      <c r="T80" s="86"/>
      <c r="U80" s="86"/>
      <c r="V80" s="86"/>
      <c r="W80" s="86"/>
      <c r="X80" s="86"/>
      <c r="Y80" s="86"/>
      <c r="Z80" s="86"/>
      <c r="AA80" s="86"/>
      <c r="AB80" s="86"/>
    </row>
    <row r="81" spans="1:28" s="85" customFormat="1" ht="12.75" x14ac:dyDescent="0.2">
      <c r="A81" s="292" t="s">
        <v>368</v>
      </c>
      <c r="B81" s="293" t="s">
        <v>508</v>
      </c>
      <c r="C81" s="518">
        <v>55</v>
      </c>
      <c r="D81" s="519">
        <v>75</v>
      </c>
      <c r="E81" s="519">
        <v>70</v>
      </c>
      <c r="F81" s="519">
        <v>60</v>
      </c>
      <c r="G81" s="519">
        <v>75</v>
      </c>
      <c r="H81" s="519">
        <v>70</v>
      </c>
      <c r="I81" s="519">
        <v>65</v>
      </c>
      <c r="J81" s="519">
        <v>65</v>
      </c>
      <c r="K81" s="519">
        <v>65</v>
      </c>
      <c r="L81" s="519">
        <v>70</v>
      </c>
      <c r="M81" s="519">
        <v>55</v>
      </c>
      <c r="N81" s="519">
        <v>35</v>
      </c>
      <c r="O81" s="484">
        <v>775</v>
      </c>
      <c r="P81" s="86"/>
      <c r="Q81" s="86"/>
      <c r="R81" s="86"/>
      <c r="S81" s="86"/>
      <c r="T81" s="86"/>
      <c r="U81" s="86"/>
      <c r="V81" s="86"/>
      <c r="W81" s="86"/>
      <c r="X81" s="86"/>
      <c r="Y81" s="86"/>
      <c r="Z81" s="86"/>
      <c r="AA81" s="86"/>
      <c r="AB81" s="86"/>
    </row>
    <row r="82" spans="1:28" s="85" customFormat="1" ht="12.75" x14ac:dyDescent="0.2">
      <c r="A82" s="292" t="s">
        <v>369</v>
      </c>
      <c r="B82" s="293" t="s">
        <v>509</v>
      </c>
      <c r="C82" s="518">
        <v>605</v>
      </c>
      <c r="D82" s="519">
        <v>605</v>
      </c>
      <c r="E82" s="519">
        <v>610</v>
      </c>
      <c r="F82" s="519">
        <v>615</v>
      </c>
      <c r="G82" s="519">
        <v>645</v>
      </c>
      <c r="H82" s="519">
        <v>600</v>
      </c>
      <c r="I82" s="519">
        <v>640</v>
      </c>
      <c r="J82" s="519">
        <v>610</v>
      </c>
      <c r="K82" s="519">
        <v>595</v>
      </c>
      <c r="L82" s="519">
        <v>570</v>
      </c>
      <c r="M82" s="519">
        <v>555</v>
      </c>
      <c r="N82" s="519">
        <v>420</v>
      </c>
      <c r="O82" s="484">
        <v>7065</v>
      </c>
      <c r="P82" s="86"/>
      <c r="Q82" s="86"/>
      <c r="R82" s="86"/>
      <c r="S82" s="86"/>
      <c r="T82" s="86"/>
      <c r="U82" s="86"/>
      <c r="V82" s="86"/>
      <c r="W82" s="86"/>
      <c r="X82" s="86"/>
      <c r="Y82" s="86"/>
      <c r="Z82" s="86"/>
      <c r="AA82" s="86"/>
      <c r="AB82" s="86"/>
    </row>
    <row r="83" spans="1:28" s="85" customFormat="1" ht="12.75" x14ac:dyDescent="0.2">
      <c r="A83" s="292" t="s">
        <v>370</v>
      </c>
      <c r="B83" s="293" t="s">
        <v>510</v>
      </c>
      <c r="C83" s="518">
        <v>70</v>
      </c>
      <c r="D83" s="519">
        <v>75</v>
      </c>
      <c r="E83" s="519">
        <v>70</v>
      </c>
      <c r="F83" s="519">
        <v>75</v>
      </c>
      <c r="G83" s="519">
        <v>85</v>
      </c>
      <c r="H83" s="519">
        <v>55</v>
      </c>
      <c r="I83" s="519">
        <v>65</v>
      </c>
      <c r="J83" s="519">
        <v>90</v>
      </c>
      <c r="K83" s="519">
        <v>75</v>
      </c>
      <c r="L83" s="519">
        <v>70</v>
      </c>
      <c r="M83" s="519">
        <v>60</v>
      </c>
      <c r="N83" s="519">
        <v>45</v>
      </c>
      <c r="O83" s="484">
        <v>840</v>
      </c>
      <c r="P83" s="86"/>
      <c r="Q83" s="86"/>
      <c r="R83" s="86"/>
      <c r="S83" s="86"/>
      <c r="T83" s="86"/>
      <c r="U83" s="86"/>
      <c r="V83" s="86"/>
      <c r="W83" s="86"/>
      <c r="X83" s="86"/>
      <c r="Y83" s="86"/>
      <c r="Z83" s="86"/>
      <c r="AA83" s="86"/>
      <c r="AB83" s="86"/>
    </row>
    <row r="84" spans="1:28" s="85" customFormat="1" ht="12.75" x14ac:dyDescent="0.2">
      <c r="A84" s="292" t="s">
        <v>371</v>
      </c>
      <c r="B84" s="293" t="s">
        <v>511</v>
      </c>
      <c r="C84" s="518">
        <v>200</v>
      </c>
      <c r="D84" s="519">
        <v>215</v>
      </c>
      <c r="E84" s="519">
        <v>200</v>
      </c>
      <c r="F84" s="519">
        <v>235</v>
      </c>
      <c r="G84" s="519">
        <v>195</v>
      </c>
      <c r="H84" s="519">
        <v>185</v>
      </c>
      <c r="I84" s="519">
        <v>225</v>
      </c>
      <c r="J84" s="519">
        <v>205</v>
      </c>
      <c r="K84" s="519">
        <v>190</v>
      </c>
      <c r="L84" s="519">
        <v>195</v>
      </c>
      <c r="M84" s="519">
        <v>180</v>
      </c>
      <c r="N84" s="519">
        <v>150</v>
      </c>
      <c r="O84" s="484">
        <v>2380</v>
      </c>
      <c r="P84" s="86"/>
      <c r="Q84" s="86"/>
      <c r="R84" s="86"/>
      <c r="S84" s="86"/>
      <c r="T84" s="86"/>
      <c r="U84" s="86"/>
      <c r="V84" s="86"/>
      <c r="W84" s="86"/>
      <c r="X84" s="86"/>
      <c r="Y84" s="86"/>
      <c r="Z84" s="86"/>
      <c r="AA84" s="86"/>
      <c r="AB84" s="86"/>
    </row>
    <row r="85" spans="1:28" s="85" customFormat="1" ht="12.75" x14ac:dyDescent="0.2">
      <c r="A85" s="292" t="s">
        <v>372</v>
      </c>
      <c r="B85" s="293" t="s">
        <v>512</v>
      </c>
      <c r="C85" s="518">
        <v>240</v>
      </c>
      <c r="D85" s="519">
        <v>280</v>
      </c>
      <c r="E85" s="519">
        <v>290</v>
      </c>
      <c r="F85" s="519">
        <v>295</v>
      </c>
      <c r="G85" s="519">
        <v>275</v>
      </c>
      <c r="H85" s="519">
        <v>285</v>
      </c>
      <c r="I85" s="519">
        <v>290</v>
      </c>
      <c r="J85" s="519">
        <v>300</v>
      </c>
      <c r="K85" s="519">
        <v>270</v>
      </c>
      <c r="L85" s="519">
        <v>265</v>
      </c>
      <c r="M85" s="519">
        <v>270</v>
      </c>
      <c r="N85" s="519">
        <v>230</v>
      </c>
      <c r="O85" s="484">
        <v>3290</v>
      </c>
      <c r="P85" s="86"/>
      <c r="Q85" s="86"/>
      <c r="R85" s="86"/>
      <c r="S85" s="86"/>
      <c r="T85" s="86"/>
      <c r="U85" s="86"/>
      <c r="V85" s="86"/>
      <c r="W85" s="86"/>
      <c r="X85" s="86"/>
      <c r="Y85" s="86"/>
      <c r="Z85" s="86"/>
      <c r="AA85" s="86"/>
      <c r="AB85" s="86"/>
    </row>
    <row r="86" spans="1:28" s="85" customFormat="1" ht="12.75" x14ac:dyDescent="0.2">
      <c r="A86" s="292" t="s">
        <v>373</v>
      </c>
      <c r="B86" s="293" t="s">
        <v>513</v>
      </c>
      <c r="C86" s="518">
        <v>60</v>
      </c>
      <c r="D86" s="519">
        <v>70</v>
      </c>
      <c r="E86" s="519">
        <v>60</v>
      </c>
      <c r="F86" s="519">
        <v>70</v>
      </c>
      <c r="G86" s="519">
        <v>75</v>
      </c>
      <c r="H86" s="519">
        <v>65</v>
      </c>
      <c r="I86" s="519">
        <v>70</v>
      </c>
      <c r="J86" s="519">
        <v>60</v>
      </c>
      <c r="K86" s="519">
        <v>85</v>
      </c>
      <c r="L86" s="519">
        <v>115</v>
      </c>
      <c r="M86" s="519">
        <v>95</v>
      </c>
      <c r="N86" s="519">
        <v>70</v>
      </c>
      <c r="O86" s="484">
        <v>890</v>
      </c>
      <c r="P86" s="86"/>
      <c r="Q86" s="86"/>
      <c r="R86" s="86"/>
      <c r="S86" s="86"/>
      <c r="T86" s="86"/>
      <c r="U86" s="86"/>
      <c r="V86" s="86"/>
      <c r="W86" s="86"/>
      <c r="X86" s="86"/>
      <c r="Y86" s="86"/>
      <c r="Z86" s="86"/>
      <c r="AA86" s="86"/>
      <c r="AB86" s="86"/>
    </row>
    <row r="87" spans="1:28" s="85" customFormat="1" ht="12.75" x14ac:dyDescent="0.2">
      <c r="A87" s="292" t="s">
        <v>374</v>
      </c>
      <c r="B87" s="293" t="s">
        <v>514</v>
      </c>
      <c r="C87" s="518">
        <v>70</v>
      </c>
      <c r="D87" s="519">
        <v>65</v>
      </c>
      <c r="E87" s="519">
        <v>75</v>
      </c>
      <c r="F87" s="519">
        <v>70</v>
      </c>
      <c r="G87" s="519">
        <v>75</v>
      </c>
      <c r="H87" s="519">
        <v>85</v>
      </c>
      <c r="I87" s="519">
        <v>90</v>
      </c>
      <c r="J87" s="519">
        <v>70</v>
      </c>
      <c r="K87" s="519">
        <v>60</v>
      </c>
      <c r="L87" s="519">
        <v>75</v>
      </c>
      <c r="M87" s="519">
        <v>60</v>
      </c>
      <c r="N87" s="519">
        <v>45</v>
      </c>
      <c r="O87" s="484">
        <v>840</v>
      </c>
      <c r="P87" s="86"/>
      <c r="Q87" s="86"/>
      <c r="R87" s="86"/>
      <c r="S87" s="86"/>
      <c r="T87" s="86"/>
      <c r="U87" s="86"/>
      <c r="V87" s="86"/>
      <c r="W87" s="86"/>
      <c r="X87" s="86"/>
      <c r="Y87" s="86"/>
      <c r="Z87" s="86"/>
      <c r="AA87" s="86"/>
      <c r="AB87" s="86"/>
    </row>
    <row r="88" spans="1:28" s="85" customFormat="1" ht="12.75" x14ac:dyDescent="0.2">
      <c r="A88" s="294" t="s">
        <v>375</v>
      </c>
      <c r="B88" s="293" t="s">
        <v>515</v>
      </c>
      <c r="C88" s="518">
        <v>250</v>
      </c>
      <c r="D88" s="519">
        <v>240</v>
      </c>
      <c r="E88" s="519">
        <v>255</v>
      </c>
      <c r="F88" s="519">
        <v>265</v>
      </c>
      <c r="G88" s="519">
        <v>270</v>
      </c>
      <c r="H88" s="519">
        <v>230</v>
      </c>
      <c r="I88" s="519">
        <v>255</v>
      </c>
      <c r="J88" s="519">
        <v>235</v>
      </c>
      <c r="K88" s="519">
        <v>245</v>
      </c>
      <c r="L88" s="519">
        <v>240</v>
      </c>
      <c r="M88" s="519">
        <v>235</v>
      </c>
      <c r="N88" s="519">
        <v>95</v>
      </c>
      <c r="O88" s="484">
        <v>2810</v>
      </c>
      <c r="P88" s="86"/>
      <c r="Q88" s="86"/>
      <c r="R88" s="86"/>
      <c r="S88" s="86"/>
      <c r="T88" s="86"/>
      <c r="U88" s="86"/>
      <c r="V88" s="86"/>
      <c r="W88" s="86"/>
      <c r="X88" s="86"/>
      <c r="Y88" s="86"/>
      <c r="Z88" s="86"/>
      <c r="AA88" s="86"/>
      <c r="AB88" s="86"/>
    </row>
    <row r="89" spans="1:28" s="85" customFormat="1" ht="12.75" x14ac:dyDescent="0.2">
      <c r="A89" s="292" t="s">
        <v>376</v>
      </c>
      <c r="B89" s="293" t="s">
        <v>516</v>
      </c>
      <c r="C89" s="518">
        <v>35</v>
      </c>
      <c r="D89" s="519">
        <v>30</v>
      </c>
      <c r="E89" s="519">
        <v>30</v>
      </c>
      <c r="F89" s="519">
        <v>30</v>
      </c>
      <c r="G89" s="519">
        <v>20</v>
      </c>
      <c r="H89" s="519">
        <v>25</v>
      </c>
      <c r="I89" s="519">
        <v>30</v>
      </c>
      <c r="J89" s="519">
        <v>35</v>
      </c>
      <c r="K89" s="519">
        <v>40</v>
      </c>
      <c r="L89" s="519">
        <v>30</v>
      </c>
      <c r="M89" s="519">
        <v>45</v>
      </c>
      <c r="N89" s="519">
        <v>30</v>
      </c>
      <c r="O89" s="484">
        <v>370</v>
      </c>
      <c r="P89" s="86"/>
      <c r="Q89" s="86"/>
      <c r="R89" s="86"/>
      <c r="S89" s="86"/>
      <c r="T89" s="86"/>
      <c r="U89" s="86"/>
      <c r="V89" s="86"/>
      <c r="W89" s="86"/>
      <c r="X89" s="86"/>
      <c r="Y89" s="86"/>
      <c r="Z89" s="86"/>
      <c r="AA89" s="86"/>
      <c r="AB89" s="86"/>
    </row>
    <row r="90" spans="1:28" s="85" customFormat="1" ht="12.75" x14ac:dyDescent="0.2">
      <c r="A90" s="294" t="s">
        <v>377</v>
      </c>
      <c r="B90" s="293" t="s">
        <v>517</v>
      </c>
      <c r="C90" s="518">
        <v>50</v>
      </c>
      <c r="D90" s="519">
        <v>50</v>
      </c>
      <c r="E90" s="519">
        <v>60</v>
      </c>
      <c r="F90" s="519">
        <v>45</v>
      </c>
      <c r="G90" s="519">
        <v>45</v>
      </c>
      <c r="H90" s="519">
        <v>35</v>
      </c>
      <c r="I90" s="519">
        <v>40</v>
      </c>
      <c r="J90" s="519">
        <v>40</v>
      </c>
      <c r="K90" s="519">
        <v>30</v>
      </c>
      <c r="L90" s="519">
        <v>15</v>
      </c>
      <c r="M90" s="519">
        <v>40</v>
      </c>
      <c r="N90" s="519">
        <v>45</v>
      </c>
      <c r="O90" s="484">
        <v>490</v>
      </c>
      <c r="P90" s="86"/>
      <c r="Q90" s="86"/>
      <c r="R90" s="86"/>
      <c r="S90" s="86"/>
      <c r="T90" s="86"/>
      <c r="U90" s="86"/>
      <c r="V90" s="86"/>
      <c r="W90" s="86"/>
      <c r="X90" s="86"/>
      <c r="Y90" s="86"/>
      <c r="Z90" s="86"/>
      <c r="AA90" s="86"/>
      <c r="AB90" s="86"/>
    </row>
    <row r="91" spans="1:28" s="85" customFormat="1" ht="12.75" x14ac:dyDescent="0.2">
      <c r="A91" s="292" t="s">
        <v>378</v>
      </c>
      <c r="B91" s="293" t="s">
        <v>518</v>
      </c>
      <c r="C91" s="518">
        <v>155</v>
      </c>
      <c r="D91" s="519">
        <v>150</v>
      </c>
      <c r="E91" s="519">
        <v>150</v>
      </c>
      <c r="F91" s="519">
        <v>175</v>
      </c>
      <c r="G91" s="519">
        <v>150</v>
      </c>
      <c r="H91" s="519">
        <v>135</v>
      </c>
      <c r="I91" s="519">
        <v>180</v>
      </c>
      <c r="J91" s="519">
        <v>165</v>
      </c>
      <c r="K91" s="519">
        <v>165</v>
      </c>
      <c r="L91" s="519">
        <v>135</v>
      </c>
      <c r="M91" s="519">
        <v>145</v>
      </c>
      <c r="N91" s="519">
        <v>110</v>
      </c>
      <c r="O91" s="484">
        <v>1810</v>
      </c>
      <c r="P91" s="86"/>
      <c r="Q91" s="86"/>
      <c r="R91" s="86"/>
      <c r="S91" s="86"/>
      <c r="T91" s="86"/>
      <c r="U91" s="86"/>
      <c r="V91" s="86"/>
      <c r="W91" s="86"/>
      <c r="X91" s="86"/>
      <c r="Y91" s="86"/>
      <c r="Z91" s="86"/>
      <c r="AA91" s="86"/>
      <c r="AB91" s="86"/>
    </row>
    <row r="92" spans="1:28" s="85" customFormat="1" ht="12.75" x14ac:dyDescent="0.2">
      <c r="A92" s="292" t="s">
        <v>379</v>
      </c>
      <c r="B92" s="293" t="s">
        <v>519</v>
      </c>
      <c r="C92" s="518">
        <v>250</v>
      </c>
      <c r="D92" s="519">
        <v>275</v>
      </c>
      <c r="E92" s="519">
        <v>255</v>
      </c>
      <c r="F92" s="519">
        <v>235</v>
      </c>
      <c r="G92" s="519">
        <v>245</v>
      </c>
      <c r="H92" s="519">
        <v>275</v>
      </c>
      <c r="I92" s="519">
        <v>295</v>
      </c>
      <c r="J92" s="519">
        <v>295</v>
      </c>
      <c r="K92" s="519">
        <v>260</v>
      </c>
      <c r="L92" s="519">
        <v>260</v>
      </c>
      <c r="M92" s="519">
        <v>215</v>
      </c>
      <c r="N92" s="519">
        <v>230</v>
      </c>
      <c r="O92" s="484">
        <v>3090</v>
      </c>
      <c r="P92" s="86"/>
      <c r="Q92" s="86"/>
      <c r="R92" s="86"/>
      <c r="S92" s="86"/>
      <c r="T92" s="86"/>
      <c r="U92" s="86"/>
      <c r="V92" s="86"/>
      <c r="W92" s="86"/>
      <c r="X92" s="86"/>
      <c r="Y92" s="86"/>
      <c r="Z92" s="86"/>
      <c r="AA92" s="86"/>
      <c r="AB92" s="86"/>
    </row>
    <row r="93" spans="1:28" s="85" customFormat="1" ht="12.75" x14ac:dyDescent="0.2">
      <c r="A93" s="294" t="s">
        <v>380</v>
      </c>
      <c r="B93" s="293" t="s">
        <v>520</v>
      </c>
      <c r="C93" s="518">
        <v>110</v>
      </c>
      <c r="D93" s="519">
        <v>120</v>
      </c>
      <c r="E93" s="519">
        <v>130</v>
      </c>
      <c r="F93" s="519">
        <v>125</v>
      </c>
      <c r="G93" s="519">
        <v>135</v>
      </c>
      <c r="H93" s="519">
        <v>130</v>
      </c>
      <c r="I93" s="519">
        <v>145</v>
      </c>
      <c r="J93" s="519">
        <v>130</v>
      </c>
      <c r="K93" s="519">
        <v>150</v>
      </c>
      <c r="L93" s="519">
        <v>145</v>
      </c>
      <c r="M93" s="519">
        <v>130</v>
      </c>
      <c r="N93" s="519">
        <v>90</v>
      </c>
      <c r="O93" s="484">
        <v>1540</v>
      </c>
      <c r="P93" s="86"/>
      <c r="Q93" s="86"/>
      <c r="R93" s="86"/>
      <c r="S93" s="86"/>
      <c r="T93" s="86"/>
      <c r="U93" s="86"/>
      <c r="V93" s="86"/>
      <c r="W93" s="86"/>
      <c r="X93" s="86"/>
      <c r="Y93" s="86"/>
      <c r="Z93" s="86"/>
      <c r="AA93" s="86"/>
      <c r="AB93" s="86"/>
    </row>
    <row r="94" spans="1:28" s="85" customFormat="1" ht="12.75" x14ac:dyDescent="0.2">
      <c r="A94" s="292" t="s">
        <v>381</v>
      </c>
      <c r="B94" s="293" t="s">
        <v>521</v>
      </c>
      <c r="C94" s="518">
        <v>30</v>
      </c>
      <c r="D94" s="519">
        <v>40</v>
      </c>
      <c r="E94" s="519">
        <v>30</v>
      </c>
      <c r="F94" s="519">
        <v>50</v>
      </c>
      <c r="G94" s="519">
        <v>40</v>
      </c>
      <c r="H94" s="519">
        <v>35</v>
      </c>
      <c r="I94" s="519">
        <v>55</v>
      </c>
      <c r="J94" s="519">
        <v>30</v>
      </c>
      <c r="K94" s="519">
        <v>50</v>
      </c>
      <c r="L94" s="519">
        <v>30</v>
      </c>
      <c r="M94" s="519">
        <v>50</v>
      </c>
      <c r="N94" s="519">
        <v>0</v>
      </c>
      <c r="O94" s="484">
        <v>435</v>
      </c>
      <c r="P94" s="86"/>
      <c r="Q94" s="86"/>
      <c r="R94" s="86"/>
      <c r="S94" s="86"/>
      <c r="T94" s="86"/>
      <c r="U94" s="86"/>
      <c r="V94" s="86"/>
      <c r="W94" s="86"/>
      <c r="X94" s="86"/>
      <c r="Y94" s="86"/>
      <c r="Z94" s="86"/>
      <c r="AA94" s="86"/>
      <c r="AB94" s="86"/>
    </row>
    <row r="95" spans="1:28" s="85" customFormat="1" ht="12.75" x14ac:dyDescent="0.2">
      <c r="A95" s="292" t="s">
        <v>382</v>
      </c>
      <c r="B95" s="293" t="s">
        <v>522</v>
      </c>
      <c r="C95" s="518">
        <v>75</v>
      </c>
      <c r="D95" s="519">
        <v>85</v>
      </c>
      <c r="E95" s="519">
        <v>65</v>
      </c>
      <c r="F95" s="519">
        <v>70</v>
      </c>
      <c r="G95" s="519">
        <v>75</v>
      </c>
      <c r="H95" s="519">
        <v>65</v>
      </c>
      <c r="I95" s="519">
        <v>95</v>
      </c>
      <c r="J95" s="519">
        <v>80</v>
      </c>
      <c r="K95" s="519">
        <v>70</v>
      </c>
      <c r="L95" s="519">
        <v>65</v>
      </c>
      <c r="M95" s="519">
        <v>65</v>
      </c>
      <c r="N95" s="519">
        <v>45</v>
      </c>
      <c r="O95" s="484">
        <v>860</v>
      </c>
      <c r="P95" s="86"/>
      <c r="Q95" s="86"/>
      <c r="R95" s="86"/>
      <c r="S95" s="86"/>
      <c r="T95" s="86"/>
      <c r="U95" s="86"/>
      <c r="V95" s="86"/>
      <c r="W95" s="86"/>
      <c r="X95" s="86"/>
      <c r="Y95" s="86"/>
      <c r="Z95" s="86"/>
      <c r="AA95" s="86"/>
      <c r="AB95" s="86"/>
    </row>
    <row r="96" spans="1:28" s="85" customFormat="1" ht="12.75" x14ac:dyDescent="0.2">
      <c r="A96" s="292" t="s">
        <v>383</v>
      </c>
      <c r="B96" s="433" t="s">
        <v>523</v>
      </c>
      <c r="C96" s="518">
        <v>165</v>
      </c>
      <c r="D96" s="519">
        <v>165</v>
      </c>
      <c r="E96" s="519">
        <v>180</v>
      </c>
      <c r="F96" s="519">
        <v>155</v>
      </c>
      <c r="G96" s="519">
        <v>160</v>
      </c>
      <c r="H96" s="519">
        <v>150</v>
      </c>
      <c r="I96" s="519">
        <v>170</v>
      </c>
      <c r="J96" s="519">
        <v>150</v>
      </c>
      <c r="K96" s="519">
        <v>145</v>
      </c>
      <c r="L96" s="519">
        <v>175</v>
      </c>
      <c r="M96" s="519">
        <v>140</v>
      </c>
      <c r="N96" s="519">
        <v>105</v>
      </c>
      <c r="O96" s="484">
        <v>1865</v>
      </c>
      <c r="P96" s="86"/>
      <c r="Q96" s="86"/>
      <c r="R96" s="86"/>
      <c r="S96" s="86"/>
      <c r="T96" s="86"/>
      <c r="U96" s="86"/>
      <c r="V96" s="86"/>
      <c r="W96" s="86"/>
      <c r="X96" s="86"/>
      <c r="Y96" s="86"/>
      <c r="Z96" s="86"/>
      <c r="AA96" s="86"/>
      <c r="AB96" s="86"/>
    </row>
    <row r="97" spans="1:28" s="85" customFormat="1" ht="12.75" x14ac:dyDescent="0.2">
      <c r="A97" s="292" t="s">
        <v>384</v>
      </c>
      <c r="B97" s="293" t="s">
        <v>524</v>
      </c>
      <c r="C97" s="518">
        <v>65</v>
      </c>
      <c r="D97" s="519">
        <v>70</v>
      </c>
      <c r="E97" s="519">
        <v>65</v>
      </c>
      <c r="F97" s="519">
        <v>65</v>
      </c>
      <c r="G97" s="519">
        <v>55</v>
      </c>
      <c r="H97" s="519">
        <v>60</v>
      </c>
      <c r="I97" s="519">
        <v>50</v>
      </c>
      <c r="J97" s="519">
        <v>50</v>
      </c>
      <c r="K97" s="519">
        <v>70</v>
      </c>
      <c r="L97" s="519">
        <v>50</v>
      </c>
      <c r="M97" s="519">
        <v>50</v>
      </c>
      <c r="N97" s="519">
        <v>35</v>
      </c>
      <c r="O97" s="484">
        <v>680</v>
      </c>
      <c r="P97" s="86"/>
      <c r="Q97" s="86"/>
      <c r="R97" s="86"/>
      <c r="S97" s="86"/>
      <c r="T97" s="86"/>
      <c r="U97" s="86"/>
      <c r="V97" s="86"/>
      <c r="W97" s="86"/>
      <c r="X97" s="86"/>
      <c r="Y97" s="86"/>
      <c r="Z97" s="86"/>
      <c r="AA97" s="86"/>
      <c r="AB97" s="86"/>
    </row>
    <row r="98" spans="1:28" s="85" customFormat="1" ht="12.75" x14ac:dyDescent="0.2">
      <c r="A98" s="292" t="s">
        <v>385</v>
      </c>
      <c r="B98" s="293" t="s">
        <v>525</v>
      </c>
      <c r="C98" s="518">
        <v>165</v>
      </c>
      <c r="D98" s="519">
        <v>190</v>
      </c>
      <c r="E98" s="519">
        <v>160</v>
      </c>
      <c r="F98" s="519">
        <v>190</v>
      </c>
      <c r="G98" s="519">
        <v>170</v>
      </c>
      <c r="H98" s="519">
        <v>180</v>
      </c>
      <c r="I98" s="519">
        <v>170</v>
      </c>
      <c r="J98" s="519">
        <v>175</v>
      </c>
      <c r="K98" s="519">
        <v>175</v>
      </c>
      <c r="L98" s="519">
        <v>165</v>
      </c>
      <c r="M98" s="519">
        <v>165</v>
      </c>
      <c r="N98" s="519">
        <v>120</v>
      </c>
      <c r="O98" s="484">
        <v>2030</v>
      </c>
      <c r="P98" s="86"/>
      <c r="Q98" s="86"/>
      <c r="R98" s="86"/>
      <c r="S98" s="86"/>
      <c r="T98" s="86"/>
      <c r="U98" s="86"/>
      <c r="V98" s="86"/>
      <c r="W98" s="86"/>
      <c r="X98" s="86"/>
      <c r="Y98" s="86"/>
      <c r="Z98" s="86"/>
      <c r="AA98" s="86"/>
      <c r="AB98" s="86"/>
    </row>
    <row r="99" spans="1:28" s="85" customFormat="1" ht="12.75" x14ac:dyDescent="0.2">
      <c r="A99" s="292" t="s">
        <v>386</v>
      </c>
      <c r="B99" s="293" t="s">
        <v>526</v>
      </c>
      <c r="C99" s="518">
        <v>95</v>
      </c>
      <c r="D99" s="519">
        <v>100</v>
      </c>
      <c r="E99" s="519">
        <v>80</v>
      </c>
      <c r="F99" s="519">
        <v>85</v>
      </c>
      <c r="G99" s="519">
        <v>90</v>
      </c>
      <c r="H99" s="519">
        <v>75</v>
      </c>
      <c r="I99" s="519">
        <v>0</v>
      </c>
      <c r="J99" s="519">
        <v>0</v>
      </c>
      <c r="K99" s="519">
        <v>0</v>
      </c>
      <c r="L99" s="519">
        <v>0</v>
      </c>
      <c r="M99" s="519">
        <v>0</v>
      </c>
      <c r="N99" s="519">
        <v>0</v>
      </c>
      <c r="O99" s="484">
        <v>525</v>
      </c>
      <c r="P99" s="86"/>
      <c r="Q99" s="86"/>
      <c r="R99" s="86"/>
      <c r="S99" s="86"/>
      <c r="T99" s="86"/>
      <c r="U99" s="86"/>
      <c r="V99" s="86"/>
      <c r="W99" s="86"/>
      <c r="X99" s="86"/>
      <c r="Y99" s="86"/>
      <c r="Z99" s="86"/>
      <c r="AA99" s="86"/>
      <c r="AB99" s="86"/>
    </row>
    <row r="100" spans="1:28" s="85" customFormat="1" ht="12.75" x14ac:dyDescent="0.2">
      <c r="A100" s="292" t="s">
        <v>616</v>
      </c>
      <c r="B100" s="293" t="s">
        <v>617</v>
      </c>
      <c r="C100" s="518">
        <v>0</v>
      </c>
      <c r="D100" s="519">
        <v>0</v>
      </c>
      <c r="E100" s="519">
        <v>0</v>
      </c>
      <c r="F100" s="519" t="s">
        <v>636</v>
      </c>
      <c r="G100" s="519">
        <v>0</v>
      </c>
      <c r="H100" s="519">
        <v>10</v>
      </c>
      <c r="I100" s="519">
        <v>95</v>
      </c>
      <c r="J100" s="519">
        <v>85</v>
      </c>
      <c r="K100" s="519">
        <v>80</v>
      </c>
      <c r="L100" s="519">
        <v>80</v>
      </c>
      <c r="M100" s="519">
        <v>85</v>
      </c>
      <c r="N100" s="519">
        <v>60</v>
      </c>
      <c r="O100" s="484">
        <v>490</v>
      </c>
      <c r="P100" s="86"/>
      <c r="Q100" s="86"/>
      <c r="R100" s="86"/>
      <c r="S100" s="86"/>
      <c r="T100" s="86"/>
      <c r="U100" s="86"/>
      <c r="V100" s="86"/>
      <c r="W100" s="86"/>
      <c r="X100" s="86"/>
      <c r="Y100" s="86"/>
      <c r="Z100" s="86"/>
      <c r="AA100" s="86"/>
      <c r="AB100" s="86"/>
    </row>
    <row r="101" spans="1:28" s="85" customFormat="1" ht="12.75" x14ac:dyDescent="0.2">
      <c r="A101" s="292" t="s">
        <v>387</v>
      </c>
      <c r="B101" s="293" t="s">
        <v>527</v>
      </c>
      <c r="C101" s="518">
        <v>70</v>
      </c>
      <c r="D101" s="519">
        <v>60</v>
      </c>
      <c r="E101" s="519">
        <v>55</v>
      </c>
      <c r="F101" s="519">
        <v>50</v>
      </c>
      <c r="G101" s="519">
        <v>55</v>
      </c>
      <c r="H101" s="519">
        <v>45</v>
      </c>
      <c r="I101" s="519">
        <v>55</v>
      </c>
      <c r="J101" s="519">
        <v>55</v>
      </c>
      <c r="K101" s="519">
        <v>60</v>
      </c>
      <c r="L101" s="519">
        <v>45</v>
      </c>
      <c r="M101" s="519">
        <v>55</v>
      </c>
      <c r="N101" s="519">
        <v>40</v>
      </c>
      <c r="O101" s="484">
        <v>640</v>
      </c>
      <c r="P101" s="86"/>
      <c r="Q101" s="86"/>
      <c r="R101" s="86"/>
      <c r="S101" s="86"/>
      <c r="T101" s="86"/>
      <c r="U101" s="86"/>
      <c r="V101" s="86"/>
      <c r="W101" s="86"/>
      <c r="X101" s="86"/>
      <c r="Y101" s="86"/>
      <c r="Z101" s="86"/>
      <c r="AA101" s="86"/>
      <c r="AB101" s="86"/>
    </row>
    <row r="102" spans="1:28" s="85" customFormat="1" ht="12.75" x14ac:dyDescent="0.2">
      <c r="A102" s="292" t="s">
        <v>388</v>
      </c>
      <c r="B102" s="293" t="s">
        <v>528</v>
      </c>
      <c r="C102" s="518">
        <v>80</v>
      </c>
      <c r="D102" s="519">
        <v>75</v>
      </c>
      <c r="E102" s="519">
        <v>80</v>
      </c>
      <c r="F102" s="519">
        <v>95</v>
      </c>
      <c r="G102" s="519">
        <v>90</v>
      </c>
      <c r="H102" s="519">
        <v>80</v>
      </c>
      <c r="I102" s="519">
        <v>70</v>
      </c>
      <c r="J102" s="519">
        <v>80</v>
      </c>
      <c r="K102" s="519">
        <v>90</v>
      </c>
      <c r="L102" s="519">
        <v>90</v>
      </c>
      <c r="M102" s="519">
        <v>70</v>
      </c>
      <c r="N102" s="519">
        <v>70</v>
      </c>
      <c r="O102" s="484">
        <v>970</v>
      </c>
      <c r="P102" s="86"/>
      <c r="Q102" s="86"/>
      <c r="R102" s="86"/>
      <c r="S102" s="86"/>
      <c r="T102" s="86"/>
      <c r="U102" s="86"/>
      <c r="V102" s="86"/>
      <c r="W102" s="86"/>
      <c r="X102" s="86"/>
      <c r="Y102" s="86"/>
      <c r="Z102" s="86"/>
      <c r="AA102" s="86"/>
      <c r="AB102" s="86"/>
    </row>
    <row r="103" spans="1:28" s="85" customFormat="1" ht="12.75" x14ac:dyDescent="0.2">
      <c r="A103" s="294" t="s">
        <v>389</v>
      </c>
      <c r="B103" s="293" t="s">
        <v>529</v>
      </c>
      <c r="C103" s="518">
        <v>30</v>
      </c>
      <c r="D103" s="519">
        <v>40</v>
      </c>
      <c r="E103" s="519">
        <v>35</v>
      </c>
      <c r="F103" s="519">
        <v>50</v>
      </c>
      <c r="G103" s="519">
        <v>35</v>
      </c>
      <c r="H103" s="519">
        <v>40</v>
      </c>
      <c r="I103" s="519">
        <v>35</v>
      </c>
      <c r="J103" s="519">
        <v>30</v>
      </c>
      <c r="K103" s="519">
        <v>30</v>
      </c>
      <c r="L103" s="519">
        <v>35</v>
      </c>
      <c r="M103" s="519">
        <v>30</v>
      </c>
      <c r="N103" s="519">
        <v>35</v>
      </c>
      <c r="O103" s="484">
        <v>430</v>
      </c>
      <c r="P103" s="86"/>
      <c r="Q103" s="86"/>
      <c r="R103" s="86"/>
      <c r="S103" s="86"/>
      <c r="T103" s="86"/>
      <c r="U103" s="86"/>
      <c r="V103" s="86"/>
      <c r="W103" s="86"/>
      <c r="X103" s="86"/>
      <c r="Y103" s="86"/>
      <c r="Z103" s="86"/>
      <c r="AA103" s="86"/>
      <c r="AB103" s="86"/>
    </row>
    <row r="104" spans="1:28" s="85" customFormat="1" ht="12.75" x14ac:dyDescent="0.2">
      <c r="A104" s="294" t="s">
        <v>390</v>
      </c>
      <c r="B104" s="293" t="s">
        <v>530</v>
      </c>
      <c r="C104" s="518">
        <v>80</v>
      </c>
      <c r="D104" s="519">
        <v>95</v>
      </c>
      <c r="E104" s="519">
        <v>95</v>
      </c>
      <c r="F104" s="519">
        <v>90</v>
      </c>
      <c r="G104" s="519">
        <v>95</v>
      </c>
      <c r="H104" s="519">
        <v>95</v>
      </c>
      <c r="I104" s="519">
        <v>110</v>
      </c>
      <c r="J104" s="519">
        <v>90</v>
      </c>
      <c r="K104" s="519">
        <v>90</v>
      </c>
      <c r="L104" s="519">
        <v>115</v>
      </c>
      <c r="M104" s="519">
        <v>95</v>
      </c>
      <c r="N104" s="519">
        <v>75</v>
      </c>
      <c r="O104" s="484">
        <v>1130</v>
      </c>
      <c r="P104" s="86"/>
      <c r="Q104" s="86"/>
      <c r="R104" s="86"/>
      <c r="S104" s="86"/>
      <c r="T104" s="86"/>
      <c r="U104" s="86"/>
      <c r="V104" s="86"/>
      <c r="W104" s="86"/>
      <c r="X104" s="86"/>
      <c r="Y104" s="86"/>
      <c r="Z104" s="86"/>
      <c r="AA104" s="86"/>
      <c r="AB104" s="86"/>
    </row>
    <row r="105" spans="1:28" s="85" customFormat="1" ht="12.75" x14ac:dyDescent="0.2">
      <c r="A105" s="294" t="s">
        <v>391</v>
      </c>
      <c r="B105" s="293" t="s">
        <v>531</v>
      </c>
      <c r="C105" s="518">
        <v>160</v>
      </c>
      <c r="D105" s="519">
        <v>140</v>
      </c>
      <c r="E105" s="519">
        <v>140</v>
      </c>
      <c r="F105" s="519">
        <v>145</v>
      </c>
      <c r="G105" s="519">
        <v>130</v>
      </c>
      <c r="H105" s="519">
        <v>145</v>
      </c>
      <c r="I105" s="519">
        <v>160</v>
      </c>
      <c r="J105" s="519">
        <v>140</v>
      </c>
      <c r="K105" s="519">
        <v>170</v>
      </c>
      <c r="L105" s="519">
        <v>155</v>
      </c>
      <c r="M105" s="519">
        <v>155</v>
      </c>
      <c r="N105" s="519">
        <v>145</v>
      </c>
      <c r="O105" s="484">
        <v>1790</v>
      </c>
      <c r="P105" s="86"/>
      <c r="Q105" s="86"/>
      <c r="R105" s="86"/>
      <c r="S105" s="86"/>
      <c r="T105" s="86"/>
      <c r="U105" s="86"/>
      <c r="V105" s="86"/>
      <c r="W105" s="86"/>
      <c r="X105" s="86"/>
      <c r="Y105" s="86"/>
      <c r="Z105" s="86"/>
      <c r="AA105" s="86"/>
      <c r="AB105" s="86"/>
    </row>
    <row r="106" spans="1:28" s="85" customFormat="1" ht="12.75" x14ac:dyDescent="0.2">
      <c r="A106" s="294" t="s">
        <v>392</v>
      </c>
      <c r="B106" s="293" t="s">
        <v>532</v>
      </c>
      <c r="C106" s="518">
        <v>120</v>
      </c>
      <c r="D106" s="519">
        <v>110</v>
      </c>
      <c r="E106" s="519">
        <v>125</v>
      </c>
      <c r="F106" s="519">
        <v>135</v>
      </c>
      <c r="G106" s="519">
        <v>120</v>
      </c>
      <c r="H106" s="519">
        <v>120</v>
      </c>
      <c r="I106" s="519">
        <v>115</v>
      </c>
      <c r="J106" s="519">
        <v>130</v>
      </c>
      <c r="K106" s="519">
        <v>105</v>
      </c>
      <c r="L106" s="519">
        <v>110</v>
      </c>
      <c r="M106" s="519">
        <v>120</v>
      </c>
      <c r="N106" s="519">
        <v>75</v>
      </c>
      <c r="O106" s="484">
        <v>1385</v>
      </c>
      <c r="P106" s="86"/>
      <c r="Q106" s="86"/>
      <c r="R106" s="86"/>
      <c r="S106" s="86"/>
      <c r="T106" s="86"/>
      <c r="U106" s="86"/>
      <c r="V106" s="86"/>
      <c r="W106" s="86"/>
      <c r="X106" s="86"/>
      <c r="Y106" s="86"/>
      <c r="Z106" s="86"/>
      <c r="AA106" s="86"/>
      <c r="AB106" s="86"/>
    </row>
    <row r="107" spans="1:28" s="85" customFormat="1" ht="12.75" x14ac:dyDescent="0.2">
      <c r="A107" s="292" t="s">
        <v>393</v>
      </c>
      <c r="B107" s="293" t="s">
        <v>533</v>
      </c>
      <c r="C107" s="518">
        <v>60</v>
      </c>
      <c r="D107" s="519">
        <v>50</v>
      </c>
      <c r="E107" s="519">
        <v>60</v>
      </c>
      <c r="F107" s="519">
        <v>45</v>
      </c>
      <c r="G107" s="519">
        <v>50</v>
      </c>
      <c r="H107" s="519">
        <v>50</v>
      </c>
      <c r="I107" s="519">
        <v>55</v>
      </c>
      <c r="J107" s="519">
        <v>60</v>
      </c>
      <c r="K107" s="519">
        <v>65</v>
      </c>
      <c r="L107" s="519">
        <v>60</v>
      </c>
      <c r="M107" s="519">
        <v>60</v>
      </c>
      <c r="N107" s="519">
        <v>45</v>
      </c>
      <c r="O107" s="484">
        <v>650</v>
      </c>
      <c r="P107" s="86"/>
      <c r="Q107" s="86"/>
      <c r="R107" s="86"/>
      <c r="S107" s="86"/>
      <c r="T107" s="86"/>
      <c r="U107" s="86"/>
      <c r="V107" s="86"/>
      <c r="W107" s="86"/>
      <c r="X107" s="86"/>
      <c r="Y107" s="86"/>
      <c r="Z107" s="86"/>
      <c r="AA107" s="86"/>
      <c r="AB107" s="86"/>
    </row>
    <row r="108" spans="1:28" s="85" customFormat="1" ht="12.75" x14ac:dyDescent="0.2">
      <c r="A108" s="292" t="s">
        <v>394</v>
      </c>
      <c r="B108" s="293" t="s">
        <v>534</v>
      </c>
      <c r="C108" s="518">
        <v>220</v>
      </c>
      <c r="D108" s="519">
        <v>215</v>
      </c>
      <c r="E108" s="519">
        <v>230</v>
      </c>
      <c r="F108" s="519">
        <v>275</v>
      </c>
      <c r="G108" s="519">
        <v>265</v>
      </c>
      <c r="H108" s="519">
        <v>205</v>
      </c>
      <c r="I108" s="519">
        <v>10</v>
      </c>
      <c r="J108" s="519">
        <v>0</v>
      </c>
      <c r="K108" s="519">
        <v>0</v>
      </c>
      <c r="L108" s="519">
        <v>0</v>
      </c>
      <c r="M108" s="519">
        <v>0</v>
      </c>
      <c r="N108" s="519">
        <v>0</v>
      </c>
      <c r="O108" s="484">
        <v>1420</v>
      </c>
      <c r="P108" s="86"/>
      <c r="Q108" s="86"/>
      <c r="R108" s="86"/>
      <c r="S108" s="86"/>
      <c r="T108" s="86"/>
      <c r="U108" s="86"/>
      <c r="V108" s="86"/>
      <c r="W108" s="86"/>
      <c r="X108" s="86"/>
      <c r="Y108" s="86"/>
      <c r="Z108" s="86"/>
      <c r="AA108" s="86"/>
      <c r="AB108" s="86"/>
    </row>
    <row r="109" spans="1:28" s="85" customFormat="1" ht="12.75" x14ac:dyDescent="0.2">
      <c r="A109" s="294" t="s">
        <v>395</v>
      </c>
      <c r="B109" s="293" t="s">
        <v>535</v>
      </c>
      <c r="C109" s="518">
        <v>110</v>
      </c>
      <c r="D109" s="519">
        <v>115</v>
      </c>
      <c r="E109" s="519">
        <v>100</v>
      </c>
      <c r="F109" s="519">
        <v>105</v>
      </c>
      <c r="G109" s="519">
        <v>110</v>
      </c>
      <c r="H109" s="519">
        <v>125</v>
      </c>
      <c r="I109" s="519">
        <v>130</v>
      </c>
      <c r="J109" s="519">
        <v>105</v>
      </c>
      <c r="K109" s="519">
        <v>105</v>
      </c>
      <c r="L109" s="519">
        <v>125</v>
      </c>
      <c r="M109" s="519">
        <v>85</v>
      </c>
      <c r="N109" s="519">
        <v>60</v>
      </c>
      <c r="O109" s="484">
        <v>1270</v>
      </c>
      <c r="P109" s="86"/>
      <c r="Q109" s="86"/>
      <c r="R109" s="86"/>
      <c r="S109" s="86"/>
      <c r="T109" s="86"/>
      <c r="U109" s="86"/>
      <c r="V109" s="86"/>
      <c r="W109" s="86"/>
      <c r="X109" s="86"/>
      <c r="Y109" s="86"/>
      <c r="Z109" s="86"/>
      <c r="AA109" s="86"/>
      <c r="AB109" s="86"/>
    </row>
    <row r="110" spans="1:28" s="85" customFormat="1" ht="12.75" x14ac:dyDescent="0.2">
      <c r="A110" s="292" t="s">
        <v>396</v>
      </c>
      <c r="B110" s="293" t="s">
        <v>536</v>
      </c>
      <c r="C110" s="518">
        <v>135</v>
      </c>
      <c r="D110" s="519">
        <v>135</v>
      </c>
      <c r="E110" s="519">
        <v>135</v>
      </c>
      <c r="F110" s="519">
        <v>115</v>
      </c>
      <c r="G110" s="519">
        <v>120</v>
      </c>
      <c r="H110" s="519">
        <v>125</v>
      </c>
      <c r="I110" s="519">
        <v>120</v>
      </c>
      <c r="J110" s="519">
        <v>70</v>
      </c>
      <c r="K110" s="519">
        <v>115</v>
      </c>
      <c r="L110" s="519">
        <v>105</v>
      </c>
      <c r="M110" s="519">
        <v>125</v>
      </c>
      <c r="N110" s="519">
        <v>90</v>
      </c>
      <c r="O110" s="484">
        <v>1390</v>
      </c>
      <c r="P110" s="86"/>
      <c r="Q110" s="86"/>
      <c r="R110" s="86"/>
      <c r="S110" s="86"/>
      <c r="T110" s="86"/>
      <c r="U110" s="86"/>
      <c r="V110" s="86"/>
      <c r="W110" s="86"/>
      <c r="X110" s="86"/>
      <c r="Y110" s="86"/>
      <c r="Z110" s="86"/>
      <c r="AA110" s="86"/>
      <c r="AB110" s="86"/>
    </row>
    <row r="111" spans="1:28" s="85" customFormat="1" ht="12.75" x14ac:dyDescent="0.2">
      <c r="A111" s="292" t="s">
        <v>397</v>
      </c>
      <c r="B111" s="293" t="s">
        <v>537</v>
      </c>
      <c r="C111" s="518">
        <v>50</v>
      </c>
      <c r="D111" s="519">
        <v>55</v>
      </c>
      <c r="E111" s="519">
        <v>60</v>
      </c>
      <c r="F111" s="519">
        <v>60</v>
      </c>
      <c r="G111" s="519">
        <v>50</v>
      </c>
      <c r="H111" s="519">
        <v>60</v>
      </c>
      <c r="I111" s="519">
        <v>75</v>
      </c>
      <c r="J111" s="519">
        <v>55</v>
      </c>
      <c r="K111" s="519">
        <v>60</v>
      </c>
      <c r="L111" s="519">
        <v>70</v>
      </c>
      <c r="M111" s="519">
        <v>65</v>
      </c>
      <c r="N111" s="519">
        <v>45</v>
      </c>
      <c r="O111" s="484">
        <v>710</v>
      </c>
      <c r="P111" s="86"/>
      <c r="Q111" s="86"/>
      <c r="R111" s="86"/>
      <c r="S111" s="86"/>
      <c r="T111" s="86"/>
      <c r="U111" s="86"/>
      <c r="V111" s="86"/>
      <c r="W111" s="86"/>
      <c r="X111" s="86"/>
      <c r="Y111" s="86"/>
      <c r="Z111" s="86"/>
      <c r="AA111" s="86"/>
      <c r="AB111" s="86"/>
    </row>
    <row r="112" spans="1:28" s="85" customFormat="1" ht="12.75" x14ac:dyDescent="0.2">
      <c r="A112" s="294" t="s">
        <v>398</v>
      </c>
      <c r="B112" s="293" t="s">
        <v>538</v>
      </c>
      <c r="C112" s="518">
        <v>45</v>
      </c>
      <c r="D112" s="519">
        <v>50</v>
      </c>
      <c r="E112" s="519">
        <v>55</v>
      </c>
      <c r="F112" s="519">
        <v>50</v>
      </c>
      <c r="G112" s="519">
        <v>55</v>
      </c>
      <c r="H112" s="519">
        <v>45</v>
      </c>
      <c r="I112" s="519">
        <v>55</v>
      </c>
      <c r="J112" s="519">
        <v>60</v>
      </c>
      <c r="K112" s="519">
        <v>45</v>
      </c>
      <c r="L112" s="519">
        <v>60</v>
      </c>
      <c r="M112" s="519">
        <v>45</v>
      </c>
      <c r="N112" s="519">
        <v>45</v>
      </c>
      <c r="O112" s="484">
        <v>610</v>
      </c>
      <c r="P112" s="86"/>
      <c r="Q112" s="86"/>
      <c r="R112" s="86"/>
      <c r="S112" s="86"/>
      <c r="T112" s="86"/>
      <c r="U112" s="86"/>
      <c r="V112" s="86"/>
      <c r="W112" s="86"/>
      <c r="X112" s="86"/>
      <c r="Y112" s="86"/>
      <c r="Z112" s="86"/>
      <c r="AA112" s="86"/>
      <c r="AB112" s="86"/>
    </row>
    <row r="113" spans="1:28" s="85" customFormat="1" ht="12.75" x14ac:dyDescent="0.2">
      <c r="A113" s="292" t="s">
        <v>399</v>
      </c>
      <c r="B113" s="293" t="s">
        <v>587</v>
      </c>
      <c r="C113" s="518">
        <v>330</v>
      </c>
      <c r="D113" s="519">
        <v>300</v>
      </c>
      <c r="E113" s="519">
        <v>335</v>
      </c>
      <c r="F113" s="519">
        <v>310</v>
      </c>
      <c r="G113" s="519">
        <v>275</v>
      </c>
      <c r="H113" s="519">
        <v>240</v>
      </c>
      <c r="I113" s="519">
        <v>305</v>
      </c>
      <c r="J113" s="519">
        <v>315</v>
      </c>
      <c r="K113" s="519">
        <v>325</v>
      </c>
      <c r="L113" s="519">
        <v>320</v>
      </c>
      <c r="M113" s="519">
        <v>280</v>
      </c>
      <c r="N113" s="519">
        <v>240</v>
      </c>
      <c r="O113" s="484">
        <v>3575</v>
      </c>
      <c r="P113" s="86"/>
      <c r="Q113" s="86"/>
      <c r="R113" s="86"/>
      <c r="S113" s="86"/>
      <c r="T113" s="86"/>
      <c r="U113" s="86"/>
      <c r="V113" s="86"/>
      <c r="W113" s="86"/>
      <c r="X113" s="86"/>
      <c r="Y113" s="86"/>
      <c r="Z113" s="86"/>
      <c r="AA113" s="86"/>
      <c r="AB113" s="86"/>
    </row>
    <row r="114" spans="1:28" s="85" customFormat="1" ht="12.75" x14ac:dyDescent="0.2">
      <c r="A114" s="292" t="s">
        <v>400</v>
      </c>
      <c r="B114" s="293" t="s">
        <v>539</v>
      </c>
      <c r="C114" s="518">
        <v>75</v>
      </c>
      <c r="D114" s="519">
        <v>80</v>
      </c>
      <c r="E114" s="519">
        <v>75</v>
      </c>
      <c r="F114" s="519">
        <v>75</v>
      </c>
      <c r="G114" s="519">
        <v>65</v>
      </c>
      <c r="H114" s="519">
        <v>95</v>
      </c>
      <c r="I114" s="519">
        <v>85</v>
      </c>
      <c r="J114" s="519">
        <v>80</v>
      </c>
      <c r="K114" s="519">
        <v>80</v>
      </c>
      <c r="L114" s="519">
        <v>80</v>
      </c>
      <c r="M114" s="519">
        <v>75</v>
      </c>
      <c r="N114" s="519">
        <v>65</v>
      </c>
      <c r="O114" s="484">
        <v>930</v>
      </c>
      <c r="P114" s="86"/>
      <c r="Q114" s="86"/>
      <c r="R114" s="86"/>
      <c r="S114" s="86"/>
      <c r="T114" s="86"/>
      <c r="U114" s="86"/>
      <c r="V114" s="86"/>
      <c r="W114" s="86"/>
      <c r="X114" s="86"/>
      <c r="Y114" s="86"/>
      <c r="Z114" s="86"/>
      <c r="AA114" s="86"/>
      <c r="AB114" s="86"/>
    </row>
    <row r="115" spans="1:28" s="85" customFormat="1" ht="12.75" x14ac:dyDescent="0.2">
      <c r="A115" s="292" t="s">
        <v>401</v>
      </c>
      <c r="B115" s="293" t="s">
        <v>540</v>
      </c>
      <c r="C115" s="518">
        <v>625</v>
      </c>
      <c r="D115" s="519">
        <v>615</v>
      </c>
      <c r="E115" s="519">
        <v>600</v>
      </c>
      <c r="F115" s="519">
        <v>620</v>
      </c>
      <c r="G115" s="519">
        <v>580</v>
      </c>
      <c r="H115" s="519">
        <v>595</v>
      </c>
      <c r="I115" s="519">
        <v>640</v>
      </c>
      <c r="J115" s="519">
        <v>590</v>
      </c>
      <c r="K115" s="519">
        <v>610</v>
      </c>
      <c r="L115" s="519">
        <v>595</v>
      </c>
      <c r="M115" s="519">
        <v>585</v>
      </c>
      <c r="N115" s="519">
        <v>450</v>
      </c>
      <c r="O115" s="484">
        <v>7100</v>
      </c>
      <c r="P115" s="86"/>
      <c r="Q115" s="86"/>
      <c r="R115" s="86"/>
      <c r="S115" s="86"/>
      <c r="T115" s="86"/>
      <c r="U115" s="86"/>
      <c r="V115" s="86"/>
      <c r="W115" s="86"/>
      <c r="X115" s="86"/>
      <c r="Y115" s="86"/>
      <c r="Z115" s="86"/>
      <c r="AA115" s="86"/>
      <c r="AB115" s="86"/>
    </row>
    <row r="116" spans="1:28" s="85" customFormat="1" ht="12.75" x14ac:dyDescent="0.2">
      <c r="A116" s="294" t="s">
        <v>402</v>
      </c>
      <c r="B116" s="293" t="s">
        <v>541</v>
      </c>
      <c r="C116" s="518">
        <v>65</v>
      </c>
      <c r="D116" s="519">
        <v>60</v>
      </c>
      <c r="E116" s="519">
        <v>60</v>
      </c>
      <c r="F116" s="519">
        <v>50</v>
      </c>
      <c r="G116" s="519">
        <v>55</v>
      </c>
      <c r="H116" s="519">
        <v>60</v>
      </c>
      <c r="I116" s="519">
        <v>50</v>
      </c>
      <c r="J116" s="519">
        <v>55</v>
      </c>
      <c r="K116" s="519">
        <v>70</v>
      </c>
      <c r="L116" s="519">
        <v>55</v>
      </c>
      <c r="M116" s="519">
        <v>60</v>
      </c>
      <c r="N116" s="519">
        <v>35</v>
      </c>
      <c r="O116" s="484">
        <v>675</v>
      </c>
      <c r="P116" s="86"/>
      <c r="Q116" s="86"/>
      <c r="R116" s="86"/>
      <c r="S116" s="86"/>
      <c r="T116" s="86"/>
      <c r="U116" s="86"/>
      <c r="V116" s="86"/>
      <c r="W116" s="86"/>
      <c r="X116" s="86"/>
      <c r="Y116" s="86"/>
      <c r="Z116" s="86"/>
      <c r="AA116" s="86"/>
      <c r="AB116" s="86"/>
    </row>
    <row r="117" spans="1:28" s="85" customFormat="1" ht="12.75" x14ac:dyDescent="0.2">
      <c r="A117" s="292" t="s">
        <v>403</v>
      </c>
      <c r="B117" s="293" t="s">
        <v>542</v>
      </c>
      <c r="C117" s="518">
        <v>65</v>
      </c>
      <c r="D117" s="519">
        <v>70</v>
      </c>
      <c r="E117" s="519">
        <v>75</v>
      </c>
      <c r="F117" s="519">
        <v>70</v>
      </c>
      <c r="G117" s="519">
        <v>70</v>
      </c>
      <c r="H117" s="519">
        <v>75</v>
      </c>
      <c r="I117" s="519">
        <v>80</v>
      </c>
      <c r="J117" s="519">
        <v>90</v>
      </c>
      <c r="K117" s="519">
        <v>70</v>
      </c>
      <c r="L117" s="519">
        <v>95</v>
      </c>
      <c r="M117" s="519">
        <v>80</v>
      </c>
      <c r="N117" s="519">
        <v>45</v>
      </c>
      <c r="O117" s="484">
        <v>880</v>
      </c>
      <c r="P117" s="86"/>
      <c r="Q117" s="86"/>
      <c r="R117" s="86"/>
      <c r="S117" s="86"/>
      <c r="T117" s="86"/>
      <c r="U117" s="86"/>
      <c r="V117" s="86"/>
      <c r="W117" s="86"/>
      <c r="X117" s="86"/>
      <c r="Y117" s="86"/>
      <c r="Z117" s="86"/>
      <c r="AA117" s="86"/>
      <c r="AB117" s="86"/>
    </row>
    <row r="118" spans="1:28" s="85" customFormat="1" ht="12.75" x14ac:dyDescent="0.2">
      <c r="A118" s="292" t="s">
        <v>404</v>
      </c>
      <c r="B118" s="433" t="s">
        <v>543</v>
      </c>
      <c r="C118" s="518">
        <v>390</v>
      </c>
      <c r="D118" s="519">
        <v>435</v>
      </c>
      <c r="E118" s="519">
        <v>390</v>
      </c>
      <c r="F118" s="519">
        <v>450</v>
      </c>
      <c r="G118" s="519">
        <v>400</v>
      </c>
      <c r="H118" s="519">
        <v>420</v>
      </c>
      <c r="I118" s="519">
        <v>410</v>
      </c>
      <c r="J118" s="519">
        <v>380</v>
      </c>
      <c r="K118" s="519">
        <v>355</v>
      </c>
      <c r="L118" s="519">
        <v>385</v>
      </c>
      <c r="M118" s="519">
        <v>385</v>
      </c>
      <c r="N118" s="519">
        <v>325</v>
      </c>
      <c r="O118" s="484">
        <v>4725</v>
      </c>
      <c r="P118" s="86"/>
      <c r="Q118" s="86"/>
      <c r="R118" s="86"/>
      <c r="S118" s="86"/>
      <c r="T118" s="86"/>
      <c r="U118" s="86"/>
      <c r="V118" s="86"/>
      <c r="W118" s="86"/>
      <c r="X118" s="86"/>
      <c r="Y118" s="86"/>
      <c r="Z118" s="86"/>
      <c r="AA118" s="86"/>
      <c r="AB118" s="86"/>
    </row>
    <row r="119" spans="1:28" s="85" customFormat="1" ht="12.75" x14ac:dyDescent="0.2">
      <c r="A119" s="294" t="s">
        <v>405</v>
      </c>
      <c r="B119" s="293" t="s">
        <v>544</v>
      </c>
      <c r="C119" s="518">
        <v>390</v>
      </c>
      <c r="D119" s="519">
        <v>390</v>
      </c>
      <c r="E119" s="519">
        <v>330</v>
      </c>
      <c r="F119" s="519">
        <v>380</v>
      </c>
      <c r="G119" s="519">
        <v>360</v>
      </c>
      <c r="H119" s="519">
        <v>350</v>
      </c>
      <c r="I119" s="519">
        <v>415</v>
      </c>
      <c r="J119" s="519">
        <v>380</v>
      </c>
      <c r="K119" s="519">
        <v>350</v>
      </c>
      <c r="L119" s="519">
        <v>390</v>
      </c>
      <c r="M119" s="519">
        <v>335</v>
      </c>
      <c r="N119" s="519">
        <v>285</v>
      </c>
      <c r="O119" s="484">
        <v>4350</v>
      </c>
      <c r="P119" s="86"/>
      <c r="Q119" s="86"/>
      <c r="R119" s="86"/>
      <c r="S119" s="86"/>
      <c r="T119" s="86"/>
      <c r="U119" s="86"/>
      <c r="V119" s="86"/>
      <c r="W119" s="86"/>
      <c r="X119" s="86"/>
      <c r="Y119" s="86"/>
      <c r="Z119" s="86"/>
      <c r="AA119" s="86"/>
      <c r="AB119" s="86"/>
    </row>
    <row r="120" spans="1:28" s="85" customFormat="1" ht="12.75" x14ac:dyDescent="0.2">
      <c r="A120" s="292" t="s">
        <v>406</v>
      </c>
      <c r="B120" s="293" t="s">
        <v>545</v>
      </c>
      <c r="C120" s="518">
        <v>695</v>
      </c>
      <c r="D120" s="519">
        <v>800</v>
      </c>
      <c r="E120" s="519">
        <v>710</v>
      </c>
      <c r="F120" s="519">
        <v>710</v>
      </c>
      <c r="G120" s="519">
        <v>645</v>
      </c>
      <c r="H120" s="519">
        <v>705</v>
      </c>
      <c r="I120" s="519">
        <v>760</v>
      </c>
      <c r="J120" s="519">
        <v>780</v>
      </c>
      <c r="K120" s="519">
        <v>695</v>
      </c>
      <c r="L120" s="519">
        <v>705</v>
      </c>
      <c r="M120" s="519">
        <v>740</v>
      </c>
      <c r="N120" s="519">
        <v>550</v>
      </c>
      <c r="O120" s="484">
        <v>8490</v>
      </c>
      <c r="P120" s="86"/>
      <c r="Q120" s="86"/>
      <c r="R120" s="86"/>
      <c r="S120" s="86"/>
      <c r="T120" s="86"/>
      <c r="U120" s="86"/>
      <c r="V120" s="86"/>
      <c r="W120" s="86"/>
      <c r="X120" s="86"/>
      <c r="Y120" s="86"/>
      <c r="Z120" s="86"/>
      <c r="AA120" s="86"/>
      <c r="AB120" s="86"/>
    </row>
    <row r="121" spans="1:28" s="85" customFormat="1" ht="12.75" x14ac:dyDescent="0.2">
      <c r="A121" s="292" t="s">
        <v>407</v>
      </c>
      <c r="B121" s="293" t="s">
        <v>546</v>
      </c>
      <c r="C121" s="518">
        <v>505</v>
      </c>
      <c r="D121" s="519">
        <v>550</v>
      </c>
      <c r="E121" s="519">
        <v>530</v>
      </c>
      <c r="F121" s="519">
        <v>565</v>
      </c>
      <c r="G121" s="519">
        <v>505</v>
      </c>
      <c r="H121" s="519">
        <v>490</v>
      </c>
      <c r="I121" s="519">
        <v>560</v>
      </c>
      <c r="J121" s="519">
        <v>545</v>
      </c>
      <c r="K121" s="519">
        <v>460</v>
      </c>
      <c r="L121" s="519">
        <v>500</v>
      </c>
      <c r="M121" s="519">
        <v>490</v>
      </c>
      <c r="N121" s="519">
        <v>360</v>
      </c>
      <c r="O121" s="484">
        <v>6065</v>
      </c>
      <c r="P121" s="86"/>
      <c r="Q121" s="86"/>
      <c r="R121" s="86"/>
      <c r="S121" s="86"/>
      <c r="T121" s="86"/>
      <c r="U121" s="86"/>
      <c r="V121" s="86"/>
      <c r="W121" s="86"/>
      <c r="X121" s="86"/>
      <c r="Y121" s="86"/>
      <c r="Z121" s="86"/>
      <c r="AA121" s="86"/>
      <c r="AB121" s="86"/>
    </row>
    <row r="122" spans="1:28" s="85" customFormat="1" ht="12.75" x14ac:dyDescent="0.2">
      <c r="A122" s="292" t="s">
        <v>408</v>
      </c>
      <c r="B122" s="293" t="s">
        <v>547</v>
      </c>
      <c r="C122" s="518">
        <v>130</v>
      </c>
      <c r="D122" s="519">
        <v>130</v>
      </c>
      <c r="E122" s="519">
        <v>145</v>
      </c>
      <c r="F122" s="519">
        <v>120</v>
      </c>
      <c r="G122" s="519">
        <v>155</v>
      </c>
      <c r="H122" s="519">
        <v>150</v>
      </c>
      <c r="I122" s="519">
        <v>145</v>
      </c>
      <c r="J122" s="519">
        <v>140</v>
      </c>
      <c r="K122" s="519">
        <v>150</v>
      </c>
      <c r="L122" s="519">
        <v>150</v>
      </c>
      <c r="M122" s="519">
        <v>160</v>
      </c>
      <c r="N122" s="519">
        <v>125</v>
      </c>
      <c r="O122" s="484">
        <v>1705</v>
      </c>
      <c r="P122" s="86"/>
      <c r="Q122" s="86"/>
      <c r="R122" s="86"/>
      <c r="S122" s="86"/>
      <c r="T122" s="86"/>
      <c r="U122" s="86"/>
      <c r="V122" s="86"/>
      <c r="W122" s="86"/>
      <c r="X122" s="86"/>
      <c r="Y122" s="86"/>
      <c r="Z122" s="86"/>
      <c r="AA122" s="86"/>
      <c r="AB122" s="86"/>
    </row>
    <row r="123" spans="1:28" s="85" customFormat="1" ht="12.75" x14ac:dyDescent="0.2">
      <c r="A123" s="292" t="s">
        <v>409</v>
      </c>
      <c r="B123" s="293" t="s">
        <v>548</v>
      </c>
      <c r="C123" s="518">
        <v>140</v>
      </c>
      <c r="D123" s="519">
        <v>145</v>
      </c>
      <c r="E123" s="519">
        <v>145</v>
      </c>
      <c r="F123" s="519">
        <v>140</v>
      </c>
      <c r="G123" s="519">
        <v>140</v>
      </c>
      <c r="H123" s="519">
        <v>115</v>
      </c>
      <c r="I123" s="519">
        <v>135</v>
      </c>
      <c r="J123" s="519">
        <v>130</v>
      </c>
      <c r="K123" s="519">
        <v>135</v>
      </c>
      <c r="L123" s="519">
        <v>160</v>
      </c>
      <c r="M123" s="519">
        <v>130</v>
      </c>
      <c r="N123" s="519">
        <v>120</v>
      </c>
      <c r="O123" s="484">
        <v>1630</v>
      </c>
      <c r="P123" s="86"/>
      <c r="Q123" s="86"/>
      <c r="R123" s="86"/>
      <c r="S123" s="86"/>
      <c r="T123" s="86"/>
      <c r="U123" s="86"/>
      <c r="V123" s="86"/>
      <c r="W123" s="86"/>
      <c r="X123" s="86"/>
      <c r="Y123" s="86"/>
      <c r="Z123" s="86"/>
      <c r="AA123" s="86"/>
      <c r="AB123" s="86"/>
    </row>
    <row r="124" spans="1:28" s="85" customFormat="1" ht="12.75" x14ac:dyDescent="0.2">
      <c r="A124" s="292" t="s">
        <v>410</v>
      </c>
      <c r="B124" s="293" t="s">
        <v>549</v>
      </c>
      <c r="C124" s="518">
        <v>230</v>
      </c>
      <c r="D124" s="519">
        <v>260</v>
      </c>
      <c r="E124" s="519">
        <v>230</v>
      </c>
      <c r="F124" s="519">
        <v>265</v>
      </c>
      <c r="G124" s="519">
        <v>255</v>
      </c>
      <c r="H124" s="519">
        <v>230</v>
      </c>
      <c r="I124" s="519">
        <v>250</v>
      </c>
      <c r="J124" s="519">
        <v>245</v>
      </c>
      <c r="K124" s="519">
        <v>220</v>
      </c>
      <c r="L124" s="519">
        <v>250</v>
      </c>
      <c r="M124" s="519">
        <v>220</v>
      </c>
      <c r="N124" s="519">
        <v>175</v>
      </c>
      <c r="O124" s="484">
        <v>2830</v>
      </c>
      <c r="P124" s="86"/>
      <c r="Q124" s="86"/>
      <c r="R124" s="86"/>
      <c r="S124" s="86"/>
      <c r="T124" s="86"/>
      <c r="U124" s="86"/>
      <c r="V124" s="86"/>
      <c r="W124" s="86"/>
      <c r="X124" s="86"/>
      <c r="Y124" s="86"/>
      <c r="Z124" s="86"/>
      <c r="AA124" s="86"/>
      <c r="AB124" s="86"/>
    </row>
    <row r="125" spans="1:28" s="85" customFormat="1" ht="12.75" x14ac:dyDescent="0.2">
      <c r="A125" s="292" t="s">
        <v>411</v>
      </c>
      <c r="B125" s="293" t="s">
        <v>550</v>
      </c>
      <c r="C125" s="518">
        <v>340</v>
      </c>
      <c r="D125" s="519">
        <v>390</v>
      </c>
      <c r="E125" s="519">
        <v>380</v>
      </c>
      <c r="F125" s="519">
        <v>385</v>
      </c>
      <c r="G125" s="519">
        <v>385</v>
      </c>
      <c r="H125" s="519">
        <v>410</v>
      </c>
      <c r="I125" s="519">
        <v>430</v>
      </c>
      <c r="J125" s="519">
        <v>415</v>
      </c>
      <c r="K125" s="519">
        <v>385</v>
      </c>
      <c r="L125" s="519">
        <v>435</v>
      </c>
      <c r="M125" s="519">
        <v>390</v>
      </c>
      <c r="N125" s="519">
        <v>265</v>
      </c>
      <c r="O125" s="484">
        <v>4615</v>
      </c>
      <c r="P125" s="86"/>
      <c r="Q125" s="86"/>
      <c r="R125" s="86"/>
      <c r="S125" s="86"/>
      <c r="T125" s="86"/>
      <c r="U125" s="86"/>
      <c r="V125" s="86"/>
      <c r="W125" s="86"/>
      <c r="X125" s="86"/>
      <c r="Y125" s="86"/>
      <c r="Z125" s="86"/>
      <c r="AA125" s="86"/>
      <c r="AB125" s="86"/>
    </row>
    <row r="126" spans="1:28" s="85" customFormat="1" ht="12.75" x14ac:dyDescent="0.2">
      <c r="A126" s="292" t="s">
        <v>412</v>
      </c>
      <c r="B126" s="293" t="s">
        <v>551</v>
      </c>
      <c r="C126" s="518">
        <v>75</v>
      </c>
      <c r="D126" s="519">
        <v>80</v>
      </c>
      <c r="E126" s="519">
        <v>90</v>
      </c>
      <c r="F126" s="519">
        <v>100</v>
      </c>
      <c r="G126" s="519">
        <v>80</v>
      </c>
      <c r="H126" s="519">
        <v>75</v>
      </c>
      <c r="I126" s="519">
        <v>75</v>
      </c>
      <c r="J126" s="519">
        <v>65</v>
      </c>
      <c r="K126" s="519">
        <v>70</v>
      </c>
      <c r="L126" s="519">
        <v>75</v>
      </c>
      <c r="M126" s="519">
        <v>75</v>
      </c>
      <c r="N126" s="519">
        <v>70</v>
      </c>
      <c r="O126" s="484">
        <v>925</v>
      </c>
      <c r="P126" s="86"/>
      <c r="Q126" s="86"/>
      <c r="R126" s="86"/>
      <c r="S126" s="86"/>
      <c r="T126" s="86"/>
      <c r="U126" s="86"/>
      <c r="V126" s="86"/>
      <c r="W126" s="86"/>
      <c r="X126" s="86"/>
      <c r="Y126" s="86"/>
      <c r="Z126" s="86"/>
      <c r="AA126" s="86"/>
      <c r="AB126" s="86"/>
    </row>
    <row r="127" spans="1:28" s="85" customFormat="1" ht="12.75" x14ac:dyDescent="0.2">
      <c r="A127" s="292" t="s">
        <v>413</v>
      </c>
      <c r="B127" s="293" t="s">
        <v>552</v>
      </c>
      <c r="C127" s="518">
        <v>50</v>
      </c>
      <c r="D127" s="519">
        <v>70</v>
      </c>
      <c r="E127" s="519">
        <v>70</v>
      </c>
      <c r="F127" s="519">
        <v>75</v>
      </c>
      <c r="G127" s="519">
        <v>70</v>
      </c>
      <c r="H127" s="519">
        <v>60</v>
      </c>
      <c r="I127" s="519">
        <v>75</v>
      </c>
      <c r="J127" s="519">
        <v>70</v>
      </c>
      <c r="K127" s="519">
        <v>85</v>
      </c>
      <c r="L127" s="519">
        <v>85</v>
      </c>
      <c r="M127" s="519">
        <v>70</v>
      </c>
      <c r="N127" s="519">
        <v>85</v>
      </c>
      <c r="O127" s="484">
        <v>865</v>
      </c>
      <c r="P127" s="86"/>
      <c r="Q127" s="86"/>
      <c r="R127" s="86"/>
      <c r="S127" s="86"/>
      <c r="T127" s="86"/>
      <c r="U127" s="86"/>
      <c r="V127" s="86"/>
      <c r="W127" s="86"/>
      <c r="X127" s="86"/>
      <c r="Y127" s="86"/>
      <c r="Z127" s="86"/>
      <c r="AA127" s="86"/>
      <c r="AB127" s="86"/>
    </row>
    <row r="128" spans="1:28" s="85" customFormat="1" ht="12.75" x14ac:dyDescent="0.2">
      <c r="A128" s="294" t="s">
        <v>414</v>
      </c>
      <c r="B128" s="293" t="s">
        <v>553</v>
      </c>
      <c r="C128" s="518">
        <v>380</v>
      </c>
      <c r="D128" s="519">
        <v>415</v>
      </c>
      <c r="E128" s="519">
        <v>400</v>
      </c>
      <c r="F128" s="519">
        <v>385</v>
      </c>
      <c r="G128" s="519">
        <v>400</v>
      </c>
      <c r="H128" s="519">
        <v>380</v>
      </c>
      <c r="I128" s="519">
        <v>410</v>
      </c>
      <c r="J128" s="519">
        <v>425</v>
      </c>
      <c r="K128" s="519">
        <v>400</v>
      </c>
      <c r="L128" s="519">
        <v>395</v>
      </c>
      <c r="M128" s="519">
        <v>410</v>
      </c>
      <c r="N128" s="519">
        <v>330</v>
      </c>
      <c r="O128" s="484">
        <v>4730</v>
      </c>
      <c r="P128" s="86"/>
      <c r="Q128" s="86"/>
      <c r="R128" s="86"/>
      <c r="S128" s="86"/>
      <c r="T128" s="86"/>
      <c r="U128" s="86"/>
      <c r="V128" s="86"/>
      <c r="W128" s="86"/>
      <c r="X128" s="86"/>
      <c r="Y128" s="86"/>
      <c r="Z128" s="86"/>
      <c r="AA128" s="86"/>
      <c r="AB128" s="86"/>
    </row>
    <row r="129" spans="1:28" s="85" customFormat="1" ht="12.75" x14ac:dyDescent="0.2">
      <c r="A129" s="292" t="s">
        <v>415</v>
      </c>
      <c r="B129" s="293" t="s">
        <v>554</v>
      </c>
      <c r="C129" s="518">
        <v>80</v>
      </c>
      <c r="D129" s="519">
        <v>85</v>
      </c>
      <c r="E129" s="519">
        <v>75</v>
      </c>
      <c r="F129" s="519">
        <v>90</v>
      </c>
      <c r="G129" s="519">
        <v>85</v>
      </c>
      <c r="H129" s="519">
        <v>65</v>
      </c>
      <c r="I129" s="519">
        <v>85</v>
      </c>
      <c r="J129" s="519">
        <v>65</v>
      </c>
      <c r="K129" s="519">
        <v>85</v>
      </c>
      <c r="L129" s="519">
        <v>75</v>
      </c>
      <c r="M129" s="519">
        <v>60</v>
      </c>
      <c r="N129" s="519">
        <v>55</v>
      </c>
      <c r="O129" s="484">
        <v>910</v>
      </c>
      <c r="P129" s="86"/>
      <c r="Q129" s="86"/>
      <c r="R129" s="86"/>
      <c r="S129" s="86"/>
      <c r="T129" s="86"/>
      <c r="U129" s="86"/>
      <c r="V129" s="86"/>
      <c r="W129" s="86"/>
      <c r="X129" s="86"/>
      <c r="Y129" s="86"/>
      <c r="Z129" s="86"/>
      <c r="AA129" s="86"/>
      <c r="AB129" s="86"/>
    </row>
    <row r="130" spans="1:28" s="85" customFormat="1" ht="12.75" x14ac:dyDescent="0.2">
      <c r="A130" s="292" t="s">
        <v>416</v>
      </c>
      <c r="B130" s="293" t="s">
        <v>555</v>
      </c>
      <c r="C130" s="518">
        <v>290</v>
      </c>
      <c r="D130" s="519">
        <v>360</v>
      </c>
      <c r="E130" s="519">
        <v>380</v>
      </c>
      <c r="F130" s="519">
        <v>390</v>
      </c>
      <c r="G130" s="519">
        <v>380</v>
      </c>
      <c r="H130" s="519">
        <v>320</v>
      </c>
      <c r="I130" s="519">
        <v>365</v>
      </c>
      <c r="J130" s="519">
        <v>385</v>
      </c>
      <c r="K130" s="519">
        <v>365</v>
      </c>
      <c r="L130" s="519">
        <v>350</v>
      </c>
      <c r="M130" s="519">
        <v>355</v>
      </c>
      <c r="N130" s="519">
        <v>225</v>
      </c>
      <c r="O130" s="484">
        <v>4175</v>
      </c>
      <c r="P130" s="86"/>
      <c r="Q130" s="86"/>
      <c r="R130" s="86"/>
      <c r="S130" s="86"/>
      <c r="T130" s="86"/>
      <c r="U130" s="86"/>
      <c r="V130" s="86"/>
      <c r="W130" s="86"/>
      <c r="X130" s="86"/>
      <c r="Y130" s="86"/>
      <c r="Z130" s="86"/>
      <c r="AA130" s="86"/>
      <c r="AB130" s="86"/>
    </row>
    <row r="131" spans="1:28" s="85" customFormat="1" ht="12.75" x14ac:dyDescent="0.2">
      <c r="A131" s="292" t="s">
        <v>417</v>
      </c>
      <c r="B131" s="293" t="s">
        <v>556</v>
      </c>
      <c r="C131" s="518">
        <v>130</v>
      </c>
      <c r="D131" s="519">
        <v>120</v>
      </c>
      <c r="E131" s="519">
        <v>135</v>
      </c>
      <c r="F131" s="519">
        <v>140</v>
      </c>
      <c r="G131" s="519">
        <v>125</v>
      </c>
      <c r="H131" s="519">
        <v>160</v>
      </c>
      <c r="I131" s="519">
        <v>175</v>
      </c>
      <c r="J131" s="519">
        <v>165</v>
      </c>
      <c r="K131" s="519">
        <v>155</v>
      </c>
      <c r="L131" s="519">
        <v>145</v>
      </c>
      <c r="M131" s="519">
        <v>150</v>
      </c>
      <c r="N131" s="519">
        <v>110</v>
      </c>
      <c r="O131" s="484">
        <v>1710</v>
      </c>
      <c r="P131" s="86"/>
      <c r="Q131" s="86"/>
      <c r="R131" s="86"/>
      <c r="S131" s="86"/>
      <c r="T131" s="86"/>
      <c r="U131" s="86"/>
      <c r="V131" s="86"/>
      <c r="W131" s="86"/>
      <c r="X131" s="86"/>
      <c r="Y131" s="86"/>
      <c r="Z131" s="86"/>
      <c r="AA131" s="86"/>
      <c r="AB131" s="86"/>
    </row>
    <row r="132" spans="1:28" s="85" customFormat="1" ht="12.75" x14ac:dyDescent="0.2">
      <c r="A132" s="292" t="s">
        <v>418</v>
      </c>
      <c r="B132" s="293" t="s">
        <v>557</v>
      </c>
      <c r="C132" s="518">
        <v>185</v>
      </c>
      <c r="D132" s="519">
        <v>195</v>
      </c>
      <c r="E132" s="519">
        <v>175</v>
      </c>
      <c r="F132" s="519">
        <v>205</v>
      </c>
      <c r="G132" s="519">
        <v>170</v>
      </c>
      <c r="H132" s="519">
        <v>165</v>
      </c>
      <c r="I132" s="519">
        <v>190</v>
      </c>
      <c r="J132" s="519">
        <v>175</v>
      </c>
      <c r="K132" s="519">
        <v>190</v>
      </c>
      <c r="L132" s="519">
        <v>180</v>
      </c>
      <c r="M132" s="519">
        <v>145</v>
      </c>
      <c r="N132" s="519">
        <v>125</v>
      </c>
      <c r="O132" s="484">
        <v>2100</v>
      </c>
      <c r="P132" s="86"/>
      <c r="Q132" s="86"/>
      <c r="R132" s="86"/>
      <c r="S132" s="86"/>
      <c r="T132" s="86"/>
      <c r="U132" s="86"/>
      <c r="V132" s="86"/>
      <c r="W132" s="86"/>
      <c r="X132" s="86"/>
      <c r="Y132" s="86"/>
      <c r="Z132" s="86"/>
      <c r="AA132" s="86"/>
      <c r="AB132" s="86"/>
    </row>
    <row r="133" spans="1:28" s="85" customFormat="1" ht="12.75" x14ac:dyDescent="0.2">
      <c r="A133" s="292" t="s">
        <v>419</v>
      </c>
      <c r="B133" s="293" t="s">
        <v>558</v>
      </c>
      <c r="C133" s="518">
        <v>60</v>
      </c>
      <c r="D133" s="519">
        <v>70</v>
      </c>
      <c r="E133" s="519">
        <v>55</v>
      </c>
      <c r="F133" s="519">
        <v>55</v>
      </c>
      <c r="G133" s="519">
        <v>75</v>
      </c>
      <c r="H133" s="519">
        <v>60</v>
      </c>
      <c r="I133" s="519">
        <v>70</v>
      </c>
      <c r="J133" s="519">
        <v>65</v>
      </c>
      <c r="K133" s="519">
        <v>70</v>
      </c>
      <c r="L133" s="519">
        <v>65</v>
      </c>
      <c r="M133" s="519">
        <v>50</v>
      </c>
      <c r="N133" s="519">
        <v>60</v>
      </c>
      <c r="O133" s="484">
        <v>760</v>
      </c>
      <c r="P133" s="86"/>
      <c r="Q133" s="86"/>
      <c r="R133" s="86"/>
      <c r="S133" s="86"/>
      <c r="T133" s="86"/>
      <c r="U133" s="86"/>
      <c r="V133" s="86"/>
      <c r="W133" s="86"/>
      <c r="X133" s="86"/>
      <c r="Y133" s="86"/>
      <c r="Z133" s="86"/>
      <c r="AA133" s="86"/>
      <c r="AB133" s="86"/>
    </row>
    <row r="134" spans="1:28" s="85" customFormat="1" ht="12.75" x14ac:dyDescent="0.2">
      <c r="A134" s="292" t="s">
        <v>420</v>
      </c>
      <c r="B134" s="293" t="s">
        <v>559</v>
      </c>
      <c r="C134" s="518">
        <v>45</v>
      </c>
      <c r="D134" s="519">
        <v>55</v>
      </c>
      <c r="E134" s="519">
        <v>50</v>
      </c>
      <c r="F134" s="519">
        <v>40</v>
      </c>
      <c r="G134" s="519">
        <v>35</v>
      </c>
      <c r="H134" s="519">
        <v>45</v>
      </c>
      <c r="I134" s="519">
        <v>45</v>
      </c>
      <c r="J134" s="519">
        <v>45</v>
      </c>
      <c r="K134" s="519">
        <v>45</v>
      </c>
      <c r="L134" s="519">
        <v>45</v>
      </c>
      <c r="M134" s="519">
        <v>30</v>
      </c>
      <c r="N134" s="519">
        <v>25</v>
      </c>
      <c r="O134" s="484">
        <v>505</v>
      </c>
      <c r="P134" s="86"/>
      <c r="Q134" s="86"/>
      <c r="R134" s="86"/>
      <c r="S134" s="86"/>
      <c r="T134" s="86"/>
      <c r="U134" s="86"/>
      <c r="V134" s="86"/>
      <c r="W134" s="86"/>
      <c r="X134" s="86"/>
      <c r="Y134" s="86"/>
      <c r="Z134" s="86"/>
      <c r="AA134" s="86"/>
      <c r="AB134" s="86"/>
    </row>
    <row r="135" spans="1:28" s="85" customFormat="1" ht="12.75" x14ac:dyDescent="0.2">
      <c r="A135" s="292" t="s">
        <v>421</v>
      </c>
      <c r="B135" s="293" t="s">
        <v>560</v>
      </c>
      <c r="C135" s="518">
        <v>155</v>
      </c>
      <c r="D135" s="519">
        <v>130</v>
      </c>
      <c r="E135" s="519">
        <v>135</v>
      </c>
      <c r="F135" s="519">
        <v>140</v>
      </c>
      <c r="G135" s="519">
        <v>155</v>
      </c>
      <c r="H135" s="519">
        <v>145</v>
      </c>
      <c r="I135" s="519">
        <v>175</v>
      </c>
      <c r="J135" s="519">
        <v>145</v>
      </c>
      <c r="K135" s="519">
        <v>140</v>
      </c>
      <c r="L135" s="519">
        <v>130</v>
      </c>
      <c r="M135" s="519">
        <v>135</v>
      </c>
      <c r="N135" s="519">
        <v>115</v>
      </c>
      <c r="O135" s="484">
        <v>1705</v>
      </c>
      <c r="P135" s="86"/>
      <c r="Q135" s="86"/>
      <c r="R135" s="86"/>
      <c r="S135" s="86"/>
      <c r="T135" s="86"/>
      <c r="U135" s="86"/>
      <c r="V135" s="86"/>
      <c r="W135" s="86"/>
      <c r="X135" s="86"/>
      <c r="Y135" s="86"/>
      <c r="Z135" s="86"/>
      <c r="AA135" s="86"/>
      <c r="AB135" s="86"/>
    </row>
    <row r="136" spans="1:28" s="85" customFormat="1" ht="12.75" x14ac:dyDescent="0.2">
      <c r="A136" s="292" t="s">
        <v>422</v>
      </c>
      <c r="B136" s="293" t="s">
        <v>561</v>
      </c>
      <c r="C136" s="518">
        <v>305</v>
      </c>
      <c r="D136" s="519">
        <v>335</v>
      </c>
      <c r="E136" s="519">
        <v>310</v>
      </c>
      <c r="F136" s="519">
        <v>315</v>
      </c>
      <c r="G136" s="519">
        <v>335</v>
      </c>
      <c r="H136" s="519">
        <v>330</v>
      </c>
      <c r="I136" s="519">
        <v>335</v>
      </c>
      <c r="J136" s="519">
        <v>380</v>
      </c>
      <c r="K136" s="519">
        <v>330</v>
      </c>
      <c r="L136" s="519">
        <v>375</v>
      </c>
      <c r="M136" s="519">
        <v>300</v>
      </c>
      <c r="N136" s="519">
        <v>220</v>
      </c>
      <c r="O136" s="484">
        <v>3875</v>
      </c>
      <c r="P136" s="86"/>
      <c r="Q136" s="86"/>
      <c r="R136" s="86"/>
      <c r="S136" s="86"/>
      <c r="T136" s="86"/>
      <c r="U136" s="86"/>
      <c r="V136" s="86"/>
      <c r="W136" s="86"/>
      <c r="X136" s="86"/>
      <c r="Y136" s="86"/>
      <c r="Z136" s="86"/>
      <c r="AA136" s="86"/>
      <c r="AB136" s="86"/>
    </row>
    <row r="137" spans="1:28" s="85" customFormat="1" ht="12.75" x14ac:dyDescent="0.2">
      <c r="A137" s="292" t="s">
        <v>423</v>
      </c>
      <c r="B137" s="293" t="s">
        <v>562</v>
      </c>
      <c r="C137" s="518">
        <v>140</v>
      </c>
      <c r="D137" s="519">
        <v>135</v>
      </c>
      <c r="E137" s="519">
        <v>155</v>
      </c>
      <c r="F137" s="519">
        <v>140</v>
      </c>
      <c r="G137" s="519">
        <v>155</v>
      </c>
      <c r="H137" s="519">
        <v>145</v>
      </c>
      <c r="I137" s="519">
        <v>135</v>
      </c>
      <c r="J137" s="519">
        <v>160</v>
      </c>
      <c r="K137" s="519">
        <v>165</v>
      </c>
      <c r="L137" s="519">
        <v>120</v>
      </c>
      <c r="M137" s="519">
        <v>135</v>
      </c>
      <c r="N137" s="519">
        <v>110</v>
      </c>
      <c r="O137" s="484">
        <v>1690</v>
      </c>
      <c r="P137" s="86"/>
      <c r="Q137" s="86"/>
      <c r="R137" s="86"/>
      <c r="S137" s="86"/>
      <c r="T137" s="86"/>
      <c r="U137" s="86"/>
      <c r="V137" s="86"/>
      <c r="W137" s="86"/>
      <c r="X137" s="86"/>
      <c r="Y137" s="86"/>
      <c r="Z137" s="86"/>
      <c r="AA137" s="86"/>
      <c r="AB137" s="86"/>
    </row>
    <row r="138" spans="1:28" s="85" customFormat="1" ht="12.75" x14ac:dyDescent="0.2">
      <c r="A138" s="292" t="s">
        <v>424</v>
      </c>
      <c r="B138" s="293" t="s">
        <v>563</v>
      </c>
      <c r="C138" s="518">
        <v>870</v>
      </c>
      <c r="D138" s="519">
        <v>1005</v>
      </c>
      <c r="E138" s="519">
        <v>975</v>
      </c>
      <c r="F138" s="519">
        <v>1025</v>
      </c>
      <c r="G138" s="519">
        <v>970</v>
      </c>
      <c r="H138" s="519">
        <v>930</v>
      </c>
      <c r="I138" s="519">
        <v>1005</v>
      </c>
      <c r="J138" s="519">
        <v>985</v>
      </c>
      <c r="K138" s="519">
        <v>935</v>
      </c>
      <c r="L138" s="519">
        <v>975</v>
      </c>
      <c r="M138" s="519">
        <v>900</v>
      </c>
      <c r="N138" s="519">
        <v>765</v>
      </c>
      <c r="O138" s="484">
        <v>11345</v>
      </c>
      <c r="P138" s="86"/>
      <c r="Q138" s="86"/>
      <c r="R138" s="86"/>
      <c r="S138" s="86"/>
      <c r="T138" s="86"/>
      <c r="U138" s="86"/>
      <c r="V138" s="86"/>
      <c r="W138" s="86"/>
      <c r="X138" s="86"/>
      <c r="Y138" s="86"/>
      <c r="Z138" s="86"/>
      <c r="AA138" s="86"/>
      <c r="AB138" s="86"/>
    </row>
    <row r="139" spans="1:28" s="85" customFormat="1" ht="12.75" x14ac:dyDescent="0.2">
      <c r="A139" s="292" t="s">
        <v>425</v>
      </c>
      <c r="B139" s="293" t="s">
        <v>564</v>
      </c>
      <c r="C139" s="518">
        <v>55</v>
      </c>
      <c r="D139" s="519">
        <v>80</v>
      </c>
      <c r="E139" s="519">
        <v>80</v>
      </c>
      <c r="F139" s="519">
        <v>65</v>
      </c>
      <c r="G139" s="519">
        <v>80</v>
      </c>
      <c r="H139" s="519">
        <v>65</v>
      </c>
      <c r="I139" s="519">
        <v>75</v>
      </c>
      <c r="J139" s="519">
        <v>75</v>
      </c>
      <c r="K139" s="519">
        <v>60</v>
      </c>
      <c r="L139" s="519">
        <v>65</v>
      </c>
      <c r="M139" s="519">
        <v>75</v>
      </c>
      <c r="N139" s="519">
        <v>75</v>
      </c>
      <c r="O139" s="484">
        <v>845</v>
      </c>
      <c r="P139" s="86"/>
      <c r="Q139" s="86"/>
      <c r="R139" s="86"/>
      <c r="S139" s="86"/>
      <c r="T139" s="86"/>
      <c r="U139" s="86"/>
      <c r="V139" s="86"/>
      <c r="W139" s="86"/>
      <c r="X139" s="86"/>
      <c r="Y139" s="86"/>
      <c r="Z139" s="86"/>
      <c r="AA139" s="86"/>
      <c r="AB139" s="86"/>
    </row>
    <row r="140" spans="1:28" s="88" customFormat="1" ht="12.75" x14ac:dyDescent="0.2">
      <c r="A140" s="292" t="s">
        <v>426</v>
      </c>
      <c r="B140" s="293" t="s">
        <v>565</v>
      </c>
      <c r="C140" s="518">
        <v>100</v>
      </c>
      <c r="D140" s="519">
        <v>120</v>
      </c>
      <c r="E140" s="519">
        <v>105</v>
      </c>
      <c r="F140" s="519">
        <v>115</v>
      </c>
      <c r="G140" s="519">
        <v>80</v>
      </c>
      <c r="H140" s="519">
        <v>80</v>
      </c>
      <c r="I140" s="519">
        <v>100</v>
      </c>
      <c r="J140" s="519">
        <v>80</v>
      </c>
      <c r="K140" s="519">
        <v>90</v>
      </c>
      <c r="L140" s="519">
        <v>100</v>
      </c>
      <c r="M140" s="519">
        <v>90</v>
      </c>
      <c r="N140" s="519">
        <v>75</v>
      </c>
      <c r="O140" s="484">
        <v>1135</v>
      </c>
      <c r="P140" s="86"/>
      <c r="Q140" s="86"/>
      <c r="R140" s="86"/>
      <c r="S140" s="86"/>
      <c r="T140" s="86"/>
      <c r="U140" s="86"/>
      <c r="V140" s="86"/>
      <c r="W140" s="86"/>
      <c r="X140" s="86"/>
      <c r="Y140" s="86"/>
      <c r="Z140" s="86"/>
      <c r="AA140" s="86"/>
      <c r="AB140" s="86"/>
    </row>
    <row r="141" spans="1:28" s="89" customFormat="1" ht="12.75" x14ac:dyDescent="0.2">
      <c r="A141" s="292" t="s">
        <v>427</v>
      </c>
      <c r="B141" s="293" t="s">
        <v>566</v>
      </c>
      <c r="C141" s="518">
        <v>95</v>
      </c>
      <c r="D141" s="519">
        <v>125</v>
      </c>
      <c r="E141" s="519">
        <v>100</v>
      </c>
      <c r="F141" s="519">
        <v>120</v>
      </c>
      <c r="G141" s="519">
        <v>110</v>
      </c>
      <c r="H141" s="519">
        <v>110</v>
      </c>
      <c r="I141" s="519">
        <v>110</v>
      </c>
      <c r="J141" s="519">
        <v>120</v>
      </c>
      <c r="K141" s="519">
        <v>125</v>
      </c>
      <c r="L141" s="519">
        <v>120</v>
      </c>
      <c r="M141" s="519">
        <v>100</v>
      </c>
      <c r="N141" s="519">
        <v>70</v>
      </c>
      <c r="O141" s="484">
        <v>1305</v>
      </c>
      <c r="P141" s="86"/>
      <c r="Q141" s="86"/>
      <c r="R141" s="86"/>
      <c r="S141" s="86"/>
      <c r="T141" s="86"/>
      <c r="U141" s="86"/>
      <c r="V141" s="86"/>
      <c r="W141" s="86"/>
      <c r="X141" s="86"/>
      <c r="Y141" s="86"/>
      <c r="Z141" s="86"/>
      <c r="AA141" s="86"/>
      <c r="AB141" s="86"/>
    </row>
    <row r="142" spans="1:28" s="89" customFormat="1" ht="12.75" x14ac:dyDescent="0.2">
      <c r="A142" s="294" t="s">
        <v>428</v>
      </c>
      <c r="B142" s="293" t="s">
        <v>567</v>
      </c>
      <c r="C142" s="518">
        <v>55</v>
      </c>
      <c r="D142" s="519">
        <v>60</v>
      </c>
      <c r="E142" s="519">
        <v>60</v>
      </c>
      <c r="F142" s="519">
        <v>70</v>
      </c>
      <c r="G142" s="519">
        <v>50</v>
      </c>
      <c r="H142" s="519">
        <v>55</v>
      </c>
      <c r="I142" s="519">
        <v>60</v>
      </c>
      <c r="J142" s="519">
        <v>55</v>
      </c>
      <c r="K142" s="519">
        <v>55</v>
      </c>
      <c r="L142" s="519">
        <v>65</v>
      </c>
      <c r="M142" s="519">
        <v>55</v>
      </c>
      <c r="N142" s="519">
        <v>50</v>
      </c>
      <c r="O142" s="484">
        <v>690</v>
      </c>
      <c r="P142" s="86"/>
      <c r="Q142" s="86"/>
      <c r="R142" s="86"/>
      <c r="S142" s="86"/>
      <c r="T142" s="86"/>
      <c r="U142" s="86"/>
      <c r="V142" s="86"/>
      <c r="W142" s="86"/>
      <c r="X142" s="86"/>
      <c r="Y142" s="86"/>
      <c r="Z142" s="86"/>
      <c r="AA142" s="86"/>
      <c r="AB142" s="86"/>
    </row>
    <row r="143" spans="1:28" s="89" customFormat="1" ht="12.75" x14ac:dyDescent="0.2">
      <c r="A143" s="292" t="s">
        <v>429</v>
      </c>
      <c r="B143" s="293" t="s">
        <v>568</v>
      </c>
      <c r="C143" s="518">
        <v>135</v>
      </c>
      <c r="D143" s="519">
        <v>155</v>
      </c>
      <c r="E143" s="519">
        <v>145</v>
      </c>
      <c r="F143" s="519">
        <v>150</v>
      </c>
      <c r="G143" s="519">
        <v>135</v>
      </c>
      <c r="H143" s="519">
        <v>125</v>
      </c>
      <c r="I143" s="519">
        <v>165</v>
      </c>
      <c r="J143" s="519">
        <v>145</v>
      </c>
      <c r="K143" s="519">
        <v>125</v>
      </c>
      <c r="L143" s="519">
        <v>145</v>
      </c>
      <c r="M143" s="519">
        <v>125</v>
      </c>
      <c r="N143" s="519">
        <v>115</v>
      </c>
      <c r="O143" s="484">
        <v>1670</v>
      </c>
      <c r="P143" s="86"/>
      <c r="Q143" s="86"/>
      <c r="R143" s="86"/>
      <c r="S143" s="86"/>
      <c r="T143" s="86"/>
      <c r="U143" s="86"/>
      <c r="V143" s="86"/>
      <c r="W143" s="86"/>
      <c r="X143" s="86"/>
      <c r="Y143" s="86"/>
      <c r="Z143" s="86"/>
      <c r="AA143" s="86"/>
      <c r="AB143" s="86"/>
    </row>
    <row r="144" spans="1:28" s="89" customFormat="1" ht="12.75" x14ac:dyDescent="0.2">
      <c r="A144" s="292" t="s">
        <v>430</v>
      </c>
      <c r="B144" s="293" t="s">
        <v>569</v>
      </c>
      <c r="C144" s="518">
        <v>65</v>
      </c>
      <c r="D144" s="519">
        <v>70</v>
      </c>
      <c r="E144" s="519">
        <v>75</v>
      </c>
      <c r="F144" s="519">
        <v>75</v>
      </c>
      <c r="G144" s="519">
        <v>70</v>
      </c>
      <c r="H144" s="519">
        <v>65</v>
      </c>
      <c r="I144" s="519">
        <v>70</v>
      </c>
      <c r="J144" s="519">
        <v>80</v>
      </c>
      <c r="K144" s="519">
        <v>85</v>
      </c>
      <c r="L144" s="519">
        <v>80</v>
      </c>
      <c r="M144" s="519">
        <v>70</v>
      </c>
      <c r="N144" s="519">
        <v>65</v>
      </c>
      <c r="O144" s="484">
        <v>875</v>
      </c>
      <c r="P144" s="86"/>
      <c r="Q144" s="86"/>
      <c r="R144" s="86"/>
      <c r="S144" s="86"/>
      <c r="T144" s="86"/>
      <c r="U144" s="86"/>
      <c r="V144" s="86"/>
      <c r="W144" s="86"/>
      <c r="X144" s="86"/>
      <c r="Y144" s="86"/>
      <c r="Z144" s="86"/>
      <c r="AA144" s="86"/>
      <c r="AB144" s="86"/>
    </row>
    <row r="145" spans="1:28" s="89" customFormat="1" ht="12.75" x14ac:dyDescent="0.2">
      <c r="A145" s="292" t="s">
        <v>431</v>
      </c>
      <c r="B145" s="293" t="s">
        <v>570</v>
      </c>
      <c r="C145" s="518">
        <v>50</v>
      </c>
      <c r="D145" s="519">
        <v>55</v>
      </c>
      <c r="E145" s="519">
        <v>60</v>
      </c>
      <c r="F145" s="519">
        <v>50</v>
      </c>
      <c r="G145" s="519">
        <v>45</v>
      </c>
      <c r="H145" s="519">
        <v>50</v>
      </c>
      <c r="I145" s="519">
        <v>70</v>
      </c>
      <c r="J145" s="519">
        <v>55</v>
      </c>
      <c r="K145" s="519">
        <v>55</v>
      </c>
      <c r="L145" s="519">
        <v>60</v>
      </c>
      <c r="M145" s="519">
        <v>40</v>
      </c>
      <c r="N145" s="519">
        <v>40</v>
      </c>
      <c r="O145" s="484">
        <v>630</v>
      </c>
      <c r="P145" s="86"/>
      <c r="Q145" s="86"/>
      <c r="R145" s="86"/>
      <c r="S145" s="86"/>
      <c r="T145" s="86"/>
      <c r="U145" s="86"/>
      <c r="V145" s="86"/>
      <c r="W145" s="86"/>
      <c r="X145" s="86"/>
      <c r="Y145" s="86"/>
      <c r="Z145" s="86"/>
      <c r="AA145" s="86"/>
      <c r="AB145" s="86"/>
    </row>
    <row r="146" spans="1:28" s="89" customFormat="1" ht="12.75" x14ac:dyDescent="0.2">
      <c r="A146" s="292" t="s">
        <v>432</v>
      </c>
      <c r="B146" s="293" t="s">
        <v>571</v>
      </c>
      <c r="C146" s="518">
        <v>695</v>
      </c>
      <c r="D146" s="519">
        <v>720</v>
      </c>
      <c r="E146" s="519">
        <v>715</v>
      </c>
      <c r="F146" s="519">
        <v>725</v>
      </c>
      <c r="G146" s="519">
        <v>705</v>
      </c>
      <c r="H146" s="519">
        <v>700</v>
      </c>
      <c r="I146" s="519">
        <v>760</v>
      </c>
      <c r="J146" s="519">
        <v>675</v>
      </c>
      <c r="K146" s="519">
        <v>705</v>
      </c>
      <c r="L146" s="519">
        <v>730</v>
      </c>
      <c r="M146" s="519">
        <v>665</v>
      </c>
      <c r="N146" s="519">
        <v>525</v>
      </c>
      <c r="O146" s="484">
        <v>8320</v>
      </c>
      <c r="P146" s="86"/>
      <c r="Q146" s="86"/>
      <c r="R146" s="86"/>
      <c r="S146" s="86"/>
      <c r="T146" s="86"/>
      <c r="U146" s="86"/>
      <c r="V146" s="86"/>
      <c r="W146" s="86"/>
      <c r="X146" s="86"/>
      <c r="Y146" s="86"/>
      <c r="Z146" s="86"/>
      <c r="AA146" s="86"/>
      <c r="AB146" s="86"/>
    </row>
    <row r="147" spans="1:28" s="89" customFormat="1" ht="12.75" x14ac:dyDescent="0.2">
      <c r="A147" s="292" t="s">
        <v>433</v>
      </c>
      <c r="B147" s="293" t="s">
        <v>572</v>
      </c>
      <c r="C147" s="518">
        <v>85</v>
      </c>
      <c r="D147" s="519">
        <v>70</v>
      </c>
      <c r="E147" s="519">
        <v>80</v>
      </c>
      <c r="F147" s="519">
        <v>80</v>
      </c>
      <c r="G147" s="519">
        <v>70</v>
      </c>
      <c r="H147" s="519">
        <v>70</v>
      </c>
      <c r="I147" s="519">
        <v>75</v>
      </c>
      <c r="J147" s="519">
        <v>75</v>
      </c>
      <c r="K147" s="519">
        <v>70</v>
      </c>
      <c r="L147" s="519">
        <v>80</v>
      </c>
      <c r="M147" s="519">
        <v>70</v>
      </c>
      <c r="N147" s="519">
        <v>50</v>
      </c>
      <c r="O147" s="484">
        <v>885</v>
      </c>
      <c r="P147" s="86"/>
      <c r="Q147" s="86"/>
      <c r="R147" s="86"/>
      <c r="S147" s="86"/>
      <c r="T147" s="86"/>
      <c r="U147" s="86"/>
      <c r="V147" s="86"/>
      <c r="W147" s="86"/>
      <c r="X147" s="86"/>
      <c r="Y147" s="86"/>
      <c r="Z147" s="86"/>
      <c r="AA147" s="86"/>
      <c r="AB147" s="86"/>
    </row>
    <row r="148" spans="1:28" s="89" customFormat="1" ht="12.75" x14ac:dyDescent="0.2">
      <c r="A148" s="292" t="s">
        <v>434</v>
      </c>
      <c r="B148" s="293" t="s">
        <v>573</v>
      </c>
      <c r="C148" s="518">
        <v>75</v>
      </c>
      <c r="D148" s="519">
        <v>65</v>
      </c>
      <c r="E148" s="519">
        <v>75</v>
      </c>
      <c r="F148" s="519">
        <v>65</v>
      </c>
      <c r="G148" s="519">
        <v>60</v>
      </c>
      <c r="H148" s="519">
        <v>70</v>
      </c>
      <c r="I148" s="519">
        <v>75</v>
      </c>
      <c r="J148" s="519">
        <v>75</v>
      </c>
      <c r="K148" s="519">
        <v>85</v>
      </c>
      <c r="L148" s="519">
        <v>65</v>
      </c>
      <c r="M148" s="519">
        <v>55</v>
      </c>
      <c r="N148" s="519">
        <v>65</v>
      </c>
      <c r="O148" s="484">
        <v>825</v>
      </c>
      <c r="P148" s="86"/>
      <c r="Q148" s="86"/>
      <c r="R148" s="86"/>
      <c r="S148" s="86"/>
      <c r="T148" s="86"/>
      <c r="U148" s="86"/>
      <c r="V148" s="86"/>
      <c r="W148" s="86"/>
      <c r="X148" s="86"/>
      <c r="Y148" s="86"/>
      <c r="Z148" s="86"/>
      <c r="AA148" s="86"/>
      <c r="AB148" s="86"/>
    </row>
    <row r="149" spans="1:28" s="89" customFormat="1" ht="12.75" x14ac:dyDescent="0.2">
      <c r="A149" s="292" t="s">
        <v>435</v>
      </c>
      <c r="B149" s="293" t="s">
        <v>574</v>
      </c>
      <c r="C149" s="518">
        <v>310</v>
      </c>
      <c r="D149" s="519">
        <v>385</v>
      </c>
      <c r="E149" s="519">
        <v>320</v>
      </c>
      <c r="F149" s="519">
        <v>345</v>
      </c>
      <c r="G149" s="519">
        <v>345</v>
      </c>
      <c r="H149" s="519">
        <v>290</v>
      </c>
      <c r="I149" s="519">
        <v>320</v>
      </c>
      <c r="J149" s="519">
        <v>355</v>
      </c>
      <c r="K149" s="519">
        <v>340</v>
      </c>
      <c r="L149" s="519">
        <v>355</v>
      </c>
      <c r="M149" s="519">
        <v>295</v>
      </c>
      <c r="N149" s="519">
        <v>285</v>
      </c>
      <c r="O149" s="484">
        <v>3940</v>
      </c>
      <c r="P149" s="86"/>
      <c r="Q149" s="86"/>
      <c r="R149" s="86"/>
      <c r="S149" s="86"/>
      <c r="T149" s="86"/>
      <c r="U149" s="86"/>
      <c r="V149" s="86"/>
      <c r="W149" s="86"/>
      <c r="X149" s="86"/>
      <c r="Y149" s="86"/>
      <c r="Z149" s="86"/>
      <c r="AA149" s="86"/>
      <c r="AB149" s="86"/>
    </row>
    <row r="150" spans="1:28" s="89" customFormat="1" ht="12.75" x14ac:dyDescent="0.2">
      <c r="A150" s="292" t="s">
        <v>436</v>
      </c>
      <c r="B150" s="293" t="s">
        <v>575</v>
      </c>
      <c r="C150" s="518">
        <v>105</v>
      </c>
      <c r="D150" s="519">
        <v>90</v>
      </c>
      <c r="E150" s="519" t="s">
        <v>636</v>
      </c>
      <c r="F150" s="519">
        <v>0</v>
      </c>
      <c r="G150" s="519">
        <v>0</v>
      </c>
      <c r="H150" s="519">
        <v>0</v>
      </c>
      <c r="I150" s="519">
        <v>0</v>
      </c>
      <c r="J150" s="519">
        <v>0</v>
      </c>
      <c r="K150" s="519">
        <v>0</v>
      </c>
      <c r="L150" s="519">
        <v>0</v>
      </c>
      <c r="M150" s="519">
        <v>0</v>
      </c>
      <c r="N150" s="519">
        <v>0</v>
      </c>
      <c r="O150" s="484">
        <v>200</v>
      </c>
      <c r="P150" s="86"/>
      <c r="Q150" s="86"/>
      <c r="R150" s="86"/>
      <c r="S150" s="86"/>
      <c r="T150" s="86"/>
      <c r="U150" s="86"/>
      <c r="V150" s="86"/>
      <c r="W150" s="86"/>
      <c r="X150" s="86"/>
      <c r="Y150" s="86"/>
      <c r="Z150" s="86"/>
      <c r="AA150" s="86"/>
      <c r="AB150" s="86"/>
    </row>
    <row r="151" spans="1:28" s="89" customFormat="1" ht="12.75" x14ac:dyDescent="0.2">
      <c r="A151" s="292" t="s">
        <v>437</v>
      </c>
      <c r="B151" s="293" t="s">
        <v>576</v>
      </c>
      <c r="C151" s="518">
        <v>270</v>
      </c>
      <c r="D151" s="519">
        <v>340</v>
      </c>
      <c r="E151" s="519">
        <v>315</v>
      </c>
      <c r="F151" s="519">
        <v>315</v>
      </c>
      <c r="G151" s="519">
        <v>330</v>
      </c>
      <c r="H151" s="519">
        <v>315</v>
      </c>
      <c r="I151" s="519">
        <v>350</v>
      </c>
      <c r="J151" s="519">
        <v>325</v>
      </c>
      <c r="K151" s="519">
        <v>295</v>
      </c>
      <c r="L151" s="519">
        <v>315</v>
      </c>
      <c r="M151" s="519">
        <v>325</v>
      </c>
      <c r="N151" s="519">
        <v>260</v>
      </c>
      <c r="O151" s="484">
        <v>3740</v>
      </c>
      <c r="P151" s="86"/>
      <c r="Q151" s="86"/>
      <c r="R151" s="86"/>
      <c r="S151" s="86"/>
      <c r="T151" s="86"/>
      <c r="U151" s="86"/>
      <c r="V151" s="86"/>
      <c r="W151" s="86"/>
      <c r="X151" s="86"/>
      <c r="Y151" s="86"/>
      <c r="Z151" s="86"/>
      <c r="AA151" s="86"/>
      <c r="AB151" s="86"/>
    </row>
    <row r="152" spans="1:28" s="89" customFormat="1" ht="12.75" x14ac:dyDescent="0.2">
      <c r="A152" s="292" t="s">
        <v>438</v>
      </c>
      <c r="B152" s="293" t="s">
        <v>577</v>
      </c>
      <c r="C152" s="518">
        <v>185</v>
      </c>
      <c r="D152" s="519">
        <v>195</v>
      </c>
      <c r="E152" s="519">
        <v>205</v>
      </c>
      <c r="F152" s="519">
        <v>200</v>
      </c>
      <c r="G152" s="519">
        <v>180</v>
      </c>
      <c r="H152" s="519">
        <v>200</v>
      </c>
      <c r="I152" s="519">
        <v>210</v>
      </c>
      <c r="J152" s="519">
        <v>200</v>
      </c>
      <c r="K152" s="519">
        <v>185</v>
      </c>
      <c r="L152" s="519">
        <v>195</v>
      </c>
      <c r="M152" s="519">
        <v>170</v>
      </c>
      <c r="N152" s="519">
        <v>150</v>
      </c>
      <c r="O152" s="484">
        <v>2270</v>
      </c>
      <c r="P152" s="86"/>
      <c r="Q152" s="86"/>
      <c r="R152" s="86"/>
      <c r="S152" s="86"/>
      <c r="T152" s="86"/>
      <c r="U152" s="86"/>
      <c r="V152" s="86"/>
      <c r="W152" s="86"/>
      <c r="X152" s="86"/>
      <c r="Y152" s="86"/>
      <c r="Z152" s="86"/>
      <c r="AA152" s="86"/>
      <c r="AB152" s="86"/>
    </row>
    <row r="153" spans="1:28" s="89" customFormat="1" ht="12.75" x14ac:dyDescent="0.2">
      <c r="A153" s="292" t="s">
        <v>439</v>
      </c>
      <c r="B153" s="293" t="s">
        <v>578</v>
      </c>
      <c r="C153" s="518">
        <v>110</v>
      </c>
      <c r="D153" s="519">
        <v>105</v>
      </c>
      <c r="E153" s="519">
        <v>105</v>
      </c>
      <c r="F153" s="519">
        <v>120</v>
      </c>
      <c r="G153" s="519">
        <v>100</v>
      </c>
      <c r="H153" s="519">
        <v>100</v>
      </c>
      <c r="I153" s="519">
        <v>125</v>
      </c>
      <c r="J153" s="519">
        <v>95</v>
      </c>
      <c r="K153" s="519">
        <v>110</v>
      </c>
      <c r="L153" s="519">
        <v>125</v>
      </c>
      <c r="M153" s="519">
        <v>90</v>
      </c>
      <c r="N153" s="519">
        <v>85</v>
      </c>
      <c r="O153" s="484">
        <v>1270</v>
      </c>
      <c r="P153" s="86"/>
      <c r="Q153" s="86"/>
      <c r="R153" s="86"/>
      <c r="S153" s="86"/>
      <c r="T153" s="86"/>
      <c r="U153" s="86"/>
      <c r="V153" s="86"/>
      <c r="W153" s="86"/>
      <c r="X153" s="86"/>
      <c r="Y153" s="86"/>
      <c r="Z153" s="86"/>
      <c r="AA153" s="86"/>
      <c r="AB153" s="86"/>
    </row>
    <row r="154" spans="1:28" s="89" customFormat="1" ht="12.75" x14ac:dyDescent="0.2">
      <c r="A154" s="292" t="s">
        <v>440</v>
      </c>
      <c r="B154" s="293" t="s">
        <v>579</v>
      </c>
      <c r="C154" s="518">
        <v>85</v>
      </c>
      <c r="D154" s="519">
        <v>75</v>
      </c>
      <c r="E154" s="519">
        <v>70</v>
      </c>
      <c r="F154" s="519">
        <v>85</v>
      </c>
      <c r="G154" s="519">
        <v>70</v>
      </c>
      <c r="H154" s="519">
        <v>90</v>
      </c>
      <c r="I154" s="519">
        <v>80</v>
      </c>
      <c r="J154" s="519">
        <v>75</v>
      </c>
      <c r="K154" s="519">
        <v>80</v>
      </c>
      <c r="L154" s="519">
        <v>70</v>
      </c>
      <c r="M154" s="519">
        <v>55</v>
      </c>
      <c r="N154" s="519">
        <v>45</v>
      </c>
      <c r="O154" s="484">
        <v>880</v>
      </c>
      <c r="P154" s="86"/>
      <c r="Q154" s="86"/>
      <c r="R154" s="86"/>
      <c r="S154" s="86"/>
      <c r="T154" s="86"/>
      <c r="U154" s="86"/>
      <c r="V154" s="86"/>
      <c r="W154" s="86"/>
      <c r="X154" s="86"/>
      <c r="Y154" s="86"/>
      <c r="Z154" s="86"/>
      <c r="AA154" s="86"/>
      <c r="AB154" s="86"/>
    </row>
    <row r="155" spans="1:28" s="89" customFormat="1" ht="12.75" x14ac:dyDescent="0.2">
      <c r="A155" s="292" t="s">
        <v>441</v>
      </c>
      <c r="B155" s="293" t="s">
        <v>580</v>
      </c>
      <c r="C155" s="518">
        <v>130</v>
      </c>
      <c r="D155" s="519">
        <v>125</v>
      </c>
      <c r="E155" s="519">
        <v>135</v>
      </c>
      <c r="F155" s="519">
        <v>140</v>
      </c>
      <c r="G155" s="519">
        <v>130</v>
      </c>
      <c r="H155" s="519">
        <v>125</v>
      </c>
      <c r="I155" s="519">
        <v>140</v>
      </c>
      <c r="J155" s="519">
        <v>145</v>
      </c>
      <c r="K155" s="519">
        <v>155</v>
      </c>
      <c r="L155" s="519">
        <v>140</v>
      </c>
      <c r="M155" s="519">
        <v>160</v>
      </c>
      <c r="N155" s="519">
        <v>120</v>
      </c>
      <c r="O155" s="484">
        <v>1640</v>
      </c>
      <c r="P155" s="86"/>
      <c r="Q155" s="86"/>
      <c r="R155" s="86"/>
      <c r="S155" s="86"/>
      <c r="T155" s="86"/>
      <c r="U155" s="86"/>
      <c r="V155" s="86"/>
      <c r="W155" s="86"/>
      <c r="X155" s="86"/>
      <c r="Y155" s="86"/>
      <c r="Z155" s="86"/>
      <c r="AA155" s="86"/>
      <c r="AB155" s="86"/>
    </row>
    <row r="156" spans="1:28" s="89" customFormat="1" ht="12.75" x14ac:dyDescent="0.2">
      <c r="A156" s="292" t="s">
        <v>442</v>
      </c>
      <c r="B156" s="293" t="s">
        <v>581</v>
      </c>
      <c r="C156" s="518">
        <v>80</v>
      </c>
      <c r="D156" s="519">
        <v>90</v>
      </c>
      <c r="E156" s="519">
        <v>100</v>
      </c>
      <c r="F156" s="519">
        <v>85</v>
      </c>
      <c r="G156" s="519">
        <v>90</v>
      </c>
      <c r="H156" s="519">
        <v>75</v>
      </c>
      <c r="I156" s="519">
        <v>65</v>
      </c>
      <c r="J156" s="519">
        <v>65</v>
      </c>
      <c r="K156" s="519">
        <v>90</v>
      </c>
      <c r="L156" s="519">
        <v>95</v>
      </c>
      <c r="M156" s="519">
        <v>80</v>
      </c>
      <c r="N156" s="519">
        <v>60</v>
      </c>
      <c r="O156" s="484">
        <v>980</v>
      </c>
      <c r="P156" s="86"/>
      <c r="Q156" s="86"/>
      <c r="R156" s="86"/>
      <c r="S156" s="86"/>
      <c r="T156" s="86"/>
      <c r="U156" s="86"/>
      <c r="V156" s="86"/>
      <c r="W156" s="86"/>
      <c r="X156" s="86"/>
      <c r="Y156" s="86"/>
      <c r="Z156" s="86"/>
      <c r="AA156" s="86"/>
      <c r="AB156" s="86"/>
    </row>
    <row r="157" spans="1:28" s="89" customFormat="1" ht="12.75" x14ac:dyDescent="0.2">
      <c r="A157" s="292" t="s">
        <v>443</v>
      </c>
      <c r="B157" s="293" t="s">
        <v>582</v>
      </c>
      <c r="C157" s="518">
        <v>270</v>
      </c>
      <c r="D157" s="519">
        <v>320</v>
      </c>
      <c r="E157" s="519">
        <v>330</v>
      </c>
      <c r="F157" s="519">
        <v>355</v>
      </c>
      <c r="G157" s="519">
        <v>335</v>
      </c>
      <c r="H157" s="519">
        <v>330</v>
      </c>
      <c r="I157" s="519">
        <v>355</v>
      </c>
      <c r="J157" s="519">
        <v>340</v>
      </c>
      <c r="K157" s="519">
        <v>315</v>
      </c>
      <c r="L157" s="519">
        <v>365</v>
      </c>
      <c r="M157" s="519">
        <v>315</v>
      </c>
      <c r="N157" s="519">
        <v>180</v>
      </c>
      <c r="O157" s="484">
        <v>3810</v>
      </c>
      <c r="P157" s="86"/>
      <c r="Q157" s="86"/>
      <c r="R157" s="86"/>
      <c r="S157" s="86"/>
      <c r="T157" s="86"/>
      <c r="U157" s="86"/>
      <c r="V157" s="86"/>
      <c r="W157" s="86"/>
      <c r="X157" s="86"/>
      <c r="Y157" s="86"/>
      <c r="Z157" s="86"/>
      <c r="AA157" s="86"/>
      <c r="AB157" s="86"/>
    </row>
    <row r="158" spans="1:28" s="89" customFormat="1" ht="12.75" x14ac:dyDescent="0.2">
      <c r="A158" s="292" t="s">
        <v>444</v>
      </c>
      <c r="B158" s="293" t="s">
        <v>583</v>
      </c>
      <c r="C158" s="518">
        <v>100</v>
      </c>
      <c r="D158" s="519">
        <v>110</v>
      </c>
      <c r="E158" s="519">
        <v>105</v>
      </c>
      <c r="F158" s="519">
        <v>120</v>
      </c>
      <c r="G158" s="519">
        <v>125</v>
      </c>
      <c r="H158" s="519">
        <v>105</v>
      </c>
      <c r="I158" s="519">
        <v>115</v>
      </c>
      <c r="J158" s="519">
        <v>120</v>
      </c>
      <c r="K158" s="519">
        <v>110</v>
      </c>
      <c r="L158" s="519">
        <v>115</v>
      </c>
      <c r="M158" s="519">
        <v>100</v>
      </c>
      <c r="N158" s="519">
        <v>80</v>
      </c>
      <c r="O158" s="484">
        <v>1295</v>
      </c>
      <c r="P158" s="86"/>
      <c r="Q158" s="86"/>
      <c r="R158" s="86"/>
      <c r="S158" s="86"/>
      <c r="T158" s="86"/>
      <c r="U158" s="86"/>
      <c r="V158" s="86"/>
      <c r="W158" s="86"/>
      <c r="X158" s="86"/>
      <c r="Y158" s="86"/>
      <c r="Z158" s="86"/>
      <c r="AA158" s="86"/>
      <c r="AB158" s="86"/>
    </row>
    <row r="159" spans="1:28" s="89" customFormat="1" ht="12.75" x14ac:dyDescent="0.2">
      <c r="A159" s="235" t="s">
        <v>1</v>
      </c>
      <c r="B159" s="289"/>
      <c r="C159" s="520">
        <v>23691</v>
      </c>
      <c r="D159" s="520">
        <v>25233</v>
      </c>
      <c r="E159" s="520">
        <v>24304</v>
      </c>
      <c r="F159" s="520">
        <v>25205</v>
      </c>
      <c r="G159" s="520">
        <v>24078</v>
      </c>
      <c r="H159" s="520">
        <v>23421</v>
      </c>
      <c r="I159" s="520">
        <v>25581</v>
      </c>
      <c r="J159" s="520">
        <v>24812</v>
      </c>
      <c r="K159" s="520">
        <v>24113</v>
      </c>
      <c r="L159" s="520">
        <v>24638</v>
      </c>
      <c r="M159" s="520">
        <v>22886</v>
      </c>
      <c r="N159" s="520">
        <v>18262</v>
      </c>
      <c r="O159" s="485">
        <v>286224</v>
      </c>
      <c r="P159" s="86"/>
      <c r="Q159" s="86"/>
      <c r="R159" s="86"/>
      <c r="S159" s="86"/>
      <c r="T159" s="86"/>
      <c r="U159" s="86"/>
      <c r="V159" s="86"/>
      <c r="W159" s="86"/>
      <c r="X159" s="86"/>
      <c r="Y159" s="86"/>
      <c r="Z159" s="86"/>
      <c r="AA159" s="86"/>
      <c r="AB159" s="86"/>
    </row>
    <row r="160" spans="1:28" s="89" customFormat="1" ht="12.75" x14ac:dyDescent="0.2">
      <c r="A160" s="283"/>
      <c r="B160" s="283"/>
      <c r="C160" s="284"/>
      <c r="D160" s="284"/>
      <c r="E160" s="284"/>
      <c r="F160" s="284"/>
      <c r="G160" s="284"/>
      <c r="H160" s="284"/>
      <c r="I160" s="284"/>
      <c r="J160" s="284"/>
      <c r="K160" s="284"/>
      <c r="L160" s="284"/>
      <c r="M160" s="284"/>
      <c r="N160" s="284"/>
      <c r="O160" s="284"/>
      <c r="P160" s="86"/>
    </row>
    <row r="161" spans="1:16" s="89" customFormat="1" ht="12.75" x14ac:dyDescent="0.2">
      <c r="A161" s="283"/>
      <c r="B161" s="283"/>
      <c r="C161" s="284"/>
      <c r="D161" s="284"/>
      <c r="E161" s="284"/>
      <c r="F161" s="284"/>
      <c r="G161" s="284"/>
      <c r="H161" s="284"/>
      <c r="I161" s="284"/>
      <c r="J161" s="284"/>
      <c r="K161" s="284"/>
      <c r="L161" s="284"/>
      <c r="M161" s="284"/>
      <c r="N161" s="284"/>
      <c r="O161" s="284"/>
      <c r="P161" s="86"/>
    </row>
    <row r="162" spans="1:16" s="89" customFormat="1" ht="12.75" x14ac:dyDescent="0.2">
      <c r="A162" s="90"/>
      <c r="B162" s="34"/>
      <c r="C162" s="205"/>
      <c r="D162" s="205"/>
      <c r="E162" s="205"/>
      <c r="F162" s="205"/>
      <c r="G162" s="205"/>
      <c r="H162" s="205"/>
      <c r="I162" s="205"/>
      <c r="J162" s="205"/>
      <c r="K162" s="205"/>
      <c r="L162" s="205"/>
      <c r="M162" s="205"/>
      <c r="N162" s="205"/>
      <c r="O162" s="205"/>
      <c r="P162" s="86"/>
    </row>
    <row r="163" spans="1:16" s="118" customFormat="1" ht="12.75" x14ac:dyDescent="0.2">
      <c r="A163" s="200" t="s">
        <v>262</v>
      </c>
      <c r="B163" s="201"/>
      <c r="C163" s="206"/>
      <c r="D163" s="206"/>
      <c r="E163" s="206"/>
      <c r="F163" s="206"/>
      <c r="G163" s="211"/>
      <c r="H163" s="211"/>
      <c r="I163" s="211"/>
      <c r="J163" s="211"/>
      <c r="K163" s="211"/>
      <c r="L163" s="211"/>
      <c r="M163" s="211"/>
      <c r="N163" s="211"/>
      <c r="O163" s="211"/>
    </row>
    <row r="164" spans="1:16" s="118" customFormat="1" ht="12.75" x14ac:dyDescent="0.2">
      <c r="A164" s="200"/>
      <c r="B164" s="201"/>
      <c r="C164" s="206"/>
      <c r="D164" s="206"/>
      <c r="E164" s="206"/>
      <c r="F164" s="206"/>
      <c r="G164" s="211"/>
      <c r="H164" s="211"/>
      <c r="I164" s="211"/>
      <c r="J164" s="211"/>
      <c r="K164" s="211"/>
      <c r="L164" s="211"/>
      <c r="M164" s="211"/>
      <c r="N164" s="211"/>
      <c r="O164" s="211"/>
    </row>
    <row r="165" spans="1:16" s="118" customFormat="1" ht="12.75" x14ac:dyDescent="0.2">
      <c r="A165" s="200"/>
      <c r="B165" s="201"/>
      <c r="C165" s="206"/>
      <c r="D165" s="206"/>
      <c r="E165" s="206"/>
      <c r="F165" s="206"/>
      <c r="G165" s="211"/>
      <c r="H165" s="211"/>
      <c r="I165" s="211"/>
      <c r="J165" s="211"/>
      <c r="K165" s="211"/>
      <c r="L165" s="211"/>
      <c r="M165" s="211"/>
      <c r="N165" s="211"/>
      <c r="O165" s="211"/>
    </row>
    <row r="166" spans="1:16" s="1" customFormat="1" ht="12.75" x14ac:dyDescent="0.2">
      <c r="A166" s="82" t="s">
        <v>232</v>
      </c>
      <c r="B166" s="202"/>
      <c r="C166" s="207"/>
      <c r="D166" s="207"/>
      <c r="E166" s="207"/>
      <c r="F166" s="207"/>
      <c r="G166" s="207"/>
      <c r="H166" s="207"/>
      <c r="I166" s="207"/>
      <c r="J166" s="207"/>
      <c r="K166" s="207"/>
      <c r="L166" s="207"/>
      <c r="M166" s="207"/>
      <c r="N166" s="207"/>
      <c r="O166" s="207"/>
    </row>
    <row r="167" spans="1:16" s="1" customFormat="1" ht="12.75" x14ac:dyDescent="0.2">
      <c r="A167" s="202" t="s">
        <v>0</v>
      </c>
      <c r="B167" s="202"/>
      <c r="C167" s="207"/>
      <c r="D167" s="207"/>
      <c r="E167" s="207"/>
      <c r="F167" s="207"/>
      <c r="G167" s="207"/>
      <c r="H167" s="207"/>
      <c r="I167" s="207"/>
      <c r="J167" s="207"/>
      <c r="K167" s="207"/>
      <c r="L167" s="207"/>
      <c r="M167" s="207"/>
      <c r="N167" s="207"/>
      <c r="O167" s="207"/>
    </row>
    <row r="168" spans="1:16" s="1" customFormat="1" ht="29.25" customHeight="1" x14ac:dyDescent="0.2">
      <c r="A168" s="563" t="s">
        <v>601</v>
      </c>
      <c r="B168" s="563"/>
      <c r="C168" s="563"/>
      <c r="D168" s="563"/>
      <c r="E168" s="563"/>
      <c r="F168" s="563"/>
      <c r="G168" s="563"/>
      <c r="H168" s="563"/>
      <c r="I168" s="563"/>
      <c r="J168" s="563"/>
      <c r="K168" s="563"/>
      <c r="L168" s="563"/>
      <c r="M168" s="563"/>
      <c r="N168" s="563"/>
      <c r="O168" s="563"/>
    </row>
    <row r="169" spans="1:16" s="109" customFormat="1" ht="16.5" customHeight="1" x14ac:dyDescent="0.2">
      <c r="A169" s="564" t="s">
        <v>236</v>
      </c>
      <c r="B169" s="564"/>
      <c r="C169" s="564"/>
      <c r="D169" s="564"/>
      <c r="E169" s="564"/>
      <c r="F169" s="564"/>
      <c r="G169" s="564"/>
      <c r="H169" s="564"/>
      <c r="I169" s="564"/>
      <c r="J169" s="564"/>
      <c r="K169" s="564"/>
      <c r="L169" s="564"/>
      <c r="M169" s="564"/>
      <c r="N169" s="564"/>
      <c r="O169" s="564"/>
    </row>
    <row r="170" spans="1:16" s="1" customFormat="1" ht="12.75" x14ac:dyDescent="0.2">
      <c r="A170" s="565" t="s">
        <v>237</v>
      </c>
      <c r="B170" s="565"/>
      <c r="C170" s="565"/>
      <c r="D170" s="565"/>
      <c r="E170" s="565"/>
      <c r="F170" s="565"/>
      <c r="G170" s="565"/>
      <c r="H170" s="565"/>
      <c r="I170" s="565"/>
      <c r="J170" s="565"/>
      <c r="K170" s="565"/>
      <c r="L170" s="565"/>
      <c r="M170" s="565"/>
      <c r="N170" s="565"/>
      <c r="O170" s="565"/>
    </row>
    <row r="171" spans="1:16" s="89" customFormat="1" ht="106.5" customHeight="1" x14ac:dyDescent="0.2">
      <c r="A171" s="566" t="s">
        <v>289</v>
      </c>
      <c r="B171" s="566"/>
      <c r="C171" s="566"/>
      <c r="D171" s="566"/>
      <c r="E171" s="566"/>
      <c r="F171" s="566"/>
      <c r="G171" s="566"/>
      <c r="H171" s="566"/>
      <c r="I171" s="566"/>
      <c r="J171" s="566"/>
      <c r="K171" s="566"/>
      <c r="L171" s="566"/>
      <c r="M171" s="566"/>
      <c r="N171" s="566"/>
      <c r="O171" s="566"/>
      <c r="P171" s="86"/>
    </row>
    <row r="172" spans="1:16" ht="12.75" x14ac:dyDescent="0.2">
      <c r="A172" s="202"/>
      <c r="B172" s="222"/>
      <c r="C172" s="223"/>
      <c r="D172" s="223"/>
      <c r="E172" s="223"/>
      <c r="F172" s="223"/>
      <c r="G172" s="223"/>
      <c r="H172" s="223"/>
      <c r="I172" s="223"/>
      <c r="J172" s="223"/>
      <c r="K172" s="223"/>
      <c r="L172" s="223"/>
      <c r="M172" s="223"/>
      <c r="N172" s="223"/>
      <c r="O172" s="224"/>
    </row>
    <row r="175" spans="1:16" s="92" customFormat="1" x14ac:dyDescent="0.2">
      <c r="A175" s="87"/>
      <c r="B175" s="85"/>
      <c r="C175" s="204"/>
      <c r="D175" s="204"/>
      <c r="E175" s="204"/>
      <c r="F175" s="204"/>
      <c r="G175" s="204"/>
      <c r="H175" s="204"/>
      <c r="I175" s="204"/>
      <c r="J175" s="204"/>
      <c r="K175" s="204"/>
      <c r="L175" s="204"/>
      <c r="M175" s="204"/>
      <c r="N175" s="204"/>
      <c r="O175" s="210"/>
    </row>
    <row r="176" spans="1:16" s="91" customFormat="1" ht="12.75" x14ac:dyDescent="0.2">
      <c r="A176" s="87"/>
      <c r="B176" s="85"/>
      <c r="C176" s="204"/>
      <c r="D176" s="204"/>
      <c r="E176" s="204"/>
      <c r="F176" s="204"/>
      <c r="G176" s="204"/>
      <c r="H176" s="204"/>
      <c r="I176" s="204"/>
      <c r="J176" s="204"/>
      <c r="K176" s="204"/>
      <c r="L176" s="204"/>
      <c r="M176" s="204"/>
      <c r="N176" s="204"/>
      <c r="O176" s="210"/>
    </row>
    <row r="177" spans="1:15" s="91" customFormat="1" ht="12.75" x14ac:dyDescent="0.2">
      <c r="A177" s="87"/>
      <c r="B177" s="85"/>
      <c r="C177" s="204"/>
      <c r="D177" s="204"/>
      <c r="E177" s="204"/>
      <c r="F177" s="204"/>
      <c r="G177" s="204"/>
      <c r="H177" s="204"/>
      <c r="I177" s="204"/>
      <c r="J177" s="204"/>
      <c r="K177" s="204"/>
      <c r="L177" s="204"/>
      <c r="M177" s="204"/>
      <c r="N177" s="204"/>
      <c r="O177" s="210"/>
    </row>
    <row r="178" spans="1:15" s="91" customFormat="1" ht="12.75" x14ac:dyDescent="0.2">
      <c r="A178" s="87"/>
      <c r="B178" s="85"/>
      <c r="C178" s="204"/>
      <c r="D178" s="204"/>
      <c r="E178" s="204"/>
      <c r="F178" s="204"/>
      <c r="G178" s="204"/>
      <c r="H178" s="204"/>
      <c r="I178" s="204"/>
      <c r="J178" s="204"/>
      <c r="K178" s="204"/>
      <c r="L178" s="204"/>
      <c r="M178" s="204"/>
      <c r="N178" s="204"/>
      <c r="O178" s="210"/>
    </row>
    <row r="179" spans="1:15" s="91" customFormat="1" ht="12.75" x14ac:dyDescent="0.2">
      <c r="A179" s="87"/>
      <c r="B179" s="85"/>
      <c r="C179" s="204"/>
      <c r="D179" s="204"/>
      <c r="E179" s="204"/>
      <c r="F179" s="204"/>
      <c r="G179" s="204"/>
      <c r="H179" s="204"/>
      <c r="I179" s="204"/>
      <c r="J179" s="204"/>
      <c r="K179" s="204"/>
      <c r="L179" s="204"/>
      <c r="M179" s="204"/>
      <c r="N179" s="204"/>
      <c r="O179" s="210"/>
    </row>
  </sheetData>
  <sortState xmlns:xlrd2="http://schemas.microsoft.com/office/spreadsheetml/2017/richdata2" ref="A13:O158">
    <sortCondition ref="B13:B158"/>
  </sortState>
  <mergeCells count="5">
    <mergeCell ref="A8:B8"/>
    <mergeCell ref="A168:O168"/>
    <mergeCell ref="A169:O169"/>
    <mergeCell ref="A170:O170"/>
    <mergeCell ref="A171:O171"/>
  </mergeCells>
  <hyperlinks>
    <hyperlink ref="A8" location="Contents!A1" display="Return to Contents" xr:uid="{3EB0D14E-D628-49B3-A5F5-42AB40CA7EC2}"/>
  </hyperlinks>
  <pageMargins left="0.75" right="0.75" top="1" bottom="1" header="0.5" footer="0.5"/>
  <pageSetup paperSize="9" scale="37" fitToHeight="0" orientation="portrait" horizontalDpi="1200" verticalDpi="1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5EB8"/>
    <pageSetUpPr fitToPage="1"/>
  </sheetPr>
  <dimension ref="A1:Y37"/>
  <sheetViews>
    <sheetView showGridLines="0" zoomScaleNormal="100" workbookViewId="0"/>
  </sheetViews>
  <sheetFormatPr defaultColWidth="9.140625" defaultRowHeight="12.75" x14ac:dyDescent="0.2"/>
  <cols>
    <col min="1" max="1" width="14.28515625" style="1" customWidth="1"/>
    <col min="2" max="9" width="16.28515625" style="1" customWidth="1"/>
    <col min="10" max="16384" width="9.140625" style="1"/>
  </cols>
  <sheetData>
    <row r="1" spans="1:25" s="10" customFormat="1" ht="12.75" customHeight="1" x14ac:dyDescent="0.2">
      <c r="D1" s="12"/>
      <c r="H1" s="12"/>
      <c r="Y1" s="11"/>
    </row>
    <row r="2" spans="1:25" s="10" customFormat="1" ht="12.75" customHeight="1" x14ac:dyDescent="0.2">
      <c r="D2" s="12"/>
      <c r="H2" s="12"/>
      <c r="Y2" s="11"/>
    </row>
    <row r="3" spans="1:25" s="10" customFormat="1" ht="12.75" customHeight="1" x14ac:dyDescent="0.2">
      <c r="D3" s="12"/>
      <c r="H3" s="12"/>
      <c r="Y3" s="11"/>
    </row>
    <row r="4" spans="1:25" s="10" customFormat="1" ht="12.75" customHeight="1" x14ac:dyDescent="0.2">
      <c r="D4" s="12"/>
      <c r="H4" s="12"/>
      <c r="Y4" s="11"/>
    </row>
    <row r="5" spans="1:25" s="10" customFormat="1" ht="12.75" customHeight="1" x14ac:dyDescent="0.2">
      <c r="D5" s="12"/>
      <c r="H5" s="12"/>
      <c r="Y5" s="11"/>
    </row>
    <row r="6" spans="1:25" s="10" customFormat="1" ht="12.75" customHeight="1" x14ac:dyDescent="0.2">
      <c r="D6" s="12"/>
      <c r="H6" s="12"/>
      <c r="Y6" s="11"/>
    </row>
    <row r="7" spans="1:25" s="9" customFormat="1" ht="12.75" customHeight="1" x14ac:dyDescent="0.2"/>
    <row r="8" spans="1:25" ht="14.25" customHeight="1" x14ac:dyDescent="0.2">
      <c r="A8" s="567" t="s">
        <v>217</v>
      </c>
      <c r="B8" s="567"/>
      <c r="C8" s="24"/>
      <c r="F8" s="24"/>
      <c r="G8" s="24"/>
    </row>
    <row r="9" spans="1:25" s="9" customFormat="1" ht="12.75" customHeight="1" x14ac:dyDescent="0.2"/>
    <row r="10" spans="1:25" ht="22.5" customHeight="1" x14ac:dyDescent="0.2">
      <c r="A10" s="229" t="s">
        <v>260</v>
      </c>
      <c r="B10" s="229"/>
    </row>
    <row r="11" spans="1:25" x14ac:dyDescent="0.2">
      <c r="A11" s="2"/>
    </row>
    <row r="12" spans="1:25" x14ac:dyDescent="0.2">
      <c r="A12" s="233"/>
      <c r="B12" s="569" t="s">
        <v>300</v>
      </c>
      <c r="C12" s="570"/>
      <c r="D12" s="570"/>
      <c r="E12" s="571"/>
      <c r="F12" s="569" t="s">
        <v>599</v>
      </c>
      <c r="G12" s="570"/>
      <c r="H12" s="570"/>
      <c r="I12" s="571"/>
    </row>
    <row r="13" spans="1:25" x14ac:dyDescent="0.2">
      <c r="A13" s="8"/>
      <c r="B13" s="572" t="s">
        <v>28</v>
      </c>
      <c r="C13" s="573"/>
      <c r="D13" s="574" t="s">
        <v>27</v>
      </c>
      <c r="E13" s="575"/>
      <c r="F13" s="572" t="s">
        <v>28</v>
      </c>
      <c r="G13" s="573"/>
      <c r="H13" s="574" t="s">
        <v>27</v>
      </c>
      <c r="I13" s="575"/>
    </row>
    <row r="14" spans="1:25" ht="38.25" x14ac:dyDescent="0.2">
      <c r="A14" s="101" t="s">
        <v>26</v>
      </c>
      <c r="B14" s="108" t="s">
        <v>15</v>
      </c>
      <c r="C14" s="97" t="s">
        <v>14</v>
      </c>
      <c r="D14" s="95" t="s">
        <v>15</v>
      </c>
      <c r="E14" s="97" t="s">
        <v>14</v>
      </c>
      <c r="F14" s="103" t="s">
        <v>15</v>
      </c>
      <c r="G14" s="99" t="s">
        <v>14</v>
      </c>
      <c r="H14" s="98" t="s">
        <v>15</v>
      </c>
      <c r="I14" s="99" t="s">
        <v>14</v>
      </c>
    </row>
    <row r="15" spans="1:25" x14ac:dyDescent="0.2">
      <c r="A15" s="135" t="s">
        <v>25</v>
      </c>
      <c r="B15" s="169">
        <v>46646</v>
      </c>
      <c r="C15" s="161">
        <v>0.16</v>
      </c>
      <c r="D15" s="172">
        <v>35827</v>
      </c>
      <c r="E15" s="161">
        <v>0.123</v>
      </c>
      <c r="F15" s="169">
        <v>45718</v>
      </c>
      <c r="G15" s="337">
        <v>0.15972804516742131</v>
      </c>
      <c r="H15" s="172">
        <v>35966</v>
      </c>
      <c r="I15" s="337">
        <v>0.12565682821845828</v>
      </c>
    </row>
    <row r="16" spans="1:25" x14ac:dyDescent="0.2">
      <c r="A16" s="135" t="s">
        <v>24</v>
      </c>
      <c r="B16" s="170">
        <v>48760</v>
      </c>
      <c r="C16" s="162">
        <v>0.16700000000000001</v>
      </c>
      <c r="D16" s="173">
        <v>45050</v>
      </c>
      <c r="E16" s="162">
        <v>0.154</v>
      </c>
      <c r="F16" s="170">
        <v>47806</v>
      </c>
      <c r="G16" s="339">
        <v>0.16702303091285148</v>
      </c>
      <c r="H16" s="173">
        <v>44816</v>
      </c>
      <c r="I16" s="339">
        <v>0.1565766672256694</v>
      </c>
    </row>
    <row r="17" spans="1:10" x14ac:dyDescent="0.2">
      <c r="A17" s="135" t="s">
        <v>23</v>
      </c>
      <c r="B17" s="170">
        <v>49287</v>
      </c>
      <c r="C17" s="162">
        <v>0.16900000000000001</v>
      </c>
      <c r="D17" s="173">
        <v>47648</v>
      </c>
      <c r="E17" s="162">
        <v>0.16300000000000001</v>
      </c>
      <c r="F17" s="170">
        <v>47937</v>
      </c>
      <c r="G17" s="339">
        <v>0.16748071440550058</v>
      </c>
      <c r="H17" s="173">
        <v>46504</v>
      </c>
      <c r="I17" s="339">
        <v>0.16247414612331601</v>
      </c>
    </row>
    <row r="18" spans="1:10" x14ac:dyDescent="0.2">
      <c r="A18" s="135" t="s">
        <v>22</v>
      </c>
      <c r="B18" s="170">
        <v>48384</v>
      </c>
      <c r="C18" s="162">
        <v>0.16600000000000001</v>
      </c>
      <c r="D18" s="173">
        <v>49007</v>
      </c>
      <c r="E18" s="162">
        <v>0.16800000000000001</v>
      </c>
      <c r="F18" s="170">
        <v>47236</v>
      </c>
      <c r="G18" s="339">
        <v>0.16503158365475989</v>
      </c>
      <c r="H18" s="173">
        <v>47791</v>
      </c>
      <c r="I18" s="339">
        <v>0.16697062440605959</v>
      </c>
    </row>
    <row r="19" spans="1:10" x14ac:dyDescent="0.2">
      <c r="A19" s="135" t="s">
        <v>21</v>
      </c>
      <c r="B19" s="170">
        <v>44088</v>
      </c>
      <c r="C19" s="162">
        <v>0.151</v>
      </c>
      <c r="D19" s="173">
        <v>49100</v>
      </c>
      <c r="E19" s="162">
        <v>0.16800000000000001</v>
      </c>
      <c r="F19" s="170">
        <v>43418</v>
      </c>
      <c r="G19" s="339">
        <v>0.15169238079266589</v>
      </c>
      <c r="H19" s="173">
        <v>48106</v>
      </c>
      <c r="I19" s="339">
        <v>0.16807116104868913</v>
      </c>
    </row>
    <row r="20" spans="1:10" x14ac:dyDescent="0.2">
      <c r="A20" s="135" t="s">
        <v>20</v>
      </c>
      <c r="B20" s="170">
        <v>27996</v>
      </c>
      <c r="C20" s="162">
        <v>9.6000000000000002E-2</v>
      </c>
      <c r="D20" s="173">
        <v>36763</v>
      </c>
      <c r="E20" s="162">
        <v>0.126</v>
      </c>
      <c r="F20" s="170">
        <v>27874</v>
      </c>
      <c r="G20" s="339">
        <v>9.7385264687796971E-2</v>
      </c>
      <c r="H20" s="173">
        <v>35940</v>
      </c>
      <c r="I20" s="339">
        <v>0.12556599027335233</v>
      </c>
    </row>
    <row r="21" spans="1:10" x14ac:dyDescent="0.2">
      <c r="A21" s="135" t="s">
        <v>19</v>
      </c>
      <c r="B21" s="170">
        <v>26518</v>
      </c>
      <c r="C21" s="162">
        <v>9.0999999999999998E-2</v>
      </c>
      <c r="D21" s="173">
        <v>28284</v>
      </c>
      <c r="E21" s="162">
        <v>9.7000000000000003E-2</v>
      </c>
      <c r="F21" s="170">
        <v>26235</v>
      </c>
      <c r="G21" s="339">
        <v>9.1658980379003857E-2</v>
      </c>
      <c r="H21" s="173">
        <v>27101</v>
      </c>
      <c r="I21" s="339">
        <v>9.4684582704455247E-2</v>
      </c>
    </row>
    <row r="22" spans="1:10" x14ac:dyDescent="0.2">
      <c r="A22" s="102" t="s">
        <v>1</v>
      </c>
      <c r="B22" s="175">
        <v>291679</v>
      </c>
      <c r="C22" s="167">
        <v>1</v>
      </c>
      <c r="D22" s="176">
        <v>291679</v>
      </c>
      <c r="E22" s="167">
        <v>1</v>
      </c>
      <c r="F22" s="175">
        <v>286224</v>
      </c>
      <c r="G22" s="521">
        <v>1</v>
      </c>
      <c r="H22" s="176">
        <v>286224</v>
      </c>
      <c r="I22" s="521">
        <v>1</v>
      </c>
    </row>
    <row r="23" spans="1:10" x14ac:dyDescent="0.2">
      <c r="I23" s="338"/>
      <c r="J23" s="30"/>
    </row>
    <row r="24" spans="1:10" s="118" customFormat="1" x14ac:dyDescent="0.2">
      <c r="A24" s="119" t="s">
        <v>262</v>
      </c>
      <c r="B24" s="120"/>
      <c r="C24" s="120"/>
      <c r="D24" s="120"/>
      <c r="E24" s="120"/>
      <c r="F24" s="120"/>
    </row>
    <row r="25" spans="1:10" s="118" customFormat="1" x14ac:dyDescent="0.2">
      <c r="A25" s="119"/>
      <c r="B25" s="120"/>
      <c r="C25" s="120"/>
      <c r="D25" s="120"/>
      <c r="E25" s="120"/>
      <c r="F25" s="120"/>
    </row>
    <row r="26" spans="1:10" x14ac:dyDescent="0.2">
      <c r="A26" s="2" t="s">
        <v>232</v>
      </c>
    </row>
    <row r="27" spans="1:10" s="109" customFormat="1" ht="27" customHeight="1" x14ac:dyDescent="0.2">
      <c r="A27" s="555" t="s">
        <v>238</v>
      </c>
      <c r="B27" s="555"/>
      <c r="C27" s="555"/>
      <c r="D27" s="555"/>
      <c r="E27" s="555"/>
    </row>
    <row r="28" spans="1:10" ht="25.5" customHeight="1" x14ac:dyDescent="0.2">
      <c r="A28" s="552" t="s">
        <v>239</v>
      </c>
      <c r="B28" s="552"/>
      <c r="C28" s="552"/>
      <c r="D28" s="552"/>
      <c r="E28" s="552"/>
    </row>
    <row r="29" spans="1:10" ht="25.5" customHeight="1" x14ac:dyDescent="0.2">
      <c r="A29" s="568"/>
      <c r="B29" s="568"/>
      <c r="C29" s="568"/>
      <c r="D29" s="568"/>
      <c r="E29" s="568"/>
      <c r="F29" s="24"/>
    </row>
    <row r="30" spans="1:10" x14ac:dyDescent="0.2">
      <c r="D30" s="49"/>
      <c r="H30" s="49"/>
    </row>
    <row r="31" spans="1:10" x14ac:dyDescent="0.2">
      <c r="D31" s="49"/>
      <c r="H31" s="49"/>
    </row>
    <row r="32" spans="1:10" x14ac:dyDescent="0.2">
      <c r="D32" s="49"/>
      <c r="H32" s="49"/>
    </row>
    <row r="33" spans="4:8" x14ac:dyDescent="0.2">
      <c r="D33" s="49"/>
      <c r="H33" s="49"/>
    </row>
    <row r="34" spans="4:8" x14ac:dyDescent="0.2">
      <c r="D34" s="49"/>
      <c r="H34" s="49"/>
    </row>
    <row r="35" spans="4:8" x14ac:dyDescent="0.2">
      <c r="D35" s="49"/>
      <c r="H35" s="49"/>
    </row>
    <row r="36" spans="4:8" x14ac:dyDescent="0.2">
      <c r="D36" s="49"/>
      <c r="H36" s="49"/>
    </row>
    <row r="37" spans="4:8" x14ac:dyDescent="0.2">
      <c r="D37" s="49"/>
      <c r="H37" s="49"/>
    </row>
  </sheetData>
  <mergeCells count="10">
    <mergeCell ref="F13:G13"/>
    <mergeCell ref="H13:I13"/>
    <mergeCell ref="B13:C13"/>
    <mergeCell ref="D13:E13"/>
    <mergeCell ref="F12:I12"/>
    <mergeCell ref="A8:B8"/>
    <mergeCell ref="A29:E29"/>
    <mergeCell ref="A27:E27"/>
    <mergeCell ref="A28:E28"/>
    <mergeCell ref="B12:E12"/>
  </mergeCells>
  <hyperlinks>
    <hyperlink ref="A8" location="Contents!A1" display="Return to Contents" xr:uid="{00000000-0004-0000-0500-000000000000}"/>
  </hyperlinks>
  <pageMargins left="0.75" right="0.75" top="1" bottom="1" header="0.5" footer="0.5"/>
  <pageSetup paperSize="9" scale="89"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5EB8"/>
    <pageSetUpPr fitToPage="1"/>
  </sheetPr>
  <dimension ref="A1:K33"/>
  <sheetViews>
    <sheetView showGridLines="0" zoomScaleNormal="100" workbookViewId="0"/>
  </sheetViews>
  <sheetFormatPr defaultColWidth="9.140625" defaultRowHeight="12.75" x14ac:dyDescent="0.2"/>
  <cols>
    <col min="1" max="1" width="24.42578125" style="10" customWidth="1"/>
    <col min="2" max="2" width="21.85546875" style="10" bestFit="1" customWidth="1"/>
    <col min="3" max="3" width="17.28515625" style="10" bestFit="1" customWidth="1"/>
    <col min="4" max="4" width="21.85546875" style="10" bestFit="1" customWidth="1"/>
    <col min="5" max="5" width="17.28515625" style="10" bestFit="1" customWidth="1"/>
    <col min="6" max="11" width="13.5703125" style="10" customWidth="1"/>
    <col min="12" max="16384" width="9.140625" style="10"/>
  </cols>
  <sheetData>
    <row r="1" spans="1:11" ht="12.75" customHeight="1" x14ac:dyDescent="0.2">
      <c r="F1" s="12"/>
      <c r="J1" s="12"/>
    </row>
    <row r="2" spans="1:11" ht="12.75" customHeight="1" x14ac:dyDescent="0.2">
      <c r="F2" s="12"/>
      <c r="J2" s="12"/>
    </row>
    <row r="3" spans="1:11" ht="12.75" customHeight="1" x14ac:dyDescent="0.2">
      <c r="F3" s="12"/>
      <c r="J3" s="12"/>
    </row>
    <row r="4" spans="1:11" ht="12.75" customHeight="1" x14ac:dyDescent="0.2">
      <c r="F4" s="12"/>
      <c r="J4" s="12"/>
    </row>
    <row r="5" spans="1:11" ht="12.75" customHeight="1" x14ac:dyDescent="0.2">
      <c r="F5" s="12"/>
      <c r="J5" s="12"/>
    </row>
    <row r="6" spans="1:11" ht="12.75" customHeight="1" x14ac:dyDescent="0.2">
      <c r="F6" s="12"/>
      <c r="J6" s="12"/>
    </row>
    <row r="7" spans="1:11" ht="12.75" customHeight="1" x14ac:dyDescent="0.2">
      <c r="A7" s="9"/>
      <c r="B7" s="9"/>
      <c r="C7" s="9"/>
      <c r="D7" s="9"/>
      <c r="E7" s="9"/>
      <c r="F7" s="9"/>
      <c r="G7" s="9"/>
      <c r="H7" s="9"/>
      <c r="I7" s="9"/>
      <c r="J7" s="9"/>
      <c r="K7" s="9"/>
    </row>
    <row r="8" spans="1:11" ht="14.25" customHeight="1" x14ac:dyDescent="0.2">
      <c r="A8" s="72" t="s">
        <v>217</v>
      </c>
    </row>
    <row r="9" spans="1:11" ht="12.75" customHeight="1" x14ac:dyDescent="0.2">
      <c r="A9" s="9"/>
      <c r="B9" s="9"/>
      <c r="C9" s="9"/>
      <c r="D9" s="9"/>
      <c r="E9" s="9"/>
      <c r="F9" s="9"/>
      <c r="G9" s="9"/>
      <c r="H9" s="9"/>
      <c r="I9" s="9"/>
      <c r="J9" s="9"/>
      <c r="K9" s="9"/>
    </row>
    <row r="10" spans="1:11" ht="22.5" customHeight="1" x14ac:dyDescent="0.2">
      <c r="A10" s="227" t="s">
        <v>253</v>
      </c>
      <c r="B10" s="2"/>
      <c r="C10" s="1"/>
      <c r="D10" s="1"/>
      <c r="E10" s="1"/>
      <c r="F10" s="1"/>
      <c r="G10" s="1"/>
      <c r="H10" s="1"/>
      <c r="I10" s="1"/>
      <c r="J10" s="1"/>
      <c r="K10" s="1"/>
    </row>
    <row r="11" spans="1:11" x14ac:dyDescent="0.2">
      <c r="A11" s="2"/>
      <c r="B11" s="2"/>
      <c r="C11" s="1"/>
      <c r="D11" s="1"/>
      <c r="E11" s="1"/>
      <c r="F11" s="1"/>
      <c r="G11" s="1"/>
      <c r="H11" s="1"/>
      <c r="I11" s="1"/>
      <c r="J11" s="1"/>
      <c r="K11" s="1"/>
    </row>
    <row r="12" spans="1:11" x14ac:dyDescent="0.2">
      <c r="A12" s="233"/>
      <c r="B12" s="569" t="s">
        <v>300</v>
      </c>
      <c r="C12" s="571"/>
      <c r="D12" s="569" t="s">
        <v>599</v>
      </c>
      <c r="E12" s="571"/>
      <c r="F12" s="18"/>
      <c r="G12" s="18"/>
      <c r="H12" s="18"/>
      <c r="I12" s="18"/>
    </row>
    <row r="13" spans="1:11" s="214" customFormat="1" ht="38.25" x14ac:dyDescent="0.2">
      <c r="A13" s="258" t="s">
        <v>218</v>
      </c>
      <c r="B13" s="349" t="s">
        <v>15</v>
      </c>
      <c r="C13" s="350" t="s">
        <v>30</v>
      </c>
      <c r="D13" s="351" t="s">
        <v>15</v>
      </c>
      <c r="E13" s="350" t="s">
        <v>30</v>
      </c>
    </row>
    <row r="14" spans="1:11" x14ac:dyDescent="0.2">
      <c r="A14" s="236" t="s">
        <v>290</v>
      </c>
      <c r="B14" s="295">
        <v>34311</v>
      </c>
      <c r="C14" s="317">
        <v>4.03</v>
      </c>
      <c r="D14" s="343">
        <v>32725</v>
      </c>
      <c r="E14" s="344">
        <v>4.1900000000000004</v>
      </c>
    </row>
    <row r="15" spans="1:11" x14ac:dyDescent="0.2">
      <c r="A15" s="236" t="s">
        <v>291</v>
      </c>
      <c r="B15" s="296">
        <v>32041</v>
      </c>
      <c r="C15" s="318">
        <v>4.1900000000000004</v>
      </c>
      <c r="D15" s="345">
        <v>30906</v>
      </c>
      <c r="E15" s="346">
        <v>4.16</v>
      </c>
    </row>
    <row r="16" spans="1:11" x14ac:dyDescent="0.2">
      <c r="A16" s="236" t="s">
        <v>292</v>
      </c>
      <c r="B16" s="296">
        <v>30345</v>
      </c>
      <c r="C16" s="319">
        <v>4.08</v>
      </c>
      <c r="D16" s="345">
        <v>29760</v>
      </c>
      <c r="E16" s="346">
        <v>4.17</v>
      </c>
    </row>
    <row r="17" spans="1:9" x14ac:dyDescent="0.2">
      <c r="A17" s="236" t="s">
        <v>293</v>
      </c>
      <c r="B17" s="296">
        <v>28546</v>
      </c>
      <c r="C17" s="319">
        <v>4.0199999999999996</v>
      </c>
      <c r="D17" s="345">
        <v>28198</v>
      </c>
      <c r="E17" s="346">
        <v>4.0999999999999996</v>
      </c>
    </row>
    <row r="18" spans="1:9" x14ac:dyDescent="0.2">
      <c r="A18" s="236" t="s">
        <v>294</v>
      </c>
      <c r="B18" s="296">
        <v>27556</v>
      </c>
      <c r="C18" s="319">
        <v>4.03</v>
      </c>
      <c r="D18" s="345">
        <v>27409</v>
      </c>
      <c r="E18" s="346">
        <v>4.07</v>
      </c>
    </row>
    <row r="19" spans="1:9" x14ac:dyDescent="0.2">
      <c r="A19" s="236" t="s">
        <v>295</v>
      </c>
      <c r="B19" s="296">
        <v>27327</v>
      </c>
      <c r="C19" s="319">
        <v>3.99</v>
      </c>
      <c r="D19" s="345">
        <v>27121</v>
      </c>
      <c r="E19" s="346">
        <v>3.99</v>
      </c>
    </row>
    <row r="20" spans="1:9" x14ac:dyDescent="0.2">
      <c r="A20" s="236" t="s">
        <v>296</v>
      </c>
      <c r="B20" s="296">
        <v>26572</v>
      </c>
      <c r="C20" s="319">
        <v>3.92</v>
      </c>
      <c r="D20" s="345">
        <v>26307</v>
      </c>
      <c r="E20" s="346">
        <v>3.82</v>
      </c>
    </row>
    <row r="21" spans="1:9" x14ac:dyDescent="0.2">
      <c r="A21" s="236" t="s">
        <v>297</v>
      </c>
      <c r="B21" s="296">
        <v>26038</v>
      </c>
      <c r="C21" s="319">
        <v>3.91</v>
      </c>
      <c r="D21" s="345">
        <v>25923</v>
      </c>
      <c r="E21" s="346">
        <v>4.03</v>
      </c>
    </row>
    <row r="22" spans="1:9" x14ac:dyDescent="0.2">
      <c r="A22" s="236" t="s">
        <v>298</v>
      </c>
      <c r="B22" s="296">
        <v>25646</v>
      </c>
      <c r="C22" s="319">
        <v>3.75</v>
      </c>
      <c r="D22" s="345">
        <v>25283</v>
      </c>
      <c r="E22" s="346">
        <v>3.87</v>
      </c>
    </row>
    <row r="23" spans="1:9" x14ac:dyDescent="0.2">
      <c r="A23" s="236" t="s">
        <v>299</v>
      </c>
      <c r="B23" s="296">
        <v>23849</v>
      </c>
      <c r="C23" s="319">
        <v>3.76</v>
      </c>
      <c r="D23" s="345">
        <v>23535</v>
      </c>
      <c r="E23" s="346">
        <v>3.82</v>
      </c>
    </row>
    <row r="24" spans="1:9" x14ac:dyDescent="0.2">
      <c r="A24" s="263" t="s">
        <v>187</v>
      </c>
      <c r="B24" s="264">
        <v>9448</v>
      </c>
      <c r="C24" s="320">
        <v>4.78</v>
      </c>
      <c r="D24" s="347">
        <v>9057</v>
      </c>
      <c r="E24" s="348">
        <v>4.79</v>
      </c>
      <c r="G24" s="471"/>
    </row>
    <row r="26" spans="1:9" x14ac:dyDescent="0.2">
      <c r="A26" s="119" t="s">
        <v>262</v>
      </c>
    </row>
    <row r="28" spans="1:9" x14ac:dyDescent="0.2">
      <c r="A28" s="2" t="s">
        <v>232</v>
      </c>
    </row>
    <row r="29" spans="1:9" s="80" customFormat="1" ht="39" customHeight="1" x14ac:dyDescent="0.2">
      <c r="A29" s="564" t="s">
        <v>230</v>
      </c>
      <c r="B29" s="564"/>
      <c r="C29" s="564"/>
      <c r="D29" s="564"/>
      <c r="E29" s="564"/>
    </row>
    <row r="30" spans="1:9" s="80" customFormat="1" ht="12.75" customHeight="1" x14ac:dyDescent="0.2">
      <c r="A30" s="576" t="s">
        <v>229</v>
      </c>
      <c r="B30" s="576"/>
      <c r="C30" s="576"/>
      <c r="D30" s="576"/>
      <c r="E30" s="576"/>
    </row>
    <row r="31" spans="1:9" ht="25.5" customHeight="1" x14ac:dyDescent="0.2">
      <c r="A31" s="555" t="s">
        <v>240</v>
      </c>
      <c r="B31" s="555"/>
      <c r="C31" s="555"/>
      <c r="D31" s="555"/>
      <c r="E31" s="555"/>
      <c r="F31" s="17"/>
      <c r="G31" s="17"/>
      <c r="H31" s="17"/>
      <c r="I31" s="17"/>
    </row>
    <row r="32" spans="1:9" ht="25.5" customHeight="1" x14ac:dyDescent="0.2">
      <c r="A32" s="556" t="s">
        <v>234</v>
      </c>
      <c r="B32" s="556"/>
      <c r="C32" s="556"/>
      <c r="D32" s="556"/>
      <c r="E32" s="556"/>
      <c r="F32" s="17"/>
      <c r="G32" s="17"/>
      <c r="H32" s="17"/>
      <c r="I32" s="17"/>
    </row>
    <row r="33" spans="1:9" ht="25.5" customHeight="1" x14ac:dyDescent="0.2">
      <c r="A33" s="568"/>
      <c r="B33" s="568"/>
      <c r="C33" s="568"/>
      <c r="D33" s="568"/>
      <c r="E33" s="568"/>
      <c r="F33" s="17"/>
      <c r="G33" s="17"/>
      <c r="H33" s="17"/>
      <c r="I33" s="17"/>
    </row>
  </sheetData>
  <mergeCells count="7">
    <mergeCell ref="A33:E33"/>
    <mergeCell ref="B12:C12"/>
    <mergeCell ref="A31:E31"/>
    <mergeCell ref="A32:E32"/>
    <mergeCell ref="A29:E29"/>
    <mergeCell ref="A30:E30"/>
    <mergeCell ref="D12:E12"/>
  </mergeCells>
  <hyperlinks>
    <hyperlink ref="A30:E30" r:id="rId1" display="(Department of Communities and Local Government: http://www.gov.uk/government/organisations/department-for-communities-and-local-government/series/english-indices-of-deprivation)" xr:uid="{00000000-0004-0000-0600-000000000000}"/>
    <hyperlink ref="A8" location="Contents!A1" display="Return to Contents" xr:uid="{00000000-0004-0000-0600-000001000000}"/>
  </hyperlinks>
  <pageMargins left="0.7" right="0.7" top="0.75" bottom="0.75" header="0.3" footer="0.3"/>
  <pageSetup paperSize="9" orientation="landscape"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5EB8"/>
    <pageSetUpPr fitToPage="1"/>
  </sheetPr>
  <dimension ref="A1:Y31"/>
  <sheetViews>
    <sheetView showGridLines="0" zoomScaleNormal="100" workbookViewId="0"/>
  </sheetViews>
  <sheetFormatPr defaultColWidth="9.140625" defaultRowHeight="12.75" x14ac:dyDescent="0.2"/>
  <cols>
    <col min="1" max="1" width="45.140625" style="1" bestFit="1" customWidth="1"/>
    <col min="2" max="5" width="18.7109375" style="1" customWidth="1"/>
    <col min="6" max="10" width="9.140625" style="1" customWidth="1"/>
    <col min="11" max="16384" width="9.140625" style="1"/>
  </cols>
  <sheetData>
    <row r="1" spans="1:25" s="10" customFormat="1" ht="12.75" customHeight="1" x14ac:dyDescent="0.2">
      <c r="F1" s="12"/>
      <c r="Y1" s="11"/>
    </row>
    <row r="2" spans="1:25" s="10" customFormat="1" ht="12.75" customHeight="1" x14ac:dyDescent="0.2">
      <c r="F2" s="12"/>
      <c r="Y2" s="11"/>
    </row>
    <row r="3" spans="1:25" s="10" customFormat="1" ht="12.75" customHeight="1" x14ac:dyDescent="0.2">
      <c r="F3" s="12"/>
      <c r="Y3" s="11"/>
    </row>
    <row r="4" spans="1:25" s="10" customFormat="1" ht="12.75" customHeight="1" x14ac:dyDescent="0.2">
      <c r="F4" s="12"/>
      <c r="Y4" s="11"/>
    </row>
    <row r="5" spans="1:25" s="10" customFormat="1" ht="12.75" customHeight="1" x14ac:dyDescent="0.2">
      <c r="F5" s="12"/>
      <c r="Y5" s="11"/>
    </row>
    <row r="6" spans="1:25" s="10" customFormat="1" ht="12.75" customHeight="1" x14ac:dyDescent="0.2">
      <c r="F6" s="12"/>
      <c r="Y6" s="11"/>
    </row>
    <row r="7" spans="1:25" s="9" customFormat="1" ht="12.75" customHeight="1" x14ac:dyDescent="0.2"/>
    <row r="8" spans="1:25" ht="14.25" customHeight="1" x14ac:dyDescent="0.2">
      <c r="A8" s="72" t="s">
        <v>217</v>
      </c>
    </row>
    <row r="9" spans="1:25" s="9" customFormat="1" ht="12.75" customHeight="1" x14ac:dyDescent="0.2"/>
    <row r="10" spans="1:25" ht="22.5" customHeight="1" x14ac:dyDescent="0.2">
      <c r="A10" s="227" t="s">
        <v>252</v>
      </c>
    </row>
    <row r="11" spans="1:25" x14ac:dyDescent="0.2">
      <c r="A11" s="2"/>
    </row>
    <row r="12" spans="1:25" x14ac:dyDescent="0.2">
      <c r="A12" s="109"/>
      <c r="B12" s="553" t="s">
        <v>300</v>
      </c>
      <c r="C12" s="554"/>
      <c r="D12" s="577" t="s">
        <v>599</v>
      </c>
      <c r="E12" s="554"/>
    </row>
    <row r="13" spans="1:25" ht="38.25" x14ac:dyDescent="0.2">
      <c r="A13" s="111" t="s">
        <v>41</v>
      </c>
      <c r="B13" s="108" t="s">
        <v>15</v>
      </c>
      <c r="C13" s="97" t="s">
        <v>14</v>
      </c>
      <c r="D13" s="95" t="s">
        <v>15</v>
      </c>
      <c r="E13" s="97" t="s">
        <v>14</v>
      </c>
      <c r="G13" s="285"/>
      <c r="H13" s="285"/>
    </row>
    <row r="14" spans="1:25" x14ac:dyDescent="0.2">
      <c r="A14" s="237" t="s">
        <v>40</v>
      </c>
      <c r="B14" s="285">
        <v>117824</v>
      </c>
      <c r="C14" s="192">
        <v>0.57180017276689088</v>
      </c>
      <c r="D14" s="169">
        <v>117892</v>
      </c>
      <c r="E14" s="337">
        <v>0.57989749038357485</v>
      </c>
      <c r="F14" s="522"/>
      <c r="G14" s="285"/>
      <c r="H14" s="285"/>
      <c r="J14" s="285"/>
      <c r="K14" s="285"/>
    </row>
    <row r="15" spans="1:25" x14ac:dyDescent="0.2">
      <c r="A15" s="237" t="s">
        <v>39</v>
      </c>
      <c r="B15" s="155">
        <v>67556</v>
      </c>
      <c r="C15" s="192">
        <v>0.32784944044880565</v>
      </c>
      <c r="D15" s="170">
        <v>65852</v>
      </c>
      <c r="E15" s="339">
        <v>0.3239185825733652</v>
      </c>
      <c r="F15" s="522"/>
      <c r="G15" s="285"/>
      <c r="H15" s="285"/>
      <c r="J15" s="285"/>
      <c r="K15" s="285"/>
    </row>
    <row r="16" spans="1:25" x14ac:dyDescent="0.2">
      <c r="A16" s="237" t="s">
        <v>37</v>
      </c>
      <c r="B16" s="155">
        <v>7558</v>
      </c>
      <c r="C16" s="192">
        <v>3.6678993293150469E-2</v>
      </c>
      <c r="D16" s="170">
        <v>7412</v>
      </c>
      <c r="E16" s="339">
        <v>3.6458794479040622E-2</v>
      </c>
      <c r="F16" s="522"/>
      <c r="G16" s="285"/>
      <c r="H16" s="285"/>
      <c r="J16" s="285"/>
      <c r="K16" s="285"/>
    </row>
    <row r="17" spans="1:11" x14ac:dyDescent="0.2">
      <c r="A17" s="237" t="s">
        <v>38</v>
      </c>
      <c r="B17" s="155">
        <v>6262</v>
      </c>
      <c r="C17" s="192">
        <v>3.0389501984878043E-2</v>
      </c>
      <c r="D17" s="170">
        <v>5743</v>
      </c>
      <c r="E17" s="339">
        <v>2.824917116744877E-2</v>
      </c>
      <c r="F17" s="522"/>
      <c r="G17" s="285"/>
      <c r="H17" s="285"/>
      <c r="J17" s="285"/>
      <c r="K17" s="285"/>
    </row>
    <row r="18" spans="1:11" x14ac:dyDescent="0.2">
      <c r="A18" s="237" t="s">
        <v>36</v>
      </c>
      <c r="B18" s="155">
        <v>5924</v>
      </c>
      <c r="C18" s="192">
        <v>2.8749187122072428E-2</v>
      </c>
      <c r="D18" s="170">
        <v>5432</v>
      </c>
      <c r="E18" s="339">
        <v>2.6719397141142558E-2</v>
      </c>
      <c r="F18" s="522"/>
      <c r="G18" s="285"/>
      <c r="H18" s="285"/>
      <c r="J18" s="285"/>
      <c r="K18" s="285"/>
    </row>
    <row r="19" spans="1:11" x14ac:dyDescent="0.2">
      <c r="A19" s="237" t="s">
        <v>35</v>
      </c>
      <c r="B19" s="155">
        <v>934</v>
      </c>
      <c r="C19" s="192">
        <v>4.532704384202506E-3</v>
      </c>
      <c r="D19" s="171">
        <v>967</v>
      </c>
      <c r="E19" s="340">
        <v>4.7565642554279926E-3</v>
      </c>
      <c r="F19" s="522"/>
      <c r="G19" s="285"/>
      <c r="H19" s="285"/>
      <c r="J19" s="285"/>
      <c r="K19" s="285"/>
    </row>
    <row r="20" spans="1:11" x14ac:dyDescent="0.2">
      <c r="A20" s="486" t="s">
        <v>34</v>
      </c>
      <c r="B20" s="176">
        <v>206058</v>
      </c>
      <c r="C20" s="487">
        <v>1</v>
      </c>
      <c r="D20" s="488">
        <v>203298</v>
      </c>
      <c r="E20" s="489">
        <v>1</v>
      </c>
      <c r="F20" s="522"/>
      <c r="G20" s="285"/>
      <c r="H20" s="285"/>
      <c r="J20" s="285"/>
      <c r="K20" s="285"/>
    </row>
    <row r="21" spans="1:11" x14ac:dyDescent="0.2">
      <c r="A21" s="238" t="s">
        <v>33</v>
      </c>
      <c r="B21" s="199">
        <v>85621</v>
      </c>
      <c r="C21" s="113">
        <v>0.29399999999999998</v>
      </c>
      <c r="D21" s="171">
        <v>82926</v>
      </c>
      <c r="E21" s="352">
        <v>0.28972413214824755</v>
      </c>
      <c r="F21" s="522"/>
      <c r="G21" s="49"/>
      <c r="J21" s="285"/>
      <c r="K21" s="285"/>
    </row>
    <row r="22" spans="1:11" x14ac:dyDescent="0.2">
      <c r="A22" s="112" t="s">
        <v>1</v>
      </c>
      <c r="B22" s="297">
        <v>291679</v>
      </c>
      <c r="C22" s="110">
        <v>1</v>
      </c>
      <c r="D22" s="341">
        <v>286224</v>
      </c>
      <c r="E22" s="353">
        <v>1</v>
      </c>
      <c r="F22" s="522"/>
      <c r="G22" s="49"/>
      <c r="H22" s="285"/>
      <c r="I22" s="285"/>
      <c r="J22" s="285"/>
      <c r="K22" s="285"/>
    </row>
    <row r="23" spans="1:11" x14ac:dyDescent="0.2">
      <c r="A23" s="19"/>
      <c r="B23" s="7"/>
      <c r="C23" s="6"/>
      <c r="D23" s="7"/>
      <c r="E23" s="6"/>
    </row>
    <row r="24" spans="1:11" s="118" customFormat="1" x14ac:dyDescent="0.2">
      <c r="A24" s="119" t="s">
        <v>262</v>
      </c>
      <c r="B24" s="120"/>
      <c r="C24" s="120"/>
      <c r="D24" s="120"/>
      <c r="E24" s="120"/>
      <c r="F24" s="120"/>
    </row>
    <row r="25" spans="1:11" x14ac:dyDescent="0.2">
      <c r="A25" s="19"/>
      <c r="B25" s="7"/>
      <c r="C25" s="6"/>
      <c r="D25" s="7"/>
      <c r="E25" s="6"/>
    </row>
    <row r="26" spans="1:11" x14ac:dyDescent="0.2">
      <c r="A26" s="2" t="s">
        <v>232</v>
      </c>
      <c r="B26" s="109"/>
      <c r="C26" s="109"/>
      <c r="D26" s="109"/>
      <c r="E26" s="109"/>
    </row>
    <row r="27" spans="1:11" x14ac:dyDescent="0.2">
      <c r="A27" s="122" t="s">
        <v>32</v>
      </c>
      <c r="B27" s="109"/>
      <c r="C27" s="109"/>
      <c r="D27" s="109"/>
      <c r="E27" s="109"/>
    </row>
    <row r="28" spans="1:11" x14ac:dyDescent="0.2">
      <c r="A28" s="122" t="s">
        <v>31</v>
      </c>
      <c r="B28" s="109"/>
      <c r="C28" s="109"/>
      <c r="D28" s="109"/>
      <c r="E28" s="109"/>
    </row>
    <row r="29" spans="1:11" s="109" customFormat="1" ht="25.5" customHeight="1" x14ac:dyDescent="0.2">
      <c r="A29" s="555" t="s">
        <v>236</v>
      </c>
      <c r="B29" s="555"/>
      <c r="C29" s="555"/>
      <c r="D29" s="555"/>
      <c r="E29" s="555"/>
    </row>
    <row r="30" spans="1:11" ht="25.5" customHeight="1" x14ac:dyDescent="0.2">
      <c r="A30" s="556" t="s">
        <v>237</v>
      </c>
      <c r="B30" s="556"/>
      <c r="C30" s="556"/>
      <c r="D30" s="556"/>
      <c r="E30" s="556"/>
    </row>
    <row r="31" spans="1:11" ht="25.5" customHeight="1" x14ac:dyDescent="0.2">
      <c r="A31" s="552"/>
      <c r="B31" s="552"/>
      <c r="C31" s="552"/>
      <c r="D31" s="552"/>
      <c r="E31" s="552"/>
    </row>
  </sheetData>
  <mergeCells count="5">
    <mergeCell ref="A29:E29"/>
    <mergeCell ref="A30:E30"/>
    <mergeCell ref="B12:C12"/>
    <mergeCell ref="D12:E12"/>
    <mergeCell ref="A31:E31"/>
  </mergeCells>
  <hyperlinks>
    <hyperlink ref="A8" location="Contents!A1" display="Return to Contents" xr:uid="{00000000-0004-0000-0700-000000000000}"/>
  </hyperlinks>
  <pageMargins left="0.75" right="0.75" top="1" bottom="1" header="0.5" footer="0.5"/>
  <pageSetup paperSize="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5EB8"/>
    <pageSetUpPr fitToPage="1"/>
  </sheetPr>
  <dimension ref="A1:Y32"/>
  <sheetViews>
    <sheetView showGridLines="0" zoomScaleNormal="100" workbookViewId="0"/>
  </sheetViews>
  <sheetFormatPr defaultColWidth="9.140625" defaultRowHeight="12.75" x14ac:dyDescent="0.2"/>
  <cols>
    <col min="1" max="1" width="62.7109375" style="9" customWidth="1"/>
    <col min="2" max="2" width="17.140625" style="9" customWidth="1"/>
    <col min="3" max="3" width="19.5703125" style="9" customWidth="1"/>
    <col min="4" max="4" width="17.140625" style="9" customWidth="1"/>
    <col min="5" max="5" width="19" style="9" customWidth="1"/>
    <col min="6" max="6" width="9" style="9" customWidth="1"/>
    <col min="7" max="7" width="9.140625" style="9" customWidth="1"/>
    <col min="8" max="8" width="10.28515625" style="9" customWidth="1"/>
    <col min="9" max="16384" width="9.140625" style="9"/>
  </cols>
  <sheetData>
    <row r="1" spans="1:25" s="10" customFormat="1" ht="12.75" customHeight="1" x14ac:dyDescent="0.2">
      <c r="F1" s="12"/>
      <c r="Y1" s="11"/>
    </row>
    <row r="2" spans="1:25" s="10" customFormat="1" ht="12.75" customHeight="1" x14ac:dyDescent="0.2">
      <c r="F2" s="12"/>
      <c r="Y2" s="11"/>
    </row>
    <row r="3" spans="1:25" s="10" customFormat="1" ht="12.75" customHeight="1" x14ac:dyDescent="0.2">
      <c r="F3" s="12"/>
      <c r="Y3" s="11"/>
    </row>
    <row r="4" spans="1:25" s="10" customFormat="1" ht="12.75" customHeight="1" x14ac:dyDescent="0.2">
      <c r="F4" s="12"/>
      <c r="Y4" s="11"/>
    </row>
    <row r="5" spans="1:25" s="10" customFormat="1" ht="12.75" customHeight="1" x14ac:dyDescent="0.2">
      <c r="F5" s="12"/>
      <c r="H5" s="9"/>
      <c r="I5" s="9"/>
      <c r="Y5" s="11"/>
    </row>
    <row r="6" spans="1:25" s="10" customFormat="1" ht="12.75" customHeight="1" x14ac:dyDescent="0.2">
      <c r="F6" s="12"/>
      <c r="Y6" s="11"/>
    </row>
    <row r="7" spans="1:25" ht="12.75" customHeight="1" x14ac:dyDescent="0.2"/>
    <row r="8" spans="1:25" ht="14.25" customHeight="1" x14ac:dyDescent="0.2">
      <c r="A8" s="72" t="s">
        <v>217</v>
      </c>
      <c r="H8" s="10"/>
      <c r="I8" s="10"/>
    </row>
    <row r="9" spans="1:25" ht="12.75" customHeight="1" x14ac:dyDescent="0.2"/>
    <row r="10" spans="1:25" ht="22.5" customHeight="1" x14ac:dyDescent="0.2">
      <c r="A10" s="227" t="s">
        <v>251</v>
      </c>
    </row>
    <row r="11" spans="1:25" x14ac:dyDescent="0.2">
      <c r="A11" s="13"/>
    </row>
    <row r="12" spans="1:25" x14ac:dyDescent="0.2">
      <c r="A12" s="239"/>
      <c r="B12" s="553" t="s">
        <v>300</v>
      </c>
      <c r="C12" s="554"/>
      <c r="D12" s="558" t="s">
        <v>599</v>
      </c>
      <c r="E12" s="559"/>
    </row>
    <row r="13" spans="1:25" s="24" customFormat="1" ht="38.25" x14ac:dyDescent="0.2">
      <c r="A13" s="101" t="s">
        <v>47</v>
      </c>
      <c r="B13" s="108" t="s">
        <v>15</v>
      </c>
      <c r="C13" s="97" t="s">
        <v>14</v>
      </c>
      <c r="D13" s="98" t="s">
        <v>15</v>
      </c>
      <c r="E13" s="99" t="s">
        <v>14</v>
      </c>
    </row>
    <row r="14" spans="1:25" ht="15" x14ac:dyDescent="0.2">
      <c r="A14" s="152" t="s">
        <v>46</v>
      </c>
      <c r="B14" s="163">
        <v>202555</v>
      </c>
      <c r="C14" s="195">
        <v>0.95632775430230632</v>
      </c>
      <c r="D14" s="354">
        <v>198841</v>
      </c>
      <c r="E14" s="355">
        <v>0.95694169056923406</v>
      </c>
      <c r="F14" s="470"/>
      <c r="G14" s="472"/>
    </row>
    <row r="15" spans="1:25" ht="15" x14ac:dyDescent="0.2">
      <c r="A15" s="152" t="s">
        <v>45</v>
      </c>
      <c r="B15" s="164">
        <v>6843</v>
      </c>
      <c r="C15" s="193">
        <v>3.230801916857487E-2</v>
      </c>
      <c r="D15" s="356">
        <v>6618</v>
      </c>
      <c r="E15" s="357">
        <v>3.1849769957841646E-2</v>
      </c>
      <c r="F15" s="470"/>
      <c r="G15" s="472"/>
    </row>
    <row r="16" spans="1:25" ht="15" x14ac:dyDescent="0.2">
      <c r="A16" s="152" t="s">
        <v>44</v>
      </c>
      <c r="B16" s="164">
        <v>1742</v>
      </c>
      <c r="C16" s="193">
        <v>8.2245461627440328E-3</v>
      </c>
      <c r="D16" s="356">
        <v>1689</v>
      </c>
      <c r="E16" s="357">
        <v>8.1284771016613081E-3</v>
      </c>
      <c r="F16" s="470"/>
      <c r="G16" s="472"/>
    </row>
    <row r="17" spans="1:7" ht="15" x14ac:dyDescent="0.2">
      <c r="A17" s="152" t="s">
        <v>43</v>
      </c>
      <c r="B17" s="164">
        <v>478</v>
      </c>
      <c r="C17" s="193">
        <v>2.2567928047024385E-3</v>
      </c>
      <c r="D17" s="356">
        <v>479</v>
      </c>
      <c r="E17" s="357">
        <v>2.305234180992165E-3</v>
      </c>
      <c r="F17" s="470"/>
      <c r="G17" s="472"/>
    </row>
    <row r="18" spans="1:7" ht="14.25" customHeight="1" x14ac:dyDescent="0.2">
      <c r="A18" s="152" t="s">
        <v>42</v>
      </c>
      <c r="B18" s="165">
        <v>187</v>
      </c>
      <c r="C18" s="193">
        <v>8.8288756167229294E-4</v>
      </c>
      <c r="D18" s="358">
        <v>161</v>
      </c>
      <c r="E18" s="359">
        <v>7.7482819027085298E-4</v>
      </c>
      <c r="F18" s="470"/>
      <c r="G18" s="472"/>
    </row>
    <row r="19" spans="1:7" ht="12.75" customHeight="1" x14ac:dyDescent="0.2">
      <c r="A19" s="490" t="s">
        <v>34</v>
      </c>
      <c r="B19" s="328">
        <v>211805</v>
      </c>
      <c r="C19" s="487">
        <v>1</v>
      </c>
      <c r="D19" s="361">
        <v>207788</v>
      </c>
      <c r="E19" s="362">
        <v>1</v>
      </c>
      <c r="F19" s="470"/>
      <c r="G19" s="472"/>
    </row>
    <row r="20" spans="1:7" ht="15" x14ac:dyDescent="0.2">
      <c r="A20" s="240" t="s">
        <v>33</v>
      </c>
      <c r="B20" s="165">
        <v>79874</v>
      </c>
      <c r="C20" s="194">
        <v>0.27384213467544799</v>
      </c>
      <c r="D20" s="360">
        <v>78436</v>
      </c>
      <c r="E20" s="359">
        <v>0.27403711778187712</v>
      </c>
      <c r="F20" s="470"/>
      <c r="G20" s="472"/>
    </row>
    <row r="21" spans="1:7" ht="15" x14ac:dyDescent="0.2">
      <c r="A21" s="123" t="s">
        <v>1</v>
      </c>
      <c r="B21" s="160">
        <v>291679</v>
      </c>
      <c r="C21" s="298">
        <v>1</v>
      </c>
      <c r="D21" s="361">
        <v>286224</v>
      </c>
      <c r="E21" s="362">
        <v>1</v>
      </c>
      <c r="F21" s="470"/>
      <c r="G21" s="286"/>
    </row>
    <row r="22" spans="1:7" x14ac:dyDescent="0.2">
      <c r="A22" s="23"/>
      <c r="B22" s="22"/>
      <c r="C22" s="21"/>
      <c r="D22" s="22"/>
      <c r="E22" s="21"/>
    </row>
    <row r="23" spans="1:7" s="118" customFormat="1" x14ac:dyDescent="0.2">
      <c r="A23" s="119" t="s">
        <v>262</v>
      </c>
      <c r="B23" s="120"/>
      <c r="C23" s="120"/>
      <c r="D23" s="120"/>
      <c r="E23" s="120"/>
      <c r="F23" s="120"/>
    </row>
    <row r="24" spans="1:7" s="1" customFormat="1" x14ac:dyDescent="0.2">
      <c r="A24" s="19"/>
      <c r="B24" s="7"/>
      <c r="C24" s="6"/>
      <c r="D24" s="7"/>
      <c r="E24" s="6"/>
    </row>
    <row r="25" spans="1:7" s="1" customFormat="1" x14ac:dyDescent="0.2">
      <c r="A25" s="2" t="s">
        <v>232</v>
      </c>
      <c r="B25" s="109"/>
      <c r="C25" s="109"/>
      <c r="D25" s="109"/>
      <c r="E25" s="109"/>
    </row>
    <row r="26" spans="1:7" s="1" customFormat="1" x14ac:dyDescent="0.2">
      <c r="A26" s="122" t="s">
        <v>32</v>
      </c>
      <c r="B26" s="109"/>
      <c r="C26" s="109"/>
      <c r="D26" s="109"/>
      <c r="E26" s="109"/>
    </row>
    <row r="27" spans="1:7" s="109" customFormat="1" x14ac:dyDescent="0.2">
      <c r="A27" s="555" t="s">
        <v>240</v>
      </c>
      <c r="B27" s="555"/>
      <c r="C27" s="555"/>
      <c r="D27" s="555"/>
      <c r="E27" s="555"/>
    </row>
    <row r="28" spans="1:7" s="1" customFormat="1" x14ac:dyDescent="0.2">
      <c r="A28" s="556" t="s">
        <v>234</v>
      </c>
      <c r="B28" s="556"/>
      <c r="C28" s="556"/>
      <c r="D28" s="556"/>
      <c r="E28" s="556"/>
    </row>
    <row r="29" spans="1:7" ht="25.5" customHeight="1" x14ac:dyDescent="0.2">
      <c r="A29" s="552"/>
      <c r="B29" s="552"/>
      <c r="C29" s="552"/>
      <c r="D29" s="552"/>
      <c r="E29" s="552"/>
    </row>
    <row r="32" spans="1:7" x14ac:dyDescent="0.2">
      <c r="D32" s="9" t="s">
        <v>148</v>
      </c>
    </row>
  </sheetData>
  <mergeCells count="5">
    <mergeCell ref="D12:E12"/>
    <mergeCell ref="A27:E27"/>
    <mergeCell ref="A28:E28"/>
    <mergeCell ref="B12:C12"/>
    <mergeCell ref="A29:E29"/>
  </mergeCells>
  <hyperlinks>
    <hyperlink ref="A8" location="Contents!A1" display="Return to Contents" xr:uid="{00000000-0004-0000-0800-000000000000}"/>
  </hyperlinks>
  <pageMargins left="0.75" right="0.75" top="1" bottom="1" header="0.5" footer="0.5"/>
  <pageSetup paperSize="9" scale="96" orientation="landscape" horizontalDpi="1200"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5EB8"/>
    <pageSetUpPr fitToPage="1"/>
  </sheetPr>
  <dimension ref="A1:Y36"/>
  <sheetViews>
    <sheetView showGridLines="0" zoomScaleNormal="100" workbookViewId="0"/>
  </sheetViews>
  <sheetFormatPr defaultColWidth="9.140625" defaultRowHeight="12.75" x14ac:dyDescent="0.2"/>
  <cols>
    <col min="1" max="1" width="59.28515625" style="1" customWidth="1"/>
    <col min="2" max="5" width="19.5703125" style="1" customWidth="1"/>
    <col min="6" max="6" width="14.42578125" style="1" customWidth="1"/>
    <col min="7" max="8" width="9.140625" style="1" customWidth="1"/>
    <col min="9" max="16384" width="9.140625" style="1"/>
  </cols>
  <sheetData>
    <row r="1" spans="1:25" s="10" customFormat="1" ht="12.75" customHeight="1" x14ac:dyDescent="0.2">
      <c r="F1" s="12"/>
      <c r="Y1" s="11"/>
    </row>
    <row r="2" spans="1:25" s="10" customFormat="1" ht="12.75" customHeight="1" x14ac:dyDescent="0.2">
      <c r="F2" s="12"/>
      <c r="Y2" s="11"/>
    </row>
    <row r="3" spans="1:25" s="10" customFormat="1" ht="12.75" customHeight="1" x14ac:dyDescent="0.2">
      <c r="F3" s="12"/>
      <c r="Y3" s="11"/>
    </row>
    <row r="4" spans="1:25" s="10" customFormat="1" ht="12.75" customHeight="1" x14ac:dyDescent="0.2">
      <c r="F4" s="12"/>
      <c r="Y4" s="11"/>
    </row>
    <row r="5" spans="1:25" s="10" customFormat="1" ht="12.75" customHeight="1" x14ac:dyDescent="0.2">
      <c r="F5" s="12"/>
      <c r="Y5" s="11"/>
    </row>
    <row r="6" spans="1:25" s="10" customFormat="1" ht="12.75" customHeight="1" x14ac:dyDescent="0.2">
      <c r="F6" s="12"/>
      <c r="Y6" s="11"/>
    </row>
    <row r="7" spans="1:25" s="9" customFormat="1" ht="12.75" customHeight="1" x14ac:dyDescent="0.2"/>
    <row r="8" spans="1:25" ht="14.25" customHeight="1" x14ac:dyDescent="0.2">
      <c r="A8" s="72" t="s">
        <v>217</v>
      </c>
    </row>
    <row r="9" spans="1:25" s="9" customFormat="1" ht="12.75" customHeight="1" x14ac:dyDescent="0.2"/>
    <row r="10" spans="1:25" ht="22.5" customHeight="1" x14ac:dyDescent="0.2">
      <c r="A10" s="227" t="s">
        <v>250</v>
      </c>
    </row>
    <row r="11" spans="1:25" x14ac:dyDescent="0.2">
      <c r="A11" s="2"/>
    </row>
    <row r="12" spans="1:25" x14ac:dyDescent="0.2">
      <c r="A12" s="233"/>
      <c r="B12" s="560" t="s">
        <v>300</v>
      </c>
      <c r="C12" s="561"/>
      <c r="D12" s="560" t="s">
        <v>599</v>
      </c>
      <c r="E12" s="561"/>
    </row>
    <row r="13" spans="1:25" ht="36" customHeight="1" x14ac:dyDescent="0.2">
      <c r="A13" s="125" t="s">
        <v>54</v>
      </c>
      <c r="B13" s="366" t="s">
        <v>15</v>
      </c>
      <c r="C13" s="367" t="s">
        <v>14</v>
      </c>
      <c r="D13" s="368" t="s">
        <v>15</v>
      </c>
      <c r="E13" s="367" t="s">
        <v>14</v>
      </c>
    </row>
    <row r="14" spans="1:25" ht="12.75" customHeight="1" x14ac:dyDescent="0.2">
      <c r="A14" s="217" t="s">
        <v>188</v>
      </c>
      <c r="B14" s="196">
        <v>90657</v>
      </c>
      <c r="C14" s="177">
        <v>0.42762130724565217</v>
      </c>
      <c r="D14" s="369">
        <v>89553</v>
      </c>
      <c r="E14" s="337">
        <v>0.43103025052342792</v>
      </c>
      <c r="F14" s="522"/>
    </row>
    <row r="15" spans="1:25" x14ac:dyDescent="0.2">
      <c r="A15" s="241" t="s">
        <v>53</v>
      </c>
      <c r="B15" s="197">
        <v>48659</v>
      </c>
      <c r="C15" s="178">
        <v>0.22952033697636354</v>
      </c>
      <c r="D15" s="370">
        <v>47082</v>
      </c>
      <c r="E15" s="339">
        <v>0.22661179698216735</v>
      </c>
      <c r="F15" s="522"/>
    </row>
    <row r="16" spans="1:25" x14ac:dyDescent="0.2">
      <c r="A16" s="241" t="s">
        <v>189</v>
      </c>
      <c r="B16" s="197">
        <v>40080</v>
      </c>
      <c r="C16" s="178">
        <v>0.18905392848214411</v>
      </c>
      <c r="D16" s="370">
        <v>40922</v>
      </c>
      <c r="E16" s="339">
        <v>0.19696291483166076</v>
      </c>
      <c r="F16" s="522"/>
    </row>
    <row r="17" spans="1:6" x14ac:dyDescent="0.2">
      <c r="A17" s="241" t="s">
        <v>196</v>
      </c>
      <c r="B17" s="197">
        <v>11618</v>
      </c>
      <c r="C17" s="178">
        <v>5.4801111305028703E-2</v>
      </c>
      <c r="D17" s="370">
        <v>10294</v>
      </c>
      <c r="E17" s="339">
        <v>4.954636247683681E-2</v>
      </c>
      <c r="F17" s="522"/>
    </row>
    <row r="18" spans="1:6" x14ac:dyDescent="0.2">
      <c r="A18" s="241" t="s">
        <v>52</v>
      </c>
      <c r="B18" s="197">
        <v>10604</v>
      </c>
      <c r="C18" s="178">
        <v>5.0018160120375653E-2</v>
      </c>
      <c r="D18" s="370">
        <v>9936</v>
      </c>
      <c r="E18" s="339">
        <v>4.7823261858349578E-2</v>
      </c>
      <c r="F18" s="522"/>
    </row>
    <row r="19" spans="1:6" ht="25.5" x14ac:dyDescent="0.2">
      <c r="A19" s="241" t="s">
        <v>190</v>
      </c>
      <c r="B19" s="197">
        <v>4654</v>
      </c>
      <c r="C19" s="178">
        <v>2.1952519539817833E-2</v>
      </c>
      <c r="D19" s="370">
        <v>4652</v>
      </c>
      <c r="E19" s="339">
        <v>2.2390681779895553E-2</v>
      </c>
      <c r="F19" s="522"/>
    </row>
    <row r="20" spans="1:6" x14ac:dyDescent="0.2">
      <c r="A20" s="241" t="s">
        <v>51</v>
      </c>
      <c r="B20" s="197">
        <v>914</v>
      </c>
      <c r="C20" s="178">
        <v>4.3112597463243448E-3</v>
      </c>
      <c r="D20" s="370">
        <v>816</v>
      </c>
      <c r="E20" s="339">
        <v>3.9275142588982744E-3</v>
      </c>
      <c r="F20" s="522"/>
    </row>
    <row r="21" spans="1:6" x14ac:dyDescent="0.2">
      <c r="A21" s="241" t="s">
        <v>50</v>
      </c>
      <c r="B21" s="197">
        <v>1780</v>
      </c>
      <c r="C21" s="178">
        <v>8.3961076022509122E-3</v>
      </c>
      <c r="D21" s="370">
        <v>1728</v>
      </c>
      <c r="E21" s="339">
        <v>8.317089018843404E-3</v>
      </c>
      <c r="F21" s="522"/>
    </row>
    <row r="22" spans="1:6" x14ac:dyDescent="0.2">
      <c r="A22" s="241" t="s">
        <v>49</v>
      </c>
      <c r="B22" s="197">
        <v>1202</v>
      </c>
      <c r="C22" s="178">
        <v>5.6697310887110089E-3</v>
      </c>
      <c r="D22" s="370">
        <v>1244</v>
      </c>
      <c r="E22" s="339">
        <v>5.9875339927321731E-3</v>
      </c>
      <c r="F22" s="522"/>
    </row>
    <row r="23" spans="1:6" ht="25.5" x14ac:dyDescent="0.2">
      <c r="A23" s="241" t="s">
        <v>191</v>
      </c>
      <c r="B23" s="197">
        <v>1464</v>
      </c>
      <c r="C23" s="178">
        <v>6.9055626571322103E-3</v>
      </c>
      <c r="D23" s="370">
        <v>1240</v>
      </c>
      <c r="E23" s="339">
        <v>5.9682814718552213E-3</v>
      </c>
      <c r="F23" s="522"/>
    </row>
    <row r="24" spans="1:6" x14ac:dyDescent="0.2">
      <c r="A24" s="241" t="s">
        <v>48</v>
      </c>
      <c r="B24" s="197">
        <v>323</v>
      </c>
      <c r="C24" s="178">
        <v>1.5235633458017103E-3</v>
      </c>
      <c r="D24" s="370">
        <v>246</v>
      </c>
      <c r="E24" s="339">
        <v>1.1840300339325681E-3</v>
      </c>
      <c r="F24" s="522"/>
    </row>
    <row r="25" spans="1:6" x14ac:dyDescent="0.2">
      <c r="A25" s="241" t="s">
        <v>67</v>
      </c>
      <c r="B25" s="198">
        <v>48</v>
      </c>
      <c r="C25" s="180">
        <v>2.2641189039777738E-4</v>
      </c>
      <c r="D25" s="371">
        <v>52</v>
      </c>
      <c r="E25" s="340">
        <v>2.5028277140038026E-4</v>
      </c>
      <c r="F25" s="522"/>
    </row>
    <row r="26" spans="1:6" x14ac:dyDescent="0.2">
      <c r="A26" s="491" t="s">
        <v>34</v>
      </c>
      <c r="B26" s="492">
        <v>212003</v>
      </c>
      <c r="C26" s="487">
        <v>1</v>
      </c>
      <c r="D26" s="493">
        <v>207765</v>
      </c>
      <c r="E26" s="489">
        <v>1</v>
      </c>
      <c r="F26" s="522"/>
    </row>
    <row r="27" spans="1:6" x14ac:dyDescent="0.2">
      <c r="A27" s="240" t="s">
        <v>33</v>
      </c>
      <c r="B27" s="179">
        <v>79676</v>
      </c>
      <c r="C27" s="180">
        <v>0.27316330623733626</v>
      </c>
      <c r="D27" s="371">
        <v>78459</v>
      </c>
      <c r="E27" s="340">
        <v>0.27411747442562467</v>
      </c>
      <c r="F27" s="522"/>
    </row>
    <row r="28" spans="1:6" x14ac:dyDescent="0.2">
      <c r="A28" s="124" t="s">
        <v>1</v>
      </c>
      <c r="B28" s="181">
        <v>291679</v>
      </c>
      <c r="C28" s="182">
        <v>1</v>
      </c>
      <c r="D28" s="372">
        <v>286224</v>
      </c>
      <c r="E28" s="342">
        <v>1</v>
      </c>
      <c r="F28" s="522"/>
    </row>
    <row r="29" spans="1:6" x14ac:dyDescent="0.2">
      <c r="A29" s="25"/>
      <c r="B29" s="7"/>
      <c r="C29" s="6"/>
      <c r="D29" s="7"/>
      <c r="E29" s="6"/>
    </row>
    <row r="30" spans="1:6" s="118" customFormat="1" x14ac:dyDescent="0.2">
      <c r="A30" s="119" t="s">
        <v>262</v>
      </c>
      <c r="B30" s="120"/>
      <c r="C30" s="120"/>
      <c r="D30" s="120"/>
      <c r="E30" s="120"/>
      <c r="F30" s="120"/>
    </row>
    <row r="31" spans="1:6" x14ac:dyDescent="0.2">
      <c r="A31" s="19"/>
      <c r="B31" s="7"/>
      <c r="C31" s="6"/>
      <c r="D31" s="7"/>
      <c r="E31" s="6"/>
    </row>
    <row r="32" spans="1:6" x14ac:dyDescent="0.2">
      <c r="A32" s="2" t="s">
        <v>232</v>
      </c>
      <c r="B32" s="109"/>
      <c r="C32" s="109"/>
      <c r="D32" s="109"/>
      <c r="E32" s="109"/>
    </row>
    <row r="33" spans="1:5" x14ac:dyDescent="0.2">
      <c r="A33" s="122" t="s">
        <v>32</v>
      </c>
      <c r="B33" s="109"/>
      <c r="C33" s="109"/>
      <c r="D33" s="109"/>
      <c r="E33" s="109"/>
    </row>
    <row r="34" spans="1:5" s="109" customFormat="1" x14ac:dyDescent="0.2">
      <c r="A34" s="555" t="s">
        <v>233</v>
      </c>
      <c r="B34" s="555"/>
      <c r="C34" s="555"/>
      <c r="D34" s="555"/>
      <c r="E34" s="555"/>
    </row>
    <row r="35" spans="1:5" x14ac:dyDescent="0.2">
      <c r="A35" s="556" t="s">
        <v>234</v>
      </c>
      <c r="B35" s="556"/>
      <c r="C35" s="556"/>
      <c r="D35" s="556"/>
      <c r="E35" s="556"/>
    </row>
    <row r="36" spans="1:5" ht="25.5" customHeight="1" x14ac:dyDescent="0.2">
      <c r="A36" s="552"/>
      <c r="B36" s="552"/>
      <c r="C36" s="552"/>
      <c r="D36" s="552"/>
      <c r="E36" s="552"/>
    </row>
  </sheetData>
  <mergeCells count="5">
    <mergeCell ref="D12:E12"/>
    <mergeCell ref="A34:E34"/>
    <mergeCell ref="B12:C12"/>
    <mergeCell ref="A35:E35"/>
    <mergeCell ref="A36:E36"/>
  </mergeCells>
  <hyperlinks>
    <hyperlink ref="A8" location="Contents!A1" display="Return to Contents" xr:uid="{00000000-0004-0000-0900-000000000000}"/>
  </hyperlinks>
  <pageMargins left="0.75" right="0.75" top="1" bottom="1" header="0.5" footer="0.5"/>
  <pageSetup paperSize="9" scale="94"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5EB8"/>
    <pageSetUpPr fitToPage="1"/>
  </sheetPr>
  <dimension ref="A1:Y30"/>
  <sheetViews>
    <sheetView showGridLines="0" zoomScaleNormal="100" workbookViewId="0"/>
  </sheetViews>
  <sheetFormatPr defaultColWidth="9.140625" defaultRowHeight="12.75" x14ac:dyDescent="0.2"/>
  <cols>
    <col min="1" max="1" width="61.85546875" style="1" bestFit="1" customWidth="1"/>
    <col min="2" max="5" width="19.140625" style="1" customWidth="1"/>
    <col min="6" max="6" width="9.140625" style="1" customWidth="1"/>
    <col min="7" max="7" width="11.28515625" style="1" bestFit="1" customWidth="1"/>
    <col min="8" max="16384" width="9.140625" style="1"/>
  </cols>
  <sheetData>
    <row r="1" spans="1:25" s="10" customFormat="1" ht="12.75" customHeight="1" x14ac:dyDescent="0.2">
      <c r="F1" s="12"/>
      <c r="Y1" s="11"/>
    </row>
    <row r="2" spans="1:25" s="10" customFormat="1" ht="12.75" customHeight="1" x14ac:dyDescent="0.2">
      <c r="F2" s="12"/>
      <c r="Y2" s="11"/>
    </row>
    <row r="3" spans="1:25" s="10" customFormat="1" ht="12.75" customHeight="1" x14ac:dyDescent="0.2">
      <c r="F3" s="12"/>
      <c r="Y3" s="11"/>
    </row>
    <row r="4" spans="1:25" s="10" customFormat="1" ht="12.75" customHeight="1" x14ac:dyDescent="0.2">
      <c r="F4" s="12"/>
      <c r="Y4" s="11"/>
    </row>
    <row r="5" spans="1:25" s="10" customFormat="1" ht="12.75" customHeight="1" x14ac:dyDescent="0.2">
      <c r="F5" s="12"/>
      <c r="Y5" s="11"/>
    </row>
    <row r="6" spans="1:25" s="10" customFormat="1" ht="12.75" customHeight="1" x14ac:dyDescent="0.2">
      <c r="F6" s="12"/>
      <c r="Y6" s="11"/>
    </row>
    <row r="7" spans="1:25" s="9" customFormat="1" ht="12.75" customHeight="1" x14ac:dyDescent="0.2"/>
    <row r="8" spans="1:25" ht="14.25" customHeight="1" x14ac:dyDescent="0.2">
      <c r="A8" s="72" t="s">
        <v>217</v>
      </c>
    </row>
    <row r="9" spans="1:25" s="9" customFormat="1" ht="12.75" customHeight="1" x14ac:dyDescent="0.2"/>
    <row r="10" spans="1:25" ht="22.5" customHeight="1" x14ac:dyDescent="0.2">
      <c r="A10" s="227" t="s">
        <v>249</v>
      </c>
    </row>
    <row r="11" spans="1:25" x14ac:dyDescent="0.2">
      <c r="A11" s="2"/>
    </row>
    <row r="12" spans="1:25" x14ac:dyDescent="0.2">
      <c r="A12" s="233"/>
      <c r="B12" s="580" t="s">
        <v>300</v>
      </c>
      <c r="C12" s="581"/>
      <c r="D12" s="578" t="s">
        <v>599</v>
      </c>
      <c r="E12" s="579"/>
    </row>
    <row r="13" spans="1:25" ht="38.25" x14ac:dyDescent="0.2">
      <c r="A13" s="125" t="s">
        <v>58</v>
      </c>
      <c r="B13" s="108" t="s">
        <v>15</v>
      </c>
      <c r="C13" s="99" t="s">
        <v>14</v>
      </c>
      <c r="D13" s="183" t="s">
        <v>15</v>
      </c>
      <c r="E13" s="184" t="s">
        <v>14</v>
      </c>
    </row>
    <row r="14" spans="1:25" ht="12.75" customHeight="1" x14ac:dyDescent="0.2">
      <c r="A14" s="242" t="s">
        <v>46</v>
      </c>
      <c r="B14" s="163">
        <v>163828</v>
      </c>
      <c r="C14" s="127">
        <v>0.83018141279010849</v>
      </c>
      <c r="D14" s="364">
        <v>156739</v>
      </c>
      <c r="E14" s="161">
        <v>0.82506369359695109</v>
      </c>
      <c r="G14" s="49"/>
    </row>
    <row r="15" spans="1:25" ht="12.75" customHeight="1" x14ac:dyDescent="0.2">
      <c r="A15" s="243" t="s">
        <v>57</v>
      </c>
      <c r="B15" s="164">
        <v>16346</v>
      </c>
      <c r="C15" s="128">
        <v>8.2831661092530665E-2</v>
      </c>
      <c r="D15" s="373">
        <v>16337</v>
      </c>
      <c r="E15" s="162">
        <v>8.5996883751289666E-2</v>
      </c>
      <c r="G15" s="49"/>
    </row>
    <row r="16" spans="1:25" x14ac:dyDescent="0.2">
      <c r="A16" s="243" t="s">
        <v>56</v>
      </c>
      <c r="B16" s="164">
        <v>10481</v>
      </c>
      <c r="C16" s="128">
        <v>5.3111381372250938E-2</v>
      </c>
      <c r="D16" s="373">
        <v>10698</v>
      </c>
      <c r="E16" s="162">
        <v>5.6313561998610324E-2</v>
      </c>
      <c r="G16" s="49"/>
    </row>
    <row r="17" spans="1:7" x14ac:dyDescent="0.2">
      <c r="A17" s="243" t="s">
        <v>45</v>
      </c>
      <c r="B17" s="164">
        <v>6276</v>
      </c>
      <c r="C17" s="128">
        <v>3.1802979629066586E-2</v>
      </c>
      <c r="D17" s="373">
        <v>5777</v>
      </c>
      <c r="E17" s="162">
        <v>3.040974459394016E-2</v>
      </c>
      <c r="G17" s="49"/>
    </row>
    <row r="18" spans="1:7" x14ac:dyDescent="0.2">
      <c r="A18" s="243" t="s">
        <v>43</v>
      </c>
      <c r="B18" s="164">
        <v>291</v>
      </c>
      <c r="C18" s="128">
        <v>1.4746123441775616E-3</v>
      </c>
      <c r="D18" s="373">
        <v>310</v>
      </c>
      <c r="E18" s="162">
        <v>1.6318194260206767E-3</v>
      </c>
      <c r="G18" s="49"/>
    </row>
    <row r="19" spans="1:7" x14ac:dyDescent="0.2">
      <c r="A19" s="243" t="s">
        <v>55</v>
      </c>
      <c r="B19" s="165">
        <v>118</v>
      </c>
      <c r="C19" s="126">
        <v>5.9795277186581531E-4</v>
      </c>
      <c r="D19" s="374">
        <v>111</v>
      </c>
      <c r="E19" s="166">
        <v>5.8429663318804875E-4</v>
      </c>
    </row>
    <row r="20" spans="1:7" x14ac:dyDescent="0.2">
      <c r="A20" s="494" t="s">
        <v>34</v>
      </c>
      <c r="B20" s="495">
        <v>197340</v>
      </c>
      <c r="C20" s="487">
        <v>1</v>
      </c>
      <c r="D20" s="496">
        <v>189972</v>
      </c>
      <c r="E20" s="167">
        <v>1</v>
      </c>
      <c r="G20" s="49"/>
    </row>
    <row r="21" spans="1:7" x14ac:dyDescent="0.2">
      <c r="A21" s="244" t="s">
        <v>33</v>
      </c>
      <c r="B21" s="165">
        <v>94339</v>
      </c>
      <c r="C21" s="126">
        <v>0.32343432334861266</v>
      </c>
      <c r="D21" s="374">
        <v>96252</v>
      </c>
      <c r="E21" s="166">
        <v>0.33628207278215666</v>
      </c>
    </row>
    <row r="22" spans="1:7" x14ac:dyDescent="0.2">
      <c r="A22" s="130" t="s">
        <v>1</v>
      </c>
      <c r="B22" s="160">
        <v>291679</v>
      </c>
      <c r="C22" s="129">
        <v>1</v>
      </c>
      <c r="D22" s="375">
        <v>286224</v>
      </c>
      <c r="E22" s="365">
        <v>1</v>
      </c>
    </row>
    <row r="23" spans="1:7" x14ac:dyDescent="0.2">
      <c r="A23" s="19"/>
      <c r="B23" s="5"/>
      <c r="C23" s="4"/>
      <c r="D23" s="5"/>
      <c r="E23" s="4"/>
      <c r="G23" s="285"/>
    </row>
    <row r="24" spans="1:7" s="118" customFormat="1" x14ac:dyDescent="0.2">
      <c r="A24" s="119" t="s">
        <v>262</v>
      </c>
      <c r="B24" s="120"/>
      <c r="C24" s="120"/>
      <c r="D24" s="120"/>
      <c r="E24" s="120"/>
      <c r="F24" s="120"/>
    </row>
    <row r="25" spans="1:7" x14ac:dyDescent="0.2">
      <c r="A25" s="19"/>
      <c r="B25" s="7"/>
      <c r="C25" s="6"/>
      <c r="D25" s="7"/>
      <c r="E25" s="6"/>
    </row>
    <row r="26" spans="1:7" x14ac:dyDescent="0.2">
      <c r="A26" s="2" t="s">
        <v>232</v>
      </c>
      <c r="B26" s="109"/>
      <c r="C26" s="109"/>
      <c r="D26" s="109"/>
      <c r="E26" s="109"/>
    </row>
    <row r="27" spans="1:7" x14ac:dyDescent="0.2">
      <c r="A27" s="122" t="s">
        <v>32</v>
      </c>
      <c r="B27" s="109"/>
      <c r="C27" s="109"/>
      <c r="D27" s="109"/>
      <c r="E27" s="109"/>
    </row>
    <row r="28" spans="1:7" s="109" customFormat="1" x14ac:dyDescent="0.2">
      <c r="A28" s="555" t="s">
        <v>233</v>
      </c>
      <c r="B28" s="555"/>
      <c r="C28" s="555"/>
      <c r="D28" s="555"/>
      <c r="E28" s="555"/>
    </row>
    <row r="29" spans="1:7" x14ac:dyDescent="0.2">
      <c r="A29" s="556" t="s">
        <v>234</v>
      </c>
      <c r="B29" s="556"/>
      <c r="C29" s="556"/>
      <c r="D29" s="556"/>
      <c r="E29" s="556"/>
    </row>
    <row r="30" spans="1:7" ht="25.5" customHeight="1" x14ac:dyDescent="0.2">
      <c r="A30" s="552"/>
      <c r="B30" s="552"/>
      <c r="C30" s="552"/>
      <c r="D30" s="552"/>
      <c r="E30" s="552"/>
    </row>
  </sheetData>
  <mergeCells count="5">
    <mergeCell ref="A29:E29"/>
    <mergeCell ref="D12:E12"/>
    <mergeCell ref="B12:C12"/>
    <mergeCell ref="A28:E28"/>
    <mergeCell ref="A30:E30"/>
  </mergeCells>
  <hyperlinks>
    <hyperlink ref="A8" location="Contents!A1" display="Return to Contents" xr:uid="{00000000-0004-0000-0A00-000000000000}"/>
  </hyperlinks>
  <pageMargins left="0.75" right="0.75" top="1" bottom="1" header="0.5" footer="0.5"/>
  <pageSetup paperSize="9" scale="93"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5EB8"/>
    <pageSetUpPr fitToPage="1"/>
  </sheetPr>
  <dimension ref="A1:Y35"/>
  <sheetViews>
    <sheetView showGridLines="0" zoomScaleNormal="100" workbookViewId="0"/>
  </sheetViews>
  <sheetFormatPr defaultColWidth="9.140625" defaultRowHeight="12.75" x14ac:dyDescent="0.2"/>
  <cols>
    <col min="1" max="1" width="51.140625" style="1" customWidth="1"/>
    <col min="2" max="5" width="19.5703125" style="1" customWidth="1"/>
    <col min="6" max="6" width="12.5703125" style="1" customWidth="1"/>
    <col min="7" max="7" width="8.7109375" style="1" bestFit="1" customWidth="1"/>
    <col min="8" max="8" width="12.140625" style="1" customWidth="1"/>
    <col min="9" max="16384" width="9.140625" style="1"/>
  </cols>
  <sheetData>
    <row r="1" spans="1:25" s="10" customFormat="1" ht="12.75" customHeight="1" x14ac:dyDescent="0.2">
      <c r="F1" s="12"/>
      <c r="Y1" s="11"/>
    </row>
    <row r="2" spans="1:25" s="10" customFormat="1" ht="12.75" customHeight="1" x14ac:dyDescent="0.2">
      <c r="F2" s="12"/>
      <c r="Y2" s="11"/>
    </row>
    <row r="3" spans="1:25" s="10" customFormat="1" ht="12.75" customHeight="1" x14ac:dyDescent="0.2">
      <c r="F3" s="12"/>
      <c r="Y3" s="11"/>
    </row>
    <row r="4" spans="1:25" s="10" customFormat="1" ht="12.75" customHeight="1" x14ac:dyDescent="0.2">
      <c r="F4" s="12"/>
      <c r="Y4" s="11"/>
    </row>
    <row r="5" spans="1:25" s="10" customFormat="1" ht="12.75" customHeight="1" x14ac:dyDescent="0.2">
      <c r="F5" s="12"/>
      <c r="Y5" s="11"/>
    </row>
    <row r="6" spans="1:25" s="10" customFormat="1" ht="12.75" customHeight="1" x14ac:dyDescent="0.2">
      <c r="F6" s="12"/>
      <c r="Y6" s="11"/>
    </row>
    <row r="7" spans="1:25" ht="12.75" customHeight="1" x14ac:dyDescent="0.2"/>
    <row r="8" spans="1:25" ht="14.25" customHeight="1" x14ac:dyDescent="0.2">
      <c r="A8" s="72" t="s">
        <v>217</v>
      </c>
    </row>
    <row r="9" spans="1:25" s="9" customFormat="1" ht="12.75" customHeight="1" x14ac:dyDescent="0.2"/>
    <row r="10" spans="1:25" ht="22.5" customHeight="1" x14ac:dyDescent="0.2">
      <c r="A10" s="227" t="s">
        <v>248</v>
      </c>
    </row>
    <row r="11" spans="1:25" x14ac:dyDescent="0.2">
      <c r="A11" s="2"/>
    </row>
    <row r="12" spans="1:25" x14ac:dyDescent="0.2">
      <c r="A12" s="214"/>
      <c r="B12" s="584" t="s">
        <v>300</v>
      </c>
      <c r="C12" s="583"/>
      <c r="D12" s="582" t="s">
        <v>599</v>
      </c>
      <c r="E12" s="583"/>
    </row>
    <row r="13" spans="1:25" ht="25.5" x14ac:dyDescent="0.2">
      <c r="A13" s="221" t="s">
        <v>66</v>
      </c>
      <c r="B13" s="108" t="s">
        <v>15</v>
      </c>
      <c r="C13" s="97" t="s">
        <v>14</v>
      </c>
      <c r="D13" s="108" t="s">
        <v>15</v>
      </c>
      <c r="E13" s="97" t="s">
        <v>14</v>
      </c>
      <c r="F13" s="30"/>
      <c r="G13" s="30"/>
      <c r="H13" s="30"/>
    </row>
    <row r="14" spans="1:25" x14ac:dyDescent="0.2">
      <c r="A14" s="245" t="s">
        <v>65</v>
      </c>
      <c r="B14" s="105">
        <v>107603</v>
      </c>
      <c r="C14" s="128">
        <v>0.52652619835196024</v>
      </c>
      <c r="D14" s="104">
        <v>96772</v>
      </c>
      <c r="E14" s="161">
        <v>0.48780143559964512</v>
      </c>
      <c r="F14" s="523"/>
      <c r="H14" s="49"/>
    </row>
    <row r="15" spans="1:25" x14ac:dyDescent="0.2">
      <c r="A15" s="245" t="s">
        <v>64</v>
      </c>
      <c r="B15" s="105">
        <v>54293</v>
      </c>
      <c r="C15" s="128">
        <v>0.26566812158697228</v>
      </c>
      <c r="D15" s="105">
        <v>58106</v>
      </c>
      <c r="E15" s="162">
        <v>0.29289660456488426</v>
      </c>
      <c r="F15" s="523"/>
      <c r="H15" s="49"/>
    </row>
    <row r="16" spans="1:25" x14ac:dyDescent="0.2">
      <c r="A16" s="245" t="s">
        <v>63</v>
      </c>
      <c r="B16" s="105">
        <v>16730</v>
      </c>
      <c r="C16" s="128">
        <v>8.1863733338552777E-2</v>
      </c>
      <c r="D16" s="105">
        <v>16898</v>
      </c>
      <c r="E16" s="162">
        <v>8.5178240180659726E-2</v>
      </c>
      <c r="F16" s="523"/>
      <c r="H16" s="49"/>
    </row>
    <row r="17" spans="1:8" x14ac:dyDescent="0.2">
      <c r="A17" s="245" t="s">
        <v>62</v>
      </c>
      <c r="B17" s="105">
        <v>8947</v>
      </c>
      <c r="C17" s="128">
        <v>4.3779726370593644E-2</v>
      </c>
      <c r="D17" s="105">
        <v>9090</v>
      </c>
      <c r="E17" s="162">
        <v>4.5820227437696585E-2</v>
      </c>
      <c r="F17" s="523"/>
      <c r="H17" s="49"/>
    </row>
    <row r="18" spans="1:8" x14ac:dyDescent="0.2">
      <c r="A18" s="245" t="s">
        <v>61</v>
      </c>
      <c r="B18" s="105">
        <v>11026</v>
      </c>
      <c r="C18" s="128">
        <v>5.3952750973752718E-2</v>
      </c>
      <c r="D18" s="105">
        <v>10813</v>
      </c>
      <c r="E18" s="162">
        <v>5.4505403661585614E-2</v>
      </c>
      <c r="F18" s="523"/>
      <c r="H18" s="49"/>
    </row>
    <row r="19" spans="1:8" x14ac:dyDescent="0.2">
      <c r="A19" s="245" t="s">
        <v>60</v>
      </c>
      <c r="B19" s="105">
        <v>2616</v>
      </c>
      <c r="C19" s="128">
        <v>1.280068896674561E-2</v>
      </c>
      <c r="D19" s="105">
        <v>3650</v>
      </c>
      <c r="E19" s="162">
        <v>1.8398661182353417E-2</v>
      </c>
      <c r="F19" s="523"/>
      <c r="H19" s="49"/>
    </row>
    <row r="20" spans="1:8" x14ac:dyDescent="0.2">
      <c r="A20" s="245" t="s">
        <v>59</v>
      </c>
      <c r="B20" s="105">
        <v>1150</v>
      </c>
      <c r="C20" s="128">
        <v>5.6272141864516251E-3</v>
      </c>
      <c r="D20" s="105">
        <v>1120</v>
      </c>
      <c r="E20" s="162">
        <v>5.645616581982418E-3</v>
      </c>
      <c r="F20" s="523"/>
      <c r="H20" s="49"/>
    </row>
    <row r="21" spans="1:8" x14ac:dyDescent="0.2">
      <c r="A21" s="245" t="s">
        <v>193</v>
      </c>
      <c r="B21" s="105">
        <v>922</v>
      </c>
      <c r="C21" s="128">
        <v>4.5115578086159991E-3</v>
      </c>
      <c r="D21" s="105">
        <v>896</v>
      </c>
      <c r="E21" s="162">
        <v>4.5164932655859342E-3</v>
      </c>
      <c r="F21" s="523"/>
      <c r="H21" s="49"/>
    </row>
    <row r="22" spans="1:8" x14ac:dyDescent="0.2">
      <c r="A22" s="245" t="s">
        <v>194</v>
      </c>
      <c r="B22" s="105">
        <v>606</v>
      </c>
      <c r="C22" s="128">
        <v>2.9652972147736394E-3</v>
      </c>
      <c r="D22" s="105">
        <v>591</v>
      </c>
      <c r="E22" s="162">
        <v>2.9790708928139364E-3</v>
      </c>
      <c r="F22" s="523"/>
      <c r="H22" s="49"/>
    </row>
    <row r="23" spans="1:8" x14ac:dyDescent="0.2">
      <c r="A23" s="245" t="s">
        <v>195</v>
      </c>
      <c r="B23" s="105">
        <v>242</v>
      </c>
      <c r="C23" s="128">
        <v>1.184161594018516E-3</v>
      </c>
      <c r="D23" s="105">
        <v>243</v>
      </c>
      <c r="E23" s="162">
        <v>1.2248971691265424E-3</v>
      </c>
      <c r="F23" s="523"/>
      <c r="H23" s="49"/>
    </row>
    <row r="24" spans="1:8" x14ac:dyDescent="0.2">
      <c r="A24" s="245" t="s">
        <v>192</v>
      </c>
      <c r="B24" s="105">
        <v>229</v>
      </c>
      <c r="C24" s="128">
        <v>1.1205496075629758E-3</v>
      </c>
      <c r="D24" s="106">
        <v>205</v>
      </c>
      <c r="E24" s="166">
        <v>1.0333494636664247E-3</v>
      </c>
      <c r="F24" s="523"/>
      <c r="H24" s="49"/>
    </row>
    <row r="25" spans="1:8" x14ac:dyDescent="0.2">
      <c r="A25" s="497" t="s">
        <v>34</v>
      </c>
      <c r="B25" s="168">
        <v>204364</v>
      </c>
      <c r="C25" s="487">
        <v>1</v>
      </c>
      <c r="D25" s="493">
        <v>198384</v>
      </c>
      <c r="E25" s="167">
        <v>1</v>
      </c>
      <c r="F25" s="523"/>
      <c r="H25" s="49"/>
    </row>
    <row r="26" spans="1:8" x14ac:dyDescent="0.2">
      <c r="A26" s="246" t="s">
        <v>33</v>
      </c>
      <c r="B26" s="106">
        <v>87315</v>
      </c>
      <c r="C26" s="126">
        <v>0.29935305592792077</v>
      </c>
      <c r="D26" s="106">
        <v>87840</v>
      </c>
      <c r="E26" s="166">
        <v>0.30689250377326849</v>
      </c>
      <c r="F26" s="523"/>
      <c r="H26" s="49"/>
    </row>
    <row r="27" spans="1:8" x14ac:dyDescent="0.2">
      <c r="A27" s="131" t="s">
        <v>1</v>
      </c>
      <c r="B27" s="107">
        <v>291679</v>
      </c>
      <c r="C27" s="129">
        <v>1</v>
      </c>
      <c r="D27" s="107">
        <v>286224</v>
      </c>
      <c r="E27" s="365">
        <v>1</v>
      </c>
      <c r="F27" s="523"/>
      <c r="H27" s="49"/>
    </row>
    <row r="28" spans="1:8" x14ac:dyDescent="0.2">
      <c r="A28" s="25"/>
      <c r="B28" s="7"/>
      <c r="C28" s="6"/>
      <c r="D28" s="7"/>
      <c r="E28" s="6"/>
      <c r="F28" s="30"/>
      <c r="G28" s="30"/>
      <c r="H28" s="30"/>
    </row>
    <row r="29" spans="1:8" s="118" customFormat="1" x14ac:dyDescent="0.2">
      <c r="A29" s="119" t="s">
        <v>262</v>
      </c>
      <c r="B29" s="120"/>
      <c r="C29" s="120"/>
      <c r="D29" s="120"/>
      <c r="E29" s="120"/>
      <c r="F29" s="120"/>
    </row>
    <row r="30" spans="1:8" x14ac:dyDescent="0.2">
      <c r="A30" s="19"/>
      <c r="B30" s="7"/>
      <c r="C30" s="6"/>
      <c r="D30" s="7"/>
      <c r="E30" s="6"/>
    </row>
    <row r="31" spans="1:8" x14ac:dyDescent="0.2">
      <c r="A31" s="2" t="s">
        <v>232</v>
      </c>
      <c r="B31" s="109"/>
      <c r="C31" s="109"/>
      <c r="D31" s="109"/>
      <c r="E31" s="109"/>
    </row>
    <row r="32" spans="1:8" x14ac:dyDescent="0.2">
      <c r="A32" s="122" t="s">
        <v>32</v>
      </c>
      <c r="B32" s="109"/>
      <c r="C32" s="109"/>
      <c r="D32" s="109"/>
      <c r="E32" s="109"/>
    </row>
    <row r="33" spans="1:5" s="109" customFormat="1" x14ac:dyDescent="0.2">
      <c r="A33" s="555" t="s">
        <v>233</v>
      </c>
      <c r="B33" s="555"/>
      <c r="C33" s="555"/>
      <c r="D33" s="555"/>
      <c r="E33" s="555"/>
    </row>
    <row r="34" spans="1:5" x14ac:dyDescent="0.2">
      <c r="A34" s="556" t="s">
        <v>234</v>
      </c>
      <c r="B34" s="556"/>
      <c r="C34" s="556"/>
      <c r="D34" s="556"/>
      <c r="E34" s="556"/>
    </row>
    <row r="35" spans="1:5" s="118" customFormat="1" ht="25.5" customHeight="1" x14ac:dyDescent="0.2">
      <c r="A35" s="552"/>
      <c r="B35" s="552"/>
      <c r="C35" s="552"/>
      <c r="D35" s="552"/>
      <c r="E35" s="552"/>
    </row>
  </sheetData>
  <mergeCells count="5">
    <mergeCell ref="D12:E12"/>
    <mergeCell ref="B12:C12"/>
    <mergeCell ref="A33:E33"/>
    <mergeCell ref="A34:E34"/>
    <mergeCell ref="A35:E35"/>
  </mergeCells>
  <hyperlinks>
    <hyperlink ref="A8" location="Contents!A1" display="Return to Contents" xr:uid="{00000000-0004-0000-0B00-000000000000}"/>
  </hyperlinks>
  <pageMargins left="0.75" right="0.75" top="1" bottom="1" header="0.5" footer="0.5"/>
  <pageSetup paperSize="9"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5EB8"/>
    <pageSetUpPr fitToPage="1"/>
  </sheetPr>
  <dimension ref="A1:Y34"/>
  <sheetViews>
    <sheetView showGridLines="0" zoomScaleNormal="100" workbookViewId="0"/>
  </sheetViews>
  <sheetFormatPr defaultColWidth="9.140625" defaultRowHeight="12.75" x14ac:dyDescent="0.2"/>
  <cols>
    <col min="1" max="1" width="61.85546875" style="9" customWidth="1"/>
    <col min="2" max="5" width="19.28515625" style="24" customWidth="1"/>
    <col min="6" max="6" width="31.7109375" style="9" customWidth="1"/>
    <col min="7" max="8" width="9.140625" style="9"/>
    <col min="9" max="9" width="9.42578125" style="9" customWidth="1"/>
    <col min="10" max="16384" width="9.140625" style="9"/>
  </cols>
  <sheetData>
    <row r="1" spans="1:25" s="10" customFormat="1" ht="12.75" customHeight="1" x14ac:dyDescent="0.2">
      <c r="F1" s="12"/>
      <c r="Y1" s="11"/>
    </row>
    <row r="2" spans="1:25" s="10" customFormat="1" ht="12.75" customHeight="1" x14ac:dyDescent="0.2">
      <c r="F2" s="12"/>
      <c r="Y2" s="11"/>
    </row>
    <row r="3" spans="1:25" s="10" customFormat="1" ht="12.75" customHeight="1" x14ac:dyDescent="0.2">
      <c r="F3" s="12"/>
      <c r="Y3" s="11"/>
    </row>
    <row r="4" spans="1:25" s="10" customFormat="1" ht="12.75" customHeight="1" x14ac:dyDescent="0.2">
      <c r="F4" s="12"/>
      <c r="Y4" s="11"/>
    </row>
    <row r="5" spans="1:25" s="10" customFormat="1" ht="12.75" customHeight="1" x14ac:dyDescent="0.2">
      <c r="F5" s="12"/>
      <c r="Y5" s="11"/>
    </row>
    <row r="6" spans="1:25" s="10" customFormat="1" ht="12.75" customHeight="1" x14ac:dyDescent="0.2">
      <c r="F6" s="12"/>
      <c r="Y6" s="11"/>
    </row>
    <row r="7" spans="1:25" ht="12.75" customHeight="1" x14ac:dyDescent="0.2">
      <c r="B7" s="9"/>
      <c r="C7" s="9"/>
      <c r="D7" s="9"/>
      <c r="E7" s="9"/>
    </row>
    <row r="8" spans="1:25" s="1" customFormat="1" ht="14.25" customHeight="1" x14ac:dyDescent="0.2">
      <c r="A8" s="72" t="s">
        <v>217</v>
      </c>
    </row>
    <row r="9" spans="1:25" ht="12.75" customHeight="1" x14ac:dyDescent="0.2">
      <c r="B9" s="9"/>
      <c r="C9" s="9"/>
      <c r="D9" s="9"/>
      <c r="E9" s="9"/>
    </row>
    <row r="10" spans="1:25" ht="22.5" customHeight="1" x14ac:dyDescent="0.2">
      <c r="A10" s="227" t="s">
        <v>247</v>
      </c>
    </row>
    <row r="11" spans="1:25" x14ac:dyDescent="0.2">
      <c r="A11" s="13"/>
    </row>
    <row r="12" spans="1:25" x14ac:dyDescent="0.2">
      <c r="A12" s="214"/>
      <c r="B12" s="584" t="s">
        <v>300</v>
      </c>
      <c r="C12" s="583"/>
      <c r="D12" s="582" t="s">
        <v>599</v>
      </c>
      <c r="E12" s="583"/>
    </row>
    <row r="13" spans="1:25" ht="25.5" x14ac:dyDescent="0.2">
      <c r="A13" s="221" t="s">
        <v>70</v>
      </c>
      <c r="B13" s="108" t="s">
        <v>15</v>
      </c>
      <c r="C13" s="97" t="s">
        <v>14</v>
      </c>
      <c r="D13" s="95" t="s">
        <v>15</v>
      </c>
      <c r="E13" s="97" t="s">
        <v>14</v>
      </c>
      <c r="F13" s="286"/>
    </row>
    <row r="14" spans="1:25" x14ac:dyDescent="0.2">
      <c r="A14" s="245" t="s">
        <v>69</v>
      </c>
      <c r="B14" s="104">
        <v>159337</v>
      </c>
      <c r="C14" s="128">
        <v>0.76344462119324608</v>
      </c>
      <c r="D14" s="378">
        <v>153449</v>
      </c>
      <c r="E14" s="379">
        <v>0.76188135525897682</v>
      </c>
      <c r="F14" s="524"/>
    </row>
    <row r="15" spans="1:25" x14ac:dyDescent="0.2">
      <c r="A15" s="245" t="s">
        <v>197</v>
      </c>
      <c r="B15" s="105">
        <v>17672</v>
      </c>
      <c r="C15" s="128">
        <v>8.4673323495026542E-2</v>
      </c>
      <c r="D15" s="380">
        <v>17678</v>
      </c>
      <c r="E15" s="381">
        <v>8.7772084524944394E-2</v>
      </c>
      <c r="F15" s="524"/>
    </row>
    <row r="16" spans="1:25" x14ac:dyDescent="0.2">
      <c r="A16" s="245" t="s">
        <v>198</v>
      </c>
      <c r="B16" s="105">
        <v>9041</v>
      </c>
      <c r="C16" s="128">
        <v>4.3318895298694829E-2</v>
      </c>
      <c r="D16" s="380">
        <v>8147</v>
      </c>
      <c r="E16" s="381">
        <v>4.0450230378137907E-2</v>
      </c>
      <c r="F16" s="524"/>
      <c r="G16" s="14"/>
    </row>
    <row r="17" spans="1:7" ht="25.5" x14ac:dyDescent="0.2">
      <c r="A17" s="245" t="s">
        <v>199</v>
      </c>
      <c r="B17" s="105">
        <v>11547</v>
      </c>
      <c r="C17" s="128">
        <v>5.5326101538992277E-2</v>
      </c>
      <c r="D17" s="380">
        <v>11385</v>
      </c>
      <c r="E17" s="381">
        <v>5.6527049571020019E-2</v>
      </c>
      <c r="F17" s="524"/>
    </row>
    <row r="18" spans="1:7" x14ac:dyDescent="0.2">
      <c r="A18" s="245" t="s">
        <v>200</v>
      </c>
      <c r="B18" s="105">
        <v>5158</v>
      </c>
      <c r="C18" s="128">
        <v>2.4713954424363225E-2</v>
      </c>
      <c r="D18" s="380">
        <v>4916</v>
      </c>
      <c r="E18" s="381">
        <v>2.4408166507785191E-2</v>
      </c>
      <c r="F18" s="524"/>
    </row>
    <row r="19" spans="1:7" s="14" customFormat="1" ht="38.25" x14ac:dyDescent="0.2">
      <c r="A19" s="245" t="s">
        <v>201</v>
      </c>
      <c r="B19" s="105">
        <v>3658</v>
      </c>
      <c r="C19" s="128">
        <v>1.7526879659620138E-2</v>
      </c>
      <c r="D19" s="380">
        <v>3602</v>
      </c>
      <c r="E19" s="381">
        <v>1.7884095964410551E-2</v>
      </c>
      <c r="F19" s="524"/>
      <c r="G19" s="9"/>
    </row>
    <row r="20" spans="1:7" x14ac:dyDescent="0.2">
      <c r="A20" s="245" t="s">
        <v>68</v>
      </c>
      <c r="B20" s="105">
        <v>479</v>
      </c>
      <c r="C20" s="128">
        <v>2.2950725415412923E-3</v>
      </c>
      <c r="D20" s="380">
        <v>481</v>
      </c>
      <c r="E20" s="381">
        <v>2.3881871623768667E-3</v>
      </c>
      <c r="F20" s="524"/>
    </row>
    <row r="21" spans="1:7" x14ac:dyDescent="0.2">
      <c r="A21" s="245" t="s">
        <v>49</v>
      </c>
      <c r="B21" s="105">
        <v>1242</v>
      </c>
      <c r="C21" s="128">
        <v>5.9508979052072756E-3</v>
      </c>
      <c r="D21" s="380">
        <v>1177</v>
      </c>
      <c r="E21" s="381">
        <v>5.8438592310136638E-3</v>
      </c>
      <c r="F21" s="524"/>
    </row>
    <row r="22" spans="1:7" x14ac:dyDescent="0.2">
      <c r="A22" s="245" t="s">
        <v>51</v>
      </c>
      <c r="B22" s="105">
        <v>329</v>
      </c>
      <c r="C22" s="128">
        <v>1.5763650650669836E-3</v>
      </c>
      <c r="D22" s="380">
        <v>298</v>
      </c>
      <c r="E22" s="381">
        <v>1.4795837305370194E-3</v>
      </c>
      <c r="F22" s="524"/>
    </row>
    <row r="23" spans="1:7" x14ac:dyDescent="0.2">
      <c r="A23" s="245" t="s">
        <v>67</v>
      </c>
      <c r="B23" s="106">
        <v>245</v>
      </c>
      <c r="C23" s="128">
        <v>1.1738888782413708E-3</v>
      </c>
      <c r="D23" s="382">
        <v>275</v>
      </c>
      <c r="E23" s="383">
        <v>1.365387670797585E-3</v>
      </c>
      <c r="F23" s="524"/>
    </row>
    <row r="24" spans="1:7" x14ac:dyDescent="0.2">
      <c r="A24" s="497" t="s">
        <v>34</v>
      </c>
      <c r="B24" s="498">
        <v>208708</v>
      </c>
      <c r="C24" s="499">
        <v>1</v>
      </c>
      <c r="D24" s="500">
        <v>201408</v>
      </c>
      <c r="E24" s="501">
        <v>1</v>
      </c>
      <c r="F24" s="524"/>
    </row>
    <row r="25" spans="1:7" x14ac:dyDescent="0.2">
      <c r="A25" s="246" t="s">
        <v>33</v>
      </c>
      <c r="B25" s="106">
        <v>82971</v>
      </c>
      <c r="C25" s="126">
        <v>0.28445997140692336</v>
      </c>
      <c r="D25" s="382">
        <v>84816</v>
      </c>
      <c r="E25" s="383">
        <v>0.29632735200402482</v>
      </c>
      <c r="F25" s="524"/>
    </row>
    <row r="26" spans="1:7" x14ac:dyDescent="0.2">
      <c r="A26" s="131" t="s">
        <v>1</v>
      </c>
      <c r="B26" s="107">
        <v>291679</v>
      </c>
      <c r="C26" s="129">
        <v>1</v>
      </c>
      <c r="D26" s="384">
        <v>286224</v>
      </c>
      <c r="E26" s="385">
        <v>1</v>
      </c>
      <c r="F26" s="524"/>
    </row>
    <row r="27" spans="1:7" x14ac:dyDescent="0.2">
      <c r="A27" s="26"/>
      <c r="B27" s="22"/>
      <c r="C27" s="21"/>
      <c r="D27" s="22"/>
      <c r="E27" s="21"/>
    </row>
    <row r="28" spans="1:7" s="118" customFormat="1" x14ac:dyDescent="0.2">
      <c r="A28" s="119" t="s">
        <v>262</v>
      </c>
      <c r="B28" s="120"/>
      <c r="C28" s="120"/>
      <c r="D28" s="120"/>
      <c r="E28" s="120"/>
      <c r="F28" s="120"/>
    </row>
    <row r="29" spans="1:7" s="1" customFormat="1" x14ac:dyDescent="0.2">
      <c r="A29" s="19"/>
      <c r="B29" s="7"/>
      <c r="C29" s="6"/>
      <c r="D29" s="7"/>
      <c r="E29" s="6"/>
    </row>
    <row r="30" spans="1:7" s="1" customFormat="1" x14ac:dyDescent="0.2">
      <c r="A30" s="2" t="s">
        <v>232</v>
      </c>
      <c r="B30" s="109"/>
      <c r="C30" s="109"/>
      <c r="D30" s="109"/>
      <c r="E30" s="109"/>
    </row>
    <row r="31" spans="1:7" s="1" customFormat="1" x14ac:dyDescent="0.2">
      <c r="A31" s="122" t="s">
        <v>32</v>
      </c>
      <c r="B31" s="109"/>
      <c r="C31" s="109"/>
      <c r="D31" s="109"/>
      <c r="E31" s="109"/>
    </row>
    <row r="32" spans="1:7" s="109" customFormat="1" x14ac:dyDescent="0.2">
      <c r="A32" s="555" t="s">
        <v>233</v>
      </c>
      <c r="B32" s="555"/>
      <c r="C32" s="555"/>
      <c r="D32" s="555"/>
      <c r="E32" s="555"/>
    </row>
    <row r="33" spans="1:5" s="1" customFormat="1" x14ac:dyDescent="0.2">
      <c r="A33" s="556" t="s">
        <v>234</v>
      </c>
      <c r="B33" s="556"/>
      <c r="C33" s="556"/>
      <c r="D33" s="556"/>
      <c r="E33" s="556"/>
    </row>
    <row r="34" spans="1:5" ht="25.5" customHeight="1" x14ac:dyDescent="0.2">
      <c r="A34" s="552"/>
      <c r="B34" s="552"/>
      <c r="C34" s="552"/>
      <c r="D34" s="552"/>
      <c r="E34" s="552"/>
    </row>
  </sheetData>
  <mergeCells count="5">
    <mergeCell ref="B12:C12"/>
    <mergeCell ref="D12:E12"/>
    <mergeCell ref="A32:E32"/>
    <mergeCell ref="A33:E33"/>
    <mergeCell ref="A34:E34"/>
  </mergeCells>
  <hyperlinks>
    <hyperlink ref="A8" location="Contents!A1" display="Return to Contents" xr:uid="{00000000-0004-0000-0C00-000000000000}"/>
  </hyperlinks>
  <pageMargins left="0.75" right="0.75" top="1" bottom="1" header="0.5" footer="0.5"/>
  <pageSetup paperSize="9" scale="93"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5EB8"/>
    <pageSetUpPr fitToPage="1"/>
  </sheetPr>
  <dimension ref="A1:Y58"/>
  <sheetViews>
    <sheetView showGridLines="0" zoomScaleNormal="100" workbookViewId="0"/>
  </sheetViews>
  <sheetFormatPr defaultColWidth="9.140625" defaultRowHeight="12.75" x14ac:dyDescent="0.2"/>
  <cols>
    <col min="1" max="1" width="7.28515625" style="1" customWidth="1"/>
    <col min="2" max="2" width="49.28515625" style="1" customWidth="1"/>
    <col min="3" max="8" width="15" style="1" customWidth="1"/>
    <col min="9" max="10" width="9.140625" style="1"/>
    <col min="11" max="11" width="31.140625" style="1" customWidth="1"/>
    <col min="12" max="16384" width="9.140625" style="1"/>
  </cols>
  <sheetData>
    <row r="1" spans="1:25" s="10" customFormat="1" ht="12.75" customHeight="1" x14ac:dyDescent="0.2">
      <c r="D1" s="12"/>
      <c r="G1" s="12"/>
      <c r="Y1" s="11"/>
    </row>
    <row r="2" spans="1:25" s="10" customFormat="1" ht="12.75" customHeight="1" x14ac:dyDescent="0.2">
      <c r="D2" s="12"/>
      <c r="G2" s="12"/>
      <c r="Y2" s="11"/>
    </row>
    <row r="3" spans="1:25" s="10" customFormat="1" ht="12.75" customHeight="1" x14ac:dyDescent="0.2">
      <c r="D3" s="12"/>
      <c r="G3" s="12"/>
      <c r="Y3" s="11"/>
    </row>
    <row r="4" spans="1:25" s="10" customFormat="1" ht="12.75" customHeight="1" x14ac:dyDescent="0.2">
      <c r="D4" s="12"/>
      <c r="G4" s="12"/>
      <c r="Y4" s="11"/>
    </row>
    <row r="5" spans="1:25" s="10" customFormat="1" ht="12.75" customHeight="1" x14ac:dyDescent="0.2">
      <c r="D5" s="12"/>
      <c r="G5" s="12"/>
      <c r="Y5" s="11"/>
    </row>
    <row r="6" spans="1:25" s="10" customFormat="1" ht="12.75" customHeight="1" x14ac:dyDescent="0.2">
      <c r="D6" s="12"/>
      <c r="G6" s="12"/>
      <c r="Y6" s="11"/>
    </row>
    <row r="7" spans="1:25" s="9" customFormat="1" ht="12.75" customHeight="1" x14ac:dyDescent="0.2"/>
    <row r="8" spans="1:25" ht="14.25" customHeight="1" x14ac:dyDescent="0.2">
      <c r="A8" s="567" t="s">
        <v>217</v>
      </c>
      <c r="B8" s="567"/>
    </row>
    <row r="9" spans="1:25" s="9" customFormat="1" ht="12.75" customHeight="1" x14ac:dyDescent="0.2"/>
    <row r="10" spans="1:25" ht="22.5" customHeight="1" x14ac:dyDescent="0.2">
      <c r="A10" s="227" t="s">
        <v>283</v>
      </c>
    </row>
    <row r="11" spans="1:25" x14ac:dyDescent="0.2">
      <c r="A11" s="2"/>
    </row>
    <row r="12" spans="1:25" x14ac:dyDescent="0.2">
      <c r="A12" s="214"/>
      <c r="B12" s="214"/>
      <c r="C12" s="584" t="s">
        <v>300</v>
      </c>
      <c r="D12" s="582"/>
      <c r="E12" s="583"/>
      <c r="F12" s="584" t="s">
        <v>599</v>
      </c>
      <c r="G12" s="582"/>
      <c r="H12" s="583"/>
    </row>
    <row r="13" spans="1:25" x14ac:dyDescent="0.2">
      <c r="A13" s="585" t="s">
        <v>175</v>
      </c>
      <c r="B13" s="586"/>
      <c r="C13" s="389" t="s">
        <v>88</v>
      </c>
      <c r="D13" s="390" t="s">
        <v>87</v>
      </c>
      <c r="E13" s="390" t="s">
        <v>1</v>
      </c>
      <c r="F13" s="391" t="s">
        <v>88</v>
      </c>
      <c r="G13" s="392" t="s">
        <v>87</v>
      </c>
      <c r="H13" s="393" t="s">
        <v>1</v>
      </c>
    </row>
    <row r="14" spans="1:25" x14ac:dyDescent="0.2">
      <c r="A14" s="247" t="s">
        <v>86</v>
      </c>
      <c r="B14" s="218" t="s">
        <v>154</v>
      </c>
      <c r="C14" s="309">
        <v>10482</v>
      </c>
      <c r="D14" s="310">
        <v>8440</v>
      </c>
      <c r="E14" s="299">
        <v>18922</v>
      </c>
      <c r="F14" s="369">
        <v>10109</v>
      </c>
      <c r="G14" s="394">
        <v>7888</v>
      </c>
      <c r="H14" s="395">
        <v>17997</v>
      </c>
      <c r="I14" s="363"/>
    </row>
    <row r="15" spans="1:25" x14ac:dyDescent="0.2">
      <c r="A15" s="247" t="s">
        <v>85</v>
      </c>
      <c r="B15" s="218" t="s">
        <v>155</v>
      </c>
      <c r="C15" s="300">
        <v>123</v>
      </c>
      <c r="D15" s="301">
        <v>82</v>
      </c>
      <c r="E15" s="302">
        <v>205</v>
      </c>
      <c r="F15" s="396">
        <v>91</v>
      </c>
      <c r="G15" s="397">
        <v>80</v>
      </c>
      <c r="H15" s="398">
        <v>171</v>
      </c>
      <c r="I15" s="363"/>
    </row>
    <row r="16" spans="1:25" x14ac:dyDescent="0.2">
      <c r="A16" s="247" t="s">
        <v>84</v>
      </c>
      <c r="B16" s="218" t="s">
        <v>156</v>
      </c>
      <c r="C16" s="300">
        <v>4786</v>
      </c>
      <c r="D16" s="301">
        <v>2660</v>
      </c>
      <c r="E16" s="302">
        <v>7446</v>
      </c>
      <c r="F16" s="396">
        <v>4659</v>
      </c>
      <c r="G16" s="397">
        <v>2447</v>
      </c>
      <c r="H16" s="398">
        <v>7106</v>
      </c>
      <c r="I16" s="363"/>
    </row>
    <row r="17" spans="1:9" x14ac:dyDescent="0.2">
      <c r="A17" s="247" t="s">
        <v>83</v>
      </c>
      <c r="B17" s="218" t="s">
        <v>157</v>
      </c>
      <c r="C17" s="300">
        <v>23004</v>
      </c>
      <c r="D17" s="301">
        <v>20233</v>
      </c>
      <c r="E17" s="302">
        <v>43237</v>
      </c>
      <c r="F17" s="396">
        <v>22599</v>
      </c>
      <c r="G17" s="397">
        <v>19622</v>
      </c>
      <c r="H17" s="398">
        <v>42221</v>
      </c>
      <c r="I17" s="363"/>
    </row>
    <row r="18" spans="1:9" x14ac:dyDescent="0.2">
      <c r="A18" s="247" t="s">
        <v>82</v>
      </c>
      <c r="B18" s="218" t="s">
        <v>158</v>
      </c>
      <c r="C18" s="300">
        <v>41081</v>
      </c>
      <c r="D18" s="301">
        <v>17304</v>
      </c>
      <c r="E18" s="302">
        <v>58385</v>
      </c>
      <c r="F18" s="396">
        <v>40285</v>
      </c>
      <c r="G18" s="397">
        <v>16693</v>
      </c>
      <c r="H18" s="398">
        <v>56978</v>
      </c>
      <c r="I18" s="363"/>
    </row>
    <row r="19" spans="1:9" x14ac:dyDescent="0.2">
      <c r="A19" s="247" t="s">
        <v>81</v>
      </c>
      <c r="B19" s="218" t="s">
        <v>159</v>
      </c>
      <c r="C19" s="300">
        <v>24533</v>
      </c>
      <c r="D19" s="301">
        <v>22025</v>
      </c>
      <c r="E19" s="302">
        <v>46558</v>
      </c>
      <c r="F19" s="396">
        <v>24157</v>
      </c>
      <c r="G19" s="397">
        <v>21824</v>
      </c>
      <c r="H19" s="398">
        <v>45981</v>
      </c>
      <c r="I19" s="363"/>
    </row>
    <row r="20" spans="1:9" x14ac:dyDescent="0.2">
      <c r="A20" s="247" t="s">
        <v>80</v>
      </c>
      <c r="B20" s="218" t="s">
        <v>160</v>
      </c>
      <c r="C20" s="300">
        <v>7593</v>
      </c>
      <c r="D20" s="301">
        <v>6005</v>
      </c>
      <c r="E20" s="302">
        <v>13598</v>
      </c>
      <c r="F20" s="396">
        <v>7446</v>
      </c>
      <c r="G20" s="397">
        <v>5850</v>
      </c>
      <c r="H20" s="398">
        <v>13296</v>
      </c>
      <c r="I20" s="363"/>
    </row>
    <row r="21" spans="1:9" x14ac:dyDescent="0.2">
      <c r="A21" s="247" t="s">
        <v>79</v>
      </c>
      <c r="B21" s="218" t="s">
        <v>161</v>
      </c>
      <c r="C21" s="300">
        <v>9013</v>
      </c>
      <c r="D21" s="301">
        <v>8854</v>
      </c>
      <c r="E21" s="302">
        <v>17867</v>
      </c>
      <c r="F21" s="396">
        <v>8537</v>
      </c>
      <c r="G21" s="397">
        <v>8412</v>
      </c>
      <c r="H21" s="398">
        <v>16949</v>
      </c>
      <c r="I21" s="363"/>
    </row>
    <row r="22" spans="1:9" x14ac:dyDescent="0.2">
      <c r="A22" s="247" t="s">
        <v>78</v>
      </c>
      <c r="B22" s="218" t="s">
        <v>162</v>
      </c>
      <c r="C22" s="300">
        <v>1394</v>
      </c>
      <c r="D22" s="301">
        <v>1812</v>
      </c>
      <c r="E22" s="302">
        <v>3206</v>
      </c>
      <c r="F22" s="396">
        <v>1231</v>
      </c>
      <c r="G22" s="397">
        <v>1587</v>
      </c>
      <c r="H22" s="398">
        <v>2818</v>
      </c>
      <c r="I22" s="363"/>
    </row>
    <row r="23" spans="1:9" x14ac:dyDescent="0.2">
      <c r="A23" s="247" t="s">
        <v>77</v>
      </c>
      <c r="B23" s="218" t="s">
        <v>163</v>
      </c>
      <c r="C23" s="300">
        <v>2357</v>
      </c>
      <c r="D23" s="301">
        <v>2626</v>
      </c>
      <c r="E23" s="302">
        <v>4983</v>
      </c>
      <c r="F23" s="396">
        <v>2336</v>
      </c>
      <c r="G23" s="397">
        <v>2661</v>
      </c>
      <c r="H23" s="398">
        <v>4997</v>
      </c>
      <c r="I23" s="363"/>
    </row>
    <row r="24" spans="1:9" x14ac:dyDescent="0.2">
      <c r="A24" s="247" t="s">
        <v>76</v>
      </c>
      <c r="B24" s="218" t="s">
        <v>164</v>
      </c>
      <c r="C24" s="300">
        <v>8398</v>
      </c>
      <c r="D24" s="301">
        <v>5040</v>
      </c>
      <c r="E24" s="302">
        <v>13438</v>
      </c>
      <c r="F24" s="396">
        <v>8295</v>
      </c>
      <c r="G24" s="397">
        <v>4949</v>
      </c>
      <c r="H24" s="398">
        <v>13244</v>
      </c>
      <c r="I24" s="363"/>
    </row>
    <row r="25" spans="1:9" x14ac:dyDescent="0.2">
      <c r="A25" s="247" t="s">
        <v>75</v>
      </c>
      <c r="B25" s="218" t="s">
        <v>165</v>
      </c>
      <c r="C25" s="300">
        <v>2</v>
      </c>
      <c r="D25" s="301">
        <v>2934</v>
      </c>
      <c r="E25" s="302">
        <v>2936</v>
      </c>
      <c r="F25" s="396">
        <v>7</v>
      </c>
      <c r="G25" s="397">
        <v>2974</v>
      </c>
      <c r="H25" s="398">
        <v>2981</v>
      </c>
      <c r="I25" s="363"/>
    </row>
    <row r="26" spans="1:9" x14ac:dyDescent="0.2">
      <c r="A26" s="247" t="s">
        <v>74</v>
      </c>
      <c r="B26" s="218" t="s">
        <v>166</v>
      </c>
      <c r="C26" s="300">
        <v>0</v>
      </c>
      <c r="D26" s="301">
        <v>6207</v>
      </c>
      <c r="E26" s="302">
        <v>6207</v>
      </c>
      <c r="F26" s="410">
        <v>0</v>
      </c>
      <c r="G26" s="397">
        <v>6330</v>
      </c>
      <c r="H26" s="398">
        <v>6330</v>
      </c>
      <c r="I26" s="363"/>
    </row>
    <row r="27" spans="1:9" x14ac:dyDescent="0.2">
      <c r="A27" s="247" t="s">
        <v>73</v>
      </c>
      <c r="B27" s="218" t="s">
        <v>167</v>
      </c>
      <c r="C27" s="300">
        <v>984</v>
      </c>
      <c r="D27" s="301">
        <v>898</v>
      </c>
      <c r="E27" s="302">
        <v>1882</v>
      </c>
      <c r="F27" s="396">
        <v>914</v>
      </c>
      <c r="G27" s="397">
        <v>807</v>
      </c>
      <c r="H27" s="398">
        <v>1721</v>
      </c>
      <c r="I27" s="363"/>
    </row>
    <row r="28" spans="1:9" ht="25.5" x14ac:dyDescent="0.2">
      <c r="A28" s="247" t="s">
        <v>72</v>
      </c>
      <c r="B28" s="248" t="s">
        <v>168</v>
      </c>
      <c r="C28" s="300">
        <v>1263</v>
      </c>
      <c r="D28" s="301">
        <v>1010</v>
      </c>
      <c r="E28" s="302">
        <v>2273</v>
      </c>
      <c r="F28" s="396">
        <v>1480</v>
      </c>
      <c r="G28" s="397">
        <v>1294</v>
      </c>
      <c r="H28" s="398">
        <v>2774</v>
      </c>
      <c r="I28" s="363"/>
    </row>
    <row r="29" spans="1:9" x14ac:dyDescent="0.2">
      <c r="A29" s="247" t="s">
        <v>71</v>
      </c>
      <c r="B29" s="218" t="s">
        <v>169</v>
      </c>
      <c r="C29" s="300">
        <v>1944</v>
      </c>
      <c r="D29" s="301">
        <v>1466</v>
      </c>
      <c r="E29" s="302">
        <v>3410</v>
      </c>
      <c r="F29" s="396">
        <v>2629</v>
      </c>
      <c r="G29" s="397">
        <v>1659</v>
      </c>
      <c r="H29" s="398">
        <v>4288</v>
      </c>
      <c r="I29" s="363"/>
    </row>
    <row r="30" spans="1:9" x14ac:dyDescent="0.2">
      <c r="A30" s="247" t="s">
        <v>170</v>
      </c>
      <c r="B30" s="218" t="s">
        <v>171</v>
      </c>
      <c r="C30" s="300">
        <v>5840</v>
      </c>
      <c r="D30" s="301">
        <v>2340</v>
      </c>
      <c r="E30" s="302">
        <v>8180</v>
      </c>
      <c r="F30" s="396">
        <v>5740</v>
      </c>
      <c r="G30" s="397">
        <v>2399</v>
      </c>
      <c r="H30" s="398">
        <v>8139</v>
      </c>
      <c r="I30" s="363"/>
    </row>
    <row r="31" spans="1:9" ht="25.5" x14ac:dyDescent="0.2">
      <c r="A31" s="247" t="s">
        <v>172</v>
      </c>
      <c r="B31" s="248" t="s">
        <v>173</v>
      </c>
      <c r="C31" s="300">
        <v>8801</v>
      </c>
      <c r="D31" s="301">
        <v>7144</v>
      </c>
      <c r="E31" s="302">
        <v>15945</v>
      </c>
      <c r="F31" s="396">
        <v>8565</v>
      </c>
      <c r="G31" s="397">
        <v>7100</v>
      </c>
      <c r="H31" s="398">
        <v>15665</v>
      </c>
      <c r="I31" s="363"/>
    </row>
    <row r="32" spans="1:9" ht="25.5" x14ac:dyDescent="0.2">
      <c r="A32" s="247" t="s">
        <v>281</v>
      </c>
      <c r="B32" s="248" t="s">
        <v>282</v>
      </c>
      <c r="C32" s="303">
        <v>14641</v>
      </c>
      <c r="D32" s="304">
        <v>8348</v>
      </c>
      <c r="E32" s="305">
        <v>22989</v>
      </c>
      <c r="F32" s="399">
        <v>14358</v>
      </c>
      <c r="G32" s="400">
        <v>8186</v>
      </c>
      <c r="H32" s="401">
        <v>22544</v>
      </c>
      <c r="I32" s="363"/>
    </row>
    <row r="33" spans="1:13" x14ac:dyDescent="0.2">
      <c r="A33" s="502"/>
      <c r="B33" s="477" t="s">
        <v>34</v>
      </c>
      <c r="C33" s="495">
        <v>166239</v>
      </c>
      <c r="D33" s="503">
        <v>125428</v>
      </c>
      <c r="E33" s="308">
        <v>291667</v>
      </c>
      <c r="F33" s="493">
        <v>163438</v>
      </c>
      <c r="G33" s="609">
        <v>122762</v>
      </c>
      <c r="H33" s="608">
        <v>286200</v>
      </c>
      <c r="I33" s="363"/>
    </row>
    <row r="34" spans="1:13" x14ac:dyDescent="0.2">
      <c r="A34" s="134"/>
      <c r="B34" s="249" t="s">
        <v>174</v>
      </c>
      <c r="C34" s="402">
        <v>0</v>
      </c>
      <c r="D34" s="403">
        <v>0</v>
      </c>
      <c r="E34" s="305">
        <v>0</v>
      </c>
      <c r="F34" s="404">
        <v>0</v>
      </c>
      <c r="G34" s="405">
        <v>0</v>
      </c>
      <c r="H34" s="406">
        <v>0</v>
      </c>
      <c r="I34" s="363"/>
    </row>
    <row r="35" spans="1:13" x14ac:dyDescent="0.2">
      <c r="A35" s="132"/>
      <c r="B35" s="133" t="s">
        <v>1</v>
      </c>
      <c r="C35" s="306">
        <v>166239</v>
      </c>
      <c r="D35" s="307">
        <v>125428</v>
      </c>
      <c r="E35" s="308">
        <v>291667</v>
      </c>
      <c r="F35" s="407">
        <v>163438</v>
      </c>
      <c r="G35" s="408">
        <v>122762</v>
      </c>
      <c r="H35" s="409">
        <v>286200</v>
      </c>
      <c r="I35" s="363"/>
    </row>
    <row r="36" spans="1:13" s="118" customFormat="1" x14ac:dyDescent="0.2">
      <c r="A36" s="27"/>
      <c r="B36" s="27"/>
      <c r="C36" s="7"/>
      <c r="D36" s="7"/>
      <c r="E36" s="7"/>
      <c r="F36" s="7"/>
      <c r="G36" s="7"/>
      <c r="H36" s="7"/>
      <c r="I36" s="1"/>
      <c r="J36" s="1"/>
      <c r="K36" s="1"/>
      <c r="L36" s="1"/>
      <c r="M36" s="1"/>
    </row>
    <row r="37" spans="1:13" x14ac:dyDescent="0.2">
      <c r="A37" s="119" t="s">
        <v>262</v>
      </c>
      <c r="B37" s="120"/>
      <c r="C37" s="120"/>
      <c r="D37" s="120"/>
      <c r="E37" s="120"/>
      <c r="F37" s="120"/>
      <c r="G37" s="118"/>
      <c r="H37" s="118"/>
      <c r="I37" s="118"/>
      <c r="J37" s="118"/>
      <c r="K37" s="118"/>
      <c r="L37" s="118"/>
      <c r="M37" s="118"/>
    </row>
    <row r="38" spans="1:13" x14ac:dyDescent="0.2">
      <c r="A38" s="27"/>
      <c r="B38" s="27"/>
      <c r="C38" s="7"/>
      <c r="D38" s="7"/>
      <c r="E38" s="7"/>
      <c r="F38" s="7"/>
      <c r="G38" s="7"/>
      <c r="H38" s="7"/>
    </row>
    <row r="39" spans="1:13" x14ac:dyDescent="0.2">
      <c r="A39" s="2" t="s">
        <v>232</v>
      </c>
      <c r="B39" s="109"/>
      <c r="C39" s="109"/>
      <c r="D39" s="109"/>
      <c r="E39" s="109"/>
    </row>
    <row r="40" spans="1:13" s="54" customFormat="1" ht="20.25" customHeight="1" x14ac:dyDescent="0.2">
      <c r="A40" s="587" t="s">
        <v>284</v>
      </c>
      <c r="B40" s="587"/>
      <c r="C40" s="587"/>
      <c r="D40" s="587"/>
      <c r="E40" s="587"/>
      <c r="F40" s="3"/>
      <c r="G40" s="3"/>
      <c r="H40" s="1"/>
      <c r="I40" s="1"/>
      <c r="J40" s="1"/>
      <c r="K40" s="1"/>
      <c r="L40" s="1"/>
      <c r="M40" s="1"/>
    </row>
    <row r="41" spans="1:13" s="54" customFormat="1" ht="106.5" customHeight="1" x14ac:dyDescent="0.2">
      <c r="A41" s="588" t="s">
        <v>301</v>
      </c>
      <c r="B41" s="588"/>
      <c r="C41" s="588"/>
      <c r="D41" s="588"/>
      <c r="E41" s="588"/>
      <c r="F41" s="53"/>
      <c r="G41" s="53"/>
    </row>
    <row r="42" spans="1:13" s="54" customFormat="1" ht="12.75" customHeight="1" x14ac:dyDescent="0.2">
      <c r="A42" s="321" t="s">
        <v>285</v>
      </c>
      <c r="B42" s="321"/>
      <c r="C42" s="321"/>
      <c r="D42" s="321"/>
      <c r="E42" s="321"/>
      <c r="F42" s="53"/>
      <c r="G42" s="53"/>
    </row>
    <row r="43" spans="1:13" s="109" customFormat="1" ht="25.5" customHeight="1" x14ac:dyDescent="0.2">
      <c r="A43" s="589" t="s">
        <v>222</v>
      </c>
      <c r="B43" s="589"/>
      <c r="C43" s="589"/>
      <c r="D43" s="589"/>
      <c r="E43" s="589"/>
      <c r="F43" s="53"/>
      <c r="G43" s="53"/>
      <c r="H43" s="54"/>
      <c r="I43" s="54"/>
      <c r="J43" s="54"/>
      <c r="K43" s="54"/>
      <c r="L43" s="54"/>
      <c r="M43" s="54"/>
    </row>
    <row r="44" spans="1:13" ht="25.5" customHeight="1" x14ac:dyDescent="0.2">
      <c r="A44" s="555" t="s">
        <v>241</v>
      </c>
      <c r="B44" s="555"/>
      <c r="C44" s="555"/>
      <c r="D44" s="555"/>
      <c r="E44" s="555"/>
      <c r="F44" s="109"/>
      <c r="G44" s="109"/>
      <c r="H44" s="109"/>
      <c r="I44" s="109"/>
      <c r="J44" s="109"/>
      <c r="K44" s="109"/>
      <c r="L44" s="109"/>
      <c r="M44" s="109"/>
    </row>
    <row r="45" spans="1:13" ht="25.5" customHeight="1" x14ac:dyDescent="0.2">
      <c r="A45" s="556" t="s">
        <v>242</v>
      </c>
      <c r="B45" s="556"/>
      <c r="C45" s="556"/>
      <c r="D45" s="556"/>
      <c r="E45" s="556"/>
    </row>
    <row r="46" spans="1:13" x14ac:dyDescent="0.2">
      <c r="A46" s="552"/>
      <c r="B46" s="552"/>
      <c r="C46" s="552"/>
      <c r="D46" s="552"/>
      <c r="E46" s="552"/>
    </row>
    <row r="54" spans="11:11" x14ac:dyDescent="0.2">
      <c r="K54" s="24"/>
    </row>
    <row r="57" spans="11:11" x14ac:dyDescent="0.2">
      <c r="K57" s="24"/>
    </row>
    <row r="58" spans="11:11" x14ac:dyDescent="0.2">
      <c r="K58" s="24"/>
    </row>
  </sheetData>
  <mergeCells count="10">
    <mergeCell ref="A46:E46"/>
    <mergeCell ref="A8:B8"/>
    <mergeCell ref="F12:H12"/>
    <mergeCell ref="A13:B13"/>
    <mergeCell ref="C12:E12"/>
    <mergeCell ref="A44:E44"/>
    <mergeCell ref="A40:E40"/>
    <mergeCell ref="A45:E45"/>
    <mergeCell ref="A41:E41"/>
    <mergeCell ref="A43:E43"/>
  </mergeCells>
  <hyperlinks>
    <hyperlink ref="A8" location="Contents!A1" display="Return to Contents" xr:uid="{00000000-0004-0000-0D00-000000000000}"/>
    <hyperlink ref="A42:E42" r:id="rId1" display="https://digital.nhs.uk/binaries/content/assets/legacy/pdf/n/d/hrg4__201718_local_payment_grouper_summary_of_changes_v1.2.pdf" xr:uid="{00000000-0004-0000-0D00-000001000000}"/>
  </hyperlinks>
  <pageMargins left="0.75" right="0.75" top="1" bottom="1" header="0.5" footer="0.5"/>
  <pageSetup paperSize="9" scale="88" fitToHeight="0" orientation="landscape"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5EB8"/>
    <pageSetUpPr fitToPage="1"/>
  </sheetPr>
  <dimension ref="A1:S39"/>
  <sheetViews>
    <sheetView showGridLines="0" zoomScaleNormal="100" workbookViewId="0"/>
  </sheetViews>
  <sheetFormatPr defaultColWidth="9.140625" defaultRowHeight="12.75" x14ac:dyDescent="0.2"/>
  <cols>
    <col min="1" max="1" width="29.140625" style="1" bestFit="1" customWidth="1"/>
    <col min="2" max="10" width="11.7109375" style="1" customWidth="1"/>
    <col min="11" max="11" width="13" style="1" customWidth="1"/>
    <col min="12" max="13" width="11.7109375" style="1" customWidth="1"/>
    <col min="14" max="16384" width="9.140625" style="1"/>
  </cols>
  <sheetData>
    <row r="1" spans="1:16" s="10" customFormat="1" ht="12.75" customHeight="1" x14ac:dyDescent="0.2">
      <c r="D1" s="12"/>
      <c r="F1" s="12"/>
      <c r="J1" s="12"/>
      <c r="L1" s="12"/>
      <c r="P1" s="11"/>
    </row>
    <row r="2" spans="1:16" s="10" customFormat="1" ht="12.75" customHeight="1" x14ac:dyDescent="0.2">
      <c r="D2" s="12"/>
      <c r="F2" s="12"/>
      <c r="J2" s="12"/>
      <c r="L2" s="12"/>
      <c r="P2" s="11"/>
    </row>
    <row r="3" spans="1:16" s="10" customFormat="1" ht="12.75" customHeight="1" x14ac:dyDescent="0.2">
      <c r="D3" s="12"/>
      <c r="F3" s="12"/>
      <c r="J3" s="12"/>
      <c r="L3" s="12"/>
      <c r="P3" s="11"/>
    </row>
    <row r="4" spans="1:16" s="10" customFormat="1" ht="12.75" customHeight="1" x14ac:dyDescent="0.2">
      <c r="D4" s="12"/>
      <c r="F4" s="12"/>
      <c r="J4" s="12"/>
      <c r="L4" s="12"/>
      <c r="P4" s="11"/>
    </row>
    <row r="5" spans="1:16" s="10" customFormat="1" ht="12.75" customHeight="1" x14ac:dyDescent="0.2">
      <c r="D5" s="12"/>
      <c r="F5" s="12"/>
      <c r="J5" s="12"/>
      <c r="L5" s="12"/>
      <c r="P5" s="11"/>
    </row>
    <row r="6" spans="1:16" s="10" customFormat="1" ht="12.75" customHeight="1" x14ac:dyDescent="0.2">
      <c r="D6" s="12"/>
      <c r="F6" s="12"/>
      <c r="J6" s="12"/>
      <c r="L6" s="12"/>
      <c r="P6" s="11"/>
    </row>
    <row r="7" spans="1:16" ht="12.75" customHeight="1" x14ac:dyDescent="0.2"/>
    <row r="8" spans="1:16" ht="14.25" customHeight="1" x14ac:dyDescent="0.2">
      <c r="A8" s="72" t="s">
        <v>217</v>
      </c>
    </row>
    <row r="9" spans="1:16" ht="12.75" customHeight="1" x14ac:dyDescent="0.2"/>
    <row r="10" spans="1:16" ht="22.5" customHeight="1" x14ac:dyDescent="0.2">
      <c r="A10" s="227" t="s">
        <v>246</v>
      </c>
      <c r="F10" s="31"/>
    </row>
    <row r="11" spans="1:16" x14ac:dyDescent="0.2">
      <c r="A11" s="2"/>
    </row>
    <row r="12" spans="1:16" x14ac:dyDescent="0.2">
      <c r="A12" s="2"/>
    </row>
    <row r="13" spans="1:16" x14ac:dyDescent="0.2">
      <c r="A13" s="109"/>
      <c r="B13" s="584" t="s">
        <v>300</v>
      </c>
      <c r="C13" s="582"/>
      <c r="D13" s="582"/>
      <c r="E13" s="582"/>
      <c r="F13" s="582"/>
      <c r="G13" s="583"/>
      <c r="H13" s="582" t="s">
        <v>300</v>
      </c>
      <c r="I13" s="582"/>
      <c r="J13" s="582"/>
      <c r="K13" s="582"/>
      <c r="L13" s="582"/>
      <c r="M13" s="583"/>
    </row>
    <row r="14" spans="1:16" s="24" customFormat="1" ht="42" customHeight="1" x14ac:dyDescent="0.2">
      <c r="A14" s="23"/>
      <c r="B14" s="593" t="s">
        <v>102</v>
      </c>
      <c r="C14" s="592"/>
      <c r="D14" s="593" t="s">
        <v>101</v>
      </c>
      <c r="E14" s="592"/>
      <c r="F14" s="593" t="s">
        <v>100</v>
      </c>
      <c r="G14" s="592"/>
      <c r="H14" s="591" t="s">
        <v>102</v>
      </c>
      <c r="I14" s="592"/>
      <c r="J14" s="593" t="s">
        <v>101</v>
      </c>
      <c r="K14" s="592"/>
      <c r="L14" s="593" t="s">
        <v>100</v>
      </c>
      <c r="M14" s="592"/>
    </row>
    <row r="15" spans="1:16" x14ac:dyDescent="0.2">
      <c r="A15" s="102" t="s">
        <v>99</v>
      </c>
      <c r="B15" s="435" t="s">
        <v>98</v>
      </c>
      <c r="C15" s="436" t="s">
        <v>87</v>
      </c>
      <c r="D15" s="435" t="s">
        <v>98</v>
      </c>
      <c r="E15" s="436" t="s">
        <v>87</v>
      </c>
      <c r="F15" s="525" t="s">
        <v>98</v>
      </c>
      <c r="G15" s="436" t="s">
        <v>87</v>
      </c>
      <c r="H15" s="435" t="s">
        <v>98</v>
      </c>
      <c r="I15" s="436" t="s">
        <v>87</v>
      </c>
      <c r="J15" s="435" t="s">
        <v>98</v>
      </c>
      <c r="K15" s="436" t="s">
        <v>87</v>
      </c>
      <c r="L15" s="525" t="s">
        <v>98</v>
      </c>
      <c r="M15" s="436" t="s">
        <v>87</v>
      </c>
    </row>
    <row r="16" spans="1:16" x14ac:dyDescent="0.2">
      <c r="A16" s="135" t="s">
        <v>97</v>
      </c>
      <c r="B16" s="437">
        <v>123090</v>
      </c>
      <c r="C16" s="438">
        <v>91227</v>
      </c>
      <c r="D16" s="437">
        <v>519210</v>
      </c>
      <c r="E16" s="438">
        <v>356019</v>
      </c>
      <c r="F16" s="439">
        <v>4.2</v>
      </c>
      <c r="G16" s="440">
        <v>3.9</v>
      </c>
      <c r="H16" s="441">
        <v>121401</v>
      </c>
      <c r="I16" s="442">
        <v>90557</v>
      </c>
      <c r="J16" s="443">
        <v>515606</v>
      </c>
      <c r="K16" s="442">
        <v>354516</v>
      </c>
      <c r="L16" s="444">
        <v>4.2</v>
      </c>
      <c r="M16" s="445">
        <v>3.9</v>
      </c>
    </row>
    <row r="17" spans="1:19" x14ac:dyDescent="0.2">
      <c r="A17" s="135" t="s">
        <v>96</v>
      </c>
      <c r="B17" s="446">
        <v>60641</v>
      </c>
      <c r="C17" s="447">
        <v>33983</v>
      </c>
      <c r="D17" s="446">
        <v>290280</v>
      </c>
      <c r="E17" s="447">
        <v>168743</v>
      </c>
      <c r="F17" s="448">
        <v>4.8</v>
      </c>
      <c r="G17" s="449">
        <v>5</v>
      </c>
      <c r="H17" s="450">
        <v>59783</v>
      </c>
      <c r="I17" s="451">
        <v>33248</v>
      </c>
      <c r="J17" s="452">
        <v>290956</v>
      </c>
      <c r="K17" s="451">
        <v>164599</v>
      </c>
      <c r="L17" s="453">
        <v>4.9000000000000004</v>
      </c>
      <c r="M17" s="454">
        <v>5</v>
      </c>
    </row>
    <row r="18" spans="1:19" x14ac:dyDescent="0.2">
      <c r="A18" s="135" t="s">
        <v>221</v>
      </c>
      <c r="B18" s="446">
        <v>31212</v>
      </c>
      <c r="C18" s="447">
        <v>21031</v>
      </c>
      <c r="D18" s="446">
        <v>264839</v>
      </c>
      <c r="E18" s="447">
        <v>160398</v>
      </c>
      <c r="F18" s="448">
        <v>8.5</v>
      </c>
      <c r="G18" s="449">
        <v>7.6</v>
      </c>
      <c r="H18" s="450">
        <v>30251</v>
      </c>
      <c r="I18" s="451">
        <v>19895</v>
      </c>
      <c r="J18" s="452">
        <v>256156</v>
      </c>
      <c r="K18" s="451">
        <v>153058</v>
      </c>
      <c r="L18" s="453">
        <v>8.5</v>
      </c>
      <c r="M18" s="454">
        <v>7.7</v>
      </c>
    </row>
    <row r="19" spans="1:19" x14ac:dyDescent="0.2">
      <c r="A19" s="135" t="s">
        <v>95</v>
      </c>
      <c r="B19" s="446">
        <v>80207</v>
      </c>
      <c r="C19" s="447">
        <v>58049</v>
      </c>
      <c r="D19" s="446">
        <v>246949</v>
      </c>
      <c r="E19" s="447">
        <v>174063</v>
      </c>
      <c r="F19" s="448">
        <v>3.1</v>
      </c>
      <c r="G19" s="449">
        <v>3</v>
      </c>
      <c r="H19" s="450">
        <v>78060</v>
      </c>
      <c r="I19" s="451">
        <v>56256</v>
      </c>
      <c r="J19" s="452">
        <v>238757</v>
      </c>
      <c r="K19" s="451">
        <v>171406</v>
      </c>
      <c r="L19" s="453">
        <v>3.1</v>
      </c>
      <c r="M19" s="454">
        <v>3</v>
      </c>
    </row>
    <row r="20" spans="1:19" x14ac:dyDescent="0.2">
      <c r="A20" s="135" t="s">
        <v>94</v>
      </c>
      <c r="B20" s="446">
        <v>39091</v>
      </c>
      <c r="C20" s="447">
        <v>20489</v>
      </c>
      <c r="D20" s="446">
        <v>120727</v>
      </c>
      <c r="E20" s="447">
        <v>60957</v>
      </c>
      <c r="F20" s="448">
        <v>3.1</v>
      </c>
      <c r="G20" s="449">
        <v>3</v>
      </c>
      <c r="H20" s="450">
        <v>39190</v>
      </c>
      <c r="I20" s="451">
        <v>19950</v>
      </c>
      <c r="J20" s="452">
        <v>121384</v>
      </c>
      <c r="K20" s="451">
        <v>59778</v>
      </c>
      <c r="L20" s="453">
        <v>3.1</v>
      </c>
      <c r="M20" s="454">
        <v>3</v>
      </c>
    </row>
    <row r="21" spans="1:19" x14ac:dyDescent="0.2">
      <c r="A21" s="135" t="s">
        <v>93</v>
      </c>
      <c r="B21" s="446">
        <v>13982</v>
      </c>
      <c r="C21" s="447">
        <v>8174</v>
      </c>
      <c r="D21" s="446">
        <v>75213</v>
      </c>
      <c r="E21" s="447">
        <v>40742</v>
      </c>
      <c r="F21" s="448">
        <v>5.4</v>
      </c>
      <c r="G21" s="449">
        <v>5</v>
      </c>
      <c r="H21" s="450">
        <v>13412</v>
      </c>
      <c r="I21" s="451">
        <v>7833</v>
      </c>
      <c r="J21" s="452">
        <v>74186</v>
      </c>
      <c r="K21" s="451">
        <v>40429</v>
      </c>
      <c r="L21" s="453">
        <v>5.5</v>
      </c>
      <c r="M21" s="454">
        <v>5.2</v>
      </c>
    </row>
    <row r="22" spans="1:19" x14ac:dyDescent="0.2">
      <c r="A22" s="135" t="s">
        <v>92</v>
      </c>
      <c r="B22" s="446">
        <v>13400</v>
      </c>
      <c r="C22" s="447">
        <v>8843</v>
      </c>
      <c r="D22" s="446">
        <v>62238</v>
      </c>
      <c r="E22" s="447">
        <v>39020</v>
      </c>
      <c r="F22" s="448">
        <v>4.5999999999999996</v>
      </c>
      <c r="G22" s="449">
        <v>4.4000000000000004</v>
      </c>
      <c r="H22" s="450">
        <v>13037</v>
      </c>
      <c r="I22" s="451">
        <v>8637</v>
      </c>
      <c r="J22" s="452">
        <v>63008</v>
      </c>
      <c r="K22" s="451">
        <v>39636</v>
      </c>
      <c r="L22" s="453">
        <v>4.8</v>
      </c>
      <c r="M22" s="454">
        <v>4.5999999999999996</v>
      </c>
    </row>
    <row r="23" spans="1:19" x14ac:dyDescent="0.2">
      <c r="A23" s="135" t="s">
        <v>91</v>
      </c>
      <c r="B23" s="446">
        <v>3830</v>
      </c>
      <c r="C23" s="447">
        <v>2327</v>
      </c>
      <c r="D23" s="446">
        <v>23574</v>
      </c>
      <c r="E23" s="447">
        <v>13881</v>
      </c>
      <c r="F23" s="448">
        <v>6.2</v>
      </c>
      <c r="G23" s="449">
        <v>6</v>
      </c>
      <c r="H23" s="450">
        <v>4170</v>
      </c>
      <c r="I23" s="451">
        <v>2759</v>
      </c>
      <c r="J23" s="452">
        <v>22732</v>
      </c>
      <c r="K23" s="451">
        <v>15158</v>
      </c>
      <c r="L23" s="453">
        <v>5.5</v>
      </c>
      <c r="M23" s="454">
        <v>5.5</v>
      </c>
    </row>
    <row r="24" spans="1:19" x14ac:dyDescent="0.2">
      <c r="A24" s="135" t="s">
        <v>90</v>
      </c>
      <c r="B24" s="455">
        <v>2197</v>
      </c>
      <c r="C24" s="456">
        <v>1526</v>
      </c>
      <c r="D24" s="455">
        <v>11281</v>
      </c>
      <c r="E24" s="456">
        <v>7198</v>
      </c>
      <c r="F24" s="457">
        <v>5.0999999999999996</v>
      </c>
      <c r="G24" s="458">
        <v>4.7</v>
      </c>
      <c r="H24" s="450">
        <v>2189</v>
      </c>
      <c r="I24" s="451">
        <v>1385</v>
      </c>
      <c r="J24" s="452">
        <v>9899</v>
      </c>
      <c r="K24" s="451">
        <v>5960</v>
      </c>
      <c r="L24" s="453">
        <v>4.5</v>
      </c>
      <c r="M24" s="454">
        <v>4.3</v>
      </c>
    </row>
    <row r="25" spans="1:19" s="2" customFormat="1" x14ac:dyDescent="0.2">
      <c r="A25" s="102" t="s">
        <v>34</v>
      </c>
      <c r="B25" s="464">
        <v>367650</v>
      </c>
      <c r="C25" s="465">
        <v>245649</v>
      </c>
      <c r="D25" s="464">
        <v>1614311</v>
      </c>
      <c r="E25" s="465">
        <v>1021021</v>
      </c>
      <c r="F25" s="185">
        <v>4.3908907928736571</v>
      </c>
      <c r="G25" s="186">
        <v>4.1564223750147571</v>
      </c>
      <c r="H25" s="504">
        <f>SUM(H16:H24)</f>
        <v>361493</v>
      </c>
      <c r="I25" s="505">
        <f t="shared" ref="I25:K25" si="0">SUM(I16:I24)</f>
        <v>240520</v>
      </c>
      <c r="J25" s="504">
        <f t="shared" si="0"/>
        <v>1592684</v>
      </c>
      <c r="K25" s="505">
        <f t="shared" si="0"/>
        <v>1004540</v>
      </c>
      <c r="L25" s="506">
        <v>4.4058501824378338</v>
      </c>
      <c r="M25" s="507">
        <v>4.1765341759521037</v>
      </c>
      <c r="N25" s="1"/>
      <c r="O25" s="1"/>
      <c r="P25" s="1"/>
      <c r="Q25" s="1"/>
      <c r="R25" s="1"/>
      <c r="S25" s="1"/>
    </row>
    <row r="26" spans="1:19" x14ac:dyDescent="0.2">
      <c r="A26" s="232" t="s">
        <v>89</v>
      </c>
      <c r="B26" s="455">
        <v>12663</v>
      </c>
      <c r="C26" s="456">
        <v>13317</v>
      </c>
      <c r="D26" s="459"/>
      <c r="E26" s="460"/>
      <c r="F26" s="461"/>
      <c r="G26" s="460"/>
      <c r="H26" s="462">
        <v>12742</v>
      </c>
      <c r="I26" s="463">
        <v>12754</v>
      </c>
      <c r="J26" s="462"/>
      <c r="K26" s="466"/>
      <c r="L26" s="468"/>
      <c r="M26" s="469"/>
    </row>
    <row r="27" spans="1:19" x14ac:dyDescent="0.2">
      <c r="A27" s="94" t="s">
        <v>1</v>
      </c>
      <c r="B27" s="464">
        <v>380313</v>
      </c>
      <c r="C27" s="465">
        <v>258966</v>
      </c>
      <c r="D27" s="464">
        <v>1614311</v>
      </c>
      <c r="E27" s="465">
        <v>1021021</v>
      </c>
      <c r="F27" s="185">
        <v>4.2446905575144687</v>
      </c>
      <c r="G27" s="186">
        <v>3.9426835955299153</v>
      </c>
      <c r="H27" s="464">
        <f>H25+H26</f>
        <v>374235</v>
      </c>
      <c r="I27" s="467">
        <f t="shared" ref="I27:K27" si="1">I25+I26</f>
        <v>253274</v>
      </c>
      <c r="J27" s="464">
        <f t="shared" si="1"/>
        <v>1592684</v>
      </c>
      <c r="K27" s="467">
        <f t="shared" si="1"/>
        <v>1004540</v>
      </c>
      <c r="L27" s="468">
        <v>4.2558392453939371</v>
      </c>
      <c r="M27" s="469">
        <v>3.966218403784044</v>
      </c>
    </row>
    <row r="28" spans="1:19" x14ac:dyDescent="0.2">
      <c r="A28" s="8"/>
      <c r="B28" s="73"/>
      <c r="C28" s="73"/>
      <c r="D28" s="73"/>
      <c r="E28" s="73"/>
      <c r="F28" s="74"/>
      <c r="G28" s="74"/>
      <c r="H28" s="75"/>
      <c r="I28" s="75"/>
      <c r="J28" s="75"/>
      <c r="K28" s="75"/>
      <c r="L28" s="76"/>
      <c r="M28" s="76"/>
    </row>
    <row r="29" spans="1:19" s="118" customFormat="1" x14ac:dyDescent="0.2">
      <c r="A29" s="119" t="s">
        <v>262</v>
      </c>
      <c r="B29" s="120"/>
      <c r="C29" s="120"/>
      <c r="D29" s="120"/>
      <c r="E29" s="120"/>
      <c r="F29" s="434"/>
    </row>
    <row r="30" spans="1:19" x14ac:dyDescent="0.2">
      <c r="A30" s="19"/>
      <c r="B30" s="7"/>
      <c r="C30" s="6"/>
      <c r="D30" s="7"/>
      <c r="E30" s="6"/>
    </row>
    <row r="31" spans="1:19" x14ac:dyDescent="0.2">
      <c r="A31" s="2" t="s">
        <v>232</v>
      </c>
      <c r="B31" s="109"/>
      <c r="C31" s="109"/>
      <c r="D31" s="109"/>
      <c r="E31" s="109"/>
    </row>
    <row r="32" spans="1:19" ht="18" customHeight="1" x14ac:dyDescent="0.25">
      <c r="A32" s="28" t="s">
        <v>231</v>
      </c>
      <c r="I32"/>
      <c r="J32" s="1" t="s">
        <v>148</v>
      </c>
      <c r="O32" s="29"/>
    </row>
    <row r="33" spans="1:15" ht="15" x14ac:dyDescent="0.25">
      <c r="A33" s="28" t="s">
        <v>228</v>
      </c>
      <c r="I33"/>
      <c r="O33" s="29"/>
    </row>
    <row r="34" spans="1:15" x14ac:dyDescent="0.2">
      <c r="A34" s="555" t="s">
        <v>236</v>
      </c>
      <c r="B34" s="555"/>
      <c r="C34" s="555"/>
      <c r="D34" s="555"/>
      <c r="E34" s="555"/>
    </row>
    <row r="35" spans="1:15" ht="32.25" customHeight="1" x14ac:dyDescent="0.25">
      <c r="A35" s="556" t="s">
        <v>237</v>
      </c>
      <c r="B35" s="556"/>
      <c r="C35" s="556"/>
      <c r="D35" s="556"/>
      <c r="E35" s="556"/>
      <c r="G35" s="254"/>
      <c r="H35" s="254"/>
      <c r="I35" t="s">
        <v>148</v>
      </c>
    </row>
    <row r="36" spans="1:15" ht="12.75" customHeight="1" x14ac:dyDescent="0.2">
      <c r="A36" s="552"/>
      <c r="B36" s="552"/>
      <c r="C36" s="552"/>
      <c r="D36" s="552"/>
      <c r="E36" s="552"/>
      <c r="F36" s="552"/>
      <c r="G36" s="552"/>
      <c r="H36" s="552"/>
      <c r="I36" s="552"/>
    </row>
    <row r="37" spans="1:15" x14ac:dyDescent="0.2">
      <c r="A37" s="590" t="s">
        <v>255</v>
      </c>
      <c r="B37" s="590"/>
      <c r="C37" s="590"/>
      <c r="D37" s="590"/>
      <c r="E37" s="590"/>
      <c r="F37" s="590"/>
      <c r="G37" s="590"/>
      <c r="H37" s="590"/>
      <c r="I37" s="590"/>
    </row>
    <row r="39" spans="1:15" x14ac:dyDescent="0.2">
      <c r="A39" s="239"/>
    </row>
  </sheetData>
  <mergeCells count="12">
    <mergeCell ref="A36:I36"/>
    <mergeCell ref="A37:I37"/>
    <mergeCell ref="A34:E34"/>
    <mergeCell ref="A35:E35"/>
    <mergeCell ref="H13:M13"/>
    <mergeCell ref="H14:I14"/>
    <mergeCell ref="J14:K14"/>
    <mergeCell ref="L14:M14"/>
    <mergeCell ref="B13:G13"/>
    <mergeCell ref="B14:C14"/>
    <mergeCell ref="D14:E14"/>
    <mergeCell ref="F14:G14"/>
  </mergeCells>
  <hyperlinks>
    <hyperlink ref="A8" location="Contents!A1" display="Return to Contents" xr:uid="{00000000-0004-0000-0E00-000000000000}"/>
  </hyperlinks>
  <pageMargins left="0.75" right="0.75" top="1" bottom="1" header="0.5" footer="0.5"/>
  <pageSetup paperSize="9" scale="76"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5EB8"/>
    <pageSetUpPr fitToPage="1"/>
  </sheetPr>
  <dimension ref="A1:Y48"/>
  <sheetViews>
    <sheetView showGridLines="0" zoomScaleNormal="100" workbookViewId="0"/>
  </sheetViews>
  <sheetFormatPr defaultColWidth="9.140625" defaultRowHeight="12.75" x14ac:dyDescent="0.2"/>
  <cols>
    <col min="1" max="1" width="52.5703125" style="1" bestFit="1" customWidth="1"/>
    <col min="2" max="5" width="19.42578125" style="1" customWidth="1"/>
    <col min="6" max="6" width="22.7109375" style="1" customWidth="1"/>
    <col min="7" max="16384" width="9.140625" style="1"/>
  </cols>
  <sheetData>
    <row r="1" spans="1:25" s="10" customFormat="1" ht="12.75" customHeight="1" x14ac:dyDescent="0.2">
      <c r="F1" s="12"/>
      <c r="Y1" s="11"/>
    </row>
    <row r="2" spans="1:25" s="10" customFormat="1" ht="12.75" customHeight="1" x14ac:dyDescent="0.2">
      <c r="F2" s="12"/>
      <c r="Y2" s="11"/>
    </row>
    <row r="3" spans="1:25" s="10" customFormat="1" ht="12.75" customHeight="1" x14ac:dyDescent="0.2">
      <c r="F3" s="12"/>
      <c r="Y3" s="11"/>
    </row>
    <row r="4" spans="1:25" s="10" customFormat="1" ht="12.75" customHeight="1" x14ac:dyDescent="0.2">
      <c r="F4" s="12"/>
      <c r="Y4" s="11"/>
    </row>
    <row r="5" spans="1:25" s="10" customFormat="1" ht="12.75" customHeight="1" x14ac:dyDescent="0.2">
      <c r="F5" s="12"/>
      <c r="Y5" s="11"/>
    </row>
    <row r="6" spans="1:25" s="10" customFormat="1" ht="12.75" customHeight="1" x14ac:dyDescent="0.2">
      <c r="F6" s="12"/>
      <c r="Y6" s="11"/>
    </row>
    <row r="7" spans="1:25" s="9" customFormat="1" ht="12.75" customHeight="1" x14ac:dyDescent="0.2"/>
    <row r="8" spans="1:25" ht="14.25" customHeight="1" x14ac:dyDescent="0.2">
      <c r="A8" s="72" t="s">
        <v>217</v>
      </c>
    </row>
    <row r="9" spans="1:25" s="9" customFormat="1" ht="12.75" customHeight="1" x14ac:dyDescent="0.2"/>
    <row r="10" spans="1:25" ht="22.5" customHeight="1" x14ac:dyDescent="0.2">
      <c r="A10" s="227" t="s">
        <v>245</v>
      </c>
    </row>
    <row r="11" spans="1:25" x14ac:dyDescent="0.2">
      <c r="A11" s="2"/>
    </row>
    <row r="12" spans="1:25" x14ac:dyDescent="0.2">
      <c r="A12" s="109"/>
      <c r="B12" s="594" t="s">
        <v>300</v>
      </c>
      <c r="C12" s="559"/>
      <c r="D12" s="558" t="s">
        <v>599</v>
      </c>
      <c r="E12" s="559"/>
    </row>
    <row r="13" spans="1:25" ht="36" customHeight="1" x14ac:dyDescent="0.2">
      <c r="A13" s="221" t="s">
        <v>106</v>
      </c>
      <c r="B13" s="108" t="s">
        <v>15</v>
      </c>
      <c r="C13" s="97" t="s">
        <v>14</v>
      </c>
      <c r="D13" s="95" t="s">
        <v>15</v>
      </c>
      <c r="E13" s="97" t="s">
        <v>14</v>
      </c>
    </row>
    <row r="14" spans="1:25" x14ac:dyDescent="0.2">
      <c r="A14" s="138" t="s">
        <v>202</v>
      </c>
      <c r="B14" s="187">
        <v>181721</v>
      </c>
      <c r="C14" s="137">
        <v>0.62301708384902577</v>
      </c>
      <c r="D14" s="333">
        <v>179622</v>
      </c>
      <c r="E14" s="411">
        <v>0.62755743753144388</v>
      </c>
    </row>
    <row r="15" spans="1:25" x14ac:dyDescent="0.2">
      <c r="A15" s="138" t="s">
        <v>203</v>
      </c>
      <c r="B15" s="141">
        <v>44664</v>
      </c>
      <c r="C15" s="137">
        <v>0.1531272391910285</v>
      </c>
      <c r="D15" s="334">
        <v>44432</v>
      </c>
      <c r="E15" s="412">
        <v>0.15523506065179721</v>
      </c>
    </row>
    <row r="16" spans="1:25" x14ac:dyDescent="0.2">
      <c r="A16" s="138" t="s">
        <v>204</v>
      </c>
      <c r="B16" s="141">
        <v>18655</v>
      </c>
      <c r="C16" s="137">
        <v>6.3957295520075147E-2</v>
      </c>
      <c r="D16" s="334">
        <v>18028</v>
      </c>
      <c r="E16" s="412">
        <v>6.2985633629604784E-2</v>
      </c>
    </row>
    <row r="17" spans="1:6" x14ac:dyDescent="0.2">
      <c r="A17" s="138" t="s">
        <v>205</v>
      </c>
      <c r="B17" s="141">
        <v>12908</v>
      </c>
      <c r="C17" s="137">
        <v>4.4254128682558569E-2</v>
      </c>
      <c r="D17" s="334">
        <v>11417</v>
      </c>
      <c r="E17" s="412">
        <v>3.9888339202862097E-2</v>
      </c>
    </row>
    <row r="18" spans="1:6" x14ac:dyDescent="0.2">
      <c r="A18" s="138" t="s">
        <v>206</v>
      </c>
      <c r="B18" s="141">
        <v>13350</v>
      </c>
      <c r="C18" s="137">
        <v>4.5769493175717144E-2</v>
      </c>
      <c r="D18" s="334">
        <v>12812</v>
      </c>
      <c r="E18" s="412">
        <v>4.4762144334507238E-2</v>
      </c>
    </row>
    <row r="19" spans="1:6" x14ac:dyDescent="0.2">
      <c r="A19" s="138" t="s">
        <v>207</v>
      </c>
      <c r="B19" s="141">
        <v>3752</v>
      </c>
      <c r="C19" s="137">
        <v>1.2863456059572339E-2</v>
      </c>
      <c r="D19" s="334">
        <v>3867</v>
      </c>
      <c r="E19" s="412">
        <v>1.3510397450947509E-2</v>
      </c>
    </row>
    <row r="20" spans="1:6" x14ac:dyDescent="0.2">
      <c r="A20" s="138" t="s">
        <v>209</v>
      </c>
      <c r="B20" s="141">
        <v>4373</v>
      </c>
      <c r="C20" s="137">
        <v>1.4992508888195585E-2</v>
      </c>
      <c r="D20" s="334">
        <v>5218</v>
      </c>
      <c r="E20" s="412">
        <v>1.8230476829336463E-2</v>
      </c>
    </row>
    <row r="21" spans="1:6" x14ac:dyDescent="0.2">
      <c r="A21" s="138" t="s">
        <v>208</v>
      </c>
      <c r="B21" s="141">
        <v>3552</v>
      </c>
      <c r="C21" s="137">
        <v>1.2177770768550358E-2</v>
      </c>
      <c r="D21" s="334">
        <v>3328</v>
      </c>
      <c r="E21" s="412">
        <v>1.162725697355917E-2</v>
      </c>
    </row>
    <row r="22" spans="1:6" x14ac:dyDescent="0.2">
      <c r="A22" s="138" t="s">
        <v>210</v>
      </c>
      <c r="B22" s="141">
        <v>3179</v>
      </c>
      <c r="C22" s="137">
        <v>1.0898967700794366E-2</v>
      </c>
      <c r="D22" s="334">
        <v>2822</v>
      </c>
      <c r="E22" s="412">
        <v>9.8594108111129744E-3</v>
      </c>
    </row>
    <row r="23" spans="1:6" x14ac:dyDescent="0.2">
      <c r="A23" s="138" t="s">
        <v>213</v>
      </c>
      <c r="B23" s="141">
        <v>3204</v>
      </c>
      <c r="C23" s="137">
        <v>1.0984678362172115E-2</v>
      </c>
      <c r="D23" s="334">
        <v>2712</v>
      </c>
      <c r="E23" s="412">
        <v>9.4750964279724965E-3</v>
      </c>
    </row>
    <row r="24" spans="1:6" x14ac:dyDescent="0.2">
      <c r="A24" s="138" t="s">
        <v>105</v>
      </c>
      <c r="B24" s="141">
        <v>994</v>
      </c>
      <c r="C24" s="137">
        <v>3.4078558963792386E-3</v>
      </c>
      <c r="D24" s="334">
        <v>619</v>
      </c>
      <c r="E24" s="412">
        <v>2.16264184694505E-3</v>
      </c>
    </row>
    <row r="25" spans="1:6" x14ac:dyDescent="0.2">
      <c r="A25" s="138" t="s">
        <v>211</v>
      </c>
      <c r="B25" s="141">
        <v>397</v>
      </c>
      <c r="C25" s="137">
        <v>1.3610853026786295E-3</v>
      </c>
      <c r="D25" s="334">
        <v>405</v>
      </c>
      <c r="E25" s="412">
        <v>1.4149756833808486E-3</v>
      </c>
    </row>
    <row r="26" spans="1:6" x14ac:dyDescent="0.2">
      <c r="A26" s="138" t="s">
        <v>212</v>
      </c>
      <c r="B26" s="150">
        <v>930</v>
      </c>
      <c r="C26" s="137">
        <v>3.1884366032522054E-3</v>
      </c>
      <c r="D26" s="335">
        <v>942</v>
      </c>
      <c r="E26" s="413">
        <v>3.2911286265302699E-3</v>
      </c>
    </row>
    <row r="27" spans="1:6" x14ac:dyDescent="0.2">
      <c r="A27" s="235" t="s">
        <v>34</v>
      </c>
      <c r="B27" s="508">
        <v>291679</v>
      </c>
      <c r="C27" s="487">
        <v>1</v>
      </c>
      <c r="D27" s="496">
        <v>286224</v>
      </c>
      <c r="E27" s="509">
        <v>1</v>
      </c>
    </row>
    <row r="28" spans="1:6" x14ac:dyDescent="0.2">
      <c r="A28" s="250" t="s">
        <v>33</v>
      </c>
      <c r="B28" s="150">
        <v>0</v>
      </c>
      <c r="C28" s="188">
        <v>0</v>
      </c>
      <c r="D28" s="414">
        <v>0</v>
      </c>
      <c r="E28" s="413">
        <v>0</v>
      </c>
    </row>
    <row r="29" spans="1:6" x14ac:dyDescent="0.2">
      <c r="A29" s="139" t="s">
        <v>1</v>
      </c>
      <c r="B29" s="142">
        <v>291679</v>
      </c>
      <c r="C29" s="140">
        <v>1</v>
      </c>
      <c r="D29" s="375">
        <v>286224</v>
      </c>
      <c r="E29" s="415">
        <v>1</v>
      </c>
    </row>
    <row r="30" spans="1:6" x14ac:dyDescent="0.2">
      <c r="A30" s="34"/>
      <c r="B30" s="33"/>
      <c r="C30" s="32"/>
      <c r="D30" s="33"/>
      <c r="E30" s="32"/>
    </row>
    <row r="31" spans="1:6" s="118" customFormat="1" x14ac:dyDescent="0.2">
      <c r="A31" s="119" t="s">
        <v>262</v>
      </c>
      <c r="B31" s="120"/>
      <c r="C31" s="120"/>
      <c r="D31" s="120"/>
      <c r="E31" s="120"/>
      <c r="F31" s="120"/>
    </row>
    <row r="32" spans="1:6" x14ac:dyDescent="0.2">
      <c r="A32" s="19"/>
      <c r="B32" s="7"/>
      <c r="C32" s="6"/>
      <c r="D32" s="7"/>
      <c r="E32" s="6"/>
    </row>
    <row r="33" spans="1:13" x14ac:dyDescent="0.2">
      <c r="A33" s="2" t="s">
        <v>232</v>
      </c>
      <c r="B33" s="109"/>
      <c r="C33" s="109"/>
      <c r="D33" s="109"/>
      <c r="E33" s="109"/>
    </row>
    <row r="34" spans="1:13" x14ac:dyDescent="0.2">
      <c r="A34" s="122" t="s">
        <v>104</v>
      </c>
      <c r="B34" s="109"/>
      <c r="C34" s="109"/>
      <c r="D34" s="109"/>
      <c r="E34" s="109"/>
    </row>
    <row r="35" spans="1:13" s="109" customFormat="1" ht="12.75" customHeight="1" x14ac:dyDescent="0.2">
      <c r="A35" s="555" t="s">
        <v>240</v>
      </c>
      <c r="B35" s="555"/>
      <c r="C35" s="555"/>
      <c r="D35" s="555"/>
      <c r="E35" s="555"/>
      <c r="F35" s="226"/>
      <c r="G35" s="226"/>
      <c r="H35" s="226"/>
      <c r="I35" s="226"/>
      <c r="J35" s="226"/>
      <c r="K35" s="226"/>
      <c r="L35" s="226"/>
      <c r="M35" s="226"/>
    </row>
    <row r="36" spans="1:13" x14ac:dyDescent="0.2">
      <c r="A36" s="556" t="s">
        <v>234</v>
      </c>
      <c r="B36" s="556"/>
      <c r="C36" s="556"/>
      <c r="D36" s="556"/>
      <c r="E36" s="556"/>
    </row>
    <row r="37" spans="1:13" ht="25.5" customHeight="1" x14ac:dyDescent="0.2">
      <c r="A37" s="552"/>
      <c r="B37" s="552"/>
      <c r="C37" s="552"/>
      <c r="D37" s="552"/>
      <c r="E37" s="552"/>
    </row>
    <row r="38" spans="1:13" x14ac:dyDescent="0.2">
      <c r="E38" s="49"/>
    </row>
    <row r="39" spans="1:13" x14ac:dyDescent="0.2">
      <c r="E39" s="49"/>
    </row>
    <row r="40" spans="1:13" x14ac:dyDescent="0.2">
      <c r="E40" s="49"/>
    </row>
    <row r="41" spans="1:13" x14ac:dyDescent="0.2">
      <c r="E41" s="49"/>
    </row>
    <row r="42" spans="1:13" x14ac:dyDescent="0.2">
      <c r="E42" s="49"/>
    </row>
    <row r="43" spans="1:13" x14ac:dyDescent="0.2">
      <c r="E43" s="49"/>
    </row>
    <row r="44" spans="1:13" x14ac:dyDescent="0.2">
      <c r="E44" s="49"/>
    </row>
    <row r="45" spans="1:13" x14ac:dyDescent="0.2">
      <c r="E45" s="49"/>
    </row>
    <row r="46" spans="1:13" x14ac:dyDescent="0.2">
      <c r="E46" s="49"/>
    </row>
    <row r="47" spans="1:13" x14ac:dyDescent="0.2">
      <c r="E47" s="49"/>
    </row>
    <row r="48" spans="1:13" x14ac:dyDescent="0.2">
      <c r="E48" s="49"/>
    </row>
  </sheetData>
  <sortState xmlns:xlrd2="http://schemas.microsoft.com/office/spreadsheetml/2017/richdata2" ref="A27:C27">
    <sortCondition descending="1" ref="B27"/>
  </sortState>
  <mergeCells count="5">
    <mergeCell ref="D12:E12"/>
    <mergeCell ref="B12:C12"/>
    <mergeCell ref="A36:E36"/>
    <mergeCell ref="A35:E35"/>
    <mergeCell ref="A37:E37"/>
  </mergeCells>
  <hyperlinks>
    <hyperlink ref="A8" location="Contents!A1" display="Return to Contents" xr:uid="{00000000-0004-0000-0F00-000000000000}"/>
  </hyperlinks>
  <pageMargins left="0.75" right="0.75" top="1" bottom="1" header="0.5" footer="0.5"/>
  <pageSetup paperSize="9" scale="91"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5EB8"/>
    <pageSetUpPr fitToPage="1"/>
  </sheetPr>
  <dimension ref="A1:Y62"/>
  <sheetViews>
    <sheetView showGridLines="0" zoomScaleNormal="100" workbookViewId="0"/>
  </sheetViews>
  <sheetFormatPr defaultColWidth="9.140625" defaultRowHeight="12.75" x14ac:dyDescent="0.2"/>
  <cols>
    <col min="1" max="1" width="48.85546875" style="14" customWidth="1"/>
    <col min="2" max="5" width="19.42578125" style="1" customWidth="1"/>
    <col min="6" max="6" width="62.85546875" style="1" bestFit="1" customWidth="1"/>
    <col min="7" max="7" width="12.28515625" style="1" bestFit="1" customWidth="1"/>
    <col min="8" max="16384" width="9.140625" style="1"/>
  </cols>
  <sheetData>
    <row r="1" spans="1:25" s="10" customFormat="1" ht="12.75" customHeight="1" x14ac:dyDescent="0.2">
      <c r="F1" s="12"/>
      <c r="Y1" s="11"/>
    </row>
    <row r="2" spans="1:25" s="10" customFormat="1" ht="12.75" customHeight="1" x14ac:dyDescent="0.2">
      <c r="F2" s="12"/>
      <c r="Y2" s="11"/>
    </row>
    <row r="3" spans="1:25" s="10" customFormat="1" ht="12.75" customHeight="1" x14ac:dyDescent="0.2">
      <c r="F3" s="12"/>
      <c r="Y3" s="11"/>
    </row>
    <row r="4" spans="1:25" s="10" customFormat="1" ht="12.75" customHeight="1" x14ac:dyDescent="0.2">
      <c r="F4" s="12"/>
      <c r="Y4" s="11"/>
    </row>
    <row r="5" spans="1:25" s="10" customFormat="1" ht="12.75" customHeight="1" x14ac:dyDescent="0.2">
      <c r="F5" s="12"/>
      <c r="Y5" s="11"/>
    </row>
    <row r="6" spans="1:25" s="10" customFormat="1" ht="12.75" customHeight="1" x14ac:dyDescent="0.2">
      <c r="F6" s="12"/>
      <c r="Y6" s="11"/>
    </row>
    <row r="7" spans="1:25" s="10" customFormat="1" ht="12.75" customHeight="1" x14ac:dyDescent="0.2">
      <c r="F7" s="12"/>
      <c r="Y7" s="11"/>
    </row>
    <row r="8" spans="1:25" s="9" customFormat="1" ht="14.25" customHeight="1" x14ac:dyDescent="0.2">
      <c r="A8" s="72" t="s">
        <v>217</v>
      </c>
    </row>
    <row r="9" spans="1:25" s="9" customFormat="1" ht="12.75" customHeight="1" x14ac:dyDescent="0.2"/>
    <row r="10" spans="1:25" ht="22.5" customHeight="1" x14ac:dyDescent="0.2">
      <c r="A10" s="227" t="s">
        <v>244</v>
      </c>
    </row>
    <row r="11" spans="1:25" ht="12.75" customHeight="1" x14ac:dyDescent="0.2">
      <c r="A11" s="38"/>
    </row>
    <row r="12" spans="1:25" x14ac:dyDescent="0.2">
      <c r="A12" s="225"/>
      <c r="B12" s="553" t="s">
        <v>300</v>
      </c>
      <c r="C12" s="554"/>
      <c r="D12" s="577" t="s">
        <v>599</v>
      </c>
      <c r="E12" s="554"/>
    </row>
    <row r="13" spans="1:25" ht="36" customHeight="1" x14ac:dyDescent="0.2">
      <c r="A13" s="101" t="s">
        <v>109</v>
      </c>
      <c r="B13" s="108" t="s">
        <v>15</v>
      </c>
      <c r="C13" s="97" t="s">
        <v>14</v>
      </c>
      <c r="D13" s="108" t="s">
        <v>15</v>
      </c>
      <c r="E13" s="97" t="s">
        <v>14</v>
      </c>
    </row>
    <row r="14" spans="1:25" ht="25.5" x14ac:dyDescent="0.2">
      <c r="A14" s="251" t="s">
        <v>108</v>
      </c>
      <c r="B14" s="105">
        <v>156494</v>
      </c>
      <c r="C14" s="128">
        <v>0.73023620430599234</v>
      </c>
      <c r="D14" s="416">
        <v>159361</v>
      </c>
      <c r="E14" s="379">
        <v>0.74311148001175098</v>
      </c>
      <c r="H14" s="49"/>
    </row>
    <row r="15" spans="1:25" x14ac:dyDescent="0.2">
      <c r="A15" s="251" t="s">
        <v>219</v>
      </c>
      <c r="B15" s="105">
        <v>39794</v>
      </c>
      <c r="C15" s="128">
        <v>0.18568775489253683</v>
      </c>
      <c r="D15" s="417">
        <v>35596</v>
      </c>
      <c r="E15" s="381">
        <v>0.16598663564170837</v>
      </c>
      <c r="H15" s="49"/>
    </row>
    <row r="16" spans="1:25" x14ac:dyDescent="0.2">
      <c r="A16" s="251" t="s">
        <v>220</v>
      </c>
      <c r="B16" s="105">
        <v>12694</v>
      </c>
      <c r="C16" s="128">
        <v>5.923305927038907E-2</v>
      </c>
      <c r="D16" s="417">
        <v>13929</v>
      </c>
      <c r="E16" s="381">
        <v>6.4951900434131807E-2</v>
      </c>
      <c r="H16" s="49"/>
    </row>
    <row r="17" spans="1:8" x14ac:dyDescent="0.2">
      <c r="A17" s="251" t="s">
        <v>107</v>
      </c>
      <c r="B17" s="105">
        <v>5324</v>
      </c>
      <c r="C17" s="128">
        <v>2.4842981531081724E-2</v>
      </c>
      <c r="D17" s="418">
        <v>5565</v>
      </c>
      <c r="E17" s="383">
        <v>2.5949983912408894E-2</v>
      </c>
      <c r="H17" s="49"/>
    </row>
    <row r="18" spans="1:8" x14ac:dyDescent="0.2">
      <c r="A18" s="148" t="s">
        <v>34</v>
      </c>
      <c r="B18" s="168">
        <v>214306</v>
      </c>
      <c r="C18" s="487">
        <v>1</v>
      </c>
      <c r="D18" s="500">
        <v>214451</v>
      </c>
      <c r="E18" s="501">
        <v>1</v>
      </c>
    </row>
    <row r="19" spans="1:8" x14ac:dyDescent="0.2">
      <c r="A19" s="250" t="s">
        <v>33</v>
      </c>
      <c r="B19" s="106">
        <v>77373</v>
      </c>
      <c r="C19" s="126">
        <v>0.26526764011121817</v>
      </c>
      <c r="D19" s="418">
        <v>71773</v>
      </c>
      <c r="E19" s="383">
        <v>0.25075814746492259</v>
      </c>
    </row>
    <row r="20" spans="1:8" x14ac:dyDescent="0.2">
      <c r="A20" s="143" t="s">
        <v>1</v>
      </c>
      <c r="B20" s="107">
        <v>291679</v>
      </c>
      <c r="C20" s="129">
        <v>1</v>
      </c>
      <c r="D20" s="384">
        <v>286224</v>
      </c>
      <c r="E20" s="385">
        <v>1</v>
      </c>
    </row>
    <row r="21" spans="1:8" x14ac:dyDescent="0.2">
      <c r="A21" s="37"/>
      <c r="B21" s="36"/>
      <c r="C21" s="35"/>
      <c r="D21" s="36"/>
      <c r="E21" s="35"/>
    </row>
    <row r="22" spans="1:8" s="118" customFormat="1" x14ac:dyDescent="0.2">
      <c r="A22" s="119" t="s">
        <v>262</v>
      </c>
      <c r="B22" s="120"/>
      <c r="C22" s="120"/>
      <c r="D22" s="120"/>
      <c r="E22" s="120"/>
      <c r="F22" s="120"/>
    </row>
    <row r="23" spans="1:8" x14ac:dyDescent="0.2">
      <c r="A23" s="19"/>
      <c r="B23" s="7"/>
      <c r="C23" s="6"/>
      <c r="D23" s="7"/>
      <c r="E23" s="6"/>
    </row>
    <row r="24" spans="1:8" x14ac:dyDescent="0.2">
      <c r="A24" s="2" t="s">
        <v>232</v>
      </c>
      <c r="B24" s="109"/>
      <c r="C24" s="109"/>
      <c r="D24" s="109"/>
      <c r="E24" s="109"/>
    </row>
    <row r="25" spans="1:8" ht="12.75" customHeight="1" x14ac:dyDescent="0.2">
      <c r="A25" s="122" t="s">
        <v>32</v>
      </c>
      <c r="B25" s="109"/>
      <c r="C25" s="109"/>
      <c r="D25" s="109"/>
      <c r="E25" s="109"/>
    </row>
    <row r="26" spans="1:8" s="109" customFormat="1" ht="12.75" customHeight="1" x14ac:dyDescent="0.2">
      <c r="A26" s="555" t="s">
        <v>240</v>
      </c>
      <c r="B26" s="555"/>
      <c r="C26" s="555"/>
      <c r="D26" s="555"/>
      <c r="E26" s="555"/>
    </row>
    <row r="27" spans="1:8" ht="12.75" customHeight="1" x14ac:dyDescent="0.2">
      <c r="A27" s="556" t="s">
        <v>234</v>
      </c>
      <c r="B27" s="556"/>
      <c r="C27" s="556"/>
      <c r="D27" s="556"/>
      <c r="E27" s="556"/>
    </row>
    <row r="28" spans="1:8" ht="12.75" customHeight="1" x14ac:dyDescent="0.2">
      <c r="A28" s="552"/>
      <c r="B28" s="552"/>
      <c r="C28" s="552"/>
      <c r="D28" s="552"/>
      <c r="E28" s="552"/>
    </row>
    <row r="29" spans="1:8" ht="10.5" customHeight="1" x14ac:dyDescent="0.2">
      <c r="A29" s="225"/>
      <c r="B29" s="109"/>
      <c r="C29" s="109"/>
      <c r="D29" s="109"/>
      <c r="E29" s="109"/>
    </row>
    <row r="30" spans="1:8" ht="25.5" customHeight="1" x14ac:dyDescent="0.2">
      <c r="A30" s="595" t="s">
        <v>256</v>
      </c>
      <c r="B30" s="595"/>
      <c r="C30" s="595"/>
      <c r="D30" s="595"/>
      <c r="E30" s="595"/>
    </row>
    <row r="31" spans="1:8" ht="29.25" customHeight="1" x14ac:dyDescent="0.2">
      <c r="A31" s="590" t="s">
        <v>257</v>
      </c>
      <c r="B31" s="590"/>
      <c r="C31" s="590"/>
      <c r="D31" s="590"/>
      <c r="E31" s="590"/>
    </row>
    <row r="32" spans="1:8" x14ac:dyDescent="0.2">
      <c r="A32" s="225"/>
      <c r="B32" s="109"/>
      <c r="C32" s="109"/>
      <c r="D32" s="109"/>
      <c r="E32" s="109"/>
    </row>
    <row r="33" spans="1:5" x14ac:dyDescent="0.2">
      <c r="A33" s="225"/>
      <c r="B33" s="109"/>
      <c r="C33" s="109"/>
      <c r="D33" s="109"/>
      <c r="E33" s="109"/>
    </row>
    <row r="34" spans="1:5" x14ac:dyDescent="0.2">
      <c r="A34" s="225"/>
      <c r="B34" s="109"/>
      <c r="C34" s="109"/>
      <c r="D34" s="109"/>
      <c r="E34" s="109"/>
    </row>
    <row r="35" spans="1:5" x14ac:dyDescent="0.2">
      <c r="A35" s="225"/>
      <c r="B35" s="109"/>
      <c r="C35" s="109"/>
      <c r="D35" s="109"/>
      <c r="E35" s="109"/>
    </row>
    <row r="36" spans="1:5" x14ac:dyDescent="0.2">
      <c r="A36" s="225"/>
      <c r="B36" s="109"/>
      <c r="C36" s="109"/>
      <c r="D36" s="109"/>
      <c r="E36" s="109"/>
    </row>
    <row r="37" spans="1:5" x14ac:dyDescent="0.2">
      <c r="A37" s="225"/>
      <c r="B37" s="109"/>
      <c r="C37" s="109"/>
      <c r="D37" s="109"/>
      <c r="E37" s="109"/>
    </row>
    <row r="38" spans="1:5" x14ac:dyDescent="0.2">
      <c r="A38" s="225"/>
      <c r="B38" s="109"/>
      <c r="C38" s="109"/>
      <c r="D38" s="109"/>
      <c r="E38" s="109"/>
    </row>
    <row r="39" spans="1:5" x14ac:dyDescent="0.2">
      <c r="A39" s="225"/>
      <c r="B39" s="109"/>
      <c r="C39" s="109"/>
      <c r="D39" s="109"/>
      <c r="E39" s="109"/>
    </row>
    <row r="40" spans="1:5" x14ac:dyDescent="0.2">
      <c r="A40" s="225"/>
      <c r="B40" s="109"/>
      <c r="C40" s="109"/>
      <c r="D40" s="109"/>
      <c r="E40" s="109"/>
    </row>
    <row r="41" spans="1:5" x14ac:dyDescent="0.2">
      <c r="A41" s="225"/>
      <c r="B41" s="109"/>
      <c r="C41" s="109"/>
      <c r="D41" s="109"/>
      <c r="E41" s="109"/>
    </row>
    <row r="42" spans="1:5" x14ac:dyDescent="0.2">
      <c r="A42" s="225"/>
      <c r="B42" s="109"/>
      <c r="C42" s="109"/>
      <c r="D42" s="109"/>
      <c r="E42" s="109"/>
    </row>
    <row r="43" spans="1:5" x14ac:dyDescent="0.2">
      <c r="A43" s="225"/>
      <c r="B43" s="109"/>
      <c r="C43" s="109"/>
      <c r="D43" s="109"/>
      <c r="E43" s="109"/>
    </row>
    <row r="44" spans="1:5" x14ac:dyDescent="0.2">
      <c r="A44" s="225"/>
      <c r="B44" s="109"/>
      <c r="C44" s="109"/>
      <c r="D44" s="109"/>
      <c r="E44" s="109"/>
    </row>
    <row r="45" spans="1:5" x14ac:dyDescent="0.2">
      <c r="A45" s="225"/>
      <c r="B45" s="109"/>
      <c r="C45" s="109"/>
      <c r="D45" s="109"/>
      <c r="E45" s="109"/>
    </row>
    <row r="46" spans="1:5" x14ac:dyDescent="0.2">
      <c r="A46" s="225"/>
      <c r="B46" s="109"/>
      <c r="C46" s="109"/>
      <c r="D46" s="109"/>
      <c r="E46" s="109"/>
    </row>
    <row r="47" spans="1:5" x14ac:dyDescent="0.2">
      <c r="A47" s="225"/>
      <c r="B47" s="109"/>
      <c r="C47" s="109"/>
      <c r="D47" s="109"/>
      <c r="E47" s="109"/>
    </row>
    <row r="48" spans="1:5" x14ac:dyDescent="0.2">
      <c r="A48" s="225"/>
      <c r="B48" s="109"/>
      <c r="C48" s="109"/>
      <c r="D48" s="109"/>
      <c r="E48" s="109"/>
    </row>
    <row r="49" spans="1:5" x14ac:dyDescent="0.2">
      <c r="A49" s="225"/>
      <c r="B49" s="109"/>
      <c r="C49" s="109"/>
      <c r="D49" s="109"/>
      <c r="E49" s="109"/>
    </row>
    <row r="50" spans="1:5" x14ac:dyDescent="0.2">
      <c r="A50" s="225"/>
      <c r="B50" s="109"/>
      <c r="C50" s="109"/>
      <c r="D50" s="109"/>
      <c r="E50" s="109"/>
    </row>
    <row r="51" spans="1:5" x14ac:dyDescent="0.2">
      <c r="A51" s="225"/>
      <c r="B51" s="109"/>
      <c r="C51" s="109"/>
      <c r="D51" s="109"/>
      <c r="E51" s="109"/>
    </row>
    <row r="52" spans="1:5" x14ac:dyDescent="0.2">
      <c r="A52" s="225"/>
      <c r="B52" s="109"/>
      <c r="C52" s="109"/>
      <c r="D52" s="109"/>
      <c r="E52" s="109"/>
    </row>
    <row r="53" spans="1:5" x14ac:dyDescent="0.2">
      <c r="A53" s="225"/>
      <c r="B53" s="109"/>
      <c r="C53" s="109"/>
      <c r="D53" s="109"/>
      <c r="E53" s="109"/>
    </row>
    <row r="54" spans="1:5" x14ac:dyDescent="0.2">
      <c r="A54" s="225"/>
      <c r="B54" s="109"/>
      <c r="C54" s="109"/>
      <c r="D54" s="109"/>
      <c r="E54" s="109"/>
    </row>
    <row r="55" spans="1:5" x14ac:dyDescent="0.2">
      <c r="A55" s="225"/>
      <c r="B55" s="109"/>
      <c r="C55" s="109"/>
      <c r="D55" s="109"/>
      <c r="E55" s="109"/>
    </row>
    <row r="56" spans="1:5" x14ac:dyDescent="0.2">
      <c r="A56" s="225"/>
      <c r="B56" s="109"/>
      <c r="C56" s="109"/>
      <c r="D56" s="109"/>
      <c r="E56" s="109"/>
    </row>
    <row r="57" spans="1:5" x14ac:dyDescent="0.2">
      <c r="A57" s="225"/>
      <c r="B57" s="109"/>
      <c r="C57" s="109"/>
      <c r="D57" s="109"/>
      <c r="E57" s="109"/>
    </row>
    <row r="58" spans="1:5" x14ac:dyDescent="0.2">
      <c r="A58" s="225"/>
      <c r="B58" s="109"/>
      <c r="C58" s="109"/>
      <c r="D58" s="109"/>
      <c r="E58" s="109"/>
    </row>
    <row r="59" spans="1:5" x14ac:dyDescent="0.2">
      <c r="A59" s="225"/>
      <c r="B59" s="109"/>
      <c r="C59" s="109"/>
      <c r="D59" s="109"/>
      <c r="E59" s="109"/>
    </row>
    <row r="60" spans="1:5" x14ac:dyDescent="0.2">
      <c r="A60" s="225"/>
      <c r="B60" s="109"/>
      <c r="C60" s="109"/>
      <c r="D60" s="109"/>
      <c r="E60" s="109"/>
    </row>
    <row r="61" spans="1:5" x14ac:dyDescent="0.2">
      <c r="A61" s="225"/>
      <c r="B61" s="109"/>
      <c r="C61" s="109"/>
      <c r="D61" s="109"/>
      <c r="E61" s="109"/>
    </row>
    <row r="62" spans="1:5" x14ac:dyDescent="0.2">
      <c r="A62" s="225"/>
      <c r="B62" s="109"/>
      <c r="C62" s="109"/>
      <c r="D62" s="109"/>
      <c r="E62" s="109"/>
    </row>
  </sheetData>
  <mergeCells count="7">
    <mergeCell ref="A28:E28"/>
    <mergeCell ref="A27:E27"/>
    <mergeCell ref="D12:E12"/>
    <mergeCell ref="A31:E31"/>
    <mergeCell ref="B12:C12"/>
    <mergeCell ref="A26:E26"/>
    <mergeCell ref="A30:E30"/>
  </mergeCells>
  <hyperlinks>
    <hyperlink ref="A8" location="Contents!A1" display="Return to Contents" xr:uid="{00000000-0004-0000-1000-000000000000}"/>
  </hyperlinks>
  <pageMargins left="0.75" right="0.75" top="1" bottom="1" header="0.5" footer="0.5"/>
  <pageSetup paperSize="9"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84919C"/>
    <pageSetUpPr fitToPage="1"/>
  </sheetPr>
  <dimension ref="A1:Y36"/>
  <sheetViews>
    <sheetView showGridLines="0" zoomScaleNormal="100" workbookViewId="0"/>
  </sheetViews>
  <sheetFormatPr defaultColWidth="9.140625" defaultRowHeight="12.75" x14ac:dyDescent="0.2"/>
  <cols>
    <col min="1" max="1" width="48" style="1" customWidth="1"/>
    <col min="2" max="7" width="19.42578125" style="1" customWidth="1"/>
    <col min="8" max="8" width="29" style="1" customWidth="1"/>
    <col min="9" max="9" width="8.7109375" style="1" bestFit="1" customWidth="1"/>
    <col min="10" max="16384" width="9.140625" style="1"/>
  </cols>
  <sheetData>
    <row r="1" spans="1:25" s="10" customFormat="1" x14ac:dyDescent="0.2">
      <c r="D1" s="12"/>
      <c r="G1" s="12"/>
      <c r="Y1" s="11"/>
    </row>
    <row r="2" spans="1:25" s="10" customFormat="1" x14ac:dyDescent="0.2">
      <c r="D2" s="12"/>
      <c r="G2" s="12"/>
      <c r="Y2" s="11"/>
    </row>
    <row r="3" spans="1:25" s="10" customFormat="1" x14ac:dyDescent="0.2">
      <c r="D3" s="12"/>
      <c r="G3" s="12"/>
      <c r="Y3" s="11"/>
    </row>
    <row r="4" spans="1:25" s="10" customFormat="1" x14ac:dyDescent="0.2">
      <c r="D4" s="12"/>
      <c r="G4" s="12"/>
      <c r="Y4" s="11"/>
    </row>
    <row r="5" spans="1:25" s="10" customFormat="1" x14ac:dyDescent="0.2">
      <c r="D5" s="12"/>
      <c r="G5" s="12"/>
      <c r="Y5" s="11"/>
    </row>
    <row r="6" spans="1:25" s="10" customFormat="1" x14ac:dyDescent="0.2">
      <c r="D6" s="12"/>
      <c r="G6" s="12"/>
      <c r="Y6" s="11"/>
    </row>
    <row r="7" spans="1:25" s="9" customFormat="1" x14ac:dyDescent="0.2"/>
    <row r="8" spans="1:25" ht="14.25" customHeight="1" x14ac:dyDescent="0.2">
      <c r="A8" s="72" t="s">
        <v>217</v>
      </c>
    </row>
    <row r="9" spans="1:25" s="9" customFormat="1" ht="12.75" customHeight="1" x14ac:dyDescent="0.2"/>
    <row r="10" spans="1:25" ht="22.5" customHeight="1" x14ac:dyDescent="0.2">
      <c r="A10" s="227" t="s">
        <v>124</v>
      </c>
    </row>
    <row r="12" spans="1:25" x14ac:dyDescent="0.2">
      <c r="A12" s="109"/>
      <c r="B12" s="553" t="s">
        <v>300</v>
      </c>
      <c r="C12" s="577"/>
      <c r="D12" s="554"/>
      <c r="E12" s="577" t="s">
        <v>599</v>
      </c>
      <c r="F12" s="577"/>
      <c r="G12" s="554"/>
    </row>
    <row r="13" spans="1:25" ht="36" customHeight="1" x14ac:dyDescent="0.2">
      <c r="A13" s="148" t="s">
        <v>123</v>
      </c>
      <c r="B13" s="149" t="s">
        <v>122</v>
      </c>
      <c r="C13" s="96" t="s">
        <v>121</v>
      </c>
      <c r="D13" s="97" t="s">
        <v>120</v>
      </c>
      <c r="E13" s="149" t="s">
        <v>122</v>
      </c>
      <c r="F13" s="96" t="s">
        <v>121</v>
      </c>
      <c r="G13" s="97" t="s">
        <v>120</v>
      </c>
      <c r="H13" s="285"/>
      <c r="I13" s="285"/>
      <c r="J13" s="285"/>
      <c r="K13" s="285"/>
    </row>
    <row r="14" spans="1:25" x14ac:dyDescent="0.2">
      <c r="A14" s="144" t="s">
        <v>119</v>
      </c>
      <c r="B14" s="170">
        <v>291679</v>
      </c>
      <c r="C14" s="173">
        <v>291679</v>
      </c>
      <c r="D14" s="189">
        <v>1</v>
      </c>
      <c r="E14" s="419">
        <v>286224</v>
      </c>
      <c r="F14" s="386">
        <v>286224</v>
      </c>
      <c r="G14" s="420">
        <v>1</v>
      </c>
      <c r="H14" s="285"/>
      <c r="I14" s="285"/>
      <c r="J14" s="285"/>
      <c r="K14" s="29"/>
    </row>
    <row r="15" spans="1:25" x14ac:dyDescent="0.2">
      <c r="A15" s="144" t="s">
        <v>214</v>
      </c>
      <c r="B15" s="170">
        <v>291679</v>
      </c>
      <c r="C15" s="173">
        <v>291679</v>
      </c>
      <c r="D15" s="145">
        <v>1</v>
      </c>
      <c r="E15" s="421">
        <v>286224</v>
      </c>
      <c r="F15" s="387">
        <v>286224</v>
      </c>
      <c r="G15" s="422">
        <v>1</v>
      </c>
      <c r="H15" s="285"/>
      <c r="I15" s="285"/>
      <c r="J15" s="285"/>
      <c r="K15" s="29"/>
    </row>
    <row r="16" spans="1:25" x14ac:dyDescent="0.2">
      <c r="A16" s="144" t="s">
        <v>215</v>
      </c>
      <c r="B16" s="170">
        <v>259572</v>
      </c>
      <c r="C16" s="173">
        <v>291679</v>
      </c>
      <c r="D16" s="145">
        <v>0.88992351180578699</v>
      </c>
      <c r="E16" s="421">
        <v>263975</v>
      </c>
      <c r="F16" s="387">
        <v>286224</v>
      </c>
      <c r="G16" s="422">
        <v>0.92200000000000004</v>
      </c>
      <c r="H16" s="285"/>
      <c r="I16" s="285"/>
      <c r="J16" s="285"/>
      <c r="K16" s="29"/>
    </row>
    <row r="17" spans="1:11" x14ac:dyDescent="0.2">
      <c r="A17" s="144" t="s">
        <v>118</v>
      </c>
      <c r="B17" s="170">
        <v>211805</v>
      </c>
      <c r="C17" s="173">
        <v>291679</v>
      </c>
      <c r="D17" s="145">
        <v>0.72615786532455195</v>
      </c>
      <c r="E17" s="421">
        <v>207788</v>
      </c>
      <c r="F17" s="387">
        <v>286224</v>
      </c>
      <c r="G17" s="422">
        <v>0.72599999999999998</v>
      </c>
      <c r="H17" s="285"/>
      <c r="I17" s="285"/>
      <c r="J17" s="285"/>
      <c r="K17" s="29"/>
    </row>
    <row r="18" spans="1:11" x14ac:dyDescent="0.2">
      <c r="A18" s="144" t="s">
        <v>114</v>
      </c>
      <c r="B18" s="170">
        <v>214306</v>
      </c>
      <c r="C18" s="173">
        <v>291679</v>
      </c>
      <c r="D18" s="145">
        <v>0.73473235988878205</v>
      </c>
      <c r="E18" s="421">
        <v>214451</v>
      </c>
      <c r="F18" s="387">
        <v>286224</v>
      </c>
      <c r="G18" s="422">
        <v>0.74900000000000011</v>
      </c>
      <c r="H18" s="285"/>
      <c r="I18" s="285"/>
      <c r="J18" s="285"/>
      <c r="K18" s="29"/>
    </row>
    <row r="19" spans="1:11" x14ac:dyDescent="0.2">
      <c r="A19" s="144" t="s">
        <v>216</v>
      </c>
      <c r="B19" s="170">
        <v>208708</v>
      </c>
      <c r="C19" s="173">
        <v>291679</v>
      </c>
      <c r="D19" s="145">
        <v>0.71554002859307697</v>
      </c>
      <c r="E19" s="421">
        <v>201408</v>
      </c>
      <c r="F19" s="387">
        <v>286224</v>
      </c>
      <c r="G19" s="422">
        <v>0.70400000000000007</v>
      </c>
      <c r="H19" s="285"/>
      <c r="I19" s="285"/>
      <c r="J19" s="285"/>
      <c r="K19" s="29"/>
    </row>
    <row r="20" spans="1:11" x14ac:dyDescent="0.2">
      <c r="A20" s="144" t="s">
        <v>113</v>
      </c>
      <c r="B20" s="170">
        <v>206058</v>
      </c>
      <c r="C20" s="173">
        <v>291679</v>
      </c>
      <c r="D20" s="145">
        <v>0.70645469848703502</v>
      </c>
      <c r="E20" s="421">
        <v>203298</v>
      </c>
      <c r="F20" s="387">
        <v>286224</v>
      </c>
      <c r="G20" s="422">
        <v>0.71</v>
      </c>
      <c r="H20" s="285"/>
      <c r="I20" s="285"/>
      <c r="J20" s="285"/>
      <c r="K20" s="29"/>
    </row>
    <row r="21" spans="1:11" x14ac:dyDescent="0.2">
      <c r="A21" s="144" t="s">
        <v>116</v>
      </c>
      <c r="B21" s="170">
        <v>212003</v>
      </c>
      <c r="C21" s="173">
        <v>291679</v>
      </c>
      <c r="D21" s="145">
        <v>0.72683669376266402</v>
      </c>
      <c r="E21" s="421">
        <v>207765</v>
      </c>
      <c r="F21" s="387">
        <v>286224</v>
      </c>
      <c r="G21" s="422">
        <v>0.72599999999999998</v>
      </c>
      <c r="H21" s="285"/>
      <c r="I21" s="285"/>
      <c r="J21" s="285"/>
      <c r="K21" s="29"/>
    </row>
    <row r="22" spans="1:11" x14ac:dyDescent="0.2">
      <c r="A22" s="144" t="s">
        <v>115</v>
      </c>
      <c r="B22" s="170">
        <v>204364</v>
      </c>
      <c r="C22" s="173">
        <v>291679</v>
      </c>
      <c r="D22" s="145">
        <v>0.70064694407207895</v>
      </c>
      <c r="E22" s="421">
        <v>198384</v>
      </c>
      <c r="F22" s="387">
        <v>286224</v>
      </c>
      <c r="G22" s="422">
        <v>0.69299999999999995</v>
      </c>
      <c r="H22" s="285"/>
      <c r="I22" s="285"/>
      <c r="J22" s="285"/>
      <c r="K22" s="29"/>
    </row>
    <row r="23" spans="1:11" x14ac:dyDescent="0.2">
      <c r="A23" s="146" t="s">
        <v>117</v>
      </c>
      <c r="B23" s="171">
        <v>197340</v>
      </c>
      <c r="C23" s="174">
        <v>291679</v>
      </c>
      <c r="D23" s="147">
        <v>0.676565676651387</v>
      </c>
      <c r="E23" s="374">
        <v>189972</v>
      </c>
      <c r="F23" s="388">
        <v>286224</v>
      </c>
      <c r="G23" s="423">
        <v>0.66400000000000003</v>
      </c>
      <c r="H23" s="285"/>
      <c r="I23" s="285"/>
      <c r="J23" s="285"/>
      <c r="K23" s="29"/>
    </row>
    <row r="24" spans="1:11" x14ac:dyDescent="0.2">
      <c r="A24" s="56"/>
      <c r="B24" s="57"/>
      <c r="C24" s="57"/>
      <c r="D24" s="58"/>
      <c r="E24" s="363"/>
      <c r="F24" s="363"/>
      <c r="G24" s="363"/>
    </row>
    <row r="25" spans="1:11" x14ac:dyDescent="0.2">
      <c r="A25" s="610" t="s">
        <v>226</v>
      </c>
      <c r="B25" s="611"/>
      <c r="C25" s="611"/>
      <c r="D25" s="612"/>
      <c r="E25" s="388"/>
      <c r="F25" s="613"/>
      <c r="G25" s="388"/>
    </row>
    <row r="26" spans="1:11" x14ac:dyDescent="0.2">
      <c r="A26" s="151" t="s">
        <v>112</v>
      </c>
      <c r="B26" s="169">
        <v>291679</v>
      </c>
      <c r="C26" s="172">
        <v>291679</v>
      </c>
      <c r="D26" s="154">
        <v>1</v>
      </c>
      <c r="E26" s="373">
        <v>286224</v>
      </c>
      <c r="F26" s="387">
        <v>286224</v>
      </c>
      <c r="G26" s="473">
        <v>1</v>
      </c>
      <c r="H26" s="290"/>
    </row>
    <row r="27" spans="1:11" x14ac:dyDescent="0.2">
      <c r="A27" s="152" t="s">
        <v>111</v>
      </c>
      <c r="B27" s="170">
        <v>288672</v>
      </c>
      <c r="C27" s="173">
        <v>291679</v>
      </c>
      <c r="D27" s="190">
        <v>0.99</v>
      </c>
      <c r="E27" s="373">
        <v>283424</v>
      </c>
      <c r="F27" s="387">
        <v>286224</v>
      </c>
      <c r="G27" s="473">
        <v>0.99</v>
      </c>
      <c r="H27" s="290"/>
    </row>
    <row r="28" spans="1:11" x14ac:dyDescent="0.2">
      <c r="A28" s="153" t="s">
        <v>110</v>
      </c>
      <c r="B28" s="171">
        <v>282231</v>
      </c>
      <c r="C28" s="174">
        <v>291679</v>
      </c>
      <c r="D28" s="191">
        <v>0.96799999999999997</v>
      </c>
      <c r="E28" s="374">
        <v>277167</v>
      </c>
      <c r="F28" s="388">
        <v>286224</v>
      </c>
      <c r="G28" s="474">
        <v>0.96799999999999997</v>
      </c>
    </row>
    <row r="29" spans="1:11" ht="15" x14ac:dyDescent="0.25">
      <c r="A29" s="59"/>
      <c r="B29" s="39"/>
      <c r="C29" s="39"/>
      <c r="D29" s="60"/>
      <c r="E29" s="39"/>
      <c r="F29" s="39"/>
      <c r="G29" s="60"/>
    </row>
    <row r="30" spans="1:11" ht="12.75" customHeight="1" x14ac:dyDescent="0.2">
      <c r="A30" s="2" t="s">
        <v>232</v>
      </c>
      <c r="B30" s="109"/>
      <c r="C30" s="109"/>
      <c r="D30" s="109"/>
      <c r="E30" s="109"/>
    </row>
    <row r="31" spans="1:11" ht="12.75" customHeight="1" x14ac:dyDescent="0.2">
      <c r="A31" s="555" t="s">
        <v>238</v>
      </c>
      <c r="B31" s="555"/>
      <c r="C31" s="555"/>
      <c r="D31" s="555"/>
      <c r="E31" s="555"/>
      <c r="F31" s="3"/>
      <c r="G31" s="3"/>
    </row>
    <row r="32" spans="1:11" s="109" customFormat="1" ht="12.75" customHeight="1" x14ac:dyDescent="0.2">
      <c r="A32" s="556" t="s">
        <v>239</v>
      </c>
      <c r="B32" s="556"/>
      <c r="C32" s="556"/>
      <c r="D32" s="556"/>
      <c r="E32" s="556"/>
      <c r="F32" s="3"/>
      <c r="G32" s="3"/>
    </row>
    <row r="33" spans="1:7" ht="14.25" customHeight="1" x14ac:dyDescent="0.2">
      <c r="A33" s="552"/>
      <c r="B33" s="552"/>
      <c r="C33" s="552"/>
      <c r="D33" s="552"/>
      <c r="E33" s="552"/>
      <c r="F33" s="3"/>
      <c r="G33" s="3"/>
    </row>
    <row r="34" spans="1:7" ht="12.75" customHeight="1" x14ac:dyDescent="0.2">
      <c r="A34" s="255" t="s">
        <v>255</v>
      </c>
      <c r="B34" s="267"/>
      <c r="C34" s="267"/>
      <c r="D34" s="267"/>
      <c r="E34" s="267"/>
      <c r="F34" s="3"/>
      <c r="G34" s="3"/>
    </row>
    <row r="35" spans="1:7" x14ac:dyDescent="0.2">
      <c r="A35" s="255" t="s">
        <v>258</v>
      </c>
    </row>
    <row r="36" spans="1:7" x14ac:dyDescent="0.2">
      <c r="A36" s="255" t="s">
        <v>259</v>
      </c>
    </row>
  </sheetData>
  <mergeCells count="5">
    <mergeCell ref="A31:E31"/>
    <mergeCell ref="E12:G12"/>
    <mergeCell ref="B12:D12"/>
    <mergeCell ref="A32:E32"/>
    <mergeCell ref="A33:E33"/>
  </mergeCells>
  <hyperlinks>
    <hyperlink ref="A8" location="Contents!A1" display="Return to Contents" xr:uid="{00000000-0004-0000-1100-000000000000}"/>
  </hyperlinks>
  <pageMargins left="0.75" right="0.75" top="1" bottom="1" header="0.5" footer="0.5"/>
  <pageSetup paperSize="9" scale="78"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4919C"/>
    <pageSetUpPr fitToPage="1"/>
  </sheetPr>
  <dimension ref="A1:Z34"/>
  <sheetViews>
    <sheetView showGridLines="0" zoomScaleNormal="100" workbookViewId="0"/>
  </sheetViews>
  <sheetFormatPr defaultColWidth="9.140625" defaultRowHeight="12.95" customHeight="1" x14ac:dyDescent="0.2"/>
  <cols>
    <col min="1" max="1" width="3.28515625" style="9" customWidth="1"/>
    <col min="2" max="2" width="57.7109375" style="9" customWidth="1"/>
    <col min="3" max="3" width="13.7109375" style="9" customWidth="1"/>
    <col min="4" max="4" width="14.7109375" style="9" customWidth="1"/>
    <col min="5" max="6" width="13.7109375" style="9" customWidth="1"/>
    <col min="7" max="7" width="14.7109375" style="9" customWidth="1"/>
    <col min="8" max="8" width="13.7109375" style="9" customWidth="1"/>
    <col min="9" max="16384" width="9.140625" style="9"/>
  </cols>
  <sheetData>
    <row r="1" spans="1:26" s="10" customFormat="1" ht="12.95" customHeight="1" x14ac:dyDescent="0.2">
      <c r="E1" s="12"/>
      <c r="G1" s="12"/>
      <c r="Z1" s="11"/>
    </row>
    <row r="2" spans="1:26" s="10" customFormat="1" ht="12.95" customHeight="1" x14ac:dyDescent="0.2">
      <c r="E2" s="12"/>
      <c r="G2" s="12"/>
      <c r="Z2" s="11"/>
    </row>
    <row r="3" spans="1:26" s="10" customFormat="1" ht="12.95" customHeight="1" x14ac:dyDescent="0.2">
      <c r="E3" s="12"/>
      <c r="G3" s="12"/>
      <c r="Z3" s="11"/>
    </row>
    <row r="4" spans="1:26" s="10" customFormat="1" ht="12.95" customHeight="1" x14ac:dyDescent="0.2">
      <c r="E4" s="12"/>
      <c r="G4" s="12"/>
      <c r="Z4" s="11"/>
    </row>
    <row r="5" spans="1:26" s="10" customFormat="1" ht="12.95" customHeight="1" x14ac:dyDescent="0.2">
      <c r="E5" s="12"/>
      <c r="G5" s="12"/>
      <c r="Z5" s="11"/>
    </row>
    <row r="6" spans="1:26" s="10" customFormat="1" ht="12.95" customHeight="1" x14ac:dyDescent="0.2">
      <c r="E6" s="12"/>
      <c r="G6" s="12"/>
      <c r="Z6" s="11"/>
    </row>
    <row r="8" spans="1:26" s="1" customFormat="1" ht="14.25" customHeight="1" x14ac:dyDescent="0.2">
      <c r="A8" s="567" t="s">
        <v>217</v>
      </c>
      <c r="B8" s="567"/>
    </row>
    <row r="9" spans="1:26" ht="12.75" customHeight="1" x14ac:dyDescent="0.2"/>
    <row r="10" spans="1:26" ht="22.5" customHeight="1" x14ac:dyDescent="0.2">
      <c r="A10" s="227" t="s">
        <v>141</v>
      </c>
      <c r="B10" s="219"/>
      <c r="C10" s="219"/>
    </row>
    <row r="11" spans="1:26" ht="12.95" customHeight="1" x14ac:dyDescent="0.2">
      <c r="A11" s="13"/>
    </row>
    <row r="12" spans="1:26" ht="12.95" customHeight="1" x14ac:dyDescent="0.2">
      <c r="A12" s="122"/>
      <c r="B12" s="122"/>
      <c r="C12" s="572" t="s">
        <v>300</v>
      </c>
      <c r="D12" s="596"/>
      <c r="E12" s="573"/>
      <c r="F12" s="596" t="s">
        <v>599</v>
      </c>
      <c r="G12" s="596"/>
      <c r="H12" s="573"/>
    </row>
    <row r="13" spans="1:26" ht="15" customHeight="1" x14ac:dyDescent="0.2">
      <c r="A13" s="597" t="s">
        <v>140</v>
      </c>
      <c r="B13" s="598"/>
      <c r="C13" s="149" t="s">
        <v>139</v>
      </c>
      <c r="D13" s="220" t="s">
        <v>138</v>
      </c>
      <c r="E13" s="97" t="s">
        <v>1</v>
      </c>
      <c r="F13" s="96" t="s">
        <v>139</v>
      </c>
      <c r="G13" s="220" t="s">
        <v>138</v>
      </c>
      <c r="H13" s="97" t="s">
        <v>1</v>
      </c>
    </row>
    <row r="14" spans="1:26" ht="12.95" customHeight="1" x14ac:dyDescent="0.2">
      <c r="A14" s="156">
        <v>1</v>
      </c>
      <c r="B14" s="61" t="s">
        <v>137</v>
      </c>
      <c r="C14" s="311">
        <v>67962</v>
      </c>
      <c r="D14" s="312">
        <v>384</v>
      </c>
      <c r="E14" s="313">
        <v>68346</v>
      </c>
      <c r="F14" s="369">
        <v>65194</v>
      </c>
      <c r="G14" s="394">
        <v>416</v>
      </c>
      <c r="H14" s="395">
        <v>65610</v>
      </c>
    </row>
    <row r="15" spans="1:26" ht="12.95" customHeight="1" x14ac:dyDescent="0.2">
      <c r="A15" s="156">
        <v>2</v>
      </c>
      <c r="B15" s="136" t="s">
        <v>136</v>
      </c>
      <c r="C15" s="314">
        <v>92844</v>
      </c>
      <c r="D15" s="315">
        <v>409</v>
      </c>
      <c r="E15" s="316">
        <v>93253</v>
      </c>
      <c r="F15" s="396">
        <v>89617</v>
      </c>
      <c r="G15" s="397">
        <v>366</v>
      </c>
      <c r="H15" s="398">
        <v>89983</v>
      </c>
    </row>
    <row r="16" spans="1:26" ht="12.95" customHeight="1" x14ac:dyDescent="0.2">
      <c r="A16" s="156">
        <v>3</v>
      </c>
      <c r="B16" s="136" t="s">
        <v>135</v>
      </c>
      <c r="C16" s="314">
        <v>20722</v>
      </c>
      <c r="D16" s="315">
        <v>366</v>
      </c>
      <c r="E16" s="316">
        <v>21088</v>
      </c>
      <c r="F16" s="396">
        <v>20324</v>
      </c>
      <c r="G16" s="397">
        <v>308</v>
      </c>
      <c r="H16" s="398">
        <v>20632</v>
      </c>
    </row>
    <row r="17" spans="1:8" ht="12.95" customHeight="1" x14ac:dyDescent="0.2">
      <c r="A17" s="156">
        <v>4</v>
      </c>
      <c r="B17" s="136" t="s">
        <v>134</v>
      </c>
      <c r="C17" s="314">
        <v>84019</v>
      </c>
      <c r="D17" s="315">
        <v>956</v>
      </c>
      <c r="E17" s="316">
        <v>84975</v>
      </c>
      <c r="F17" s="396">
        <v>84010</v>
      </c>
      <c r="G17" s="397">
        <v>882</v>
      </c>
      <c r="H17" s="398">
        <v>84892</v>
      </c>
    </row>
    <row r="18" spans="1:8" ht="12.95" customHeight="1" x14ac:dyDescent="0.2">
      <c r="A18" s="156">
        <v>5</v>
      </c>
      <c r="B18" s="136" t="s">
        <v>133</v>
      </c>
      <c r="C18" s="314">
        <v>4484</v>
      </c>
      <c r="D18" s="315">
        <v>691</v>
      </c>
      <c r="E18" s="316">
        <v>5175</v>
      </c>
      <c r="F18" s="396">
        <v>4888</v>
      </c>
      <c r="G18" s="397">
        <v>849</v>
      </c>
      <c r="H18" s="398">
        <v>5737</v>
      </c>
    </row>
    <row r="19" spans="1:8" ht="12.95" customHeight="1" x14ac:dyDescent="0.2">
      <c r="A19" s="156">
        <v>6</v>
      </c>
      <c r="B19" s="136" t="s">
        <v>132</v>
      </c>
      <c r="C19" s="314">
        <v>9629</v>
      </c>
      <c r="D19" s="315">
        <v>4288</v>
      </c>
      <c r="E19" s="316">
        <v>13917</v>
      </c>
      <c r="F19" s="396">
        <v>9847</v>
      </c>
      <c r="G19" s="397">
        <v>3776</v>
      </c>
      <c r="H19" s="398">
        <v>13623</v>
      </c>
    </row>
    <row r="20" spans="1:8" ht="12.95" customHeight="1" x14ac:dyDescent="0.2">
      <c r="A20" s="156">
        <v>7</v>
      </c>
      <c r="B20" s="136" t="s">
        <v>131</v>
      </c>
      <c r="C20" s="314">
        <v>5060</v>
      </c>
      <c r="D20" s="315">
        <v>1972</v>
      </c>
      <c r="E20" s="316">
        <v>7032</v>
      </c>
      <c r="F20" s="396">
        <v>4823</v>
      </c>
      <c r="G20" s="397">
        <v>2415</v>
      </c>
      <c r="H20" s="398">
        <v>7238</v>
      </c>
    </row>
    <row r="21" spans="1:8" ht="12.95" customHeight="1" x14ac:dyDescent="0.2">
      <c r="A21" s="156">
        <v>8</v>
      </c>
      <c r="B21" s="136" t="s">
        <v>130</v>
      </c>
      <c r="C21" s="314">
        <v>175</v>
      </c>
      <c r="D21" s="315">
        <v>828</v>
      </c>
      <c r="E21" s="316">
        <v>1003</v>
      </c>
      <c r="F21" s="396">
        <v>149</v>
      </c>
      <c r="G21" s="397">
        <v>817</v>
      </c>
      <c r="H21" s="398">
        <v>966</v>
      </c>
    </row>
    <row r="22" spans="1:8" ht="12.95" customHeight="1" x14ac:dyDescent="0.2">
      <c r="A22" s="156">
        <v>9</v>
      </c>
      <c r="B22" s="136" t="s">
        <v>129</v>
      </c>
      <c r="C22" s="314">
        <v>4225</v>
      </c>
      <c r="D22" s="315">
        <v>2162</v>
      </c>
      <c r="E22" s="316">
        <v>6387</v>
      </c>
      <c r="F22" s="396">
        <v>4563</v>
      </c>
      <c r="G22" s="397">
        <v>2662</v>
      </c>
      <c r="H22" s="398">
        <v>7225</v>
      </c>
    </row>
    <row r="23" spans="1:8" ht="12.95" customHeight="1" x14ac:dyDescent="0.2">
      <c r="A23" s="156">
        <v>10</v>
      </c>
      <c r="B23" s="136" t="s">
        <v>128</v>
      </c>
      <c r="C23" s="314">
        <v>0</v>
      </c>
      <c r="D23" s="315">
        <v>0</v>
      </c>
      <c r="E23" s="316">
        <v>0</v>
      </c>
      <c r="F23" s="526">
        <v>0</v>
      </c>
      <c r="G23" s="527">
        <v>0</v>
      </c>
      <c r="H23" s="528">
        <v>0</v>
      </c>
    </row>
    <row r="24" spans="1:8" ht="12.95" customHeight="1" x14ac:dyDescent="0.2">
      <c r="A24" s="156">
        <v>11</v>
      </c>
      <c r="B24" s="136" t="s">
        <v>127</v>
      </c>
      <c r="C24" s="314">
        <v>0</v>
      </c>
      <c r="D24" s="315">
        <v>0</v>
      </c>
      <c r="E24" s="316">
        <v>0</v>
      </c>
      <c r="F24" s="430">
        <v>0</v>
      </c>
      <c r="G24" s="431">
        <v>0</v>
      </c>
      <c r="H24" s="432">
        <v>0</v>
      </c>
    </row>
    <row r="25" spans="1:8" ht="12.95" customHeight="1" x14ac:dyDescent="0.2">
      <c r="A25" s="156">
        <v>12</v>
      </c>
      <c r="B25" s="136" t="s">
        <v>126</v>
      </c>
      <c r="C25" s="314">
        <v>1525</v>
      </c>
      <c r="D25" s="315">
        <v>11</v>
      </c>
      <c r="E25" s="316">
        <v>1536</v>
      </c>
      <c r="F25" s="376">
        <v>1793</v>
      </c>
      <c r="G25" s="424">
        <v>40</v>
      </c>
      <c r="H25" s="425">
        <v>1833</v>
      </c>
    </row>
    <row r="26" spans="1:8" ht="12.95" customHeight="1" x14ac:dyDescent="0.2">
      <c r="A26" s="156">
        <v>13</v>
      </c>
      <c r="B26" s="136" t="s">
        <v>125</v>
      </c>
      <c r="C26" s="314">
        <v>1034</v>
      </c>
      <c r="D26" s="315">
        <v>11</v>
      </c>
      <c r="E26" s="316">
        <v>1045</v>
      </c>
      <c r="F26" s="360">
        <v>1016</v>
      </c>
      <c r="G26" s="426">
        <v>85</v>
      </c>
      <c r="H26" s="427">
        <v>1101</v>
      </c>
    </row>
    <row r="27" spans="1:8" ht="12.95" customHeight="1" x14ac:dyDescent="0.2">
      <c r="A27" s="585" t="s">
        <v>1</v>
      </c>
      <c r="B27" s="586"/>
      <c r="C27" s="328">
        <v>291679</v>
      </c>
      <c r="D27" s="329">
        <v>12078</v>
      </c>
      <c r="E27" s="330">
        <v>303757</v>
      </c>
      <c r="F27" s="377">
        <v>286224</v>
      </c>
      <c r="G27" s="428">
        <v>12616</v>
      </c>
      <c r="H27" s="429">
        <v>298840</v>
      </c>
    </row>
    <row r="28" spans="1:8" ht="12.95" customHeight="1" x14ac:dyDescent="0.2">
      <c r="A28" s="61"/>
      <c r="B28" s="62"/>
      <c r="C28" s="62"/>
      <c r="D28" s="40"/>
      <c r="E28" s="28"/>
      <c r="F28" s="28"/>
      <c r="G28" s="28"/>
      <c r="H28" s="28"/>
    </row>
    <row r="29" spans="1:8" s="118" customFormat="1" ht="12.75" x14ac:dyDescent="0.2">
      <c r="A29" s="599" t="s">
        <v>262</v>
      </c>
      <c r="B29" s="599"/>
      <c r="C29" s="120"/>
      <c r="D29" s="120"/>
      <c r="E29" s="120"/>
      <c r="F29" s="120"/>
    </row>
    <row r="30" spans="1:8" s="1" customFormat="1" ht="12.75" x14ac:dyDescent="0.2">
      <c r="A30" s="19"/>
      <c r="B30" s="7"/>
      <c r="C30" s="6"/>
      <c r="D30" s="7"/>
      <c r="E30" s="6"/>
    </row>
    <row r="31" spans="1:8" s="1" customFormat="1" ht="12.75" x14ac:dyDescent="0.2">
      <c r="A31" s="600" t="s">
        <v>232</v>
      </c>
      <c r="B31" s="600"/>
      <c r="C31" s="109"/>
      <c r="D31" s="109"/>
      <c r="E31" s="109"/>
    </row>
    <row r="32" spans="1:8" s="109" customFormat="1" ht="25.5" customHeight="1" x14ac:dyDescent="0.2">
      <c r="A32" s="555" t="s">
        <v>238</v>
      </c>
      <c r="B32" s="555"/>
      <c r="C32" s="555"/>
      <c r="D32" s="555"/>
      <c r="E32" s="555"/>
    </row>
    <row r="33" spans="1:5" s="1" customFormat="1" ht="25.5" customHeight="1" x14ac:dyDescent="0.2">
      <c r="A33" s="564" t="s">
        <v>239</v>
      </c>
      <c r="B33" s="564"/>
      <c r="C33" s="564"/>
      <c r="D33" s="564"/>
      <c r="E33" s="564"/>
    </row>
    <row r="34" spans="1:5" ht="25.5" customHeight="1" x14ac:dyDescent="0.2">
      <c r="A34" s="552"/>
      <c r="B34" s="552"/>
      <c r="C34" s="552"/>
      <c r="D34" s="552"/>
      <c r="E34" s="552"/>
    </row>
  </sheetData>
  <mergeCells count="10">
    <mergeCell ref="A34:E34"/>
    <mergeCell ref="A8:B8"/>
    <mergeCell ref="A33:E33"/>
    <mergeCell ref="F12:H12"/>
    <mergeCell ref="A27:B27"/>
    <mergeCell ref="A13:B13"/>
    <mergeCell ref="C12:E12"/>
    <mergeCell ref="A32:E32"/>
    <mergeCell ref="A29:B29"/>
    <mergeCell ref="A31:B31"/>
  </mergeCells>
  <hyperlinks>
    <hyperlink ref="A8" location="Contents!A1" display="Return to Contents" xr:uid="{00000000-0004-0000-1200-000000000000}"/>
  </hyperlinks>
  <pageMargins left="0.75" right="0.75" top="1" bottom="1" header="0.5" footer="0.5"/>
  <pageSetup paperSize="9" scale="90" orientation="landscape" horizontalDpi="1200" verticalDpi="12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2B646-0ADD-449D-B02F-EAC7D32DDCD2}">
  <sheetPr>
    <tabColor rgb="FF84919C"/>
    <pageSetUpPr fitToPage="1"/>
  </sheetPr>
  <dimension ref="A1:BT183"/>
  <sheetViews>
    <sheetView showGridLines="0" zoomScale="90" zoomScaleNormal="90" workbookViewId="0">
      <pane xSplit="2" ySplit="14" topLeftCell="C15" activePane="bottomRight" state="frozen"/>
      <selection pane="topRight"/>
      <selection pane="bottomLeft"/>
      <selection pane="bottomRight"/>
    </sheetView>
  </sheetViews>
  <sheetFormatPr defaultColWidth="9.140625" defaultRowHeight="15" x14ac:dyDescent="0.25"/>
  <cols>
    <col min="1" max="1" width="14.5703125" style="41" customWidth="1"/>
    <col min="2" max="2" width="68" style="278" bestFit="1" customWidth="1"/>
    <col min="3" max="41" width="13.5703125" style="41" customWidth="1"/>
    <col min="42" max="16384" width="9.140625" style="41"/>
  </cols>
  <sheetData>
    <row r="1" spans="1:72" ht="12.75" customHeight="1" x14ac:dyDescent="0.25">
      <c r="A1" s="291"/>
      <c r="B1" s="268"/>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8"/>
    </row>
    <row r="2" spans="1:72" ht="12.75" customHeight="1" x14ac:dyDescent="0.25">
      <c r="A2" s="43"/>
      <c r="B2" s="268"/>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8"/>
    </row>
    <row r="3" spans="1:72" ht="12.75" customHeight="1" x14ac:dyDescent="0.25">
      <c r="A3" s="43"/>
      <c r="B3" s="268"/>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8"/>
    </row>
    <row r="4" spans="1:72" ht="12.75" customHeight="1" x14ac:dyDescent="0.25">
      <c r="A4" s="43"/>
      <c r="B4" s="268"/>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8"/>
    </row>
    <row r="5" spans="1:72" ht="12.75" customHeight="1" x14ac:dyDescent="0.25">
      <c r="A5" s="43"/>
      <c r="B5" s="268"/>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8"/>
    </row>
    <row r="6" spans="1:72" ht="12.75" customHeight="1" x14ac:dyDescent="0.25">
      <c r="A6" s="43"/>
      <c r="B6" s="268"/>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8"/>
    </row>
    <row r="7" spans="1:72" ht="12.75" customHeight="1" x14ac:dyDescent="0.25">
      <c r="A7" s="47"/>
      <c r="B7" s="268"/>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8"/>
    </row>
    <row r="8" spans="1:72" s="1" customFormat="1" ht="14.25" customHeight="1" x14ac:dyDescent="0.2">
      <c r="A8" s="567" t="s">
        <v>217</v>
      </c>
      <c r="B8" s="567"/>
    </row>
    <row r="9" spans="1:72" ht="12.75" customHeight="1" x14ac:dyDescent="0.25">
      <c r="A9" s="47"/>
      <c r="B9" s="268"/>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8"/>
    </row>
    <row r="10" spans="1:72" ht="22.5" customHeight="1" x14ac:dyDescent="0.25">
      <c r="A10" s="228" t="s">
        <v>637</v>
      </c>
      <c r="B10" s="268"/>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row>
    <row r="11" spans="1:72" ht="15" customHeight="1" x14ac:dyDescent="0.25">
      <c r="A11" s="228" t="s">
        <v>633</v>
      </c>
      <c r="B11" s="269"/>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row>
    <row r="12" spans="1:72" ht="15" customHeight="1" x14ac:dyDescent="0.25">
      <c r="A12" s="252"/>
      <c r="B12" s="270"/>
      <c r="C12" s="606">
        <v>43556</v>
      </c>
      <c r="D12" s="607"/>
      <c r="E12" s="604"/>
      <c r="F12" s="606">
        <v>43586</v>
      </c>
      <c r="G12" s="607"/>
      <c r="H12" s="604"/>
      <c r="I12" s="606">
        <v>43617</v>
      </c>
      <c r="J12" s="607"/>
      <c r="K12" s="604"/>
      <c r="L12" s="606">
        <v>43647</v>
      </c>
      <c r="M12" s="607"/>
      <c r="N12" s="604"/>
      <c r="O12" s="606">
        <v>43678</v>
      </c>
      <c r="P12" s="607"/>
      <c r="Q12" s="604"/>
      <c r="R12" s="606">
        <v>43709</v>
      </c>
      <c r="S12" s="607"/>
      <c r="T12" s="604"/>
      <c r="U12" s="606">
        <v>43739</v>
      </c>
      <c r="V12" s="607"/>
      <c r="W12" s="604"/>
      <c r="X12" s="606">
        <v>43770</v>
      </c>
      <c r="Y12" s="607"/>
      <c r="Z12" s="604"/>
      <c r="AA12" s="606">
        <v>43800</v>
      </c>
      <c r="AB12" s="607"/>
      <c r="AC12" s="604"/>
      <c r="AD12" s="606">
        <v>43831</v>
      </c>
      <c r="AE12" s="607"/>
      <c r="AF12" s="604"/>
      <c r="AG12" s="606">
        <v>43862</v>
      </c>
      <c r="AH12" s="607"/>
      <c r="AI12" s="604"/>
      <c r="AJ12" s="606">
        <v>43891</v>
      </c>
      <c r="AK12" s="607"/>
      <c r="AL12" s="604"/>
      <c r="AM12" s="63"/>
      <c r="AN12" s="63"/>
      <c r="AO12" s="63"/>
      <c r="AP12" s="45"/>
      <c r="AQ12" s="45"/>
      <c r="AR12" s="45"/>
      <c r="AS12" s="45"/>
      <c r="AT12" s="45"/>
      <c r="AU12" s="45"/>
    </row>
    <row r="13" spans="1:72" x14ac:dyDescent="0.25">
      <c r="A13" s="252"/>
      <c r="B13" s="270"/>
      <c r="C13" s="603" t="s">
        <v>147</v>
      </c>
      <c r="D13" s="604"/>
      <c r="E13" s="601" t="s">
        <v>276</v>
      </c>
      <c r="F13" s="603" t="s">
        <v>147</v>
      </c>
      <c r="G13" s="604"/>
      <c r="H13" s="601" t="s">
        <v>276</v>
      </c>
      <c r="I13" s="603" t="s">
        <v>147</v>
      </c>
      <c r="J13" s="604"/>
      <c r="K13" s="601" t="s">
        <v>276</v>
      </c>
      <c r="L13" s="603" t="s">
        <v>147</v>
      </c>
      <c r="M13" s="604"/>
      <c r="N13" s="601" t="s">
        <v>276</v>
      </c>
      <c r="O13" s="603" t="s">
        <v>147</v>
      </c>
      <c r="P13" s="604"/>
      <c r="Q13" s="601" t="s">
        <v>276</v>
      </c>
      <c r="R13" s="603" t="s">
        <v>147</v>
      </c>
      <c r="S13" s="604"/>
      <c r="T13" s="601" t="s">
        <v>276</v>
      </c>
      <c r="U13" s="603" t="s">
        <v>147</v>
      </c>
      <c r="V13" s="604"/>
      <c r="W13" s="601" t="s">
        <v>276</v>
      </c>
      <c r="X13" s="603" t="s">
        <v>147</v>
      </c>
      <c r="Y13" s="604"/>
      <c r="Z13" s="601" t="s">
        <v>276</v>
      </c>
      <c r="AA13" s="603" t="s">
        <v>147</v>
      </c>
      <c r="AB13" s="604"/>
      <c r="AC13" s="601" t="s">
        <v>276</v>
      </c>
      <c r="AD13" s="603" t="s">
        <v>147</v>
      </c>
      <c r="AE13" s="604"/>
      <c r="AF13" s="601" t="s">
        <v>276</v>
      </c>
      <c r="AG13" s="603" t="s">
        <v>147</v>
      </c>
      <c r="AH13" s="604"/>
      <c r="AI13" s="601" t="s">
        <v>276</v>
      </c>
      <c r="AJ13" s="603" t="s">
        <v>147</v>
      </c>
      <c r="AK13" s="604"/>
      <c r="AL13" s="601" t="s">
        <v>279</v>
      </c>
      <c r="AM13" s="63"/>
      <c r="AN13" s="63"/>
      <c r="AO13" s="63"/>
      <c r="AP13" s="45"/>
      <c r="AQ13" s="45"/>
      <c r="AR13" s="45"/>
      <c r="AS13" s="45"/>
      <c r="AT13" s="45"/>
      <c r="AU13" s="45"/>
    </row>
    <row r="14" spans="1:72" s="42" customFormat="1" ht="25.5" x14ac:dyDescent="0.2">
      <c r="A14" s="259" t="s">
        <v>146</v>
      </c>
      <c r="B14" s="288" t="s">
        <v>145</v>
      </c>
      <c r="C14" s="513" t="s">
        <v>144</v>
      </c>
      <c r="D14" s="514" t="s">
        <v>143</v>
      </c>
      <c r="E14" s="602"/>
      <c r="F14" s="513" t="s">
        <v>144</v>
      </c>
      <c r="G14" s="514" t="s">
        <v>143</v>
      </c>
      <c r="H14" s="602"/>
      <c r="I14" s="513" t="s">
        <v>144</v>
      </c>
      <c r="J14" s="514" t="s">
        <v>143</v>
      </c>
      <c r="K14" s="602"/>
      <c r="L14" s="513" t="s">
        <v>144</v>
      </c>
      <c r="M14" s="514" t="s">
        <v>143</v>
      </c>
      <c r="N14" s="602"/>
      <c r="O14" s="513" t="s">
        <v>144</v>
      </c>
      <c r="P14" s="514" t="s">
        <v>143</v>
      </c>
      <c r="Q14" s="602"/>
      <c r="R14" s="513" t="s">
        <v>144</v>
      </c>
      <c r="S14" s="514" t="s">
        <v>143</v>
      </c>
      <c r="T14" s="602"/>
      <c r="U14" s="513" t="s">
        <v>144</v>
      </c>
      <c r="V14" s="514" t="s">
        <v>143</v>
      </c>
      <c r="W14" s="602"/>
      <c r="X14" s="513" t="s">
        <v>144</v>
      </c>
      <c r="Y14" s="514" t="s">
        <v>143</v>
      </c>
      <c r="Z14" s="602"/>
      <c r="AA14" s="513" t="s">
        <v>144</v>
      </c>
      <c r="AB14" s="514" t="s">
        <v>143</v>
      </c>
      <c r="AC14" s="602"/>
      <c r="AD14" s="513" t="s">
        <v>144</v>
      </c>
      <c r="AE14" s="514" t="s">
        <v>143</v>
      </c>
      <c r="AF14" s="602"/>
      <c r="AG14" s="513" t="s">
        <v>144</v>
      </c>
      <c r="AH14" s="514" t="s">
        <v>143</v>
      </c>
      <c r="AI14" s="602"/>
      <c r="AJ14" s="513" t="s">
        <v>144</v>
      </c>
      <c r="AK14" s="514" t="s">
        <v>143</v>
      </c>
      <c r="AL14" s="602"/>
      <c r="AM14" s="64"/>
      <c r="AN14" s="64"/>
      <c r="AO14" s="64"/>
      <c r="AP14" s="79"/>
      <c r="AQ14" s="79"/>
      <c r="AR14" s="79"/>
      <c r="AS14" s="79"/>
      <c r="AT14" s="79"/>
      <c r="AU14" s="79"/>
    </row>
    <row r="15" spans="1:72" s="262" customFormat="1" ht="14.25" customHeight="1" x14ac:dyDescent="0.25">
      <c r="A15" s="260" t="s">
        <v>142</v>
      </c>
      <c r="B15" s="287" t="s">
        <v>261</v>
      </c>
      <c r="C15" s="510">
        <v>4119</v>
      </c>
      <c r="D15" s="511">
        <v>3328</v>
      </c>
      <c r="E15" s="512">
        <v>7012</v>
      </c>
      <c r="F15" s="510">
        <v>4106</v>
      </c>
      <c r="G15" s="511">
        <v>3252</v>
      </c>
      <c r="H15" s="512">
        <v>6967</v>
      </c>
      <c r="I15" s="510">
        <v>4120</v>
      </c>
      <c r="J15" s="511">
        <v>3320</v>
      </c>
      <c r="K15" s="512">
        <v>7052</v>
      </c>
      <c r="L15" s="510">
        <v>4079</v>
      </c>
      <c r="M15" s="511">
        <v>3245</v>
      </c>
      <c r="N15" s="512">
        <v>6871</v>
      </c>
      <c r="O15" s="510">
        <v>4084</v>
      </c>
      <c r="P15" s="511">
        <v>3241</v>
      </c>
      <c r="Q15" s="512">
        <v>6821</v>
      </c>
      <c r="R15" s="510">
        <v>4090</v>
      </c>
      <c r="S15" s="511">
        <v>3305</v>
      </c>
      <c r="T15" s="512">
        <v>7015</v>
      </c>
      <c r="U15" s="510">
        <v>4125</v>
      </c>
      <c r="V15" s="511">
        <v>3339</v>
      </c>
      <c r="W15" s="512">
        <v>6985</v>
      </c>
      <c r="X15" s="510">
        <v>4121</v>
      </c>
      <c r="Y15" s="511">
        <v>3416</v>
      </c>
      <c r="Z15" s="512">
        <v>7298</v>
      </c>
      <c r="AA15" s="510">
        <v>4048</v>
      </c>
      <c r="AB15" s="511">
        <v>3048</v>
      </c>
      <c r="AC15" s="512">
        <v>6053</v>
      </c>
      <c r="AD15" s="510">
        <v>4123</v>
      </c>
      <c r="AE15" s="511">
        <v>3423</v>
      </c>
      <c r="AF15" s="512">
        <v>6909</v>
      </c>
      <c r="AG15" s="510">
        <v>4122</v>
      </c>
      <c r="AH15" s="511">
        <v>3342</v>
      </c>
      <c r="AI15" s="512">
        <v>6308</v>
      </c>
      <c r="AJ15" s="510"/>
      <c r="AK15" s="511"/>
      <c r="AL15" s="512">
        <v>2409</v>
      </c>
      <c r="AM15" s="261"/>
      <c r="AN15" s="261"/>
      <c r="AO15" s="261"/>
      <c r="AP15" s="261"/>
      <c r="AQ15" s="261"/>
      <c r="AR15" s="261"/>
      <c r="AS15" s="261"/>
      <c r="AT15" s="261"/>
      <c r="AU15" s="261"/>
      <c r="AV15" s="261"/>
      <c r="AW15" s="261"/>
      <c r="AX15" s="261"/>
      <c r="AY15" s="261"/>
      <c r="AZ15" s="261"/>
      <c r="BA15" s="261"/>
    </row>
    <row r="16" spans="1:72" x14ac:dyDescent="0.25">
      <c r="A16" s="479" t="s">
        <v>399</v>
      </c>
      <c r="B16" s="480" t="s">
        <v>635</v>
      </c>
      <c r="C16" s="529">
        <v>0</v>
      </c>
      <c r="D16" s="530">
        <v>0</v>
      </c>
      <c r="E16" s="537">
        <v>90</v>
      </c>
      <c r="F16" s="529">
        <v>0</v>
      </c>
      <c r="G16" s="530">
        <v>0</v>
      </c>
      <c r="H16" s="537">
        <v>85</v>
      </c>
      <c r="I16" s="529">
        <v>0</v>
      </c>
      <c r="J16" s="530">
        <v>0</v>
      </c>
      <c r="K16" s="537">
        <v>110</v>
      </c>
      <c r="L16" s="529">
        <v>0</v>
      </c>
      <c r="M16" s="530">
        <v>0</v>
      </c>
      <c r="N16" s="537">
        <v>85</v>
      </c>
      <c r="O16" s="529">
        <v>0</v>
      </c>
      <c r="P16" s="530">
        <v>0</v>
      </c>
      <c r="Q16" s="537">
        <v>95</v>
      </c>
      <c r="R16" s="529">
        <v>0</v>
      </c>
      <c r="S16" s="530">
        <v>0</v>
      </c>
      <c r="T16" s="537">
        <v>95</v>
      </c>
      <c r="U16" s="529">
        <v>0</v>
      </c>
      <c r="V16" s="530">
        <v>0</v>
      </c>
      <c r="W16" s="537">
        <v>85</v>
      </c>
      <c r="X16" s="529">
        <v>0</v>
      </c>
      <c r="Y16" s="530">
        <v>0</v>
      </c>
      <c r="Z16" s="537">
        <v>90</v>
      </c>
      <c r="AA16" s="529">
        <v>0</v>
      </c>
      <c r="AB16" s="530">
        <v>0</v>
      </c>
      <c r="AC16" s="537">
        <v>80</v>
      </c>
      <c r="AD16" s="529">
        <v>0</v>
      </c>
      <c r="AE16" s="530">
        <v>0</v>
      </c>
      <c r="AF16" s="537">
        <v>55</v>
      </c>
      <c r="AG16" s="529">
        <v>0</v>
      </c>
      <c r="AH16" s="530">
        <v>0</v>
      </c>
      <c r="AI16" s="537">
        <v>85</v>
      </c>
      <c r="AJ16" s="529">
        <v>0</v>
      </c>
      <c r="AK16" s="530">
        <v>0</v>
      </c>
      <c r="AL16" s="538">
        <v>40</v>
      </c>
      <c r="AM16" s="539"/>
      <c r="AN16" s="540"/>
      <c r="AO16" s="540"/>
      <c r="AP16" s="539"/>
      <c r="AQ16" s="539"/>
      <c r="AR16" s="539"/>
      <c r="AS16" s="539"/>
      <c r="AT16" s="539"/>
      <c r="AU16" s="539"/>
      <c r="AV16" s="539"/>
      <c r="AW16" s="539"/>
      <c r="AX16" s="539"/>
      <c r="AY16" s="539"/>
      <c r="AZ16" s="539"/>
      <c r="BA16" s="539"/>
      <c r="BB16" s="539"/>
      <c r="BC16" s="539"/>
      <c r="BD16" s="539"/>
      <c r="BE16" s="541"/>
      <c r="BF16" s="541"/>
      <c r="BG16" s="541"/>
      <c r="BH16" s="541"/>
      <c r="BI16" s="541"/>
      <c r="BJ16" s="541"/>
      <c r="BK16" s="541"/>
      <c r="BL16" s="541"/>
      <c r="BM16" s="541"/>
      <c r="BN16" s="541"/>
      <c r="BO16" s="541"/>
      <c r="BP16" s="541"/>
      <c r="BQ16" s="541"/>
      <c r="BR16" s="541"/>
      <c r="BS16" s="541"/>
      <c r="BT16" s="541"/>
    </row>
    <row r="17" spans="1:72" x14ac:dyDescent="0.25">
      <c r="A17" s="325" t="s">
        <v>344</v>
      </c>
      <c r="B17" s="331" t="s">
        <v>484</v>
      </c>
      <c r="C17" s="531">
        <v>23</v>
      </c>
      <c r="D17" s="532">
        <v>17</v>
      </c>
      <c r="E17" s="537">
        <v>20</v>
      </c>
      <c r="F17" s="531">
        <v>23</v>
      </c>
      <c r="G17" s="532">
        <v>18</v>
      </c>
      <c r="H17" s="537">
        <v>20</v>
      </c>
      <c r="I17" s="531">
        <v>23</v>
      </c>
      <c r="J17" s="532">
        <v>20</v>
      </c>
      <c r="K17" s="537">
        <v>20</v>
      </c>
      <c r="L17" s="531">
        <v>23</v>
      </c>
      <c r="M17" s="532">
        <v>21</v>
      </c>
      <c r="N17" s="537">
        <v>20</v>
      </c>
      <c r="O17" s="531">
        <v>23</v>
      </c>
      <c r="P17" s="532">
        <v>14</v>
      </c>
      <c r="Q17" s="537">
        <v>20</v>
      </c>
      <c r="R17" s="531">
        <v>23</v>
      </c>
      <c r="S17" s="532">
        <v>18</v>
      </c>
      <c r="T17" s="537">
        <v>45</v>
      </c>
      <c r="U17" s="531">
        <v>59</v>
      </c>
      <c r="V17" s="532">
        <v>51</v>
      </c>
      <c r="W17" s="537">
        <v>65</v>
      </c>
      <c r="X17" s="531">
        <v>59</v>
      </c>
      <c r="Y17" s="532">
        <v>51</v>
      </c>
      <c r="Z17" s="537">
        <v>65</v>
      </c>
      <c r="AA17" s="531">
        <v>59</v>
      </c>
      <c r="AB17" s="532">
        <v>49</v>
      </c>
      <c r="AC17" s="537">
        <v>55</v>
      </c>
      <c r="AD17" s="531">
        <v>59</v>
      </c>
      <c r="AE17" s="532">
        <v>49</v>
      </c>
      <c r="AF17" s="537">
        <v>60</v>
      </c>
      <c r="AG17" s="531">
        <v>59</v>
      </c>
      <c r="AH17" s="532">
        <v>48</v>
      </c>
      <c r="AI17" s="537">
        <v>60</v>
      </c>
      <c r="AJ17" s="531">
        <v>0</v>
      </c>
      <c r="AK17" s="532">
        <v>0</v>
      </c>
      <c r="AL17" s="538">
        <v>25</v>
      </c>
      <c r="AM17" s="539"/>
      <c r="AN17" s="540"/>
      <c r="AO17" s="540"/>
      <c r="AP17" s="539"/>
      <c r="AQ17" s="539"/>
      <c r="AR17" s="539"/>
      <c r="AS17" s="539"/>
      <c r="AT17" s="539"/>
      <c r="AU17" s="539"/>
      <c r="AV17" s="539"/>
      <c r="AW17" s="539"/>
      <c r="AX17" s="539"/>
      <c r="AY17" s="539"/>
      <c r="AZ17" s="539"/>
      <c r="BA17" s="539"/>
      <c r="BB17" s="539"/>
      <c r="BC17" s="539"/>
      <c r="BD17" s="539"/>
      <c r="BE17" s="541"/>
      <c r="BF17" s="541"/>
      <c r="BG17" s="541"/>
      <c r="BH17" s="541"/>
      <c r="BI17" s="541"/>
      <c r="BJ17" s="541"/>
      <c r="BK17" s="541"/>
      <c r="BL17" s="541"/>
      <c r="BM17" s="541"/>
      <c r="BN17" s="541"/>
      <c r="BO17" s="541"/>
      <c r="BP17" s="541"/>
      <c r="BQ17" s="541"/>
      <c r="BR17" s="541"/>
      <c r="BS17" s="541"/>
      <c r="BT17" s="541"/>
    </row>
    <row r="18" spans="1:72" x14ac:dyDescent="0.25">
      <c r="A18" s="325" t="s">
        <v>334</v>
      </c>
      <c r="B18" s="331" t="s">
        <v>474</v>
      </c>
      <c r="C18" s="531">
        <v>7</v>
      </c>
      <c r="D18" s="532">
        <v>7</v>
      </c>
      <c r="E18" s="537">
        <v>15</v>
      </c>
      <c r="F18" s="531">
        <v>7</v>
      </c>
      <c r="G18" s="532">
        <v>5</v>
      </c>
      <c r="H18" s="537">
        <v>15</v>
      </c>
      <c r="I18" s="531">
        <v>7</v>
      </c>
      <c r="J18" s="532">
        <v>0</v>
      </c>
      <c r="K18" s="537" t="s">
        <v>636</v>
      </c>
      <c r="L18" s="531">
        <v>7</v>
      </c>
      <c r="M18" s="532">
        <v>4</v>
      </c>
      <c r="N18" s="537">
        <v>15</v>
      </c>
      <c r="O18" s="531">
        <v>7</v>
      </c>
      <c r="P18" s="532">
        <v>6</v>
      </c>
      <c r="Q18" s="537">
        <v>15</v>
      </c>
      <c r="R18" s="531">
        <v>7</v>
      </c>
      <c r="S18" s="532">
        <v>3</v>
      </c>
      <c r="T18" s="537">
        <v>10</v>
      </c>
      <c r="U18" s="531">
        <v>7</v>
      </c>
      <c r="V18" s="532">
        <v>4</v>
      </c>
      <c r="W18" s="537">
        <v>15</v>
      </c>
      <c r="X18" s="531">
        <v>7</v>
      </c>
      <c r="Y18" s="532">
        <v>7</v>
      </c>
      <c r="Z18" s="537">
        <v>20</v>
      </c>
      <c r="AA18" s="531">
        <v>7</v>
      </c>
      <c r="AB18" s="532">
        <v>5</v>
      </c>
      <c r="AC18" s="537">
        <v>15</v>
      </c>
      <c r="AD18" s="531">
        <v>7</v>
      </c>
      <c r="AE18" s="532">
        <v>7</v>
      </c>
      <c r="AF18" s="537">
        <v>10</v>
      </c>
      <c r="AG18" s="531">
        <v>7</v>
      </c>
      <c r="AH18" s="532">
        <v>4</v>
      </c>
      <c r="AI18" s="537">
        <v>10</v>
      </c>
      <c r="AJ18" s="531">
        <v>0</v>
      </c>
      <c r="AK18" s="532">
        <v>0</v>
      </c>
      <c r="AL18" s="538" t="s">
        <v>636</v>
      </c>
      <c r="AM18" s="539"/>
      <c r="AN18" s="540"/>
      <c r="AO18" s="540"/>
      <c r="AP18" s="539"/>
      <c r="AQ18" s="539"/>
      <c r="AR18" s="539"/>
      <c r="AS18" s="539"/>
      <c r="AT18" s="539"/>
      <c r="AU18" s="539"/>
      <c r="AV18" s="539"/>
      <c r="AW18" s="539"/>
      <c r="AX18" s="539"/>
      <c r="AY18" s="539"/>
      <c r="AZ18" s="539"/>
      <c r="BA18" s="539"/>
      <c r="BB18" s="539"/>
      <c r="BC18" s="539"/>
      <c r="BD18" s="539"/>
      <c r="BE18" s="541"/>
      <c r="BF18" s="541"/>
      <c r="BG18" s="541"/>
      <c r="BH18" s="541"/>
      <c r="BI18" s="541"/>
      <c r="BJ18" s="541"/>
      <c r="BK18" s="541"/>
      <c r="BL18" s="541"/>
      <c r="BM18" s="541"/>
      <c r="BN18" s="541"/>
      <c r="BO18" s="541"/>
      <c r="BP18" s="541"/>
      <c r="BQ18" s="541"/>
      <c r="BR18" s="541"/>
      <c r="BS18" s="541"/>
      <c r="BT18" s="541"/>
    </row>
    <row r="19" spans="1:72" x14ac:dyDescent="0.25">
      <c r="A19" s="325" t="s">
        <v>621</v>
      </c>
      <c r="B19" s="535" t="s">
        <v>622</v>
      </c>
      <c r="C19" s="531">
        <v>0</v>
      </c>
      <c r="D19" s="532">
        <v>0</v>
      </c>
      <c r="E19" s="537">
        <v>35</v>
      </c>
      <c r="F19" s="531">
        <v>0</v>
      </c>
      <c r="G19" s="532">
        <v>0</v>
      </c>
      <c r="H19" s="537">
        <v>35</v>
      </c>
      <c r="I19" s="531">
        <v>0</v>
      </c>
      <c r="J19" s="532">
        <v>0</v>
      </c>
      <c r="K19" s="537">
        <v>40</v>
      </c>
      <c r="L19" s="531">
        <v>0</v>
      </c>
      <c r="M19" s="532">
        <v>0</v>
      </c>
      <c r="N19" s="537">
        <v>35</v>
      </c>
      <c r="O19" s="531">
        <v>0</v>
      </c>
      <c r="P19" s="532">
        <v>0</v>
      </c>
      <c r="Q19" s="537">
        <v>40</v>
      </c>
      <c r="R19" s="531">
        <v>0</v>
      </c>
      <c r="S19" s="532">
        <v>0</v>
      </c>
      <c r="T19" s="537">
        <v>30</v>
      </c>
      <c r="U19" s="531">
        <v>0</v>
      </c>
      <c r="V19" s="532">
        <v>0</v>
      </c>
      <c r="W19" s="537">
        <v>35</v>
      </c>
      <c r="X19" s="531">
        <v>0</v>
      </c>
      <c r="Y19" s="532">
        <v>0</v>
      </c>
      <c r="Z19" s="537">
        <v>35</v>
      </c>
      <c r="AA19" s="531">
        <v>0</v>
      </c>
      <c r="AB19" s="532">
        <v>0</v>
      </c>
      <c r="AC19" s="537">
        <v>30</v>
      </c>
      <c r="AD19" s="531">
        <v>0</v>
      </c>
      <c r="AE19" s="532">
        <v>0</v>
      </c>
      <c r="AF19" s="537">
        <v>35</v>
      </c>
      <c r="AG19" s="531">
        <v>0</v>
      </c>
      <c r="AH19" s="532">
        <v>0</v>
      </c>
      <c r="AI19" s="537">
        <v>35</v>
      </c>
      <c r="AJ19" s="531">
        <v>0</v>
      </c>
      <c r="AK19" s="532">
        <v>0</v>
      </c>
      <c r="AL19" s="538" t="s">
        <v>636</v>
      </c>
      <c r="AM19" s="539"/>
      <c r="AN19" s="540"/>
      <c r="AO19" s="540"/>
      <c r="AP19" s="539"/>
      <c r="AQ19" s="539"/>
      <c r="AR19" s="539"/>
      <c r="AS19" s="539"/>
      <c r="AT19" s="539"/>
      <c r="AU19" s="539"/>
      <c r="AV19" s="539"/>
      <c r="AW19" s="539"/>
      <c r="AX19" s="539"/>
      <c r="AY19" s="539"/>
      <c r="AZ19" s="539"/>
      <c r="BA19" s="539"/>
      <c r="BB19" s="539"/>
      <c r="BC19" s="539"/>
      <c r="BD19" s="539"/>
      <c r="BE19" s="541"/>
      <c r="BF19" s="541"/>
      <c r="BG19" s="541"/>
      <c r="BH19" s="541"/>
      <c r="BI19" s="541"/>
      <c r="BJ19" s="541"/>
      <c r="BK19" s="541"/>
      <c r="BL19" s="541"/>
      <c r="BM19" s="541"/>
      <c r="BN19" s="541"/>
      <c r="BO19" s="541"/>
      <c r="BP19" s="541"/>
      <c r="BQ19" s="541"/>
      <c r="BR19" s="541"/>
      <c r="BS19" s="541"/>
      <c r="BT19" s="541"/>
    </row>
    <row r="20" spans="1:72" x14ac:dyDescent="0.25">
      <c r="A20" s="325" t="s">
        <v>412</v>
      </c>
      <c r="B20" s="331" t="s">
        <v>551</v>
      </c>
      <c r="C20" s="531">
        <v>13</v>
      </c>
      <c r="D20" s="532">
        <v>9</v>
      </c>
      <c r="E20" s="537">
        <v>35</v>
      </c>
      <c r="F20" s="531">
        <v>13</v>
      </c>
      <c r="G20" s="532">
        <v>11</v>
      </c>
      <c r="H20" s="537">
        <v>35</v>
      </c>
      <c r="I20" s="531">
        <v>13</v>
      </c>
      <c r="J20" s="532">
        <v>12</v>
      </c>
      <c r="K20" s="537">
        <v>25</v>
      </c>
      <c r="L20" s="531">
        <v>13</v>
      </c>
      <c r="M20" s="532">
        <v>11</v>
      </c>
      <c r="N20" s="537">
        <v>25</v>
      </c>
      <c r="O20" s="531">
        <v>13</v>
      </c>
      <c r="P20" s="532">
        <v>11</v>
      </c>
      <c r="Q20" s="537">
        <v>25</v>
      </c>
      <c r="R20" s="531">
        <v>13</v>
      </c>
      <c r="S20" s="532">
        <v>10</v>
      </c>
      <c r="T20" s="537">
        <v>25</v>
      </c>
      <c r="U20" s="531">
        <v>13</v>
      </c>
      <c r="V20" s="532">
        <v>11</v>
      </c>
      <c r="W20" s="537">
        <v>30</v>
      </c>
      <c r="X20" s="531">
        <v>13</v>
      </c>
      <c r="Y20" s="532">
        <v>11</v>
      </c>
      <c r="Z20" s="537">
        <v>30</v>
      </c>
      <c r="AA20" s="531">
        <v>13</v>
      </c>
      <c r="AB20" s="532">
        <v>12</v>
      </c>
      <c r="AC20" s="537">
        <v>30</v>
      </c>
      <c r="AD20" s="531">
        <v>13</v>
      </c>
      <c r="AE20" s="532">
        <v>11</v>
      </c>
      <c r="AF20" s="537">
        <v>35</v>
      </c>
      <c r="AG20" s="531">
        <v>13</v>
      </c>
      <c r="AH20" s="532">
        <v>10</v>
      </c>
      <c r="AI20" s="537">
        <v>20</v>
      </c>
      <c r="AJ20" s="531">
        <v>0</v>
      </c>
      <c r="AK20" s="532">
        <v>0</v>
      </c>
      <c r="AL20" s="538">
        <v>10</v>
      </c>
      <c r="AM20" s="539"/>
      <c r="AN20" s="540"/>
      <c r="AO20" s="540"/>
      <c r="AP20" s="539"/>
      <c r="AQ20" s="539"/>
      <c r="AR20" s="539"/>
      <c r="AS20" s="539"/>
      <c r="AT20" s="539"/>
      <c r="AU20" s="539"/>
      <c r="AV20" s="539"/>
      <c r="AW20" s="539"/>
      <c r="AX20" s="539"/>
      <c r="AY20" s="539"/>
      <c r="AZ20" s="539"/>
      <c r="BA20" s="539"/>
      <c r="BB20" s="539"/>
      <c r="BC20" s="539"/>
      <c r="BD20" s="539"/>
      <c r="BE20" s="541"/>
      <c r="BF20" s="541"/>
      <c r="BG20" s="541"/>
      <c r="BH20" s="541"/>
      <c r="BI20" s="541"/>
      <c r="BJ20" s="541"/>
      <c r="BK20" s="541"/>
      <c r="BL20" s="541"/>
      <c r="BM20" s="541"/>
      <c r="BN20" s="541"/>
      <c r="BO20" s="541"/>
      <c r="BP20" s="541"/>
      <c r="BQ20" s="541"/>
      <c r="BR20" s="541"/>
      <c r="BS20" s="541"/>
      <c r="BT20" s="541"/>
    </row>
    <row r="21" spans="1:72" x14ac:dyDescent="0.25">
      <c r="A21" s="325" t="s">
        <v>346</v>
      </c>
      <c r="B21" s="331" t="s">
        <v>486</v>
      </c>
      <c r="C21" s="531">
        <v>52</v>
      </c>
      <c r="D21" s="532">
        <v>38</v>
      </c>
      <c r="E21" s="537">
        <v>80</v>
      </c>
      <c r="F21" s="531">
        <v>52</v>
      </c>
      <c r="G21" s="532">
        <v>40</v>
      </c>
      <c r="H21" s="537">
        <v>70</v>
      </c>
      <c r="I21" s="531">
        <v>52</v>
      </c>
      <c r="J21" s="532">
        <v>39</v>
      </c>
      <c r="K21" s="537">
        <v>70</v>
      </c>
      <c r="L21" s="531">
        <v>52</v>
      </c>
      <c r="M21" s="532">
        <v>35</v>
      </c>
      <c r="N21" s="537">
        <v>60</v>
      </c>
      <c r="O21" s="531">
        <v>52</v>
      </c>
      <c r="P21" s="532">
        <v>38</v>
      </c>
      <c r="Q21" s="537">
        <v>75</v>
      </c>
      <c r="R21" s="531">
        <v>52</v>
      </c>
      <c r="S21" s="532">
        <v>45</v>
      </c>
      <c r="T21" s="537">
        <v>80</v>
      </c>
      <c r="U21" s="531">
        <v>52</v>
      </c>
      <c r="V21" s="532">
        <v>39</v>
      </c>
      <c r="W21" s="537">
        <v>60</v>
      </c>
      <c r="X21" s="531">
        <v>52</v>
      </c>
      <c r="Y21" s="532">
        <v>48</v>
      </c>
      <c r="Z21" s="537">
        <v>80</v>
      </c>
      <c r="AA21" s="531">
        <v>52</v>
      </c>
      <c r="AB21" s="532">
        <v>33</v>
      </c>
      <c r="AC21" s="537">
        <v>65</v>
      </c>
      <c r="AD21" s="531">
        <v>52</v>
      </c>
      <c r="AE21" s="532">
        <v>44</v>
      </c>
      <c r="AF21" s="537">
        <v>80</v>
      </c>
      <c r="AG21" s="531">
        <v>52</v>
      </c>
      <c r="AH21" s="532">
        <v>41</v>
      </c>
      <c r="AI21" s="537">
        <v>70</v>
      </c>
      <c r="AJ21" s="531">
        <v>0</v>
      </c>
      <c r="AK21" s="532">
        <v>0</v>
      </c>
      <c r="AL21" s="538">
        <v>35</v>
      </c>
      <c r="AM21" s="539"/>
      <c r="AN21" s="540"/>
      <c r="AO21" s="540"/>
      <c r="AP21" s="539"/>
      <c r="AQ21" s="539"/>
      <c r="AR21" s="539"/>
      <c r="AS21" s="539"/>
      <c r="AT21" s="539"/>
      <c r="AU21" s="539"/>
      <c r="AV21" s="539"/>
      <c r="AW21" s="539"/>
      <c r="AX21" s="539"/>
      <c r="AY21" s="539"/>
      <c r="AZ21" s="539"/>
      <c r="BA21" s="539"/>
      <c r="BB21" s="539"/>
      <c r="BC21" s="539"/>
      <c r="BD21" s="539"/>
      <c r="BE21" s="541"/>
      <c r="BF21" s="541"/>
      <c r="BG21" s="541"/>
      <c r="BH21" s="541"/>
      <c r="BI21" s="541"/>
      <c r="BJ21" s="541"/>
      <c r="BK21" s="541"/>
      <c r="BL21" s="541"/>
      <c r="BM21" s="541"/>
      <c r="BN21" s="541"/>
      <c r="BO21" s="541"/>
      <c r="BP21" s="541"/>
      <c r="BQ21" s="541"/>
      <c r="BR21" s="541"/>
      <c r="BS21" s="541"/>
      <c r="BT21" s="541"/>
    </row>
    <row r="22" spans="1:72" x14ac:dyDescent="0.25">
      <c r="A22" s="325" t="s">
        <v>347</v>
      </c>
      <c r="B22" s="331" t="s">
        <v>487</v>
      </c>
      <c r="C22" s="531">
        <v>11</v>
      </c>
      <c r="D22" s="532">
        <v>9</v>
      </c>
      <c r="E22" s="537">
        <v>25</v>
      </c>
      <c r="F22" s="531">
        <v>11</v>
      </c>
      <c r="G22" s="532">
        <v>9</v>
      </c>
      <c r="H22" s="537">
        <v>35</v>
      </c>
      <c r="I22" s="531">
        <v>11</v>
      </c>
      <c r="J22" s="532">
        <v>6</v>
      </c>
      <c r="K22" s="537">
        <v>30</v>
      </c>
      <c r="L22" s="531">
        <v>11</v>
      </c>
      <c r="M22" s="532">
        <v>8</v>
      </c>
      <c r="N22" s="537">
        <v>25</v>
      </c>
      <c r="O22" s="531">
        <v>11</v>
      </c>
      <c r="P22" s="532">
        <v>10</v>
      </c>
      <c r="Q22" s="537">
        <v>30</v>
      </c>
      <c r="R22" s="531">
        <v>11</v>
      </c>
      <c r="S22" s="532">
        <v>7</v>
      </c>
      <c r="T22" s="537">
        <v>30</v>
      </c>
      <c r="U22" s="531">
        <v>11</v>
      </c>
      <c r="V22" s="532">
        <v>11</v>
      </c>
      <c r="W22" s="537">
        <v>35</v>
      </c>
      <c r="X22" s="531">
        <v>11</v>
      </c>
      <c r="Y22" s="532">
        <v>9</v>
      </c>
      <c r="Z22" s="537">
        <v>45</v>
      </c>
      <c r="AA22" s="531">
        <v>11</v>
      </c>
      <c r="AB22" s="532">
        <v>11</v>
      </c>
      <c r="AC22" s="537">
        <v>35</v>
      </c>
      <c r="AD22" s="531">
        <v>11</v>
      </c>
      <c r="AE22" s="532">
        <v>9</v>
      </c>
      <c r="AF22" s="537">
        <v>45</v>
      </c>
      <c r="AG22" s="531">
        <v>11</v>
      </c>
      <c r="AH22" s="532">
        <v>8</v>
      </c>
      <c r="AI22" s="537">
        <v>40</v>
      </c>
      <c r="AJ22" s="531">
        <v>0</v>
      </c>
      <c r="AK22" s="532">
        <v>0</v>
      </c>
      <c r="AL22" s="538" t="s">
        <v>636</v>
      </c>
      <c r="AM22" s="539"/>
      <c r="AN22" s="540"/>
      <c r="AO22" s="540"/>
      <c r="AP22" s="539"/>
      <c r="AQ22" s="539"/>
      <c r="AR22" s="539"/>
      <c r="AS22" s="539"/>
      <c r="AT22" s="539"/>
      <c r="AU22" s="539"/>
      <c r="AV22" s="539"/>
      <c r="AW22" s="539"/>
      <c r="AX22" s="539"/>
      <c r="AY22" s="539"/>
      <c r="AZ22" s="539"/>
      <c r="BA22" s="539"/>
      <c r="BB22" s="539"/>
      <c r="BC22" s="539"/>
      <c r="BD22" s="539"/>
      <c r="BE22" s="541"/>
      <c r="BF22" s="541"/>
      <c r="BG22" s="541"/>
      <c r="BH22" s="541"/>
      <c r="BI22" s="541"/>
      <c r="BJ22" s="541"/>
      <c r="BK22" s="541"/>
      <c r="BL22" s="541"/>
      <c r="BM22" s="541"/>
      <c r="BN22" s="541"/>
      <c r="BO22" s="541"/>
      <c r="BP22" s="541"/>
      <c r="BQ22" s="541"/>
      <c r="BR22" s="541"/>
      <c r="BS22" s="541"/>
      <c r="BT22" s="541"/>
    </row>
    <row r="23" spans="1:72" x14ac:dyDescent="0.25">
      <c r="A23" s="325" t="s">
        <v>307</v>
      </c>
      <c r="B23" s="331" t="s">
        <v>447</v>
      </c>
      <c r="C23" s="531">
        <v>122</v>
      </c>
      <c r="D23" s="532">
        <v>105</v>
      </c>
      <c r="E23" s="537">
        <v>190</v>
      </c>
      <c r="F23" s="531">
        <v>122</v>
      </c>
      <c r="G23" s="532">
        <v>106</v>
      </c>
      <c r="H23" s="537">
        <v>225</v>
      </c>
      <c r="I23" s="531">
        <v>122</v>
      </c>
      <c r="J23" s="532">
        <v>114</v>
      </c>
      <c r="K23" s="537">
        <v>205</v>
      </c>
      <c r="L23" s="531">
        <v>122</v>
      </c>
      <c r="M23" s="532">
        <v>110</v>
      </c>
      <c r="N23" s="537">
        <v>205</v>
      </c>
      <c r="O23" s="531">
        <v>120</v>
      </c>
      <c r="P23" s="532">
        <v>110</v>
      </c>
      <c r="Q23" s="537">
        <v>200</v>
      </c>
      <c r="R23" s="531">
        <v>120</v>
      </c>
      <c r="S23" s="532">
        <v>114</v>
      </c>
      <c r="T23" s="537">
        <v>210</v>
      </c>
      <c r="U23" s="531">
        <v>122</v>
      </c>
      <c r="V23" s="532">
        <v>111</v>
      </c>
      <c r="W23" s="537">
        <v>200</v>
      </c>
      <c r="X23" s="531">
        <v>122</v>
      </c>
      <c r="Y23" s="532">
        <v>112</v>
      </c>
      <c r="Z23" s="537">
        <v>195</v>
      </c>
      <c r="AA23" s="531">
        <v>122</v>
      </c>
      <c r="AB23" s="532">
        <v>93</v>
      </c>
      <c r="AC23" s="537">
        <v>155</v>
      </c>
      <c r="AD23" s="531">
        <v>122</v>
      </c>
      <c r="AE23" s="532">
        <v>105</v>
      </c>
      <c r="AF23" s="537">
        <v>190</v>
      </c>
      <c r="AG23" s="531">
        <v>122</v>
      </c>
      <c r="AH23" s="532">
        <v>111</v>
      </c>
      <c r="AI23" s="537">
        <v>175</v>
      </c>
      <c r="AJ23" s="531">
        <v>0</v>
      </c>
      <c r="AK23" s="532">
        <v>0</v>
      </c>
      <c r="AL23" s="538">
        <v>55</v>
      </c>
      <c r="AM23" s="539"/>
      <c r="AN23" s="540"/>
      <c r="AO23" s="540"/>
      <c r="AP23" s="539"/>
      <c r="AQ23" s="539"/>
      <c r="AR23" s="539"/>
      <c r="AS23" s="539"/>
      <c r="AT23" s="539"/>
      <c r="AU23" s="539"/>
      <c r="AV23" s="539"/>
      <c r="AW23" s="539"/>
      <c r="AX23" s="539"/>
      <c r="AY23" s="539"/>
      <c r="AZ23" s="539"/>
      <c r="BA23" s="539"/>
      <c r="BB23" s="539"/>
      <c r="BC23" s="539"/>
      <c r="BD23" s="539"/>
      <c r="BE23" s="541"/>
      <c r="BF23" s="541"/>
      <c r="BG23" s="541"/>
      <c r="BH23" s="541"/>
      <c r="BI23" s="541"/>
      <c r="BJ23" s="541"/>
      <c r="BK23" s="541"/>
      <c r="BL23" s="541"/>
      <c r="BM23" s="541"/>
      <c r="BN23" s="541"/>
      <c r="BO23" s="541"/>
      <c r="BP23" s="541"/>
      <c r="BQ23" s="541"/>
      <c r="BR23" s="541"/>
      <c r="BS23" s="541"/>
      <c r="BT23" s="541"/>
    </row>
    <row r="24" spans="1:72" x14ac:dyDescent="0.25">
      <c r="A24" s="325" t="s">
        <v>339</v>
      </c>
      <c r="B24" s="331" t="s">
        <v>479</v>
      </c>
      <c r="C24" s="531">
        <v>34</v>
      </c>
      <c r="D24" s="532">
        <v>32</v>
      </c>
      <c r="E24" s="537">
        <v>50</v>
      </c>
      <c r="F24" s="531">
        <v>34</v>
      </c>
      <c r="G24" s="532">
        <v>31</v>
      </c>
      <c r="H24" s="537">
        <v>60</v>
      </c>
      <c r="I24" s="531">
        <v>34</v>
      </c>
      <c r="J24" s="532">
        <v>33</v>
      </c>
      <c r="K24" s="537">
        <v>70</v>
      </c>
      <c r="L24" s="531">
        <v>34</v>
      </c>
      <c r="M24" s="532">
        <v>32</v>
      </c>
      <c r="N24" s="537">
        <v>55</v>
      </c>
      <c r="O24" s="531">
        <v>34</v>
      </c>
      <c r="P24" s="532">
        <v>30</v>
      </c>
      <c r="Q24" s="537">
        <v>55</v>
      </c>
      <c r="R24" s="531">
        <v>34</v>
      </c>
      <c r="S24" s="532">
        <v>32</v>
      </c>
      <c r="T24" s="537">
        <v>50</v>
      </c>
      <c r="U24" s="531">
        <v>34</v>
      </c>
      <c r="V24" s="532">
        <v>30</v>
      </c>
      <c r="W24" s="537">
        <v>65</v>
      </c>
      <c r="X24" s="531">
        <v>34</v>
      </c>
      <c r="Y24" s="532">
        <v>33</v>
      </c>
      <c r="Z24" s="537">
        <v>50</v>
      </c>
      <c r="AA24" s="531">
        <v>34</v>
      </c>
      <c r="AB24" s="532">
        <v>34</v>
      </c>
      <c r="AC24" s="537">
        <v>45</v>
      </c>
      <c r="AD24" s="531">
        <v>34</v>
      </c>
      <c r="AE24" s="532">
        <v>34</v>
      </c>
      <c r="AF24" s="537">
        <v>60</v>
      </c>
      <c r="AG24" s="531">
        <v>34</v>
      </c>
      <c r="AH24" s="532">
        <v>33</v>
      </c>
      <c r="AI24" s="537">
        <v>55</v>
      </c>
      <c r="AJ24" s="531">
        <v>0</v>
      </c>
      <c r="AK24" s="532">
        <v>0</v>
      </c>
      <c r="AL24" s="538">
        <v>20</v>
      </c>
      <c r="AM24" s="539"/>
      <c r="AN24" s="540"/>
      <c r="AO24" s="540"/>
      <c r="AP24" s="539"/>
      <c r="AQ24" s="539"/>
      <c r="AR24" s="539"/>
      <c r="AS24" s="539"/>
      <c r="AT24" s="539"/>
      <c r="AU24" s="539"/>
      <c r="AV24" s="539"/>
      <c r="AW24" s="539"/>
      <c r="AX24" s="539"/>
      <c r="AY24" s="539"/>
      <c r="AZ24" s="539"/>
      <c r="BA24" s="539"/>
      <c r="BB24" s="539"/>
      <c r="BC24" s="539"/>
      <c r="BD24" s="539"/>
      <c r="BE24" s="541"/>
      <c r="BF24" s="541"/>
      <c r="BG24" s="541"/>
      <c r="BH24" s="541"/>
      <c r="BI24" s="541"/>
      <c r="BJ24" s="541"/>
      <c r="BK24" s="541"/>
      <c r="BL24" s="541"/>
      <c r="BM24" s="541"/>
      <c r="BN24" s="541"/>
      <c r="BO24" s="541"/>
      <c r="BP24" s="541"/>
      <c r="BQ24" s="541"/>
      <c r="BR24" s="541"/>
      <c r="BS24" s="541"/>
      <c r="BT24" s="541"/>
    </row>
    <row r="25" spans="1:72" x14ac:dyDescent="0.25">
      <c r="A25" s="325" t="s">
        <v>330</v>
      </c>
      <c r="B25" s="331" t="s">
        <v>470</v>
      </c>
      <c r="C25" s="531">
        <v>11</v>
      </c>
      <c r="D25" s="532">
        <v>6</v>
      </c>
      <c r="E25" s="537" t="s">
        <v>636</v>
      </c>
      <c r="F25" s="531">
        <v>11</v>
      </c>
      <c r="G25" s="532">
        <v>5</v>
      </c>
      <c r="H25" s="537" t="s">
        <v>636</v>
      </c>
      <c r="I25" s="531">
        <v>11</v>
      </c>
      <c r="J25" s="532">
        <v>5</v>
      </c>
      <c r="K25" s="537" t="s">
        <v>636</v>
      </c>
      <c r="L25" s="531">
        <v>11</v>
      </c>
      <c r="M25" s="532">
        <v>9</v>
      </c>
      <c r="N25" s="537">
        <v>10</v>
      </c>
      <c r="O25" s="531">
        <v>11</v>
      </c>
      <c r="P25" s="532">
        <v>6</v>
      </c>
      <c r="Q25" s="537" t="s">
        <v>636</v>
      </c>
      <c r="R25" s="531">
        <v>11</v>
      </c>
      <c r="S25" s="532">
        <v>5</v>
      </c>
      <c r="T25" s="537" t="s">
        <v>636</v>
      </c>
      <c r="U25" s="531">
        <v>11</v>
      </c>
      <c r="V25" s="532">
        <v>6</v>
      </c>
      <c r="W25" s="537">
        <v>10</v>
      </c>
      <c r="X25" s="531">
        <v>11</v>
      </c>
      <c r="Y25" s="532">
        <v>7</v>
      </c>
      <c r="Z25" s="537">
        <v>10</v>
      </c>
      <c r="AA25" s="531">
        <v>11</v>
      </c>
      <c r="AB25" s="532">
        <v>3</v>
      </c>
      <c r="AC25" s="537">
        <v>10</v>
      </c>
      <c r="AD25" s="531">
        <v>11</v>
      </c>
      <c r="AE25" s="532">
        <v>8</v>
      </c>
      <c r="AF25" s="537">
        <v>10</v>
      </c>
      <c r="AG25" s="531">
        <v>11</v>
      </c>
      <c r="AH25" s="532">
        <v>7</v>
      </c>
      <c r="AI25" s="537">
        <v>10</v>
      </c>
      <c r="AJ25" s="531">
        <v>0</v>
      </c>
      <c r="AK25" s="532">
        <v>0</v>
      </c>
      <c r="AL25" s="538" t="s">
        <v>636</v>
      </c>
      <c r="AM25" s="539"/>
      <c r="AN25" s="540"/>
      <c r="AO25" s="540"/>
      <c r="AP25" s="539"/>
      <c r="AQ25" s="539"/>
      <c r="AR25" s="539"/>
      <c r="AS25" s="539"/>
      <c r="AT25" s="539"/>
      <c r="AU25" s="539"/>
      <c r="AV25" s="539"/>
      <c r="AW25" s="539"/>
      <c r="AX25" s="539"/>
      <c r="AY25" s="539"/>
      <c r="AZ25" s="539"/>
      <c r="BA25" s="539"/>
      <c r="BB25" s="539"/>
      <c r="BC25" s="539"/>
      <c r="BD25" s="539"/>
      <c r="BE25" s="541"/>
      <c r="BF25" s="541"/>
      <c r="BG25" s="541"/>
      <c r="BH25" s="541"/>
      <c r="BI25" s="541"/>
      <c r="BJ25" s="541"/>
      <c r="BK25" s="541"/>
      <c r="BL25" s="541"/>
      <c r="BM25" s="541"/>
      <c r="BN25" s="541"/>
      <c r="BO25" s="541"/>
      <c r="BP25" s="541"/>
      <c r="BQ25" s="541"/>
      <c r="BR25" s="541"/>
      <c r="BS25" s="541"/>
      <c r="BT25" s="541"/>
    </row>
    <row r="26" spans="1:72" x14ac:dyDescent="0.25">
      <c r="A26" s="325" t="s">
        <v>393</v>
      </c>
      <c r="B26" s="331" t="s">
        <v>533</v>
      </c>
      <c r="C26" s="531">
        <v>4</v>
      </c>
      <c r="D26" s="532">
        <v>3</v>
      </c>
      <c r="E26" s="537">
        <v>110</v>
      </c>
      <c r="F26" s="531">
        <v>6</v>
      </c>
      <c r="G26" s="532">
        <v>6</v>
      </c>
      <c r="H26" s="537">
        <v>90</v>
      </c>
      <c r="I26" s="531">
        <v>5</v>
      </c>
      <c r="J26" s="532">
        <v>5</v>
      </c>
      <c r="K26" s="537">
        <v>105</v>
      </c>
      <c r="L26" s="531">
        <v>4</v>
      </c>
      <c r="M26" s="532">
        <v>2</v>
      </c>
      <c r="N26" s="537">
        <v>95</v>
      </c>
      <c r="O26" s="531">
        <v>4</v>
      </c>
      <c r="P26" s="532">
        <v>2</v>
      </c>
      <c r="Q26" s="537">
        <v>90</v>
      </c>
      <c r="R26" s="531">
        <v>4</v>
      </c>
      <c r="S26" s="532">
        <v>1</v>
      </c>
      <c r="T26" s="537">
        <v>100</v>
      </c>
      <c r="U26" s="531">
        <v>4</v>
      </c>
      <c r="V26" s="532">
        <v>3</v>
      </c>
      <c r="W26" s="537">
        <v>100</v>
      </c>
      <c r="X26" s="531">
        <v>7</v>
      </c>
      <c r="Y26" s="532">
        <v>7</v>
      </c>
      <c r="Z26" s="537">
        <v>100</v>
      </c>
      <c r="AA26" s="531">
        <v>6</v>
      </c>
      <c r="AB26" s="532">
        <v>6</v>
      </c>
      <c r="AC26" s="537">
        <v>100</v>
      </c>
      <c r="AD26" s="531">
        <v>4</v>
      </c>
      <c r="AE26" s="532">
        <v>4</v>
      </c>
      <c r="AF26" s="537">
        <v>55</v>
      </c>
      <c r="AG26" s="531">
        <v>4</v>
      </c>
      <c r="AH26" s="532">
        <v>3</v>
      </c>
      <c r="AI26" s="537">
        <v>60</v>
      </c>
      <c r="AJ26" s="531">
        <v>0</v>
      </c>
      <c r="AK26" s="532">
        <v>0</v>
      </c>
      <c r="AL26" s="538">
        <v>30</v>
      </c>
      <c r="AM26" s="539"/>
      <c r="AN26" s="540"/>
      <c r="AO26" s="540"/>
      <c r="AP26" s="539"/>
      <c r="AQ26" s="539"/>
      <c r="AR26" s="539"/>
      <c r="AS26" s="539"/>
      <c r="AT26" s="539"/>
      <c r="AU26" s="539"/>
      <c r="AV26" s="539"/>
      <c r="AW26" s="539"/>
      <c r="AX26" s="539"/>
      <c r="AY26" s="539"/>
      <c r="AZ26" s="539"/>
      <c r="BA26" s="539"/>
      <c r="BB26" s="539"/>
      <c r="BC26" s="539"/>
      <c r="BD26" s="539"/>
      <c r="BE26" s="541"/>
      <c r="BF26" s="541"/>
      <c r="BG26" s="541"/>
      <c r="BH26" s="541"/>
      <c r="BI26" s="541"/>
      <c r="BJ26" s="541"/>
      <c r="BK26" s="541"/>
      <c r="BL26" s="541"/>
      <c r="BM26" s="541"/>
      <c r="BN26" s="541"/>
      <c r="BO26" s="541"/>
      <c r="BP26" s="541"/>
      <c r="BQ26" s="541"/>
      <c r="BR26" s="541"/>
      <c r="BS26" s="541"/>
      <c r="BT26" s="541"/>
    </row>
    <row r="27" spans="1:72" x14ac:dyDescent="0.25">
      <c r="A27" s="325" t="s">
        <v>437</v>
      </c>
      <c r="B27" s="331" t="s">
        <v>576</v>
      </c>
      <c r="C27" s="531">
        <v>34</v>
      </c>
      <c r="D27" s="532">
        <v>29</v>
      </c>
      <c r="E27" s="537">
        <v>45</v>
      </c>
      <c r="F27" s="531">
        <v>34</v>
      </c>
      <c r="G27" s="532">
        <v>24</v>
      </c>
      <c r="H27" s="537">
        <v>55</v>
      </c>
      <c r="I27" s="531">
        <v>34</v>
      </c>
      <c r="J27" s="532">
        <v>31</v>
      </c>
      <c r="K27" s="537">
        <v>60</v>
      </c>
      <c r="L27" s="531">
        <v>34</v>
      </c>
      <c r="M27" s="532">
        <v>31</v>
      </c>
      <c r="N27" s="537">
        <v>55</v>
      </c>
      <c r="O27" s="531">
        <v>34</v>
      </c>
      <c r="P27" s="532">
        <v>33</v>
      </c>
      <c r="Q27" s="537">
        <v>55</v>
      </c>
      <c r="R27" s="531">
        <v>34</v>
      </c>
      <c r="S27" s="532">
        <v>30</v>
      </c>
      <c r="T27" s="537">
        <v>60</v>
      </c>
      <c r="U27" s="531">
        <v>34</v>
      </c>
      <c r="V27" s="532">
        <v>25</v>
      </c>
      <c r="W27" s="537">
        <v>70</v>
      </c>
      <c r="X27" s="531">
        <v>34</v>
      </c>
      <c r="Y27" s="532">
        <v>34</v>
      </c>
      <c r="Z27" s="537">
        <v>65</v>
      </c>
      <c r="AA27" s="531">
        <v>34</v>
      </c>
      <c r="AB27" s="532">
        <v>20</v>
      </c>
      <c r="AC27" s="537">
        <v>40</v>
      </c>
      <c r="AD27" s="531">
        <v>34</v>
      </c>
      <c r="AE27" s="532">
        <v>31</v>
      </c>
      <c r="AF27" s="537">
        <v>55</v>
      </c>
      <c r="AG27" s="531">
        <v>34</v>
      </c>
      <c r="AH27" s="532">
        <v>31</v>
      </c>
      <c r="AI27" s="537">
        <v>65</v>
      </c>
      <c r="AJ27" s="531">
        <v>0</v>
      </c>
      <c r="AK27" s="532">
        <v>0</v>
      </c>
      <c r="AL27" s="538">
        <v>25</v>
      </c>
      <c r="AM27" s="539"/>
      <c r="AN27" s="540"/>
      <c r="AO27" s="540"/>
      <c r="AP27" s="539"/>
      <c r="AQ27" s="539"/>
      <c r="AR27" s="539"/>
      <c r="AS27" s="539"/>
      <c r="AT27" s="539"/>
      <c r="AU27" s="539"/>
      <c r="AV27" s="539"/>
      <c r="AW27" s="539"/>
      <c r="AX27" s="539"/>
      <c r="AY27" s="539"/>
      <c r="AZ27" s="539"/>
      <c r="BA27" s="539"/>
      <c r="BB27" s="539"/>
      <c r="BC27" s="539"/>
      <c r="BD27" s="539"/>
      <c r="BE27" s="541"/>
      <c r="BF27" s="541"/>
      <c r="BG27" s="541"/>
      <c r="BH27" s="541"/>
      <c r="BI27" s="541"/>
      <c r="BJ27" s="541"/>
      <c r="BK27" s="541"/>
      <c r="BL27" s="541"/>
      <c r="BM27" s="541"/>
      <c r="BN27" s="541"/>
      <c r="BO27" s="541"/>
      <c r="BP27" s="541"/>
      <c r="BQ27" s="541"/>
      <c r="BR27" s="541"/>
      <c r="BS27" s="541"/>
      <c r="BT27" s="541"/>
    </row>
    <row r="28" spans="1:72" x14ac:dyDescent="0.25">
      <c r="A28" s="325" t="s">
        <v>304</v>
      </c>
      <c r="B28" s="331" t="s">
        <v>630</v>
      </c>
      <c r="C28" s="531">
        <v>0</v>
      </c>
      <c r="D28" s="532">
        <v>0</v>
      </c>
      <c r="E28" s="537">
        <v>0</v>
      </c>
      <c r="F28" s="531">
        <v>0</v>
      </c>
      <c r="G28" s="532">
        <v>0</v>
      </c>
      <c r="H28" s="537" t="s">
        <v>636</v>
      </c>
      <c r="I28" s="531">
        <v>0</v>
      </c>
      <c r="J28" s="532">
        <v>0</v>
      </c>
      <c r="K28" s="537">
        <v>0</v>
      </c>
      <c r="L28" s="531">
        <v>0</v>
      </c>
      <c r="M28" s="532">
        <v>0</v>
      </c>
      <c r="N28" s="537">
        <v>0</v>
      </c>
      <c r="O28" s="531">
        <v>0</v>
      </c>
      <c r="P28" s="532">
        <v>0</v>
      </c>
      <c r="Q28" s="537" t="s">
        <v>636</v>
      </c>
      <c r="R28" s="531">
        <v>0</v>
      </c>
      <c r="S28" s="532">
        <v>0</v>
      </c>
      <c r="T28" s="537" t="s">
        <v>636</v>
      </c>
      <c r="U28" s="531">
        <v>0</v>
      </c>
      <c r="V28" s="532">
        <v>0</v>
      </c>
      <c r="W28" s="537" t="s">
        <v>636</v>
      </c>
      <c r="X28" s="531">
        <v>0</v>
      </c>
      <c r="Y28" s="532">
        <v>0</v>
      </c>
      <c r="Z28" s="537">
        <v>0</v>
      </c>
      <c r="AA28" s="531">
        <v>0</v>
      </c>
      <c r="AB28" s="532">
        <v>0</v>
      </c>
      <c r="AC28" s="537">
        <v>0</v>
      </c>
      <c r="AD28" s="531">
        <v>0</v>
      </c>
      <c r="AE28" s="532">
        <v>0</v>
      </c>
      <c r="AF28" s="537" t="s">
        <v>636</v>
      </c>
      <c r="AG28" s="531">
        <v>0</v>
      </c>
      <c r="AH28" s="532">
        <v>0</v>
      </c>
      <c r="AI28" s="537">
        <v>0</v>
      </c>
      <c r="AJ28" s="531">
        <v>0</v>
      </c>
      <c r="AK28" s="532">
        <v>0</v>
      </c>
      <c r="AL28" s="538" t="s">
        <v>636</v>
      </c>
      <c r="AM28" s="539"/>
      <c r="AN28" s="540"/>
      <c r="AO28" s="540"/>
      <c r="AP28" s="539"/>
      <c r="AQ28" s="539"/>
      <c r="AR28" s="539"/>
      <c r="AS28" s="539"/>
      <c r="AT28" s="539"/>
      <c r="AU28" s="539"/>
      <c r="AV28" s="539"/>
      <c r="AW28" s="539"/>
      <c r="AX28" s="539"/>
      <c r="AY28" s="539"/>
      <c r="AZ28" s="539"/>
      <c r="BA28" s="539"/>
      <c r="BB28" s="539"/>
      <c r="BC28" s="539"/>
      <c r="BD28" s="539"/>
      <c r="BE28" s="541"/>
      <c r="BF28" s="541"/>
      <c r="BG28" s="541"/>
      <c r="BH28" s="541"/>
      <c r="BI28" s="541"/>
      <c r="BJ28" s="541"/>
      <c r="BK28" s="541"/>
      <c r="BL28" s="541"/>
      <c r="BM28" s="541"/>
      <c r="BN28" s="541"/>
      <c r="BO28" s="541"/>
      <c r="BP28" s="541"/>
      <c r="BQ28" s="541"/>
      <c r="BR28" s="541"/>
      <c r="BS28" s="541"/>
      <c r="BT28" s="541"/>
    </row>
    <row r="29" spans="1:72" x14ac:dyDescent="0.25">
      <c r="A29" s="325" t="s">
        <v>380</v>
      </c>
      <c r="B29" s="331" t="s">
        <v>520</v>
      </c>
      <c r="C29" s="531">
        <v>18</v>
      </c>
      <c r="D29" s="532">
        <v>15</v>
      </c>
      <c r="E29" s="537">
        <v>40</v>
      </c>
      <c r="F29" s="531">
        <v>18</v>
      </c>
      <c r="G29" s="532">
        <v>14</v>
      </c>
      <c r="H29" s="537">
        <v>45</v>
      </c>
      <c r="I29" s="531">
        <v>18</v>
      </c>
      <c r="J29" s="532">
        <v>13</v>
      </c>
      <c r="K29" s="537">
        <v>45</v>
      </c>
      <c r="L29" s="531">
        <v>18</v>
      </c>
      <c r="M29" s="532">
        <v>14</v>
      </c>
      <c r="N29" s="537">
        <v>50</v>
      </c>
      <c r="O29" s="531">
        <v>18</v>
      </c>
      <c r="P29" s="532">
        <v>13</v>
      </c>
      <c r="Q29" s="537">
        <v>35</v>
      </c>
      <c r="R29" s="531">
        <v>18</v>
      </c>
      <c r="S29" s="532">
        <v>16</v>
      </c>
      <c r="T29" s="537">
        <v>50</v>
      </c>
      <c r="U29" s="531">
        <v>18</v>
      </c>
      <c r="V29" s="532">
        <v>10</v>
      </c>
      <c r="W29" s="537">
        <v>45</v>
      </c>
      <c r="X29" s="531">
        <v>18</v>
      </c>
      <c r="Y29" s="532">
        <v>16</v>
      </c>
      <c r="Z29" s="537">
        <v>70</v>
      </c>
      <c r="AA29" s="531">
        <v>18</v>
      </c>
      <c r="AB29" s="532">
        <v>15</v>
      </c>
      <c r="AC29" s="537">
        <v>55</v>
      </c>
      <c r="AD29" s="531">
        <v>18</v>
      </c>
      <c r="AE29" s="532">
        <v>14</v>
      </c>
      <c r="AF29" s="537">
        <v>70</v>
      </c>
      <c r="AG29" s="531">
        <v>18</v>
      </c>
      <c r="AH29" s="532">
        <v>15</v>
      </c>
      <c r="AI29" s="537">
        <v>55</v>
      </c>
      <c r="AJ29" s="531">
        <v>0</v>
      </c>
      <c r="AK29" s="532">
        <v>0</v>
      </c>
      <c r="AL29" s="538">
        <v>20</v>
      </c>
      <c r="AM29" s="539"/>
      <c r="AN29" s="540"/>
      <c r="AO29" s="540"/>
      <c r="AP29" s="539"/>
      <c r="AQ29" s="539"/>
      <c r="AR29" s="539"/>
      <c r="AS29" s="539"/>
      <c r="AT29" s="539"/>
      <c r="AU29" s="539"/>
      <c r="AV29" s="539"/>
      <c r="AW29" s="539"/>
      <c r="AX29" s="539"/>
      <c r="AY29" s="539"/>
      <c r="AZ29" s="539"/>
      <c r="BA29" s="539"/>
      <c r="BB29" s="539"/>
      <c r="BC29" s="539"/>
      <c r="BD29" s="539"/>
      <c r="BE29" s="541"/>
      <c r="BF29" s="541"/>
      <c r="BG29" s="541"/>
      <c r="BH29" s="541"/>
      <c r="BI29" s="541"/>
      <c r="BJ29" s="541"/>
      <c r="BK29" s="541"/>
      <c r="BL29" s="541"/>
      <c r="BM29" s="541"/>
      <c r="BN29" s="541"/>
      <c r="BO29" s="541"/>
      <c r="BP29" s="541"/>
      <c r="BQ29" s="541"/>
      <c r="BR29" s="541"/>
      <c r="BS29" s="541"/>
      <c r="BT29" s="541"/>
    </row>
    <row r="30" spans="1:72" x14ac:dyDescent="0.25">
      <c r="A30" s="325" t="s">
        <v>314</v>
      </c>
      <c r="B30" s="331" t="s">
        <v>454</v>
      </c>
      <c r="C30" s="531">
        <v>16</v>
      </c>
      <c r="D30" s="532">
        <v>12</v>
      </c>
      <c r="E30" s="537">
        <v>50</v>
      </c>
      <c r="F30" s="531">
        <v>16</v>
      </c>
      <c r="G30" s="532">
        <v>12</v>
      </c>
      <c r="H30" s="537">
        <v>50</v>
      </c>
      <c r="I30" s="531">
        <v>16</v>
      </c>
      <c r="J30" s="532">
        <v>9</v>
      </c>
      <c r="K30" s="537">
        <v>50</v>
      </c>
      <c r="L30" s="531">
        <v>16</v>
      </c>
      <c r="M30" s="532">
        <v>12</v>
      </c>
      <c r="N30" s="537">
        <v>45</v>
      </c>
      <c r="O30" s="531">
        <v>16</v>
      </c>
      <c r="P30" s="532">
        <v>14</v>
      </c>
      <c r="Q30" s="537">
        <v>50</v>
      </c>
      <c r="R30" s="531">
        <v>16</v>
      </c>
      <c r="S30" s="532">
        <v>13</v>
      </c>
      <c r="T30" s="537">
        <v>55</v>
      </c>
      <c r="U30" s="531">
        <v>16</v>
      </c>
      <c r="V30" s="532">
        <v>15</v>
      </c>
      <c r="W30" s="537">
        <v>55</v>
      </c>
      <c r="X30" s="531">
        <v>16</v>
      </c>
      <c r="Y30" s="532">
        <v>16</v>
      </c>
      <c r="Z30" s="537">
        <v>65</v>
      </c>
      <c r="AA30" s="531">
        <v>16</v>
      </c>
      <c r="AB30" s="532">
        <v>13</v>
      </c>
      <c r="AC30" s="537">
        <v>45</v>
      </c>
      <c r="AD30" s="531">
        <v>16</v>
      </c>
      <c r="AE30" s="532">
        <v>13</v>
      </c>
      <c r="AF30" s="537">
        <v>45</v>
      </c>
      <c r="AG30" s="531">
        <v>16</v>
      </c>
      <c r="AH30" s="532">
        <v>13</v>
      </c>
      <c r="AI30" s="537">
        <v>45</v>
      </c>
      <c r="AJ30" s="531">
        <v>0</v>
      </c>
      <c r="AK30" s="532">
        <v>0</v>
      </c>
      <c r="AL30" s="538">
        <v>10</v>
      </c>
      <c r="AM30" s="539"/>
      <c r="AN30" s="540"/>
      <c r="AO30" s="540"/>
      <c r="AP30" s="539"/>
      <c r="AQ30" s="539"/>
      <c r="AR30" s="539"/>
      <c r="AS30" s="539"/>
      <c r="AT30" s="539"/>
      <c r="AU30" s="539"/>
      <c r="AV30" s="539"/>
      <c r="AW30" s="539"/>
      <c r="AX30" s="539"/>
      <c r="AY30" s="539"/>
      <c r="AZ30" s="539"/>
      <c r="BA30" s="539"/>
      <c r="BB30" s="539"/>
      <c r="BC30" s="539"/>
      <c r="BD30" s="539"/>
      <c r="BE30" s="541"/>
      <c r="BF30" s="541"/>
      <c r="BG30" s="541"/>
      <c r="BH30" s="541"/>
      <c r="BI30" s="541"/>
      <c r="BJ30" s="541"/>
      <c r="BK30" s="541"/>
      <c r="BL30" s="541"/>
      <c r="BM30" s="541"/>
      <c r="BN30" s="541"/>
      <c r="BO30" s="541"/>
      <c r="BP30" s="541"/>
      <c r="BQ30" s="541"/>
      <c r="BR30" s="541"/>
      <c r="BS30" s="541"/>
      <c r="BT30" s="541"/>
    </row>
    <row r="31" spans="1:72" x14ac:dyDescent="0.25">
      <c r="A31" s="325" t="s">
        <v>435</v>
      </c>
      <c r="B31" s="331" t="s">
        <v>574</v>
      </c>
      <c r="C31" s="531">
        <v>51</v>
      </c>
      <c r="D31" s="532">
        <v>42</v>
      </c>
      <c r="E31" s="537">
        <v>80</v>
      </c>
      <c r="F31" s="531">
        <v>51</v>
      </c>
      <c r="G31" s="532">
        <v>47</v>
      </c>
      <c r="H31" s="537">
        <v>80</v>
      </c>
      <c r="I31" s="531">
        <v>51</v>
      </c>
      <c r="J31" s="532">
        <v>42</v>
      </c>
      <c r="K31" s="537">
        <v>80</v>
      </c>
      <c r="L31" s="531">
        <v>51</v>
      </c>
      <c r="M31" s="532">
        <v>41</v>
      </c>
      <c r="N31" s="537">
        <v>90</v>
      </c>
      <c r="O31" s="531">
        <v>51</v>
      </c>
      <c r="P31" s="532">
        <v>43</v>
      </c>
      <c r="Q31" s="537">
        <v>85</v>
      </c>
      <c r="R31" s="531">
        <v>51</v>
      </c>
      <c r="S31" s="532">
        <v>44</v>
      </c>
      <c r="T31" s="537">
        <v>80</v>
      </c>
      <c r="U31" s="531">
        <v>51</v>
      </c>
      <c r="V31" s="532">
        <v>42</v>
      </c>
      <c r="W31" s="537">
        <v>90</v>
      </c>
      <c r="X31" s="531">
        <v>51</v>
      </c>
      <c r="Y31" s="532">
        <v>43</v>
      </c>
      <c r="Z31" s="537">
        <v>80</v>
      </c>
      <c r="AA31" s="531">
        <v>51</v>
      </c>
      <c r="AB31" s="532">
        <v>40</v>
      </c>
      <c r="AC31" s="537">
        <v>70</v>
      </c>
      <c r="AD31" s="531">
        <v>51</v>
      </c>
      <c r="AE31" s="532">
        <v>44</v>
      </c>
      <c r="AF31" s="537">
        <v>85</v>
      </c>
      <c r="AG31" s="531">
        <v>51</v>
      </c>
      <c r="AH31" s="532">
        <v>39</v>
      </c>
      <c r="AI31" s="537">
        <v>75</v>
      </c>
      <c r="AJ31" s="531">
        <v>0</v>
      </c>
      <c r="AK31" s="532">
        <v>0</v>
      </c>
      <c r="AL31" s="538">
        <v>35</v>
      </c>
      <c r="AM31" s="539"/>
      <c r="AN31" s="540"/>
      <c r="AO31" s="540"/>
      <c r="AP31" s="539"/>
      <c r="AQ31" s="539"/>
      <c r="AR31" s="539"/>
      <c r="AS31" s="539"/>
      <c r="AT31" s="539"/>
      <c r="AU31" s="539"/>
      <c r="AV31" s="539"/>
      <c r="AW31" s="539"/>
      <c r="AX31" s="539"/>
      <c r="AY31" s="539"/>
      <c r="AZ31" s="539"/>
      <c r="BA31" s="539"/>
      <c r="BB31" s="539"/>
      <c r="BC31" s="539"/>
      <c r="BD31" s="539"/>
      <c r="BE31" s="541"/>
      <c r="BF31" s="541"/>
      <c r="BG31" s="541"/>
      <c r="BH31" s="541"/>
      <c r="BI31" s="541"/>
      <c r="BJ31" s="541"/>
      <c r="BK31" s="541"/>
      <c r="BL31" s="541"/>
      <c r="BM31" s="541"/>
      <c r="BN31" s="541"/>
      <c r="BO31" s="541"/>
      <c r="BP31" s="541"/>
      <c r="BQ31" s="541"/>
      <c r="BR31" s="541"/>
      <c r="BS31" s="541"/>
      <c r="BT31" s="541"/>
    </row>
    <row r="32" spans="1:72" x14ac:dyDescent="0.25">
      <c r="A32" s="325" t="s">
        <v>440</v>
      </c>
      <c r="B32" s="331" t="s">
        <v>579</v>
      </c>
      <c r="C32" s="531">
        <v>18</v>
      </c>
      <c r="D32" s="532">
        <v>16</v>
      </c>
      <c r="E32" s="537">
        <v>20</v>
      </c>
      <c r="F32" s="531">
        <v>20</v>
      </c>
      <c r="G32" s="532">
        <v>13</v>
      </c>
      <c r="H32" s="537">
        <v>15</v>
      </c>
      <c r="I32" s="531">
        <v>20</v>
      </c>
      <c r="J32" s="532">
        <v>14</v>
      </c>
      <c r="K32" s="537">
        <v>15</v>
      </c>
      <c r="L32" s="531">
        <v>20</v>
      </c>
      <c r="M32" s="532">
        <v>10</v>
      </c>
      <c r="N32" s="537">
        <v>10</v>
      </c>
      <c r="O32" s="531">
        <v>20</v>
      </c>
      <c r="P32" s="532">
        <v>16</v>
      </c>
      <c r="Q32" s="537">
        <v>15</v>
      </c>
      <c r="R32" s="531">
        <v>20</v>
      </c>
      <c r="S32" s="532">
        <v>15</v>
      </c>
      <c r="T32" s="537">
        <v>15</v>
      </c>
      <c r="U32" s="531">
        <v>20</v>
      </c>
      <c r="V32" s="532">
        <v>15</v>
      </c>
      <c r="W32" s="537">
        <v>15</v>
      </c>
      <c r="X32" s="531">
        <v>20</v>
      </c>
      <c r="Y32" s="532">
        <v>15</v>
      </c>
      <c r="Z32" s="537">
        <v>15</v>
      </c>
      <c r="AA32" s="531">
        <v>20</v>
      </c>
      <c r="AB32" s="532">
        <v>16</v>
      </c>
      <c r="AC32" s="537">
        <v>15</v>
      </c>
      <c r="AD32" s="531">
        <v>20</v>
      </c>
      <c r="AE32" s="532">
        <v>15</v>
      </c>
      <c r="AF32" s="537">
        <v>15</v>
      </c>
      <c r="AG32" s="531">
        <v>20</v>
      </c>
      <c r="AH32" s="532">
        <v>19</v>
      </c>
      <c r="AI32" s="537">
        <v>10</v>
      </c>
      <c r="AJ32" s="531">
        <v>0</v>
      </c>
      <c r="AK32" s="532">
        <v>0</v>
      </c>
      <c r="AL32" s="538" t="s">
        <v>636</v>
      </c>
      <c r="AM32" s="539"/>
      <c r="AN32" s="540"/>
      <c r="AO32" s="540"/>
      <c r="AP32" s="539"/>
      <c r="AQ32" s="539"/>
      <c r="AR32" s="539"/>
      <c r="AS32" s="539"/>
      <c r="AT32" s="539"/>
      <c r="AU32" s="539"/>
      <c r="AV32" s="539"/>
      <c r="AW32" s="539"/>
      <c r="AX32" s="539"/>
      <c r="AY32" s="539"/>
      <c r="AZ32" s="539"/>
      <c r="BA32" s="539"/>
      <c r="BB32" s="539"/>
      <c r="BC32" s="539"/>
      <c r="BD32" s="539"/>
      <c r="BE32" s="541"/>
      <c r="BF32" s="541"/>
      <c r="BG32" s="541"/>
      <c r="BH32" s="541"/>
      <c r="BI32" s="541"/>
      <c r="BJ32" s="541"/>
      <c r="BK32" s="541"/>
      <c r="BL32" s="541"/>
      <c r="BM32" s="541"/>
      <c r="BN32" s="541"/>
      <c r="BO32" s="541"/>
      <c r="BP32" s="541"/>
      <c r="BQ32" s="541"/>
      <c r="BR32" s="541"/>
      <c r="BS32" s="541"/>
      <c r="BT32" s="541"/>
    </row>
    <row r="33" spans="1:72" x14ac:dyDescent="0.25">
      <c r="A33" s="325" t="s">
        <v>431</v>
      </c>
      <c r="B33" s="331" t="s">
        <v>570</v>
      </c>
      <c r="C33" s="531">
        <v>13</v>
      </c>
      <c r="D33" s="532">
        <v>11</v>
      </c>
      <c r="E33" s="537">
        <v>25</v>
      </c>
      <c r="F33" s="531">
        <v>13</v>
      </c>
      <c r="G33" s="532">
        <v>12</v>
      </c>
      <c r="H33" s="537">
        <v>25</v>
      </c>
      <c r="I33" s="531">
        <v>13</v>
      </c>
      <c r="J33" s="532">
        <v>11</v>
      </c>
      <c r="K33" s="537">
        <v>25</v>
      </c>
      <c r="L33" s="531">
        <v>13</v>
      </c>
      <c r="M33" s="532">
        <v>11</v>
      </c>
      <c r="N33" s="537">
        <v>35</v>
      </c>
      <c r="O33" s="531">
        <v>13</v>
      </c>
      <c r="P33" s="532">
        <v>11</v>
      </c>
      <c r="Q33" s="537">
        <v>40</v>
      </c>
      <c r="R33" s="531">
        <v>13</v>
      </c>
      <c r="S33" s="532">
        <v>9</v>
      </c>
      <c r="T33" s="537">
        <v>30</v>
      </c>
      <c r="U33" s="531">
        <v>13</v>
      </c>
      <c r="V33" s="532">
        <v>10</v>
      </c>
      <c r="W33" s="537">
        <v>30</v>
      </c>
      <c r="X33" s="531">
        <v>13</v>
      </c>
      <c r="Y33" s="532">
        <v>8</v>
      </c>
      <c r="Z33" s="537">
        <v>25</v>
      </c>
      <c r="AA33" s="531">
        <v>13</v>
      </c>
      <c r="AB33" s="532">
        <v>10</v>
      </c>
      <c r="AC33" s="537">
        <v>25</v>
      </c>
      <c r="AD33" s="531">
        <v>13</v>
      </c>
      <c r="AE33" s="532">
        <v>7</v>
      </c>
      <c r="AF33" s="537">
        <v>25</v>
      </c>
      <c r="AG33" s="531">
        <v>13</v>
      </c>
      <c r="AH33" s="532">
        <v>12</v>
      </c>
      <c r="AI33" s="537">
        <v>30</v>
      </c>
      <c r="AJ33" s="531">
        <v>0</v>
      </c>
      <c r="AK33" s="532">
        <v>0</v>
      </c>
      <c r="AL33" s="538">
        <v>10</v>
      </c>
      <c r="AM33" s="539"/>
      <c r="AN33" s="540"/>
      <c r="AO33" s="540"/>
      <c r="AP33" s="539"/>
      <c r="AQ33" s="539"/>
      <c r="AR33" s="539"/>
      <c r="AS33" s="539"/>
      <c r="AT33" s="539"/>
      <c r="AU33" s="539"/>
      <c r="AV33" s="539"/>
      <c r="AW33" s="539"/>
      <c r="AX33" s="539"/>
      <c r="AY33" s="539"/>
      <c r="AZ33" s="539"/>
      <c r="BA33" s="539"/>
      <c r="BB33" s="539"/>
      <c r="BC33" s="539"/>
      <c r="BD33" s="539"/>
      <c r="BE33" s="541"/>
      <c r="BF33" s="541"/>
      <c r="BG33" s="541"/>
      <c r="BH33" s="541"/>
      <c r="BI33" s="541"/>
      <c r="BJ33" s="541"/>
      <c r="BK33" s="541"/>
      <c r="BL33" s="541"/>
      <c r="BM33" s="541"/>
      <c r="BN33" s="541"/>
      <c r="BO33" s="541"/>
      <c r="BP33" s="541"/>
      <c r="BQ33" s="541"/>
      <c r="BR33" s="541"/>
      <c r="BS33" s="541"/>
      <c r="BT33" s="541"/>
    </row>
    <row r="34" spans="1:72" x14ac:dyDescent="0.25">
      <c r="A34" s="325" t="s">
        <v>354</v>
      </c>
      <c r="B34" s="331" t="s">
        <v>494</v>
      </c>
      <c r="C34" s="531">
        <v>64</v>
      </c>
      <c r="D34" s="532">
        <v>55</v>
      </c>
      <c r="E34" s="537">
        <v>130</v>
      </c>
      <c r="F34" s="531">
        <v>64</v>
      </c>
      <c r="G34" s="532">
        <v>51</v>
      </c>
      <c r="H34" s="537">
        <v>115</v>
      </c>
      <c r="I34" s="531">
        <v>64</v>
      </c>
      <c r="J34" s="532">
        <v>55</v>
      </c>
      <c r="K34" s="537">
        <v>125</v>
      </c>
      <c r="L34" s="531">
        <v>64</v>
      </c>
      <c r="M34" s="532">
        <v>53</v>
      </c>
      <c r="N34" s="537">
        <v>125</v>
      </c>
      <c r="O34" s="531">
        <v>64</v>
      </c>
      <c r="P34" s="532">
        <v>53</v>
      </c>
      <c r="Q34" s="537">
        <v>115</v>
      </c>
      <c r="R34" s="531">
        <v>64</v>
      </c>
      <c r="S34" s="532">
        <v>55</v>
      </c>
      <c r="T34" s="537">
        <v>130</v>
      </c>
      <c r="U34" s="531">
        <v>64</v>
      </c>
      <c r="V34" s="532">
        <v>52</v>
      </c>
      <c r="W34" s="537">
        <v>130</v>
      </c>
      <c r="X34" s="531">
        <v>64</v>
      </c>
      <c r="Y34" s="532">
        <v>59</v>
      </c>
      <c r="Z34" s="537">
        <v>115</v>
      </c>
      <c r="AA34" s="531">
        <v>64</v>
      </c>
      <c r="AB34" s="532">
        <v>54</v>
      </c>
      <c r="AC34" s="537">
        <v>110</v>
      </c>
      <c r="AD34" s="531">
        <v>64</v>
      </c>
      <c r="AE34" s="532">
        <v>54</v>
      </c>
      <c r="AF34" s="537">
        <v>115</v>
      </c>
      <c r="AG34" s="531">
        <v>64</v>
      </c>
      <c r="AH34" s="532">
        <v>48</v>
      </c>
      <c r="AI34" s="537">
        <v>105</v>
      </c>
      <c r="AJ34" s="531">
        <v>0</v>
      </c>
      <c r="AK34" s="532">
        <v>0</v>
      </c>
      <c r="AL34" s="538">
        <v>35</v>
      </c>
      <c r="AM34" s="539"/>
      <c r="AN34" s="540"/>
      <c r="AO34" s="540"/>
      <c r="AP34" s="539"/>
      <c r="AQ34" s="539"/>
      <c r="AR34" s="539"/>
      <c r="AS34" s="539"/>
      <c r="AT34" s="539"/>
      <c r="AU34" s="539"/>
      <c r="AV34" s="539"/>
      <c r="AW34" s="539"/>
      <c r="AX34" s="539"/>
      <c r="AY34" s="539"/>
      <c r="AZ34" s="539"/>
      <c r="BA34" s="539"/>
      <c r="BB34" s="539"/>
      <c r="BC34" s="539"/>
      <c r="BD34" s="539"/>
      <c r="BE34" s="541"/>
      <c r="BF34" s="541"/>
      <c r="BG34" s="541"/>
      <c r="BH34" s="541"/>
      <c r="BI34" s="541"/>
      <c r="BJ34" s="541"/>
      <c r="BK34" s="541"/>
      <c r="BL34" s="541"/>
      <c r="BM34" s="541"/>
      <c r="BN34" s="541"/>
      <c r="BO34" s="541"/>
      <c r="BP34" s="541"/>
      <c r="BQ34" s="541"/>
      <c r="BR34" s="541"/>
      <c r="BS34" s="541"/>
      <c r="BT34" s="541"/>
    </row>
    <row r="35" spans="1:72" x14ac:dyDescent="0.25">
      <c r="A35" s="325" t="s">
        <v>396</v>
      </c>
      <c r="B35" s="331" t="s">
        <v>536</v>
      </c>
      <c r="C35" s="531">
        <v>22</v>
      </c>
      <c r="D35" s="532">
        <v>16</v>
      </c>
      <c r="E35" s="537">
        <v>20</v>
      </c>
      <c r="F35" s="531">
        <v>22</v>
      </c>
      <c r="G35" s="532">
        <v>12</v>
      </c>
      <c r="H35" s="537">
        <v>20</v>
      </c>
      <c r="I35" s="531">
        <v>22</v>
      </c>
      <c r="J35" s="532">
        <v>13</v>
      </c>
      <c r="K35" s="537">
        <v>20</v>
      </c>
      <c r="L35" s="531">
        <v>22</v>
      </c>
      <c r="M35" s="532">
        <v>11</v>
      </c>
      <c r="N35" s="537">
        <v>20</v>
      </c>
      <c r="O35" s="531">
        <v>22</v>
      </c>
      <c r="P35" s="532">
        <v>15</v>
      </c>
      <c r="Q35" s="537">
        <v>25</v>
      </c>
      <c r="R35" s="531">
        <v>22</v>
      </c>
      <c r="S35" s="532">
        <v>13</v>
      </c>
      <c r="T35" s="537">
        <v>20</v>
      </c>
      <c r="U35" s="531">
        <v>22</v>
      </c>
      <c r="V35" s="532">
        <v>19</v>
      </c>
      <c r="W35" s="537">
        <v>25</v>
      </c>
      <c r="X35" s="531">
        <v>22</v>
      </c>
      <c r="Y35" s="532">
        <v>18</v>
      </c>
      <c r="Z35" s="537">
        <v>35</v>
      </c>
      <c r="AA35" s="531">
        <v>22</v>
      </c>
      <c r="AB35" s="532">
        <v>18</v>
      </c>
      <c r="AC35" s="537">
        <v>35</v>
      </c>
      <c r="AD35" s="531">
        <v>22</v>
      </c>
      <c r="AE35" s="532">
        <v>21</v>
      </c>
      <c r="AF35" s="537">
        <v>35</v>
      </c>
      <c r="AG35" s="531">
        <v>22</v>
      </c>
      <c r="AH35" s="532">
        <v>17</v>
      </c>
      <c r="AI35" s="537">
        <v>30</v>
      </c>
      <c r="AJ35" s="531">
        <v>0</v>
      </c>
      <c r="AK35" s="532">
        <v>0</v>
      </c>
      <c r="AL35" s="538">
        <v>20</v>
      </c>
      <c r="AM35" s="539"/>
      <c r="AN35" s="540"/>
      <c r="AO35" s="540"/>
      <c r="AP35" s="539"/>
      <c r="AQ35" s="539"/>
      <c r="AR35" s="539"/>
      <c r="AS35" s="539"/>
      <c r="AT35" s="539"/>
      <c r="AU35" s="539"/>
      <c r="AV35" s="539"/>
      <c r="AW35" s="539"/>
      <c r="AX35" s="539"/>
      <c r="AY35" s="539"/>
      <c r="AZ35" s="539"/>
      <c r="BA35" s="539"/>
      <c r="BB35" s="539"/>
      <c r="BC35" s="539"/>
      <c r="BD35" s="539"/>
      <c r="BE35" s="541"/>
      <c r="BF35" s="541"/>
      <c r="BG35" s="541"/>
      <c r="BH35" s="541"/>
      <c r="BI35" s="541"/>
      <c r="BJ35" s="541"/>
      <c r="BK35" s="541"/>
      <c r="BL35" s="541"/>
      <c r="BM35" s="541"/>
      <c r="BN35" s="541"/>
      <c r="BO35" s="541"/>
      <c r="BP35" s="541"/>
      <c r="BQ35" s="541"/>
      <c r="BR35" s="541"/>
      <c r="BS35" s="541"/>
      <c r="BT35" s="541"/>
    </row>
    <row r="36" spans="1:72" x14ac:dyDescent="0.25">
      <c r="A36" s="325" t="s">
        <v>349</v>
      </c>
      <c r="B36" s="331" t="s">
        <v>489</v>
      </c>
      <c r="C36" s="531">
        <v>15</v>
      </c>
      <c r="D36" s="532">
        <v>13</v>
      </c>
      <c r="E36" s="537">
        <v>25</v>
      </c>
      <c r="F36" s="531">
        <v>15</v>
      </c>
      <c r="G36" s="532">
        <v>13</v>
      </c>
      <c r="H36" s="537">
        <v>30</v>
      </c>
      <c r="I36" s="531">
        <v>15</v>
      </c>
      <c r="J36" s="532">
        <v>12</v>
      </c>
      <c r="K36" s="537">
        <v>25</v>
      </c>
      <c r="L36" s="531">
        <v>15</v>
      </c>
      <c r="M36" s="532">
        <v>8</v>
      </c>
      <c r="N36" s="537">
        <v>25</v>
      </c>
      <c r="O36" s="531">
        <v>15</v>
      </c>
      <c r="P36" s="532">
        <v>10</v>
      </c>
      <c r="Q36" s="537">
        <v>25</v>
      </c>
      <c r="R36" s="531">
        <v>15</v>
      </c>
      <c r="S36" s="532">
        <v>8</v>
      </c>
      <c r="T36" s="537">
        <v>20</v>
      </c>
      <c r="U36" s="531">
        <v>15</v>
      </c>
      <c r="V36" s="532">
        <v>13</v>
      </c>
      <c r="W36" s="537">
        <v>35</v>
      </c>
      <c r="X36" s="531">
        <v>15</v>
      </c>
      <c r="Y36" s="532">
        <v>13</v>
      </c>
      <c r="Z36" s="537">
        <v>35</v>
      </c>
      <c r="AA36" s="531">
        <v>15</v>
      </c>
      <c r="AB36" s="532">
        <v>13</v>
      </c>
      <c r="AC36" s="537">
        <v>20</v>
      </c>
      <c r="AD36" s="531">
        <v>15</v>
      </c>
      <c r="AE36" s="532">
        <v>14</v>
      </c>
      <c r="AF36" s="537">
        <v>25</v>
      </c>
      <c r="AG36" s="531">
        <v>15</v>
      </c>
      <c r="AH36" s="532">
        <v>12</v>
      </c>
      <c r="AI36" s="537">
        <v>25</v>
      </c>
      <c r="AJ36" s="531">
        <v>0</v>
      </c>
      <c r="AK36" s="532">
        <v>0</v>
      </c>
      <c r="AL36" s="538">
        <v>10</v>
      </c>
      <c r="AM36" s="539"/>
      <c r="AN36" s="540"/>
      <c r="AO36" s="540"/>
      <c r="AP36" s="539"/>
      <c r="AQ36" s="539"/>
      <c r="AR36" s="539"/>
      <c r="AS36" s="539"/>
      <c r="AT36" s="539"/>
      <c r="AU36" s="539"/>
      <c r="AV36" s="539"/>
      <c r="AW36" s="539"/>
      <c r="AX36" s="539"/>
      <c r="AY36" s="539"/>
      <c r="AZ36" s="539"/>
      <c r="BA36" s="539"/>
      <c r="BB36" s="539"/>
      <c r="BC36" s="539"/>
      <c r="BD36" s="539"/>
      <c r="BE36" s="541"/>
      <c r="BF36" s="541"/>
      <c r="BG36" s="541"/>
      <c r="BH36" s="541"/>
      <c r="BI36" s="541"/>
      <c r="BJ36" s="541"/>
      <c r="BK36" s="541"/>
      <c r="BL36" s="541"/>
      <c r="BM36" s="541"/>
      <c r="BN36" s="541"/>
      <c r="BO36" s="541"/>
      <c r="BP36" s="541"/>
      <c r="BQ36" s="541"/>
      <c r="BR36" s="541"/>
      <c r="BS36" s="541"/>
      <c r="BT36" s="541"/>
    </row>
    <row r="37" spans="1:72" x14ac:dyDescent="0.25">
      <c r="A37" s="325" t="s">
        <v>368</v>
      </c>
      <c r="B37" s="331" t="s">
        <v>508</v>
      </c>
      <c r="C37" s="531">
        <v>15</v>
      </c>
      <c r="D37" s="532">
        <v>11</v>
      </c>
      <c r="E37" s="537">
        <v>15</v>
      </c>
      <c r="F37" s="531">
        <v>15</v>
      </c>
      <c r="G37" s="532">
        <v>12</v>
      </c>
      <c r="H37" s="537">
        <v>20</v>
      </c>
      <c r="I37" s="531">
        <v>15</v>
      </c>
      <c r="J37" s="532">
        <v>10</v>
      </c>
      <c r="K37" s="537">
        <v>25</v>
      </c>
      <c r="L37" s="531">
        <v>15</v>
      </c>
      <c r="M37" s="532">
        <v>5</v>
      </c>
      <c r="N37" s="537">
        <v>10</v>
      </c>
      <c r="O37" s="531">
        <v>15</v>
      </c>
      <c r="P37" s="532">
        <v>11</v>
      </c>
      <c r="Q37" s="537">
        <v>20</v>
      </c>
      <c r="R37" s="531">
        <v>15</v>
      </c>
      <c r="S37" s="532">
        <v>6</v>
      </c>
      <c r="T37" s="537">
        <v>15</v>
      </c>
      <c r="U37" s="531">
        <v>15</v>
      </c>
      <c r="V37" s="532">
        <v>10</v>
      </c>
      <c r="W37" s="537">
        <v>20</v>
      </c>
      <c r="X37" s="531">
        <v>15</v>
      </c>
      <c r="Y37" s="532">
        <v>8</v>
      </c>
      <c r="Z37" s="537">
        <v>20</v>
      </c>
      <c r="AA37" s="531">
        <v>15</v>
      </c>
      <c r="AB37" s="532">
        <v>14</v>
      </c>
      <c r="AC37" s="537">
        <v>25</v>
      </c>
      <c r="AD37" s="531">
        <v>15</v>
      </c>
      <c r="AE37" s="532">
        <v>11</v>
      </c>
      <c r="AF37" s="537">
        <v>15</v>
      </c>
      <c r="AG37" s="531">
        <v>15</v>
      </c>
      <c r="AH37" s="532">
        <v>10</v>
      </c>
      <c r="AI37" s="537">
        <v>25</v>
      </c>
      <c r="AJ37" s="531">
        <v>0</v>
      </c>
      <c r="AK37" s="532">
        <v>0</v>
      </c>
      <c r="AL37" s="538" t="s">
        <v>636</v>
      </c>
      <c r="AM37" s="539"/>
      <c r="AN37" s="540"/>
      <c r="AO37" s="540"/>
      <c r="AP37" s="539"/>
      <c r="AQ37" s="539"/>
      <c r="AR37" s="539"/>
      <c r="AS37" s="539"/>
      <c r="AT37" s="539"/>
      <c r="AU37" s="539"/>
      <c r="AV37" s="539"/>
      <c r="AW37" s="539"/>
      <c r="AX37" s="539"/>
      <c r="AY37" s="539"/>
      <c r="AZ37" s="539"/>
      <c r="BA37" s="539"/>
      <c r="BB37" s="539"/>
      <c r="BC37" s="539"/>
      <c r="BD37" s="539"/>
      <c r="BE37" s="541"/>
      <c r="BF37" s="541"/>
      <c r="BG37" s="541"/>
      <c r="BH37" s="541"/>
      <c r="BI37" s="541"/>
      <c r="BJ37" s="541"/>
      <c r="BK37" s="541"/>
      <c r="BL37" s="541"/>
      <c r="BM37" s="541"/>
      <c r="BN37" s="541"/>
      <c r="BO37" s="541"/>
      <c r="BP37" s="541"/>
      <c r="BQ37" s="541"/>
      <c r="BR37" s="541"/>
      <c r="BS37" s="541"/>
      <c r="BT37" s="541"/>
    </row>
    <row r="38" spans="1:72" x14ac:dyDescent="0.25">
      <c r="A38" s="325" t="s">
        <v>439</v>
      </c>
      <c r="B38" s="331" t="s">
        <v>578</v>
      </c>
      <c r="C38" s="531">
        <v>21</v>
      </c>
      <c r="D38" s="532">
        <v>18</v>
      </c>
      <c r="E38" s="537">
        <v>40</v>
      </c>
      <c r="F38" s="531">
        <v>21</v>
      </c>
      <c r="G38" s="532">
        <v>9</v>
      </c>
      <c r="H38" s="537">
        <v>20</v>
      </c>
      <c r="I38" s="531">
        <v>21</v>
      </c>
      <c r="J38" s="532">
        <v>15</v>
      </c>
      <c r="K38" s="537">
        <v>30</v>
      </c>
      <c r="L38" s="531">
        <v>21</v>
      </c>
      <c r="M38" s="532">
        <v>9</v>
      </c>
      <c r="N38" s="537">
        <v>30</v>
      </c>
      <c r="O38" s="531">
        <v>21</v>
      </c>
      <c r="P38" s="532">
        <v>13</v>
      </c>
      <c r="Q38" s="537">
        <v>30</v>
      </c>
      <c r="R38" s="531">
        <v>21</v>
      </c>
      <c r="S38" s="532">
        <v>15</v>
      </c>
      <c r="T38" s="537">
        <v>25</v>
      </c>
      <c r="U38" s="531">
        <v>21</v>
      </c>
      <c r="V38" s="532">
        <v>13</v>
      </c>
      <c r="W38" s="537">
        <v>30</v>
      </c>
      <c r="X38" s="531">
        <v>21</v>
      </c>
      <c r="Y38" s="532">
        <v>12</v>
      </c>
      <c r="Z38" s="537">
        <v>30</v>
      </c>
      <c r="AA38" s="531">
        <v>21</v>
      </c>
      <c r="AB38" s="532">
        <v>15</v>
      </c>
      <c r="AC38" s="537">
        <v>25</v>
      </c>
      <c r="AD38" s="531">
        <v>21</v>
      </c>
      <c r="AE38" s="532">
        <v>15</v>
      </c>
      <c r="AF38" s="537">
        <v>30</v>
      </c>
      <c r="AG38" s="531">
        <v>21</v>
      </c>
      <c r="AH38" s="532">
        <v>15</v>
      </c>
      <c r="AI38" s="537">
        <v>25</v>
      </c>
      <c r="AJ38" s="531">
        <v>0</v>
      </c>
      <c r="AK38" s="532">
        <v>0</v>
      </c>
      <c r="AL38" s="538">
        <v>10</v>
      </c>
      <c r="AM38" s="539"/>
      <c r="AN38" s="540"/>
      <c r="AO38" s="540"/>
      <c r="AP38" s="539"/>
      <c r="AQ38" s="539"/>
      <c r="AR38" s="539"/>
      <c r="AS38" s="539"/>
      <c r="AT38" s="539"/>
      <c r="AU38" s="539"/>
      <c r="AV38" s="539"/>
      <c r="AW38" s="539"/>
      <c r="AX38" s="539"/>
      <c r="AY38" s="539"/>
      <c r="AZ38" s="539"/>
      <c r="BA38" s="539"/>
      <c r="BB38" s="539"/>
      <c r="BC38" s="539"/>
      <c r="BD38" s="539"/>
      <c r="BE38" s="541"/>
      <c r="BF38" s="541"/>
      <c r="BG38" s="541"/>
      <c r="BH38" s="541"/>
      <c r="BI38" s="541"/>
      <c r="BJ38" s="541"/>
      <c r="BK38" s="541"/>
      <c r="BL38" s="541"/>
      <c r="BM38" s="541"/>
      <c r="BN38" s="541"/>
      <c r="BO38" s="541"/>
      <c r="BP38" s="541"/>
      <c r="BQ38" s="541"/>
      <c r="BR38" s="541"/>
      <c r="BS38" s="541"/>
      <c r="BT38" s="541"/>
    </row>
    <row r="39" spans="1:72" x14ac:dyDescent="0.25">
      <c r="A39" s="325" t="s">
        <v>362</v>
      </c>
      <c r="B39" s="331" t="s">
        <v>502</v>
      </c>
      <c r="C39" s="531">
        <v>14</v>
      </c>
      <c r="D39" s="532">
        <v>9</v>
      </c>
      <c r="E39" s="537">
        <v>25</v>
      </c>
      <c r="F39" s="531">
        <v>14</v>
      </c>
      <c r="G39" s="532">
        <v>11</v>
      </c>
      <c r="H39" s="537">
        <v>35</v>
      </c>
      <c r="I39" s="531">
        <v>14</v>
      </c>
      <c r="J39" s="532">
        <v>14</v>
      </c>
      <c r="K39" s="537">
        <v>30</v>
      </c>
      <c r="L39" s="531">
        <v>14</v>
      </c>
      <c r="M39" s="532">
        <v>12</v>
      </c>
      <c r="N39" s="537">
        <v>25</v>
      </c>
      <c r="O39" s="531">
        <v>14</v>
      </c>
      <c r="P39" s="532">
        <v>11</v>
      </c>
      <c r="Q39" s="537">
        <v>15</v>
      </c>
      <c r="R39" s="531">
        <v>14</v>
      </c>
      <c r="S39" s="532">
        <v>13</v>
      </c>
      <c r="T39" s="537">
        <v>25</v>
      </c>
      <c r="U39" s="531">
        <v>15</v>
      </c>
      <c r="V39" s="532">
        <v>14</v>
      </c>
      <c r="W39" s="537">
        <v>30</v>
      </c>
      <c r="X39" s="531">
        <v>14</v>
      </c>
      <c r="Y39" s="532">
        <v>12</v>
      </c>
      <c r="Z39" s="537">
        <v>30</v>
      </c>
      <c r="AA39" s="531">
        <v>14</v>
      </c>
      <c r="AB39" s="532">
        <v>14</v>
      </c>
      <c r="AC39" s="537">
        <v>20</v>
      </c>
      <c r="AD39" s="531">
        <v>14</v>
      </c>
      <c r="AE39" s="532">
        <v>10</v>
      </c>
      <c r="AF39" s="537">
        <v>30</v>
      </c>
      <c r="AG39" s="531">
        <v>14</v>
      </c>
      <c r="AH39" s="532">
        <v>13</v>
      </c>
      <c r="AI39" s="537">
        <v>30</v>
      </c>
      <c r="AJ39" s="531">
        <v>0</v>
      </c>
      <c r="AK39" s="532">
        <v>0</v>
      </c>
      <c r="AL39" s="538">
        <v>10</v>
      </c>
      <c r="AM39" s="539"/>
      <c r="AN39" s="540"/>
      <c r="AO39" s="540"/>
      <c r="AP39" s="539"/>
      <c r="AQ39" s="539"/>
      <c r="AR39" s="539"/>
      <c r="AS39" s="539"/>
      <c r="AT39" s="539"/>
      <c r="AU39" s="539"/>
      <c r="AV39" s="539"/>
      <c r="AW39" s="539"/>
      <c r="AX39" s="539"/>
      <c r="AY39" s="539"/>
      <c r="AZ39" s="539"/>
      <c r="BA39" s="539"/>
      <c r="BB39" s="539"/>
      <c r="BC39" s="539"/>
      <c r="BD39" s="539"/>
      <c r="BE39" s="541"/>
      <c r="BF39" s="541"/>
      <c r="BG39" s="541"/>
      <c r="BH39" s="541"/>
      <c r="BI39" s="541"/>
      <c r="BJ39" s="541"/>
      <c r="BK39" s="541"/>
      <c r="BL39" s="541"/>
      <c r="BM39" s="541"/>
      <c r="BN39" s="541"/>
      <c r="BO39" s="541"/>
      <c r="BP39" s="541"/>
      <c r="BQ39" s="541"/>
      <c r="BR39" s="541"/>
      <c r="BS39" s="541"/>
      <c r="BT39" s="541"/>
    </row>
    <row r="40" spans="1:72" x14ac:dyDescent="0.25">
      <c r="A40" s="325" t="s">
        <v>616</v>
      </c>
      <c r="B40" s="331" t="s">
        <v>617</v>
      </c>
      <c r="C40" s="531">
        <v>0</v>
      </c>
      <c r="D40" s="532">
        <v>0</v>
      </c>
      <c r="E40" s="537">
        <v>0</v>
      </c>
      <c r="F40" s="531">
        <v>0</v>
      </c>
      <c r="G40" s="532">
        <v>0</v>
      </c>
      <c r="H40" s="537">
        <v>0</v>
      </c>
      <c r="I40" s="531">
        <v>0</v>
      </c>
      <c r="J40" s="532">
        <v>0</v>
      </c>
      <c r="K40" s="537">
        <v>0</v>
      </c>
      <c r="L40" s="531">
        <v>0</v>
      </c>
      <c r="M40" s="532">
        <v>0</v>
      </c>
      <c r="N40" s="537" t="s">
        <v>636</v>
      </c>
      <c r="O40" s="531">
        <v>0</v>
      </c>
      <c r="P40" s="532">
        <v>0</v>
      </c>
      <c r="Q40" s="537" t="s">
        <v>636</v>
      </c>
      <c r="R40" s="531">
        <v>0</v>
      </c>
      <c r="S40" s="532">
        <v>0</v>
      </c>
      <c r="T40" s="537">
        <v>10</v>
      </c>
      <c r="U40" s="531">
        <v>15</v>
      </c>
      <c r="V40" s="532">
        <v>13</v>
      </c>
      <c r="W40" s="537">
        <v>20</v>
      </c>
      <c r="X40" s="531">
        <v>15</v>
      </c>
      <c r="Y40" s="532">
        <v>12</v>
      </c>
      <c r="Z40" s="537">
        <v>25</v>
      </c>
      <c r="AA40" s="531">
        <v>15</v>
      </c>
      <c r="AB40" s="532">
        <v>15</v>
      </c>
      <c r="AC40" s="537">
        <v>25</v>
      </c>
      <c r="AD40" s="531">
        <v>15</v>
      </c>
      <c r="AE40" s="532">
        <v>12</v>
      </c>
      <c r="AF40" s="537">
        <v>20</v>
      </c>
      <c r="AG40" s="531">
        <v>15</v>
      </c>
      <c r="AH40" s="532">
        <v>8</v>
      </c>
      <c r="AI40" s="537">
        <v>20</v>
      </c>
      <c r="AJ40" s="531">
        <v>0</v>
      </c>
      <c r="AK40" s="532">
        <v>0</v>
      </c>
      <c r="AL40" s="538" t="s">
        <v>636</v>
      </c>
      <c r="AM40" s="539"/>
      <c r="AN40" s="540"/>
      <c r="AO40" s="540"/>
      <c r="AP40" s="539"/>
      <c r="AQ40" s="539"/>
      <c r="AR40" s="539"/>
      <c r="AS40" s="539"/>
      <c r="AT40" s="539"/>
      <c r="AU40" s="539"/>
      <c r="AV40" s="539"/>
      <c r="AW40" s="539"/>
      <c r="AX40" s="539"/>
      <c r="AY40" s="539"/>
      <c r="AZ40" s="539"/>
      <c r="BA40" s="539"/>
      <c r="BB40" s="539"/>
      <c r="BC40" s="539"/>
      <c r="BD40" s="539"/>
      <c r="BE40" s="541"/>
      <c r="BF40" s="541"/>
      <c r="BG40" s="541"/>
      <c r="BH40" s="541"/>
      <c r="BI40" s="541"/>
      <c r="BJ40" s="541"/>
      <c r="BK40" s="541"/>
      <c r="BL40" s="541"/>
      <c r="BM40" s="541"/>
      <c r="BN40" s="541"/>
      <c r="BO40" s="541"/>
      <c r="BP40" s="541"/>
      <c r="BQ40" s="541"/>
      <c r="BR40" s="541"/>
      <c r="BS40" s="541"/>
      <c r="BT40" s="541"/>
    </row>
    <row r="41" spans="1:72" x14ac:dyDescent="0.25">
      <c r="A41" s="325" t="s">
        <v>384</v>
      </c>
      <c r="B41" s="331" t="s">
        <v>524</v>
      </c>
      <c r="C41" s="531">
        <v>10</v>
      </c>
      <c r="D41" s="532">
        <v>9</v>
      </c>
      <c r="E41" s="537">
        <v>30</v>
      </c>
      <c r="F41" s="531">
        <v>10</v>
      </c>
      <c r="G41" s="532">
        <v>9</v>
      </c>
      <c r="H41" s="537">
        <v>10</v>
      </c>
      <c r="I41" s="531">
        <v>10</v>
      </c>
      <c r="J41" s="532">
        <v>10</v>
      </c>
      <c r="K41" s="537">
        <v>10</v>
      </c>
      <c r="L41" s="531">
        <v>10</v>
      </c>
      <c r="M41" s="532">
        <v>8</v>
      </c>
      <c r="N41" s="537">
        <v>10</v>
      </c>
      <c r="O41" s="531">
        <v>10</v>
      </c>
      <c r="P41" s="532">
        <v>10</v>
      </c>
      <c r="Q41" s="537">
        <v>15</v>
      </c>
      <c r="R41" s="531">
        <v>10</v>
      </c>
      <c r="S41" s="532">
        <v>10</v>
      </c>
      <c r="T41" s="537">
        <v>20</v>
      </c>
      <c r="U41" s="531">
        <v>10</v>
      </c>
      <c r="V41" s="532">
        <v>8</v>
      </c>
      <c r="W41" s="537">
        <v>25</v>
      </c>
      <c r="X41" s="531">
        <v>10</v>
      </c>
      <c r="Y41" s="532">
        <v>9</v>
      </c>
      <c r="Z41" s="537">
        <v>30</v>
      </c>
      <c r="AA41" s="531">
        <v>10</v>
      </c>
      <c r="AB41" s="532">
        <v>9</v>
      </c>
      <c r="AC41" s="537">
        <v>20</v>
      </c>
      <c r="AD41" s="531">
        <v>10</v>
      </c>
      <c r="AE41" s="532">
        <v>10</v>
      </c>
      <c r="AF41" s="537">
        <v>30</v>
      </c>
      <c r="AG41" s="531">
        <v>10</v>
      </c>
      <c r="AH41" s="532">
        <v>10</v>
      </c>
      <c r="AI41" s="537">
        <v>25</v>
      </c>
      <c r="AJ41" s="531">
        <v>0</v>
      </c>
      <c r="AK41" s="532">
        <v>0</v>
      </c>
      <c r="AL41" s="538">
        <v>10</v>
      </c>
      <c r="AM41" s="539"/>
      <c r="AN41" s="540"/>
      <c r="AO41" s="540"/>
      <c r="AP41" s="539"/>
      <c r="AQ41" s="539"/>
      <c r="AR41" s="539"/>
      <c r="AS41" s="539"/>
      <c r="AT41" s="539"/>
      <c r="AU41" s="539"/>
      <c r="AV41" s="539"/>
      <c r="AW41" s="539"/>
      <c r="AX41" s="539"/>
      <c r="AY41" s="539"/>
      <c r="AZ41" s="539"/>
      <c r="BA41" s="539"/>
      <c r="BB41" s="539"/>
      <c r="BC41" s="539"/>
      <c r="BD41" s="539"/>
      <c r="BE41" s="541"/>
      <c r="BF41" s="541"/>
      <c r="BG41" s="541"/>
      <c r="BH41" s="541"/>
      <c r="BI41" s="541"/>
      <c r="BJ41" s="541"/>
      <c r="BK41" s="541"/>
      <c r="BL41" s="541"/>
      <c r="BM41" s="541"/>
      <c r="BN41" s="541"/>
      <c r="BO41" s="541"/>
      <c r="BP41" s="541"/>
      <c r="BQ41" s="541"/>
      <c r="BR41" s="541"/>
      <c r="BS41" s="541"/>
      <c r="BT41" s="541"/>
    </row>
    <row r="42" spans="1:72" x14ac:dyDescent="0.25">
      <c r="A42" s="325" t="s">
        <v>390</v>
      </c>
      <c r="B42" s="331" t="s">
        <v>530</v>
      </c>
      <c r="C42" s="531">
        <v>20</v>
      </c>
      <c r="D42" s="532">
        <v>14</v>
      </c>
      <c r="E42" s="537">
        <v>30</v>
      </c>
      <c r="F42" s="531">
        <v>20</v>
      </c>
      <c r="G42" s="532">
        <v>13</v>
      </c>
      <c r="H42" s="537">
        <v>40</v>
      </c>
      <c r="I42" s="531">
        <v>20</v>
      </c>
      <c r="J42" s="532">
        <v>9</v>
      </c>
      <c r="K42" s="537">
        <v>30</v>
      </c>
      <c r="L42" s="531">
        <v>20</v>
      </c>
      <c r="M42" s="532">
        <v>10</v>
      </c>
      <c r="N42" s="537">
        <v>30</v>
      </c>
      <c r="O42" s="531">
        <v>20</v>
      </c>
      <c r="P42" s="532">
        <v>16</v>
      </c>
      <c r="Q42" s="537">
        <v>45</v>
      </c>
      <c r="R42" s="531">
        <v>20</v>
      </c>
      <c r="S42" s="532">
        <v>9</v>
      </c>
      <c r="T42" s="537">
        <v>30</v>
      </c>
      <c r="U42" s="531">
        <v>20</v>
      </c>
      <c r="V42" s="532">
        <v>17</v>
      </c>
      <c r="W42" s="537">
        <v>40</v>
      </c>
      <c r="X42" s="531">
        <v>20</v>
      </c>
      <c r="Y42" s="532">
        <v>11</v>
      </c>
      <c r="Z42" s="537">
        <v>35</v>
      </c>
      <c r="AA42" s="531">
        <v>20</v>
      </c>
      <c r="AB42" s="532">
        <v>11</v>
      </c>
      <c r="AC42" s="537">
        <v>30</v>
      </c>
      <c r="AD42" s="531">
        <v>20</v>
      </c>
      <c r="AE42" s="532">
        <v>13</v>
      </c>
      <c r="AF42" s="537">
        <v>35</v>
      </c>
      <c r="AG42" s="531">
        <v>20</v>
      </c>
      <c r="AH42" s="532">
        <v>8</v>
      </c>
      <c r="AI42" s="537">
        <v>25</v>
      </c>
      <c r="AJ42" s="531">
        <v>0</v>
      </c>
      <c r="AK42" s="532">
        <v>0</v>
      </c>
      <c r="AL42" s="538">
        <v>10</v>
      </c>
      <c r="AM42" s="539"/>
      <c r="AN42" s="540"/>
      <c r="AO42" s="540"/>
      <c r="AP42" s="539"/>
      <c r="AQ42" s="539"/>
      <c r="AR42" s="539"/>
      <c r="AS42" s="539"/>
      <c r="AT42" s="539"/>
      <c r="AU42" s="539"/>
      <c r="AV42" s="539"/>
      <c r="AW42" s="539"/>
      <c r="AX42" s="539"/>
      <c r="AY42" s="539"/>
      <c r="AZ42" s="539"/>
      <c r="BA42" s="539"/>
      <c r="BB42" s="539"/>
      <c r="BC42" s="539"/>
      <c r="BD42" s="539"/>
      <c r="BE42" s="541"/>
      <c r="BF42" s="541"/>
      <c r="BG42" s="541"/>
      <c r="BH42" s="541"/>
      <c r="BI42" s="541"/>
      <c r="BJ42" s="541"/>
      <c r="BK42" s="541"/>
      <c r="BL42" s="541"/>
      <c r="BM42" s="541"/>
      <c r="BN42" s="541"/>
      <c r="BO42" s="541"/>
      <c r="BP42" s="541"/>
      <c r="BQ42" s="541"/>
      <c r="BR42" s="541"/>
      <c r="BS42" s="541"/>
      <c r="BT42" s="541"/>
    </row>
    <row r="43" spans="1:72" x14ac:dyDescent="0.25">
      <c r="A43" s="325" t="s">
        <v>322</v>
      </c>
      <c r="B43" s="331" t="s">
        <v>462</v>
      </c>
      <c r="C43" s="531">
        <v>8</v>
      </c>
      <c r="D43" s="532">
        <v>7</v>
      </c>
      <c r="E43" s="537">
        <v>10</v>
      </c>
      <c r="F43" s="531">
        <v>8</v>
      </c>
      <c r="G43" s="532">
        <v>7</v>
      </c>
      <c r="H43" s="537">
        <v>10</v>
      </c>
      <c r="I43" s="531">
        <v>8</v>
      </c>
      <c r="J43" s="532">
        <v>7</v>
      </c>
      <c r="K43" s="537">
        <v>10</v>
      </c>
      <c r="L43" s="531">
        <v>8</v>
      </c>
      <c r="M43" s="532">
        <v>4</v>
      </c>
      <c r="N43" s="537">
        <v>10</v>
      </c>
      <c r="O43" s="531">
        <v>8</v>
      </c>
      <c r="P43" s="532">
        <v>8</v>
      </c>
      <c r="Q43" s="537">
        <v>15</v>
      </c>
      <c r="R43" s="531">
        <v>8</v>
      </c>
      <c r="S43" s="532">
        <v>5</v>
      </c>
      <c r="T43" s="537">
        <v>10</v>
      </c>
      <c r="U43" s="531">
        <v>8</v>
      </c>
      <c r="V43" s="532">
        <v>7</v>
      </c>
      <c r="W43" s="537">
        <v>10</v>
      </c>
      <c r="X43" s="531">
        <v>8</v>
      </c>
      <c r="Y43" s="532">
        <v>6</v>
      </c>
      <c r="Z43" s="537">
        <v>10</v>
      </c>
      <c r="AA43" s="531">
        <v>8</v>
      </c>
      <c r="AB43" s="532">
        <v>8</v>
      </c>
      <c r="AC43" s="537">
        <v>10</v>
      </c>
      <c r="AD43" s="531">
        <v>8</v>
      </c>
      <c r="AE43" s="532">
        <v>6</v>
      </c>
      <c r="AF43" s="537">
        <v>10</v>
      </c>
      <c r="AG43" s="531">
        <v>8</v>
      </c>
      <c r="AH43" s="532">
        <v>8</v>
      </c>
      <c r="AI43" s="537">
        <v>15</v>
      </c>
      <c r="AJ43" s="531">
        <v>0</v>
      </c>
      <c r="AK43" s="532">
        <v>0</v>
      </c>
      <c r="AL43" s="538" t="s">
        <v>636</v>
      </c>
      <c r="AM43" s="539"/>
      <c r="AN43" s="540"/>
      <c r="AO43" s="540"/>
      <c r="AP43" s="539"/>
      <c r="AQ43" s="539"/>
      <c r="AR43" s="539"/>
      <c r="AS43" s="539"/>
      <c r="AT43" s="539"/>
      <c r="AU43" s="539"/>
      <c r="AV43" s="539"/>
      <c r="AW43" s="539"/>
      <c r="AX43" s="539"/>
      <c r="AY43" s="539"/>
      <c r="AZ43" s="539"/>
      <c r="BA43" s="539"/>
      <c r="BB43" s="539"/>
      <c r="BC43" s="539"/>
      <c r="BD43" s="539"/>
      <c r="BE43" s="541"/>
      <c r="BF43" s="541"/>
      <c r="BG43" s="541"/>
      <c r="BH43" s="541"/>
      <c r="BI43" s="541"/>
      <c r="BJ43" s="541"/>
      <c r="BK43" s="541"/>
      <c r="BL43" s="541"/>
      <c r="BM43" s="541"/>
      <c r="BN43" s="541"/>
      <c r="BO43" s="541"/>
      <c r="BP43" s="541"/>
      <c r="BQ43" s="541"/>
      <c r="BR43" s="541"/>
      <c r="BS43" s="541"/>
      <c r="BT43" s="541"/>
    </row>
    <row r="44" spans="1:72" x14ac:dyDescent="0.25">
      <c r="A44" s="325" t="s">
        <v>427</v>
      </c>
      <c r="B44" s="331" t="s">
        <v>566</v>
      </c>
      <c r="C44" s="531">
        <v>18</v>
      </c>
      <c r="D44" s="532">
        <v>16</v>
      </c>
      <c r="E44" s="537">
        <v>25</v>
      </c>
      <c r="F44" s="531">
        <v>18</v>
      </c>
      <c r="G44" s="532">
        <v>13</v>
      </c>
      <c r="H44" s="537">
        <v>20</v>
      </c>
      <c r="I44" s="531">
        <v>18</v>
      </c>
      <c r="J44" s="532">
        <v>13</v>
      </c>
      <c r="K44" s="537">
        <v>20</v>
      </c>
      <c r="L44" s="531">
        <v>18</v>
      </c>
      <c r="M44" s="532">
        <v>17</v>
      </c>
      <c r="N44" s="537">
        <v>25</v>
      </c>
      <c r="O44" s="531">
        <v>18</v>
      </c>
      <c r="P44" s="532">
        <v>14</v>
      </c>
      <c r="Q44" s="537">
        <v>20</v>
      </c>
      <c r="R44" s="531">
        <v>18</v>
      </c>
      <c r="S44" s="532">
        <v>13</v>
      </c>
      <c r="T44" s="537">
        <v>20</v>
      </c>
      <c r="U44" s="531">
        <v>18</v>
      </c>
      <c r="V44" s="532">
        <v>15</v>
      </c>
      <c r="W44" s="537">
        <v>25</v>
      </c>
      <c r="X44" s="531">
        <v>18</v>
      </c>
      <c r="Y44" s="532">
        <v>18</v>
      </c>
      <c r="Z44" s="537">
        <v>20</v>
      </c>
      <c r="AA44" s="531">
        <v>18</v>
      </c>
      <c r="AB44" s="532">
        <v>11</v>
      </c>
      <c r="AC44" s="537">
        <v>20</v>
      </c>
      <c r="AD44" s="531">
        <v>18</v>
      </c>
      <c r="AE44" s="532">
        <v>13</v>
      </c>
      <c r="AF44" s="537">
        <v>20</v>
      </c>
      <c r="AG44" s="531">
        <v>18</v>
      </c>
      <c r="AH44" s="532">
        <v>17</v>
      </c>
      <c r="AI44" s="537">
        <v>25</v>
      </c>
      <c r="AJ44" s="531">
        <v>0</v>
      </c>
      <c r="AK44" s="532">
        <v>0</v>
      </c>
      <c r="AL44" s="538">
        <v>15</v>
      </c>
      <c r="AM44" s="539"/>
      <c r="AN44" s="540"/>
      <c r="AO44" s="540"/>
      <c r="AP44" s="539"/>
      <c r="AQ44" s="539"/>
      <c r="AR44" s="539"/>
      <c r="AS44" s="539"/>
      <c r="AT44" s="539"/>
      <c r="AU44" s="539"/>
      <c r="AV44" s="539"/>
      <c r="AW44" s="539"/>
      <c r="AX44" s="539"/>
      <c r="AY44" s="539"/>
      <c r="AZ44" s="539"/>
      <c r="BA44" s="539"/>
      <c r="BB44" s="539"/>
      <c r="BC44" s="539"/>
      <c r="BD44" s="539"/>
      <c r="BE44" s="541"/>
      <c r="BF44" s="541"/>
      <c r="BG44" s="541"/>
      <c r="BH44" s="541"/>
      <c r="BI44" s="541"/>
      <c r="BJ44" s="541"/>
      <c r="BK44" s="541"/>
      <c r="BL44" s="541"/>
      <c r="BM44" s="541"/>
      <c r="BN44" s="541"/>
      <c r="BO44" s="541"/>
      <c r="BP44" s="541"/>
      <c r="BQ44" s="541"/>
      <c r="BR44" s="541"/>
      <c r="BS44" s="541"/>
      <c r="BT44" s="541"/>
    </row>
    <row r="45" spans="1:72" x14ac:dyDescent="0.25">
      <c r="A45" s="325" t="s">
        <v>367</v>
      </c>
      <c r="B45" s="331" t="s">
        <v>507</v>
      </c>
      <c r="C45" s="531">
        <v>6</v>
      </c>
      <c r="D45" s="532">
        <v>5</v>
      </c>
      <c r="E45" s="537">
        <v>10</v>
      </c>
      <c r="F45" s="531">
        <v>6</v>
      </c>
      <c r="G45" s="532">
        <v>3</v>
      </c>
      <c r="H45" s="537">
        <v>10</v>
      </c>
      <c r="I45" s="531">
        <v>6</v>
      </c>
      <c r="J45" s="532">
        <v>5</v>
      </c>
      <c r="K45" s="537">
        <v>10</v>
      </c>
      <c r="L45" s="531">
        <v>6</v>
      </c>
      <c r="M45" s="532">
        <v>6</v>
      </c>
      <c r="N45" s="537">
        <v>10</v>
      </c>
      <c r="O45" s="531">
        <v>7</v>
      </c>
      <c r="P45" s="532">
        <v>7</v>
      </c>
      <c r="Q45" s="537">
        <v>10</v>
      </c>
      <c r="R45" s="531">
        <v>6</v>
      </c>
      <c r="S45" s="532">
        <v>5</v>
      </c>
      <c r="T45" s="537" t="s">
        <v>636</v>
      </c>
      <c r="U45" s="531">
        <v>6</v>
      </c>
      <c r="V45" s="532">
        <v>6</v>
      </c>
      <c r="W45" s="537">
        <v>10</v>
      </c>
      <c r="X45" s="531">
        <v>6</v>
      </c>
      <c r="Y45" s="532">
        <v>5</v>
      </c>
      <c r="Z45" s="537">
        <v>15</v>
      </c>
      <c r="AA45" s="531">
        <v>6</v>
      </c>
      <c r="AB45" s="532">
        <v>4</v>
      </c>
      <c r="AC45" s="537">
        <v>10</v>
      </c>
      <c r="AD45" s="531">
        <v>6</v>
      </c>
      <c r="AE45" s="532">
        <v>5</v>
      </c>
      <c r="AF45" s="537">
        <v>10</v>
      </c>
      <c r="AG45" s="531">
        <v>6</v>
      </c>
      <c r="AH45" s="532">
        <v>3</v>
      </c>
      <c r="AI45" s="537" t="s">
        <v>636</v>
      </c>
      <c r="AJ45" s="531">
        <v>0</v>
      </c>
      <c r="AK45" s="532">
        <v>0</v>
      </c>
      <c r="AL45" s="538" t="s">
        <v>636</v>
      </c>
      <c r="AM45" s="539"/>
      <c r="AN45" s="540"/>
      <c r="AO45" s="540"/>
      <c r="AP45" s="539"/>
      <c r="AQ45" s="539"/>
      <c r="AR45" s="539"/>
      <c r="AS45" s="539"/>
      <c r="AT45" s="539"/>
      <c r="AU45" s="539"/>
      <c r="AV45" s="539"/>
      <c r="AW45" s="539"/>
      <c r="AX45" s="539"/>
      <c r="AY45" s="539"/>
      <c r="AZ45" s="539"/>
      <c r="BA45" s="539"/>
      <c r="BB45" s="539"/>
      <c r="BC45" s="539"/>
      <c r="BD45" s="539"/>
      <c r="BE45" s="541"/>
      <c r="BF45" s="541"/>
      <c r="BG45" s="541"/>
      <c r="BH45" s="541"/>
      <c r="BI45" s="541"/>
      <c r="BJ45" s="541"/>
      <c r="BK45" s="541"/>
      <c r="BL45" s="541"/>
      <c r="BM45" s="541"/>
      <c r="BN45" s="541"/>
      <c r="BO45" s="541"/>
      <c r="BP45" s="541"/>
      <c r="BQ45" s="541"/>
      <c r="BR45" s="541"/>
      <c r="BS45" s="541"/>
      <c r="BT45" s="541"/>
    </row>
    <row r="46" spans="1:72" x14ac:dyDescent="0.25">
      <c r="A46" s="325" t="s">
        <v>418</v>
      </c>
      <c r="B46" s="331" t="s">
        <v>557</v>
      </c>
      <c r="C46" s="531">
        <v>30</v>
      </c>
      <c r="D46" s="532">
        <v>23</v>
      </c>
      <c r="E46" s="537">
        <v>30</v>
      </c>
      <c r="F46" s="531">
        <v>30</v>
      </c>
      <c r="G46" s="532">
        <v>28</v>
      </c>
      <c r="H46" s="537">
        <v>30</v>
      </c>
      <c r="I46" s="531">
        <v>30</v>
      </c>
      <c r="J46" s="532">
        <v>22</v>
      </c>
      <c r="K46" s="537">
        <v>25</v>
      </c>
      <c r="L46" s="531">
        <v>30</v>
      </c>
      <c r="M46" s="532">
        <v>23</v>
      </c>
      <c r="N46" s="537">
        <v>25</v>
      </c>
      <c r="O46" s="531">
        <v>30</v>
      </c>
      <c r="P46" s="532">
        <v>24</v>
      </c>
      <c r="Q46" s="537">
        <v>30</v>
      </c>
      <c r="R46" s="531">
        <v>30</v>
      </c>
      <c r="S46" s="532">
        <v>17</v>
      </c>
      <c r="T46" s="537">
        <v>20</v>
      </c>
      <c r="U46" s="531">
        <v>30</v>
      </c>
      <c r="V46" s="532">
        <v>12</v>
      </c>
      <c r="W46" s="537">
        <v>30</v>
      </c>
      <c r="X46" s="531">
        <v>30</v>
      </c>
      <c r="Y46" s="532">
        <v>18</v>
      </c>
      <c r="Z46" s="537">
        <v>25</v>
      </c>
      <c r="AA46" s="531">
        <v>30</v>
      </c>
      <c r="AB46" s="532">
        <v>22</v>
      </c>
      <c r="AC46" s="537">
        <v>25</v>
      </c>
      <c r="AD46" s="531">
        <v>30</v>
      </c>
      <c r="AE46" s="532">
        <v>21</v>
      </c>
      <c r="AF46" s="537">
        <v>25</v>
      </c>
      <c r="AG46" s="531">
        <v>30</v>
      </c>
      <c r="AH46" s="532">
        <v>18</v>
      </c>
      <c r="AI46" s="537">
        <v>25</v>
      </c>
      <c r="AJ46" s="531">
        <v>0</v>
      </c>
      <c r="AK46" s="532">
        <v>0</v>
      </c>
      <c r="AL46" s="538">
        <v>10</v>
      </c>
      <c r="AM46" s="539"/>
      <c r="AN46" s="540"/>
      <c r="AO46" s="540"/>
      <c r="AP46" s="539"/>
      <c r="AQ46" s="539"/>
      <c r="AR46" s="539"/>
      <c r="AS46" s="539"/>
      <c r="AT46" s="539"/>
      <c r="AU46" s="539"/>
      <c r="AV46" s="539"/>
      <c r="AW46" s="539"/>
      <c r="AX46" s="539"/>
      <c r="AY46" s="539"/>
      <c r="AZ46" s="539"/>
      <c r="BA46" s="539"/>
      <c r="BB46" s="539"/>
      <c r="BC46" s="539"/>
      <c r="BD46" s="539"/>
      <c r="BE46" s="541"/>
      <c r="BF46" s="541"/>
      <c r="BG46" s="541"/>
      <c r="BH46" s="541"/>
      <c r="BI46" s="541"/>
      <c r="BJ46" s="541"/>
      <c r="BK46" s="541"/>
      <c r="BL46" s="541"/>
      <c r="BM46" s="541"/>
      <c r="BN46" s="541"/>
      <c r="BO46" s="541"/>
      <c r="BP46" s="541"/>
      <c r="BQ46" s="541"/>
      <c r="BR46" s="541"/>
      <c r="BS46" s="541"/>
      <c r="BT46" s="541"/>
    </row>
    <row r="47" spans="1:72" x14ac:dyDescent="0.25">
      <c r="A47" s="325" t="s">
        <v>441</v>
      </c>
      <c r="B47" s="331" t="s">
        <v>580</v>
      </c>
      <c r="C47" s="531">
        <v>24</v>
      </c>
      <c r="D47" s="532">
        <v>20</v>
      </c>
      <c r="E47" s="537">
        <v>40</v>
      </c>
      <c r="F47" s="531">
        <v>24</v>
      </c>
      <c r="G47" s="532">
        <v>14</v>
      </c>
      <c r="H47" s="537">
        <v>40</v>
      </c>
      <c r="I47" s="531">
        <v>24</v>
      </c>
      <c r="J47" s="532">
        <v>20</v>
      </c>
      <c r="K47" s="537">
        <v>45</v>
      </c>
      <c r="L47" s="531">
        <v>24</v>
      </c>
      <c r="M47" s="532">
        <v>21</v>
      </c>
      <c r="N47" s="537">
        <v>30</v>
      </c>
      <c r="O47" s="531">
        <v>24</v>
      </c>
      <c r="P47" s="532">
        <v>20</v>
      </c>
      <c r="Q47" s="537">
        <v>35</v>
      </c>
      <c r="R47" s="531">
        <v>24</v>
      </c>
      <c r="S47" s="532">
        <v>20</v>
      </c>
      <c r="T47" s="537">
        <v>40</v>
      </c>
      <c r="U47" s="531">
        <v>24</v>
      </c>
      <c r="V47" s="532">
        <v>19</v>
      </c>
      <c r="W47" s="537">
        <v>25</v>
      </c>
      <c r="X47" s="531">
        <v>24</v>
      </c>
      <c r="Y47" s="532">
        <v>21</v>
      </c>
      <c r="Z47" s="537">
        <v>25</v>
      </c>
      <c r="AA47" s="531">
        <v>24</v>
      </c>
      <c r="AB47" s="532">
        <v>18</v>
      </c>
      <c r="AC47" s="537">
        <v>20</v>
      </c>
      <c r="AD47" s="531">
        <v>24</v>
      </c>
      <c r="AE47" s="532">
        <v>21</v>
      </c>
      <c r="AF47" s="537">
        <v>30</v>
      </c>
      <c r="AG47" s="531">
        <v>24</v>
      </c>
      <c r="AH47" s="532">
        <v>19</v>
      </c>
      <c r="AI47" s="537">
        <v>25</v>
      </c>
      <c r="AJ47" s="531">
        <v>0</v>
      </c>
      <c r="AK47" s="532">
        <v>0</v>
      </c>
      <c r="AL47" s="538">
        <v>15</v>
      </c>
      <c r="AM47" s="539"/>
      <c r="AN47" s="540"/>
      <c r="AO47" s="540"/>
      <c r="AP47" s="539"/>
      <c r="AQ47" s="539"/>
      <c r="AR47" s="539"/>
      <c r="AS47" s="539"/>
      <c r="AT47" s="539"/>
      <c r="AU47" s="539"/>
      <c r="AV47" s="539"/>
      <c r="AW47" s="539"/>
      <c r="AX47" s="539"/>
      <c r="AY47" s="539"/>
      <c r="AZ47" s="539"/>
      <c r="BA47" s="539"/>
      <c r="BB47" s="539"/>
      <c r="BC47" s="539"/>
      <c r="BD47" s="539"/>
      <c r="BE47" s="541"/>
      <c r="BF47" s="541"/>
      <c r="BG47" s="541"/>
      <c r="BH47" s="541"/>
      <c r="BI47" s="541"/>
      <c r="BJ47" s="541"/>
      <c r="BK47" s="541"/>
      <c r="BL47" s="541"/>
      <c r="BM47" s="541"/>
      <c r="BN47" s="541"/>
      <c r="BO47" s="541"/>
      <c r="BP47" s="541"/>
      <c r="BQ47" s="541"/>
      <c r="BR47" s="541"/>
      <c r="BS47" s="541"/>
      <c r="BT47" s="541"/>
    </row>
    <row r="48" spans="1:72" x14ac:dyDescent="0.25">
      <c r="A48" s="325" t="s">
        <v>340</v>
      </c>
      <c r="B48" s="331" t="s">
        <v>480</v>
      </c>
      <c r="C48" s="531">
        <v>25</v>
      </c>
      <c r="D48" s="532">
        <v>19</v>
      </c>
      <c r="E48" s="537">
        <v>50</v>
      </c>
      <c r="F48" s="531">
        <v>25</v>
      </c>
      <c r="G48" s="532">
        <v>18</v>
      </c>
      <c r="H48" s="537">
        <v>45</v>
      </c>
      <c r="I48" s="531">
        <v>21</v>
      </c>
      <c r="J48" s="532">
        <v>14</v>
      </c>
      <c r="K48" s="537">
        <v>40</v>
      </c>
      <c r="L48" s="531">
        <v>22</v>
      </c>
      <c r="M48" s="532">
        <v>18</v>
      </c>
      <c r="N48" s="537">
        <v>50</v>
      </c>
      <c r="O48" s="531">
        <v>25</v>
      </c>
      <c r="P48" s="532">
        <v>16</v>
      </c>
      <c r="Q48" s="537">
        <v>45</v>
      </c>
      <c r="R48" s="531">
        <v>25</v>
      </c>
      <c r="S48" s="532">
        <v>12</v>
      </c>
      <c r="T48" s="537">
        <v>35</v>
      </c>
      <c r="U48" s="531">
        <v>25</v>
      </c>
      <c r="V48" s="532">
        <v>16</v>
      </c>
      <c r="W48" s="537">
        <v>50</v>
      </c>
      <c r="X48" s="531">
        <v>25</v>
      </c>
      <c r="Y48" s="532">
        <v>13</v>
      </c>
      <c r="Z48" s="537">
        <v>45</v>
      </c>
      <c r="AA48" s="531">
        <v>25</v>
      </c>
      <c r="AB48" s="532">
        <v>20</v>
      </c>
      <c r="AC48" s="537">
        <v>35</v>
      </c>
      <c r="AD48" s="531">
        <v>25</v>
      </c>
      <c r="AE48" s="532">
        <v>22</v>
      </c>
      <c r="AF48" s="537">
        <v>40</v>
      </c>
      <c r="AG48" s="531">
        <v>25</v>
      </c>
      <c r="AH48" s="532">
        <v>20</v>
      </c>
      <c r="AI48" s="537">
        <v>30</v>
      </c>
      <c r="AJ48" s="531">
        <v>0</v>
      </c>
      <c r="AK48" s="532">
        <v>0</v>
      </c>
      <c r="AL48" s="538">
        <v>10</v>
      </c>
      <c r="AM48" s="539"/>
      <c r="AN48" s="540"/>
      <c r="AO48" s="540"/>
      <c r="AP48" s="539"/>
      <c r="AQ48" s="539"/>
      <c r="AR48" s="539"/>
      <c r="AS48" s="539"/>
      <c r="AT48" s="539"/>
      <c r="AU48" s="539"/>
      <c r="AV48" s="539"/>
      <c r="AW48" s="539"/>
      <c r="AX48" s="539"/>
      <c r="AY48" s="539"/>
      <c r="AZ48" s="539"/>
      <c r="BA48" s="539"/>
      <c r="BB48" s="539"/>
      <c r="BC48" s="539"/>
      <c r="BD48" s="539"/>
      <c r="BE48" s="541"/>
      <c r="BF48" s="541"/>
      <c r="BG48" s="541"/>
      <c r="BH48" s="541"/>
      <c r="BI48" s="541"/>
      <c r="BJ48" s="541"/>
      <c r="BK48" s="541"/>
      <c r="BL48" s="541"/>
      <c r="BM48" s="541"/>
      <c r="BN48" s="541"/>
      <c r="BO48" s="541"/>
      <c r="BP48" s="541"/>
      <c r="BQ48" s="541"/>
      <c r="BR48" s="541"/>
      <c r="BS48" s="541"/>
      <c r="BT48" s="541"/>
    </row>
    <row r="49" spans="1:72" x14ac:dyDescent="0.25">
      <c r="A49" s="325" t="s">
        <v>433</v>
      </c>
      <c r="B49" s="331" t="s">
        <v>572</v>
      </c>
      <c r="C49" s="531">
        <v>19</v>
      </c>
      <c r="D49" s="532">
        <v>15</v>
      </c>
      <c r="E49" s="537">
        <v>25</v>
      </c>
      <c r="F49" s="531">
        <v>19</v>
      </c>
      <c r="G49" s="532">
        <v>17</v>
      </c>
      <c r="H49" s="537">
        <v>30</v>
      </c>
      <c r="I49" s="531">
        <v>19</v>
      </c>
      <c r="J49" s="532">
        <v>14</v>
      </c>
      <c r="K49" s="537">
        <v>25</v>
      </c>
      <c r="L49" s="531">
        <v>19</v>
      </c>
      <c r="M49" s="532">
        <v>11</v>
      </c>
      <c r="N49" s="537">
        <v>15</v>
      </c>
      <c r="O49" s="531">
        <v>19</v>
      </c>
      <c r="P49" s="532">
        <v>15</v>
      </c>
      <c r="Q49" s="537">
        <v>30</v>
      </c>
      <c r="R49" s="531">
        <v>19</v>
      </c>
      <c r="S49" s="532">
        <v>15</v>
      </c>
      <c r="T49" s="537">
        <v>20</v>
      </c>
      <c r="U49" s="531">
        <v>19</v>
      </c>
      <c r="V49" s="532">
        <v>12</v>
      </c>
      <c r="W49" s="537">
        <v>20</v>
      </c>
      <c r="X49" s="531">
        <v>19</v>
      </c>
      <c r="Y49" s="532">
        <v>13</v>
      </c>
      <c r="Z49" s="537">
        <v>30</v>
      </c>
      <c r="AA49" s="531">
        <v>19</v>
      </c>
      <c r="AB49" s="532">
        <v>13</v>
      </c>
      <c r="AC49" s="537">
        <v>25</v>
      </c>
      <c r="AD49" s="531">
        <v>19</v>
      </c>
      <c r="AE49" s="532">
        <v>15</v>
      </c>
      <c r="AF49" s="537">
        <v>30</v>
      </c>
      <c r="AG49" s="531">
        <v>19</v>
      </c>
      <c r="AH49" s="532">
        <v>12</v>
      </c>
      <c r="AI49" s="537">
        <v>25</v>
      </c>
      <c r="AJ49" s="531">
        <v>0</v>
      </c>
      <c r="AK49" s="532">
        <v>0</v>
      </c>
      <c r="AL49" s="538">
        <v>10</v>
      </c>
      <c r="AM49" s="539"/>
      <c r="AN49" s="540"/>
      <c r="AO49" s="540"/>
      <c r="AP49" s="539"/>
      <c r="AQ49" s="539"/>
      <c r="AR49" s="539"/>
      <c r="AS49" s="539"/>
      <c r="AT49" s="539"/>
      <c r="AU49" s="539"/>
      <c r="AV49" s="539"/>
      <c r="AW49" s="539"/>
      <c r="AX49" s="539"/>
      <c r="AY49" s="539"/>
      <c r="AZ49" s="539"/>
      <c r="BA49" s="539"/>
      <c r="BB49" s="539"/>
      <c r="BC49" s="539"/>
      <c r="BD49" s="539"/>
      <c r="BE49" s="541"/>
      <c r="BF49" s="541"/>
      <c r="BG49" s="541"/>
      <c r="BH49" s="541"/>
      <c r="BI49" s="541"/>
      <c r="BJ49" s="541"/>
      <c r="BK49" s="541"/>
      <c r="BL49" s="541"/>
      <c r="BM49" s="541"/>
      <c r="BN49" s="541"/>
      <c r="BO49" s="541"/>
      <c r="BP49" s="541"/>
      <c r="BQ49" s="541"/>
      <c r="BR49" s="541"/>
      <c r="BS49" s="541"/>
      <c r="BT49" s="541"/>
    </row>
    <row r="50" spans="1:72" x14ac:dyDescent="0.25">
      <c r="A50" s="325" t="s">
        <v>417</v>
      </c>
      <c r="B50" s="331" t="s">
        <v>556</v>
      </c>
      <c r="C50" s="531">
        <v>21</v>
      </c>
      <c r="D50" s="532">
        <v>15</v>
      </c>
      <c r="E50" s="537">
        <v>30</v>
      </c>
      <c r="F50" s="531">
        <v>21</v>
      </c>
      <c r="G50" s="532">
        <v>17</v>
      </c>
      <c r="H50" s="537">
        <v>40</v>
      </c>
      <c r="I50" s="531">
        <v>21</v>
      </c>
      <c r="J50" s="532">
        <v>17</v>
      </c>
      <c r="K50" s="537">
        <v>55</v>
      </c>
      <c r="L50" s="531">
        <v>21</v>
      </c>
      <c r="M50" s="532">
        <v>16</v>
      </c>
      <c r="N50" s="537">
        <v>45</v>
      </c>
      <c r="O50" s="531">
        <v>21</v>
      </c>
      <c r="P50" s="532">
        <v>17</v>
      </c>
      <c r="Q50" s="537">
        <v>50</v>
      </c>
      <c r="R50" s="531">
        <v>21</v>
      </c>
      <c r="S50" s="532">
        <v>13</v>
      </c>
      <c r="T50" s="537">
        <v>35</v>
      </c>
      <c r="U50" s="531">
        <v>21</v>
      </c>
      <c r="V50" s="532">
        <v>17</v>
      </c>
      <c r="W50" s="537">
        <v>45</v>
      </c>
      <c r="X50" s="531">
        <v>21</v>
      </c>
      <c r="Y50" s="532">
        <v>15</v>
      </c>
      <c r="Z50" s="537">
        <v>40</v>
      </c>
      <c r="AA50" s="531">
        <v>21</v>
      </c>
      <c r="AB50" s="532">
        <v>13</v>
      </c>
      <c r="AC50" s="537">
        <v>25</v>
      </c>
      <c r="AD50" s="531">
        <v>21</v>
      </c>
      <c r="AE50" s="532">
        <v>17</v>
      </c>
      <c r="AF50" s="537">
        <v>45</v>
      </c>
      <c r="AG50" s="531">
        <v>21</v>
      </c>
      <c r="AH50" s="532">
        <v>14</v>
      </c>
      <c r="AI50" s="537">
        <v>40</v>
      </c>
      <c r="AJ50" s="531">
        <v>0</v>
      </c>
      <c r="AK50" s="532">
        <v>0</v>
      </c>
      <c r="AL50" s="538">
        <v>25</v>
      </c>
      <c r="AM50" s="539"/>
      <c r="AN50" s="540"/>
      <c r="AO50" s="540"/>
      <c r="AP50" s="539"/>
      <c r="AQ50" s="539"/>
      <c r="AR50" s="539"/>
      <c r="AS50" s="539"/>
      <c r="AT50" s="539"/>
      <c r="AU50" s="539"/>
      <c r="AV50" s="539"/>
      <c r="AW50" s="539"/>
      <c r="AX50" s="539"/>
      <c r="AY50" s="539"/>
      <c r="AZ50" s="539"/>
      <c r="BA50" s="539"/>
      <c r="BB50" s="539"/>
      <c r="BC50" s="539"/>
      <c r="BD50" s="539"/>
      <c r="BE50" s="541"/>
      <c r="BF50" s="541"/>
      <c r="BG50" s="541"/>
      <c r="BH50" s="541"/>
      <c r="BI50" s="541"/>
      <c r="BJ50" s="541"/>
      <c r="BK50" s="541"/>
      <c r="BL50" s="541"/>
      <c r="BM50" s="541"/>
      <c r="BN50" s="541"/>
      <c r="BO50" s="541"/>
      <c r="BP50" s="541"/>
      <c r="BQ50" s="541"/>
      <c r="BR50" s="541"/>
      <c r="BS50" s="541"/>
      <c r="BT50" s="541"/>
    </row>
    <row r="51" spans="1:72" x14ac:dyDescent="0.25">
      <c r="A51" s="325" t="s">
        <v>341</v>
      </c>
      <c r="B51" s="331" t="s">
        <v>481</v>
      </c>
      <c r="C51" s="531">
        <v>24</v>
      </c>
      <c r="D51" s="532">
        <v>21</v>
      </c>
      <c r="E51" s="537">
        <v>70</v>
      </c>
      <c r="F51" s="531">
        <v>24</v>
      </c>
      <c r="G51" s="532">
        <v>23</v>
      </c>
      <c r="H51" s="537">
        <v>65</v>
      </c>
      <c r="I51" s="531">
        <v>24</v>
      </c>
      <c r="J51" s="532">
        <v>21</v>
      </c>
      <c r="K51" s="537">
        <v>75</v>
      </c>
      <c r="L51" s="531">
        <v>24</v>
      </c>
      <c r="M51" s="532">
        <v>22</v>
      </c>
      <c r="N51" s="537">
        <v>80</v>
      </c>
      <c r="O51" s="531">
        <v>24</v>
      </c>
      <c r="P51" s="532">
        <v>17</v>
      </c>
      <c r="Q51" s="537">
        <v>60</v>
      </c>
      <c r="R51" s="531">
        <v>24</v>
      </c>
      <c r="S51" s="532">
        <v>19</v>
      </c>
      <c r="T51" s="537">
        <v>75</v>
      </c>
      <c r="U51" s="531">
        <v>24</v>
      </c>
      <c r="V51" s="532">
        <v>21</v>
      </c>
      <c r="W51" s="537">
        <v>85</v>
      </c>
      <c r="X51" s="531">
        <v>24</v>
      </c>
      <c r="Y51" s="532">
        <v>21</v>
      </c>
      <c r="Z51" s="537">
        <v>80</v>
      </c>
      <c r="AA51" s="531">
        <v>24</v>
      </c>
      <c r="AB51" s="532">
        <v>21</v>
      </c>
      <c r="AC51" s="537">
        <v>70</v>
      </c>
      <c r="AD51" s="531">
        <v>24</v>
      </c>
      <c r="AE51" s="532">
        <v>16</v>
      </c>
      <c r="AF51" s="537">
        <v>55</v>
      </c>
      <c r="AG51" s="531">
        <v>24</v>
      </c>
      <c r="AH51" s="532">
        <v>21</v>
      </c>
      <c r="AI51" s="537">
        <v>70</v>
      </c>
      <c r="AJ51" s="531">
        <v>0</v>
      </c>
      <c r="AK51" s="532">
        <v>0</v>
      </c>
      <c r="AL51" s="538">
        <v>45</v>
      </c>
      <c r="AM51" s="539"/>
      <c r="AN51" s="540"/>
      <c r="AO51" s="540"/>
      <c r="AP51" s="539"/>
      <c r="AQ51" s="539"/>
      <c r="AR51" s="539"/>
      <c r="AS51" s="539"/>
      <c r="AT51" s="539"/>
      <c r="AU51" s="539"/>
      <c r="AV51" s="539"/>
      <c r="AW51" s="539"/>
      <c r="AX51" s="539"/>
      <c r="AY51" s="539"/>
      <c r="AZ51" s="539"/>
      <c r="BA51" s="539"/>
      <c r="BB51" s="539"/>
      <c r="BC51" s="539"/>
      <c r="BD51" s="539"/>
      <c r="BE51" s="541"/>
      <c r="BF51" s="541"/>
      <c r="BG51" s="541"/>
      <c r="BH51" s="541"/>
      <c r="BI51" s="541"/>
      <c r="BJ51" s="541"/>
      <c r="BK51" s="541"/>
      <c r="BL51" s="541"/>
      <c r="BM51" s="541"/>
      <c r="BN51" s="541"/>
      <c r="BO51" s="541"/>
      <c r="BP51" s="541"/>
      <c r="BQ51" s="541"/>
      <c r="BR51" s="541"/>
      <c r="BS51" s="541"/>
      <c r="BT51" s="541"/>
    </row>
    <row r="52" spans="1:72" x14ac:dyDescent="0.25">
      <c r="A52" s="325" t="s">
        <v>400</v>
      </c>
      <c r="B52" s="331" t="s">
        <v>539</v>
      </c>
      <c r="C52" s="531">
        <v>14</v>
      </c>
      <c r="D52" s="532">
        <v>11</v>
      </c>
      <c r="E52" s="537">
        <v>15</v>
      </c>
      <c r="F52" s="531">
        <v>12</v>
      </c>
      <c r="G52" s="532">
        <v>11</v>
      </c>
      <c r="H52" s="537">
        <v>15</v>
      </c>
      <c r="I52" s="531">
        <v>12</v>
      </c>
      <c r="J52" s="532">
        <v>10</v>
      </c>
      <c r="K52" s="537">
        <v>20</v>
      </c>
      <c r="L52" s="531">
        <v>12</v>
      </c>
      <c r="M52" s="532">
        <v>4</v>
      </c>
      <c r="N52" s="537">
        <v>10</v>
      </c>
      <c r="O52" s="531">
        <v>12</v>
      </c>
      <c r="P52" s="532">
        <v>9</v>
      </c>
      <c r="Q52" s="537">
        <v>15</v>
      </c>
      <c r="R52" s="531">
        <v>12</v>
      </c>
      <c r="S52" s="532">
        <v>12</v>
      </c>
      <c r="T52" s="537">
        <v>20</v>
      </c>
      <c r="U52" s="531">
        <v>12</v>
      </c>
      <c r="V52" s="532">
        <v>9</v>
      </c>
      <c r="W52" s="537">
        <v>20</v>
      </c>
      <c r="X52" s="531">
        <v>12</v>
      </c>
      <c r="Y52" s="532">
        <v>11</v>
      </c>
      <c r="Z52" s="537">
        <v>20</v>
      </c>
      <c r="AA52" s="531">
        <v>12</v>
      </c>
      <c r="AB52" s="532">
        <v>7</v>
      </c>
      <c r="AC52" s="537">
        <v>10</v>
      </c>
      <c r="AD52" s="531">
        <v>12</v>
      </c>
      <c r="AE52" s="532">
        <v>10</v>
      </c>
      <c r="AF52" s="537">
        <v>20</v>
      </c>
      <c r="AG52" s="531">
        <v>12</v>
      </c>
      <c r="AH52" s="532">
        <v>11</v>
      </c>
      <c r="AI52" s="537">
        <v>20</v>
      </c>
      <c r="AJ52" s="531">
        <v>0</v>
      </c>
      <c r="AK52" s="532">
        <v>0</v>
      </c>
      <c r="AL52" s="538" t="s">
        <v>636</v>
      </c>
      <c r="AM52" s="539"/>
      <c r="AN52" s="540"/>
      <c r="AO52" s="540"/>
      <c r="AP52" s="539"/>
      <c r="AQ52" s="539"/>
      <c r="AR52" s="539"/>
      <c r="AS52" s="539"/>
      <c r="AT52" s="539"/>
      <c r="AU52" s="539"/>
      <c r="AV52" s="539"/>
      <c r="AW52" s="539"/>
      <c r="AX52" s="539"/>
      <c r="AY52" s="539"/>
      <c r="AZ52" s="539"/>
      <c r="BA52" s="539"/>
      <c r="BB52" s="539"/>
      <c r="BC52" s="539"/>
      <c r="BD52" s="539"/>
      <c r="BE52" s="541"/>
      <c r="BF52" s="541"/>
      <c r="BG52" s="541"/>
      <c r="BH52" s="541"/>
      <c r="BI52" s="541"/>
      <c r="BJ52" s="541"/>
      <c r="BK52" s="541"/>
      <c r="BL52" s="541"/>
      <c r="BM52" s="541"/>
      <c r="BN52" s="541"/>
      <c r="BO52" s="541"/>
      <c r="BP52" s="541"/>
      <c r="BQ52" s="541"/>
      <c r="BR52" s="541"/>
      <c r="BS52" s="541"/>
      <c r="BT52" s="541"/>
    </row>
    <row r="53" spans="1:72" x14ac:dyDescent="0.25">
      <c r="A53" s="325" t="s">
        <v>377</v>
      </c>
      <c r="B53" s="331" t="s">
        <v>517</v>
      </c>
      <c r="C53" s="531">
        <v>8</v>
      </c>
      <c r="D53" s="532">
        <v>2</v>
      </c>
      <c r="E53" s="537">
        <v>10</v>
      </c>
      <c r="F53" s="531">
        <v>8</v>
      </c>
      <c r="G53" s="532">
        <v>8</v>
      </c>
      <c r="H53" s="537">
        <v>10</v>
      </c>
      <c r="I53" s="531">
        <v>8</v>
      </c>
      <c r="J53" s="532">
        <v>5</v>
      </c>
      <c r="K53" s="537" t="s">
        <v>636</v>
      </c>
      <c r="L53" s="531">
        <v>8</v>
      </c>
      <c r="M53" s="532">
        <v>7</v>
      </c>
      <c r="N53" s="537" t="s">
        <v>636</v>
      </c>
      <c r="O53" s="531">
        <v>8</v>
      </c>
      <c r="P53" s="532">
        <v>6</v>
      </c>
      <c r="Q53" s="537" t="s">
        <v>636</v>
      </c>
      <c r="R53" s="531">
        <v>8</v>
      </c>
      <c r="S53" s="532">
        <v>6</v>
      </c>
      <c r="T53" s="537">
        <v>10</v>
      </c>
      <c r="U53" s="531">
        <v>8</v>
      </c>
      <c r="V53" s="532">
        <v>6</v>
      </c>
      <c r="W53" s="537" t="s">
        <v>636</v>
      </c>
      <c r="X53" s="531">
        <v>8</v>
      </c>
      <c r="Y53" s="532">
        <v>8</v>
      </c>
      <c r="Z53" s="537">
        <v>10</v>
      </c>
      <c r="AA53" s="531">
        <v>8</v>
      </c>
      <c r="AB53" s="532">
        <v>8</v>
      </c>
      <c r="AC53" s="537" t="s">
        <v>636</v>
      </c>
      <c r="AD53" s="531">
        <v>8</v>
      </c>
      <c r="AE53" s="532">
        <v>6</v>
      </c>
      <c r="AF53" s="537" t="s">
        <v>636</v>
      </c>
      <c r="AG53" s="531">
        <v>8</v>
      </c>
      <c r="AH53" s="532">
        <v>8</v>
      </c>
      <c r="AI53" s="537">
        <v>10</v>
      </c>
      <c r="AJ53" s="531">
        <v>0</v>
      </c>
      <c r="AK53" s="532">
        <v>0</v>
      </c>
      <c r="AL53" s="538" t="s">
        <v>636</v>
      </c>
      <c r="AM53" s="539"/>
      <c r="AN53" s="540"/>
      <c r="AO53" s="540"/>
      <c r="AP53" s="539"/>
      <c r="AQ53" s="539"/>
      <c r="AR53" s="539"/>
      <c r="AS53" s="539"/>
      <c r="AT53" s="539"/>
      <c r="AU53" s="539"/>
      <c r="AV53" s="539"/>
      <c r="AW53" s="539"/>
      <c r="AX53" s="539"/>
      <c r="AY53" s="539"/>
      <c r="AZ53" s="539"/>
      <c r="BA53" s="539"/>
      <c r="BB53" s="539"/>
      <c r="BC53" s="539"/>
      <c r="BD53" s="539"/>
      <c r="BE53" s="541"/>
      <c r="BF53" s="541"/>
      <c r="BG53" s="541"/>
      <c r="BH53" s="541"/>
      <c r="BI53" s="541"/>
      <c r="BJ53" s="541"/>
      <c r="BK53" s="541"/>
      <c r="BL53" s="541"/>
      <c r="BM53" s="541"/>
      <c r="BN53" s="541"/>
      <c r="BO53" s="541"/>
      <c r="BP53" s="541"/>
      <c r="BQ53" s="541"/>
      <c r="BR53" s="541"/>
      <c r="BS53" s="541"/>
      <c r="BT53" s="541"/>
    </row>
    <row r="54" spans="1:72" x14ac:dyDescent="0.25">
      <c r="A54" s="325" t="s">
        <v>408</v>
      </c>
      <c r="B54" s="331" t="s">
        <v>547</v>
      </c>
      <c r="C54" s="531">
        <v>16</v>
      </c>
      <c r="D54" s="532">
        <v>15</v>
      </c>
      <c r="E54" s="537">
        <v>60</v>
      </c>
      <c r="F54" s="531">
        <v>19</v>
      </c>
      <c r="G54" s="532">
        <v>17</v>
      </c>
      <c r="H54" s="537">
        <v>60</v>
      </c>
      <c r="I54" s="531">
        <v>22</v>
      </c>
      <c r="J54" s="532">
        <v>22</v>
      </c>
      <c r="K54" s="537">
        <v>65</v>
      </c>
      <c r="L54" s="531">
        <v>16</v>
      </c>
      <c r="M54" s="532">
        <v>14</v>
      </c>
      <c r="N54" s="537">
        <v>50</v>
      </c>
      <c r="O54" s="531">
        <v>19</v>
      </c>
      <c r="P54" s="532">
        <v>18</v>
      </c>
      <c r="Q54" s="537">
        <v>55</v>
      </c>
      <c r="R54" s="531">
        <v>23</v>
      </c>
      <c r="S54" s="532">
        <v>23</v>
      </c>
      <c r="T54" s="537">
        <v>70</v>
      </c>
      <c r="U54" s="531">
        <v>23</v>
      </c>
      <c r="V54" s="532">
        <v>21</v>
      </c>
      <c r="W54" s="537">
        <v>45</v>
      </c>
      <c r="X54" s="531">
        <v>21</v>
      </c>
      <c r="Y54" s="532">
        <v>21</v>
      </c>
      <c r="Z54" s="537">
        <v>60</v>
      </c>
      <c r="AA54" s="531">
        <v>16</v>
      </c>
      <c r="AB54" s="532">
        <v>13</v>
      </c>
      <c r="AC54" s="537">
        <v>45</v>
      </c>
      <c r="AD54" s="531">
        <v>20</v>
      </c>
      <c r="AE54" s="532">
        <v>20</v>
      </c>
      <c r="AF54" s="537">
        <v>60</v>
      </c>
      <c r="AG54" s="531">
        <v>23</v>
      </c>
      <c r="AH54" s="532">
        <v>21</v>
      </c>
      <c r="AI54" s="537">
        <v>60</v>
      </c>
      <c r="AJ54" s="531">
        <v>0</v>
      </c>
      <c r="AK54" s="532">
        <v>0</v>
      </c>
      <c r="AL54" s="538">
        <v>25</v>
      </c>
      <c r="AM54" s="539"/>
      <c r="AN54" s="540"/>
      <c r="AO54" s="540"/>
      <c r="AP54" s="539"/>
      <c r="AQ54" s="539"/>
      <c r="AR54" s="539"/>
      <c r="AS54" s="539"/>
      <c r="AT54" s="539"/>
      <c r="AU54" s="539"/>
      <c r="AV54" s="539"/>
      <c r="AW54" s="539"/>
      <c r="AX54" s="539"/>
      <c r="AY54" s="539"/>
      <c r="AZ54" s="539"/>
      <c r="BA54" s="539"/>
      <c r="BB54" s="539"/>
      <c r="BC54" s="539"/>
      <c r="BD54" s="539"/>
      <c r="BE54" s="541"/>
      <c r="BF54" s="541"/>
      <c r="BG54" s="541"/>
      <c r="BH54" s="541"/>
      <c r="BI54" s="541"/>
      <c r="BJ54" s="541"/>
      <c r="BK54" s="541"/>
      <c r="BL54" s="541"/>
      <c r="BM54" s="541"/>
      <c r="BN54" s="541"/>
      <c r="BO54" s="541"/>
      <c r="BP54" s="541"/>
      <c r="BQ54" s="541"/>
      <c r="BR54" s="541"/>
      <c r="BS54" s="541"/>
      <c r="BT54" s="541"/>
    </row>
    <row r="55" spans="1:72" x14ac:dyDescent="0.25">
      <c r="A55" s="325" t="s">
        <v>627</v>
      </c>
      <c r="B55" s="331" t="s">
        <v>628</v>
      </c>
      <c r="C55" s="531">
        <v>0</v>
      </c>
      <c r="D55" s="532">
        <v>0</v>
      </c>
      <c r="E55" s="537">
        <v>65</v>
      </c>
      <c r="F55" s="531">
        <v>0</v>
      </c>
      <c r="G55" s="532">
        <v>0</v>
      </c>
      <c r="H55" s="537">
        <v>70</v>
      </c>
      <c r="I55" s="531">
        <v>0</v>
      </c>
      <c r="J55" s="532">
        <v>0</v>
      </c>
      <c r="K55" s="537">
        <v>50</v>
      </c>
      <c r="L55" s="531">
        <v>0</v>
      </c>
      <c r="M55" s="532">
        <v>0</v>
      </c>
      <c r="N55" s="537">
        <v>55</v>
      </c>
      <c r="O55" s="531">
        <v>0</v>
      </c>
      <c r="P55" s="532">
        <v>0</v>
      </c>
      <c r="Q55" s="537">
        <v>55</v>
      </c>
      <c r="R55" s="531">
        <v>0</v>
      </c>
      <c r="S55" s="532">
        <v>0</v>
      </c>
      <c r="T55" s="537">
        <v>55</v>
      </c>
      <c r="U55" s="531">
        <v>0</v>
      </c>
      <c r="V55" s="532">
        <v>0</v>
      </c>
      <c r="W55" s="537">
        <v>45</v>
      </c>
      <c r="X55" s="531">
        <v>0</v>
      </c>
      <c r="Y55" s="532">
        <v>0</v>
      </c>
      <c r="Z55" s="537">
        <v>50</v>
      </c>
      <c r="AA55" s="531">
        <v>0</v>
      </c>
      <c r="AB55" s="532">
        <v>0</v>
      </c>
      <c r="AC55" s="537">
        <v>40</v>
      </c>
      <c r="AD55" s="531">
        <v>0</v>
      </c>
      <c r="AE55" s="532">
        <v>0</v>
      </c>
      <c r="AF55" s="537">
        <v>50</v>
      </c>
      <c r="AG55" s="531">
        <v>0</v>
      </c>
      <c r="AH55" s="532">
        <v>0</v>
      </c>
      <c r="AI55" s="537">
        <v>45</v>
      </c>
      <c r="AJ55" s="531">
        <v>0</v>
      </c>
      <c r="AK55" s="532">
        <v>0</v>
      </c>
      <c r="AL55" s="538">
        <v>20</v>
      </c>
      <c r="AM55" s="539"/>
      <c r="AN55" s="540"/>
      <c r="AO55" s="540"/>
      <c r="AP55" s="539"/>
      <c r="AQ55" s="539"/>
      <c r="AR55" s="539"/>
      <c r="AS55" s="539"/>
      <c r="AT55" s="539"/>
      <c r="AU55" s="539"/>
      <c r="AV55" s="539"/>
      <c r="AW55" s="539"/>
      <c r="AX55" s="539"/>
      <c r="AY55" s="539"/>
      <c r="AZ55" s="539"/>
      <c r="BA55" s="539"/>
      <c r="BB55" s="539"/>
      <c r="BC55" s="539"/>
      <c r="BD55" s="539"/>
      <c r="BE55" s="541"/>
      <c r="BF55" s="541"/>
      <c r="BG55" s="541"/>
      <c r="BH55" s="541"/>
      <c r="BI55" s="541"/>
      <c r="BJ55" s="541"/>
      <c r="BK55" s="541"/>
      <c r="BL55" s="541"/>
      <c r="BM55" s="541"/>
      <c r="BN55" s="541"/>
      <c r="BO55" s="541"/>
      <c r="BP55" s="541"/>
      <c r="BQ55" s="541"/>
      <c r="BR55" s="541"/>
      <c r="BS55" s="541"/>
      <c r="BT55" s="541"/>
    </row>
    <row r="56" spans="1:72" x14ac:dyDescent="0.25">
      <c r="A56" s="325" t="s">
        <v>382</v>
      </c>
      <c r="B56" s="331" t="s">
        <v>522</v>
      </c>
      <c r="C56" s="531">
        <v>12</v>
      </c>
      <c r="D56" s="532">
        <v>10</v>
      </c>
      <c r="E56" s="537">
        <v>25</v>
      </c>
      <c r="F56" s="531">
        <v>12</v>
      </c>
      <c r="G56" s="532">
        <v>11</v>
      </c>
      <c r="H56" s="537">
        <v>30</v>
      </c>
      <c r="I56" s="531">
        <v>12</v>
      </c>
      <c r="J56" s="532">
        <v>10</v>
      </c>
      <c r="K56" s="537">
        <v>30</v>
      </c>
      <c r="L56" s="531">
        <v>12</v>
      </c>
      <c r="M56" s="532">
        <v>10</v>
      </c>
      <c r="N56" s="537">
        <v>30</v>
      </c>
      <c r="O56" s="531">
        <v>12</v>
      </c>
      <c r="P56" s="532">
        <v>9</v>
      </c>
      <c r="Q56" s="537">
        <v>25</v>
      </c>
      <c r="R56" s="531">
        <v>12</v>
      </c>
      <c r="S56" s="532">
        <v>12</v>
      </c>
      <c r="T56" s="537">
        <v>35</v>
      </c>
      <c r="U56" s="531">
        <v>12</v>
      </c>
      <c r="V56" s="532">
        <v>10</v>
      </c>
      <c r="W56" s="537">
        <v>20</v>
      </c>
      <c r="X56" s="531">
        <v>12</v>
      </c>
      <c r="Y56" s="532">
        <v>10</v>
      </c>
      <c r="Z56" s="537">
        <v>35</v>
      </c>
      <c r="AA56" s="531">
        <v>12</v>
      </c>
      <c r="AB56" s="532">
        <v>10</v>
      </c>
      <c r="AC56" s="537">
        <v>35</v>
      </c>
      <c r="AD56" s="531">
        <v>12</v>
      </c>
      <c r="AE56" s="532">
        <v>9</v>
      </c>
      <c r="AF56" s="537">
        <v>35</v>
      </c>
      <c r="AG56" s="531">
        <v>12</v>
      </c>
      <c r="AH56" s="532">
        <v>9</v>
      </c>
      <c r="AI56" s="537">
        <v>30</v>
      </c>
      <c r="AJ56" s="531">
        <v>0</v>
      </c>
      <c r="AK56" s="532">
        <v>0</v>
      </c>
      <c r="AL56" s="538">
        <v>10</v>
      </c>
      <c r="AM56" s="539"/>
      <c r="AN56" s="540"/>
      <c r="AO56" s="540"/>
      <c r="AP56" s="539"/>
      <c r="AQ56" s="539"/>
      <c r="AR56" s="539"/>
      <c r="AS56" s="539"/>
      <c r="AT56" s="539"/>
      <c r="AU56" s="539"/>
      <c r="AV56" s="539"/>
      <c r="AW56" s="539"/>
      <c r="AX56" s="539"/>
      <c r="AY56" s="539"/>
      <c r="AZ56" s="539"/>
      <c r="BA56" s="539"/>
      <c r="BB56" s="539"/>
      <c r="BC56" s="539"/>
      <c r="BD56" s="539"/>
      <c r="BE56" s="541"/>
      <c r="BF56" s="541"/>
      <c r="BG56" s="541"/>
      <c r="BH56" s="541"/>
      <c r="BI56" s="541"/>
      <c r="BJ56" s="541"/>
      <c r="BK56" s="541"/>
      <c r="BL56" s="541"/>
      <c r="BM56" s="541"/>
      <c r="BN56" s="541"/>
      <c r="BO56" s="541"/>
      <c r="BP56" s="541"/>
      <c r="BQ56" s="541"/>
      <c r="BR56" s="541"/>
      <c r="BS56" s="541"/>
      <c r="BT56" s="541"/>
    </row>
    <row r="57" spans="1:72" x14ac:dyDescent="0.25">
      <c r="A57" s="325" t="s">
        <v>360</v>
      </c>
      <c r="B57" s="331" t="s">
        <v>500</v>
      </c>
      <c r="C57" s="531">
        <v>89</v>
      </c>
      <c r="D57" s="532">
        <v>88</v>
      </c>
      <c r="E57" s="537">
        <v>180</v>
      </c>
      <c r="F57" s="531">
        <v>89</v>
      </c>
      <c r="G57" s="532">
        <v>77</v>
      </c>
      <c r="H57" s="537">
        <v>180</v>
      </c>
      <c r="I57" s="531">
        <v>89</v>
      </c>
      <c r="J57" s="532">
        <v>84</v>
      </c>
      <c r="K57" s="537">
        <v>180</v>
      </c>
      <c r="L57" s="531">
        <v>82</v>
      </c>
      <c r="M57" s="532">
        <v>76</v>
      </c>
      <c r="N57" s="537">
        <v>175</v>
      </c>
      <c r="O57" s="531">
        <v>82</v>
      </c>
      <c r="P57" s="532">
        <v>71</v>
      </c>
      <c r="Q57" s="537">
        <v>150</v>
      </c>
      <c r="R57" s="531">
        <v>82</v>
      </c>
      <c r="S57" s="532">
        <v>71</v>
      </c>
      <c r="T57" s="537">
        <v>155</v>
      </c>
      <c r="U57" s="531">
        <v>82</v>
      </c>
      <c r="V57" s="532">
        <v>75</v>
      </c>
      <c r="W57" s="537">
        <v>170</v>
      </c>
      <c r="X57" s="531">
        <v>82</v>
      </c>
      <c r="Y57" s="532">
        <v>76</v>
      </c>
      <c r="Z57" s="537">
        <v>180</v>
      </c>
      <c r="AA57" s="531">
        <v>82</v>
      </c>
      <c r="AB57" s="532">
        <v>66</v>
      </c>
      <c r="AC57" s="537">
        <v>135</v>
      </c>
      <c r="AD57" s="531">
        <v>85</v>
      </c>
      <c r="AE57" s="532">
        <v>68</v>
      </c>
      <c r="AF57" s="537">
        <v>170</v>
      </c>
      <c r="AG57" s="531">
        <v>85</v>
      </c>
      <c r="AH57" s="532">
        <v>77</v>
      </c>
      <c r="AI57" s="537">
        <v>160</v>
      </c>
      <c r="AJ57" s="531">
        <v>0</v>
      </c>
      <c r="AK57" s="532">
        <v>0</v>
      </c>
      <c r="AL57" s="538">
        <v>40</v>
      </c>
      <c r="AM57" s="539"/>
      <c r="AN57" s="540"/>
      <c r="AO57" s="540"/>
      <c r="AP57" s="539"/>
      <c r="AQ57" s="539"/>
      <c r="AR57" s="539"/>
      <c r="AS57" s="539"/>
      <c r="AT57" s="539"/>
      <c r="AU57" s="539"/>
      <c r="AV57" s="539"/>
      <c r="AW57" s="539"/>
      <c r="AX57" s="539"/>
      <c r="AY57" s="539"/>
      <c r="AZ57" s="539"/>
      <c r="BA57" s="539"/>
      <c r="BB57" s="539"/>
      <c r="BC57" s="539"/>
      <c r="BD57" s="539"/>
      <c r="BE57" s="541"/>
      <c r="BF57" s="541"/>
      <c r="BG57" s="541"/>
      <c r="BH57" s="541"/>
      <c r="BI57" s="541"/>
      <c r="BJ57" s="541"/>
      <c r="BK57" s="541"/>
      <c r="BL57" s="541"/>
      <c r="BM57" s="541"/>
      <c r="BN57" s="541"/>
      <c r="BO57" s="541"/>
      <c r="BP57" s="541"/>
      <c r="BQ57" s="541"/>
      <c r="BR57" s="541"/>
      <c r="BS57" s="541"/>
      <c r="BT57" s="541"/>
    </row>
    <row r="58" spans="1:72" x14ac:dyDescent="0.25">
      <c r="A58" s="325" t="s">
        <v>383</v>
      </c>
      <c r="B58" s="331" t="s">
        <v>523</v>
      </c>
      <c r="C58" s="531">
        <v>25</v>
      </c>
      <c r="D58" s="532">
        <v>22</v>
      </c>
      <c r="E58" s="537">
        <v>45</v>
      </c>
      <c r="F58" s="531">
        <v>23</v>
      </c>
      <c r="G58" s="532">
        <v>16</v>
      </c>
      <c r="H58" s="537">
        <v>50</v>
      </c>
      <c r="I58" s="531">
        <v>23</v>
      </c>
      <c r="J58" s="532">
        <v>16</v>
      </c>
      <c r="K58" s="537">
        <v>40</v>
      </c>
      <c r="L58" s="531">
        <v>23</v>
      </c>
      <c r="M58" s="532">
        <v>18</v>
      </c>
      <c r="N58" s="537">
        <v>40</v>
      </c>
      <c r="O58" s="531">
        <v>24</v>
      </c>
      <c r="P58" s="532">
        <v>20</v>
      </c>
      <c r="Q58" s="537">
        <v>40</v>
      </c>
      <c r="R58" s="531">
        <v>23</v>
      </c>
      <c r="S58" s="532">
        <v>16</v>
      </c>
      <c r="T58" s="537">
        <v>35</v>
      </c>
      <c r="U58" s="531">
        <v>23</v>
      </c>
      <c r="V58" s="532">
        <v>17</v>
      </c>
      <c r="W58" s="537">
        <v>35</v>
      </c>
      <c r="X58" s="531">
        <v>24</v>
      </c>
      <c r="Y58" s="532">
        <v>20</v>
      </c>
      <c r="Z58" s="537">
        <v>45</v>
      </c>
      <c r="AA58" s="531">
        <v>24</v>
      </c>
      <c r="AB58" s="532">
        <v>16</v>
      </c>
      <c r="AC58" s="537">
        <v>40</v>
      </c>
      <c r="AD58" s="531">
        <v>24</v>
      </c>
      <c r="AE58" s="532">
        <v>23</v>
      </c>
      <c r="AF58" s="537">
        <v>55</v>
      </c>
      <c r="AG58" s="531">
        <v>24</v>
      </c>
      <c r="AH58" s="532">
        <v>21</v>
      </c>
      <c r="AI58" s="537">
        <v>50</v>
      </c>
      <c r="AJ58" s="531">
        <v>0</v>
      </c>
      <c r="AK58" s="532">
        <v>0</v>
      </c>
      <c r="AL58" s="538">
        <v>20</v>
      </c>
      <c r="AM58" s="539"/>
      <c r="AN58" s="540"/>
      <c r="AO58" s="540"/>
      <c r="AP58" s="539"/>
      <c r="AQ58" s="539"/>
      <c r="AR58" s="539"/>
      <c r="AS58" s="539"/>
      <c r="AT58" s="539"/>
      <c r="AU58" s="539"/>
      <c r="AV58" s="539"/>
      <c r="AW58" s="539"/>
      <c r="AX58" s="539"/>
      <c r="AY58" s="539"/>
      <c r="AZ58" s="539"/>
      <c r="BA58" s="539"/>
      <c r="BB58" s="539"/>
      <c r="BC58" s="539"/>
      <c r="BD58" s="539"/>
      <c r="BE58" s="541"/>
      <c r="BF58" s="541"/>
      <c r="BG58" s="541"/>
      <c r="BH58" s="541"/>
      <c r="BI58" s="541"/>
      <c r="BJ58" s="541"/>
      <c r="BK58" s="541"/>
      <c r="BL58" s="541"/>
      <c r="BM58" s="541"/>
      <c r="BN58" s="541"/>
      <c r="BO58" s="541"/>
      <c r="BP58" s="541"/>
      <c r="BQ58" s="541"/>
      <c r="BR58" s="541"/>
      <c r="BS58" s="541"/>
      <c r="BT58" s="541"/>
    </row>
    <row r="59" spans="1:72" x14ac:dyDescent="0.25">
      <c r="A59" s="325" t="s">
        <v>333</v>
      </c>
      <c r="B59" s="331" t="s">
        <v>473</v>
      </c>
      <c r="C59" s="531">
        <v>8</v>
      </c>
      <c r="D59" s="532">
        <v>6</v>
      </c>
      <c r="E59" s="537">
        <v>10</v>
      </c>
      <c r="F59" s="531">
        <v>8</v>
      </c>
      <c r="G59" s="532">
        <v>5</v>
      </c>
      <c r="H59" s="537" t="s">
        <v>636</v>
      </c>
      <c r="I59" s="531">
        <v>8</v>
      </c>
      <c r="J59" s="532">
        <v>3</v>
      </c>
      <c r="K59" s="537">
        <v>10</v>
      </c>
      <c r="L59" s="531">
        <v>8</v>
      </c>
      <c r="M59" s="532">
        <v>4</v>
      </c>
      <c r="N59" s="537">
        <v>10</v>
      </c>
      <c r="O59" s="531">
        <v>8</v>
      </c>
      <c r="P59" s="532">
        <v>6</v>
      </c>
      <c r="Q59" s="537">
        <v>15</v>
      </c>
      <c r="R59" s="531">
        <v>8</v>
      </c>
      <c r="S59" s="532">
        <v>4</v>
      </c>
      <c r="T59" s="537">
        <v>10</v>
      </c>
      <c r="U59" s="531">
        <v>8</v>
      </c>
      <c r="V59" s="532">
        <v>4</v>
      </c>
      <c r="W59" s="537">
        <v>10</v>
      </c>
      <c r="X59" s="531">
        <v>8</v>
      </c>
      <c r="Y59" s="532">
        <v>6</v>
      </c>
      <c r="Z59" s="537">
        <v>10</v>
      </c>
      <c r="AA59" s="531">
        <v>8</v>
      </c>
      <c r="AB59" s="532">
        <v>5</v>
      </c>
      <c r="AC59" s="537">
        <v>10</v>
      </c>
      <c r="AD59" s="531">
        <v>8</v>
      </c>
      <c r="AE59" s="532">
        <v>6</v>
      </c>
      <c r="AF59" s="537">
        <v>15</v>
      </c>
      <c r="AG59" s="531">
        <v>8</v>
      </c>
      <c r="AH59" s="532">
        <v>6</v>
      </c>
      <c r="AI59" s="537">
        <v>15</v>
      </c>
      <c r="AJ59" s="531">
        <v>0</v>
      </c>
      <c r="AK59" s="532">
        <v>0</v>
      </c>
      <c r="AL59" s="538" t="s">
        <v>636</v>
      </c>
      <c r="AM59" s="539"/>
      <c r="AN59" s="540"/>
      <c r="AO59" s="540"/>
      <c r="AP59" s="539"/>
      <c r="AQ59" s="539"/>
      <c r="AR59" s="539"/>
      <c r="AS59" s="539"/>
      <c r="AT59" s="539"/>
      <c r="AU59" s="539"/>
      <c r="AV59" s="539"/>
      <c r="AW59" s="539"/>
      <c r="AX59" s="539"/>
      <c r="AY59" s="539"/>
      <c r="AZ59" s="539"/>
      <c r="BA59" s="539"/>
      <c r="BB59" s="539"/>
      <c r="BC59" s="539"/>
      <c r="BD59" s="539"/>
      <c r="BE59" s="541"/>
      <c r="BF59" s="541"/>
      <c r="BG59" s="541"/>
      <c r="BH59" s="541"/>
      <c r="BI59" s="541"/>
      <c r="BJ59" s="541"/>
      <c r="BK59" s="541"/>
      <c r="BL59" s="541"/>
      <c r="BM59" s="541"/>
      <c r="BN59" s="541"/>
      <c r="BO59" s="541"/>
      <c r="BP59" s="541"/>
      <c r="BQ59" s="541"/>
      <c r="BR59" s="541"/>
      <c r="BS59" s="541"/>
      <c r="BT59" s="541"/>
    </row>
    <row r="60" spans="1:72" x14ac:dyDescent="0.25">
      <c r="A60" s="325" t="s">
        <v>398</v>
      </c>
      <c r="B60" s="331" t="s">
        <v>538</v>
      </c>
      <c r="C60" s="531">
        <v>10</v>
      </c>
      <c r="D60" s="532">
        <v>5</v>
      </c>
      <c r="E60" s="537" t="s">
        <v>636</v>
      </c>
      <c r="F60" s="531">
        <v>10</v>
      </c>
      <c r="G60" s="532">
        <v>6</v>
      </c>
      <c r="H60" s="537" t="s">
        <v>636</v>
      </c>
      <c r="I60" s="531">
        <v>10</v>
      </c>
      <c r="J60" s="532">
        <v>7</v>
      </c>
      <c r="K60" s="537">
        <v>10</v>
      </c>
      <c r="L60" s="531">
        <v>10</v>
      </c>
      <c r="M60" s="532">
        <v>10</v>
      </c>
      <c r="N60" s="537">
        <v>10</v>
      </c>
      <c r="O60" s="531">
        <v>10</v>
      </c>
      <c r="P60" s="532">
        <v>4</v>
      </c>
      <c r="Q60" s="537" t="s">
        <v>636</v>
      </c>
      <c r="R60" s="531">
        <v>10</v>
      </c>
      <c r="S60" s="532">
        <v>9</v>
      </c>
      <c r="T60" s="537">
        <v>10</v>
      </c>
      <c r="U60" s="531">
        <v>10</v>
      </c>
      <c r="V60" s="532">
        <v>9</v>
      </c>
      <c r="W60" s="537">
        <v>10</v>
      </c>
      <c r="X60" s="531">
        <v>10</v>
      </c>
      <c r="Y60" s="532">
        <v>10</v>
      </c>
      <c r="Z60" s="537">
        <v>15</v>
      </c>
      <c r="AA60" s="531">
        <v>10</v>
      </c>
      <c r="AB60" s="532">
        <v>8</v>
      </c>
      <c r="AC60" s="537">
        <v>10</v>
      </c>
      <c r="AD60" s="531">
        <v>10</v>
      </c>
      <c r="AE60" s="532">
        <v>10</v>
      </c>
      <c r="AF60" s="537">
        <v>10</v>
      </c>
      <c r="AG60" s="531">
        <v>10</v>
      </c>
      <c r="AH60" s="532">
        <v>10</v>
      </c>
      <c r="AI60" s="537">
        <v>10</v>
      </c>
      <c r="AJ60" s="531">
        <v>0</v>
      </c>
      <c r="AK60" s="532">
        <v>0</v>
      </c>
      <c r="AL60" s="538">
        <v>10</v>
      </c>
      <c r="AM60" s="539"/>
      <c r="AN60" s="540"/>
      <c r="AO60" s="540"/>
      <c r="AP60" s="539"/>
      <c r="AQ60" s="539"/>
      <c r="AR60" s="539"/>
      <c r="AS60" s="539"/>
      <c r="AT60" s="539"/>
      <c r="AU60" s="539"/>
      <c r="AV60" s="539"/>
      <c r="AW60" s="539"/>
      <c r="AX60" s="539"/>
      <c r="AY60" s="539"/>
      <c r="AZ60" s="539"/>
      <c r="BA60" s="539"/>
      <c r="BB60" s="539"/>
      <c r="BC60" s="539"/>
      <c r="BD60" s="539"/>
      <c r="BE60" s="541"/>
      <c r="BF60" s="541"/>
      <c r="BG60" s="541"/>
      <c r="BH60" s="541"/>
      <c r="BI60" s="541"/>
      <c r="BJ60" s="541"/>
      <c r="BK60" s="541"/>
      <c r="BL60" s="541"/>
      <c r="BM60" s="541"/>
      <c r="BN60" s="541"/>
      <c r="BO60" s="541"/>
      <c r="BP60" s="541"/>
      <c r="BQ60" s="541"/>
      <c r="BR60" s="541"/>
      <c r="BS60" s="541"/>
      <c r="BT60" s="541"/>
    </row>
    <row r="61" spans="1:72" x14ac:dyDescent="0.25">
      <c r="A61" s="325" t="s">
        <v>422</v>
      </c>
      <c r="B61" s="331" t="s">
        <v>561</v>
      </c>
      <c r="C61" s="531">
        <v>44</v>
      </c>
      <c r="D61" s="532">
        <v>34</v>
      </c>
      <c r="E61" s="537">
        <v>80</v>
      </c>
      <c r="F61" s="531">
        <v>44</v>
      </c>
      <c r="G61" s="532">
        <v>29</v>
      </c>
      <c r="H61" s="537">
        <v>70</v>
      </c>
      <c r="I61" s="531">
        <v>44</v>
      </c>
      <c r="J61" s="532">
        <v>36</v>
      </c>
      <c r="K61" s="537">
        <v>80</v>
      </c>
      <c r="L61" s="531">
        <v>44</v>
      </c>
      <c r="M61" s="532">
        <v>28</v>
      </c>
      <c r="N61" s="537">
        <v>75</v>
      </c>
      <c r="O61" s="531">
        <v>44</v>
      </c>
      <c r="P61" s="532">
        <v>32</v>
      </c>
      <c r="Q61" s="537">
        <v>70</v>
      </c>
      <c r="R61" s="531">
        <v>44</v>
      </c>
      <c r="S61" s="532">
        <v>34</v>
      </c>
      <c r="T61" s="537">
        <v>85</v>
      </c>
      <c r="U61" s="531">
        <v>44</v>
      </c>
      <c r="V61" s="532">
        <v>34</v>
      </c>
      <c r="W61" s="537">
        <v>75</v>
      </c>
      <c r="X61" s="531">
        <v>44</v>
      </c>
      <c r="Y61" s="532">
        <v>31</v>
      </c>
      <c r="Z61" s="537">
        <v>80</v>
      </c>
      <c r="AA61" s="531">
        <v>44</v>
      </c>
      <c r="AB61" s="532">
        <v>27</v>
      </c>
      <c r="AC61" s="537">
        <v>65</v>
      </c>
      <c r="AD61" s="531">
        <v>44</v>
      </c>
      <c r="AE61" s="532">
        <v>39</v>
      </c>
      <c r="AF61" s="537">
        <v>85</v>
      </c>
      <c r="AG61" s="531">
        <v>44</v>
      </c>
      <c r="AH61" s="532">
        <v>37</v>
      </c>
      <c r="AI61" s="537">
        <v>80</v>
      </c>
      <c r="AJ61" s="531">
        <v>0</v>
      </c>
      <c r="AK61" s="532">
        <v>0</v>
      </c>
      <c r="AL61" s="538">
        <v>20</v>
      </c>
      <c r="AM61" s="539"/>
      <c r="AN61" s="540"/>
      <c r="AO61" s="540"/>
      <c r="AP61" s="539"/>
      <c r="AQ61" s="539"/>
      <c r="AR61" s="539"/>
      <c r="AS61" s="539"/>
      <c r="AT61" s="539"/>
      <c r="AU61" s="539"/>
      <c r="AV61" s="539"/>
      <c r="AW61" s="539"/>
      <c r="AX61" s="539"/>
      <c r="AY61" s="539"/>
      <c r="AZ61" s="539"/>
      <c r="BA61" s="539"/>
      <c r="BB61" s="539"/>
      <c r="BC61" s="539"/>
      <c r="BD61" s="539"/>
      <c r="BE61" s="541"/>
      <c r="BF61" s="541"/>
      <c r="BG61" s="541"/>
      <c r="BH61" s="541"/>
      <c r="BI61" s="541"/>
      <c r="BJ61" s="541"/>
      <c r="BK61" s="541"/>
      <c r="BL61" s="541"/>
      <c r="BM61" s="541"/>
      <c r="BN61" s="541"/>
      <c r="BO61" s="541"/>
      <c r="BP61" s="541"/>
      <c r="BQ61" s="541"/>
      <c r="BR61" s="541"/>
      <c r="BS61" s="541"/>
      <c r="BT61" s="541"/>
    </row>
    <row r="62" spans="1:72" x14ac:dyDescent="0.25">
      <c r="A62" s="325" t="s">
        <v>443</v>
      </c>
      <c r="B62" s="331" t="s">
        <v>582</v>
      </c>
      <c r="C62" s="531">
        <v>161</v>
      </c>
      <c r="D62" s="532">
        <v>136</v>
      </c>
      <c r="E62" s="537">
        <v>120</v>
      </c>
      <c r="F62" s="531">
        <v>152</v>
      </c>
      <c r="G62" s="532">
        <v>132</v>
      </c>
      <c r="H62" s="537">
        <v>115</v>
      </c>
      <c r="I62" s="531">
        <v>155</v>
      </c>
      <c r="J62" s="532">
        <v>145</v>
      </c>
      <c r="K62" s="537">
        <v>120</v>
      </c>
      <c r="L62" s="531">
        <v>150</v>
      </c>
      <c r="M62" s="532">
        <v>127</v>
      </c>
      <c r="N62" s="537">
        <v>100</v>
      </c>
      <c r="O62" s="531">
        <v>156</v>
      </c>
      <c r="P62" s="532">
        <v>135</v>
      </c>
      <c r="Q62" s="537">
        <v>115</v>
      </c>
      <c r="R62" s="531">
        <v>156</v>
      </c>
      <c r="S62" s="532">
        <v>138</v>
      </c>
      <c r="T62" s="537">
        <v>115</v>
      </c>
      <c r="U62" s="531">
        <v>158</v>
      </c>
      <c r="V62" s="532">
        <v>145</v>
      </c>
      <c r="W62" s="537">
        <v>105</v>
      </c>
      <c r="X62" s="531">
        <v>161</v>
      </c>
      <c r="Y62" s="532">
        <v>147</v>
      </c>
      <c r="Z62" s="537">
        <v>130</v>
      </c>
      <c r="AA62" s="531">
        <v>157</v>
      </c>
      <c r="AB62" s="532">
        <v>129</v>
      </c>
      <c r="AC62" s="537">
        <v>105</v>
      </c>
      <c r="AD62" s="531">
        <v>162</v>
      </c>
      <c r="AE62" s="532">
        <v>154</v>
      </c>
      <c r="AF62" s="537">
        <v>110</v>
      </c>
      <c r="AG62" s="531">
        <v>163</v>
      </c>
      <c r="AH62" s="532">
        <v>149</v>
      </c>
      <c r="AI62" s="537">
        <v>80</v>
      </c>
      <c r="AJ62" s="531">
        <v>0</v>
      </c>
      <c r="AK62" s="532">
        <v>0</v>
      </c>
      <c r="AL62" s="538">
        <v>15</v>
      </c>
      <c r="AM62" s="539"/>
      <c r="AN62" s="540"/>
      <c r="AO62" s="540"/>
      <c r="AP62" s="539"/>
      <c r="AQ62" s="539"/>
      <c r="AR62" s="539"/>
      <c r="AS62" s="539"/>
      <c r="AT62" s="539"/>
      <c r="AU62" s="539"/>
      <c r="AV62" s="539"/>
      <c r="AW62" s="539"/>
      <c r="AX62" s="539"/>
      <c r="AY62" s="539"/>
      <c r="AZ62" s="539"/>
      <c r="BA62" s="539"/>
      <c r="BB62" s="539"/>
      <c r="BC62" s="539"/>
      <c r="BD62" s="539"/>
      <c r="BE62" s="541"/>
      <c r="BF62" s="541"/>
      <c r="BG62" s="541"/>
      <c r="BH62" s="541"/>
      <c r="BI62" s="541"/>
      <c r="BJ62" s="541"/>
      <c r="BK62" s="541"/>
      <c r="BL62" s="541"/>
      <c r="BM62" s="541"/>
      <c r="BN62" s="541"/>
      <c r="BO62" s="541"/>
      <c r="BP62" s="541"/>
      <c r="BQ62" s="541"/>
      <c r="BR62" s="541"/>
      <c r="BS62" s="541"/>
      <c r="BT62" s="541"/>
    </row>
    <row r="63" spans="1:72" x14ac:dyDescent="0.25">
      <c r="A63" s="325" t="s">
        <v>306</v>
      </c>
      <c r="B63" s="331" t="s">
        <v>446</v>
      </c>
      <c r="C63" s="531">
        <v>6</v>
      </c>
      <c r="D63" s="532">
        <v>4</v>
      </c>
      <c r="E63" s="537" t="s">
        <v>636</v>
      </c>
      <c r="F63" s="531">
        <v>6</v>
      </c>
      <c r="G63" s="532">
        <v>3</v>
      </c>
      <c r="H63" s="537" t="s">
        <v>636</v>
      </c>
      <c r="I63" s="531">
        <v>6</v>
      </c>
      <c r="J63" s="532">
        <v>4</v>
      </c>
      <c r="K63" s="537" t="s">
        <v>636</v>
      </c>
      <c r="L63" s="531">
        <v>6</v>
      </c>
      <c r="M63" s="532">
        <v>4</v>
      </c>
      <c r="N63" s="537" t="s">
        <v>636</v>
      </c>
      <c r="O63" s="531">
        <v>6</v>
      </c>
      <c r="P63" s="532">
        <v>2</v>
      </c>
      <c r="Q63" s="537" t="s">
        <v>636</v>
      </c>
      <c r="R63" s="531">
        <v>6</v>
      </c>
      <c r="S63" s="532">
        <v>4</v>
      </c>
      <c r="T63" s="537" t="s">
        <v>636</v>
      </c>
      <c r="U63" s="531">
        <v>6</v>
      </c>
      <c r="V63" s="532">
        <v>5</v>
      </c>
      <c r="W63" s="537" t="s">
        <v>636</v>
      </c>
      <c r="X63" s="531">
        <v>6</v>
      </c>
      <c r="Y63" s="532">
        <v>6</v>
      </c>
      <c r="Z63" s="537" t="s">
        <v>636</v>
      </c>
      <c r="AA63" s="531">
        <v>6</v>
      </c>
      <c r="AB63" s="532">
        <v>5</v>
      </c>
      <c r="AC63" s="537" t="s">
        <v>636</v>
      </c>
      <c r="AD63" s="531">
        <v>6</v>
      </c>
      <c r="AE63" s="532">
        <v>3</v>
      </c>
      <c r="AF63" s="537" t="s">
        <v>636</v>
      </c>
      <c r="AG63" s="531">
        <v>6</v>
      </c>
      <c r="AH63" s="532">
        <v>4</v>
      </c>
      <c r="AI63" s="537" t="s">
        <v>636</v>
      </c>
      <c r="AJ63" s="531">
        <v>0</v>
      </c>
      <c r="AK63" s="532">
        <v>0</v>
      </c>
      <c r="AL63" s="538">
        <v>0</v>
      </c>
      <c r="AM63" s="539"/>
      <c r="AN63" s="540"/>
      <c r="AO63" s="540"/>
      <c r="AP63" s="539"/>
      <c r="AQ63" s="539"/>
      <c r="AR63" s="539"/>
      <c r="AS63" s="539"/>
      <c r="AT63" s="539"/>
      <c r="AU63" s="539"/>
      <c r="AV63" s="539"/>
      <c r="AW63" s="539"/>
      <c r="AX63" s="539"/>
      <c r="AY63" s="539"/>
      <c r="AZ63" s="539"/>
      <c r="BA63" s="539"/>
      <c r="BB63" s="539"/>
      <c r="BC63" s="539"/>
      <c r="BD63" s="539"/>
      <c r="BE63" s="541"/>
      <c r="BF63" s="541"/>
      <c r="BG63" s="541"/>
      <c r="BH63" s="541"/>
      <c r="BI63" s="541"/>
      <c r="BJ63" s="541"/>
      <c r="BK63" s="541"/>
      <c r="BL63" s="541"/>
      <c r="BM63" s="541"/>
      <c r="BN63" s="541"/>
      <c r="BO63" s="541"/>
      <c r="BP63" s="541"/>
      <c r="BQ63" s="541"/>
      <c r="BR63" s="541"/>
      <c r="BS63" s="541"/>
      <c r="BT63" s="541"/>
    </row>
    <row r="64" spans="1:72" x14ac:dyDescent="0.25">
      <c r="A64" s="325" t="s">
        <v>352</v>
      </c>
      <c r="B64" s="331" t="s">
        <v>492</v>
      </c>
      <c r="C64" s="531">
        <v>12</v>
      </c>
      <c r="D64" s="532">
        <v>7</v>
      </c>
      <c r="E64" s="537">
        <v>20</v>
      </c>
      <c r="F64" s="531">
        <v>12</v>
      </c>
      <c r="G64" s="532">
        <v>7</v>
      </c>
      <c r="H64" s="537">
        <v>25</v>
      </c>
      <c r="I64" s="531">
        <v>12</v>
      </c>
      <c r="J64" s="532">
        <v>8</v>
      </c>
      <c r="K64" s="537">
        <v>25</v>
      </c>
      <c r="L64" s="531">
        <v>12</v>
      </c>
      <c r="M64" s="532">
        <v>5</v>
      </c>
      <c r="N64" s="537">
        <v>20</v>
      </c>
      <c r="O64" s="531">
        <v>12</v>
      </c>
      <c r="P64" s="532">
        <v>10</v>
      </c>
      <c r="Q64" s="537">
        <v>20</v>
      </c>
      <c r="R64" s="531">
        <v>12</v>
      </c>
      <c r="S64" s="532">
        <v>8</v>
      </c>
      <c r="T64" s="537">
        <v>25</v>
      </c>
      <c r="U64" s="531">
        <v>12</v>
      </c>
      <c r="V64" s="532">
        <v>7</v>
      </c>
      <c r="W64" s="537">
        <v>20</v>
      </c>
      <c r="X64" s="531">
        <v>12</v>
      </c>
      <c r="Y64" s="532">
        <v>10</v>
      </c>
      <c r="Z64" s="537">
        <v>20</v>
      </c>
      <c r="AA64" s="531">
        <v>12</v>
      </c>
      <c r="AB64" s="532">
        <v>5</v>
      </c>
      <c r="AC64" s="537">
        <v>15</v>
      </c>
      <c r="AD64" s="531">
        <v>12</v>
      </c>
      <c r="AE64" s="532">
        <v>8</v>
      </c>
      <c r="AF64" s="537">
        <v>25</v>
      </c>
      <c r="AG64" s="531">
        <v>12</v>
      </c>
      <c r="AH64" s="532">
        <v>10</v>
      </c>
      <c r="AI64" s="537">
        <v>25</v>
      </c>
      <c r="AJ64" s="531">
        <v>0</v>
      </c>
      <c r="AK64" s="532">
        <v>0</v>
      </c>
      <c r="AL64" s="538">
        <v>10</v>
      </c>
      <c r="AM64" s="539"/>
      <c r="AN64" s="540"/>
      <c r="AO64" s="540"/>
      <c r="AP64" s="539"/>
      <c r="AQ64" s="539"/>
      <c r="AR64" s="539"/>
      <c r="AS64" s="539"/>
      <c r="AT64" s="539"/>
      <c r="AU64" s="539"/>
      <c r="AV64" s="539"/>
      <c r="AW64" s="539"/>
      <c r="AX64" s="539"/>
      <c r="AY64" s="539"/>
      <c r="AZ64" s="539"/>
      <c r="BA64" s="539"/>
      <c r="BB64" s="539"/>
      <c r="BC64" s="539"/>
      <c r="BD64" s="539"/>
      <c r="BE64" s="541"/>
      <c r="BF64" s="541"/>
      <c r="BG64" s="541"/>
      <c r="BH64" s="541"/>
      <c r="BI64" s="541"/>
      <c r="BJ64" s="541"/>
      <c r="BK64" s="541"/>
      <c r="BL64" s="541"/>
      <c r="BM64" s="541"/>
      <c r="BN64" s="541"/>
      <c r="BO64" s="541"/>
      <c r="BP64" s="541"/>
      <c r="BQ64" s="541"/>
      <c r="BR64" s="541"/>
      <c r="BS64" s="541"/>
      <c r="BT64" s="541"/>
    </row>
    <row r="65" spans="1:72" x14ac:dyDescent="0.25">
      <c r="A65" s="325" t="s">
        <v>387</v>
      </c>
      <c r="B65" s="331" t="s">
        <v>527</v>
      </c>
      <c r="C65" s="531">
        <v>12</v>
      </c>
      <c r="D65" s="532">
        <v>9</v>
      </c>
      <c r="E65" s="537">
        <v>15</v>
      </c>
      <c r="F65" s="531">
        <v>12</v>
      </c>
      <c r="G65" s="532">
        <v>9</v>
      </c>
      <c r="H65" s="537">
        <v>10</v>
      </c>
      <c r="I65" s="531">
        <v>12</v>
      </c>
      <c r="J65" s="532">
        <v>10</v>
      </c>
      <c r="K65" s="537">
        <v>15</v>
      </c>
      <c r="L65" s="531">
        <v>12</v>
      </c>
      <c r="M65" s="532">
        <v>11</v>
      </c>
      <c r="N65" s="537">
        <v>15</v>
      </c>
      <c r="O65" s="531">
        <v>12</v>
      </c>
      <c r="P65" s="532">
        <v>9</v>
      </c>
      <c r="Q65" s="537">
        <v>10</v>
      </c>
      <c r="R65" s="531">
        <v>12</v>
      </c>
      <c r="S65" s="532">
        <v>7</v>
      </c>
      <c r="T65" s="537">
        <v>15</v>
      </c>
      <c r="U65" s="531">
        <v>12</v>
      </c>
      <c r="V65" s="532">
        <v>10</v>
      </c>
      <c r="W65" s="537">
        <v>15</v>
      </c>
      <c r="X65" s="531">
        <v>12</v>
      </c>
      <c r="Y65" s="532">
        <v>10</v>
      </c>
      <c r="Z65" s="537">
        <v>20</v>
      </c>
      <c r="AA65" s="531">
        <v>12</v>
      </c>
      <c r="AB65" s="532">
        <v>10</v>
      </c>
      <c r="AC65" s="537">
        <v>20</v>
      </c>
      <c r="AD65" s="531">
        <v>12</v>
      </c>
      <c r="AE65" s="532">
        <v>9</v>
      </c>
      <c r="AF65" s="537">
        <v>15</v>
      </c>
      <c r="AG65" s="531">
        <v>12</v>
      </c>
      <c r="AH65" s="532">
        <v>10</v>
      </c>
      <c r="AI65" s="537">
        <v>10</v>
      </c>
      <c r="AJ65" s="531">
        <v>0</v>
      </c>
      <c r="AK65" s="532">
        <v>0</v>
      </c>
      <c r="AL65" s="538" t="s">
        <v>636</v>
      </c>
      <c r="AM65" s="539"/>
      <c r="AN65" s="540"/>
      <c r="AO65" s="540"/>
      <c r="AP65" s="539"/>
      <c r="AQ65" s="539"/>
      <c r="AR65" s="539"/>
      <c r="AS65" s="539"/>
      <c r="AT65" s="539"/>
      <c r="AU65" s="539"/>
      <c r="AV65" s="539"/>
      <c r="AW65" s="539"/>
      <c r="AX65" s="539"/>
      <c r="AY65" s="539"/>
      <c r="AZ65" s="539"/>
      <c r="BA65" s="539"/>
      <c r="BB65" s="539"/>
      <c r="BC65" s="539"/>
      <c r="BD65" s="539"/>
      <c r="BE65" s="541"/>
      <c r="BF65" s="541"/>
      <c r="BG65" s="541"/>
      <c r="BH65" s="541"/>
      <c r="BI65" s="541"/>
      <c r="BJ65" s="541"/>
      <c r="BK65" s="541"/>
      <c r="BL65" s="541"/>
      <c r="BM65" s="541"/>
      <c r="BN65" s="541"/>
      <c r="BO65" s="541"/>
      <c r="BP65" s="541"/>
      <c r="BQ65" s="541"/>
      <c r="BR65" s="541"/>
      <c r="BS65" s="541"/>
      <c r="BT65" s="541"/>
    </row>
    <row r="66" spans="1:72" x14ac:dyDescent="0.25">
      <c r="A66" s="325" t="s">
        <v>369</v>
      </c>
      <c r="B66" s="331" t="s">
        <v>509</v>
      </c>
      <c r="C66" s="531">
        <v>100</v>
      </c>
      <c r="D66" s="532">
        <v>96</v>
      </c>
      <c r="E66" s="537">
        <v>170</v>
      </c>
      <c r="F66" s="531">
        <v>100</v>
      </c>
      <c r="G66" s="532">
        <v>98</v>
      </c>
      <c r="H66" s="537">
        <v>170</v>
      </c>
      <c r="I66" s="531">
        <v>100</v>
      </c>
      <c r="J66" s="532">
        <v>91</v>
      </c>
      <c r="K66" s="537">
        <v>180</v>
      </c>
      <c r="L66" s="531">
        <v>96</v>
      </c>
      <c r="M66" s="532">
        <v>93</v>
      </c>
      <c r="N66" s="537">
        <v>170</v>
      </c>
      <c r="O66" s="531">
        <v>96</v>
      </c>
      <c r="P66" s="532">
        <v>86</v>
      </c>
      <c r="Q66" s="537">
        <v>170</v>
      </c>
      <c r="R66" s="531">
        <v>96</v>
      </c>
      <c r="S66" s="532">
        <v>87</v>
      </c>
      <c r="T66" s="537">
        <v>175</v>
      </c>
      <c r="U66" s="531">
        <v>108</v>
      </c>
      <c r="V66" s="532">
        <v>102</v>
      </c>
      <c r="W66" s="537">
        <v>185</v>
      </c>
      <c r="X66" s="531">
        <v>96</v>
      </c>
      <c r="Y66" s="532">
        <v>92</v>
      </c>
      <c r="Z66" s="537">
        <v>190</v>
      </c>
      <c r="AA66" s="531">
        <v>96</v>
      </c>
      <c r="AB66" s="532">
        <v>89</v>
      </c>
      <c r="AC66" s="537">
        <v>150</v>
      </c>
      <c r="AD66" s="531">
        <v>96</v>
      </c>
      <c r="AE66" s="532">
        <v>90</v>
      </c>
      <c r="AF66" s="537">
        <v>165</v>
      </c>
      <c r="AG66" s="531">
        <v>96</v>
      </c>
      <c r="AH66" s="532">
        <v>91</v>
      </c>
      <c r="AI66" s="537">
        <v>150</v>
      </c>
      <c r="AJ66" s="531">
        <v>0</v>
      </c>
      <c r="AK66" s="532">
        <v>0</v>
      </c>
      <c r="AL66" s="538">
        <v>55</v>
      </c>
      <c r="AM66" s="539"/>
      <c r="AN66" s="540"/>
      <c r="AO66" s="540"/>
      <c r="AP66" s="539"/>
      <c r="AQ66" s="539"/>
      <c r="AR66" s="539"/>
      <c r="AS66" s="539"/>
      <c r="AT66" s="539"/>
      <c r="AU66" s="539"/>
      <c r="AV66" s="539"/>
      <c r="AW66" s="539"/>
      <c r="AX66" s="539"/>
      <c r="AY66" s="539"/>
      <c r="AZ66" s="539"/>
      <c r="BA66" s="539"/>
      <c r="BB66" s="539"/>
      <c r="BC66" s="539"/>
      <c r="BD66" s="539"/>
      <c r="BE66" s="541"/>
      <c r="BF66" s="541"/>
      <c r="BG66" s="541"/>
      <c r="BH66" s="541"/>
      <c r="BI66" s="541"/>
      <c r="BJ66" s="541"/>
      <c r="BK66" s="541"/>
      <c r="BL66" s="541"/>
      <c r="BM66" s="541"/>
      <c r="BN66" s="541"/>
      <c r="BO66" s="541"/>
      <c r="BP66" s="541"/>
      <c r="BQ66" s="541"/>
      <c r="BR66" s="541"/>
      <c r="BS66" s="541"/>
      <c r="BT66" s="541"/>
    </row>
    <row r="67" spans="1:72" x14ac:dyDescent="0.25">
      <c r="A67" s="325" t="s">
        <v>320</v>
      </c>
      <c r="B67" s="331" t="s">
        <v>460</v>
      </c>
      <c r="C67" s="531">
        <v>14</v>
      </c>
      <c r="D67" s="532">
        <v>10</v>
      </c>
      <c r="E67" s="537">
        <v>30</v>
      </c>
      <c r="F67" s="531">
        <v>12</v>
      </c>
      <c r="G67" s="532">
        <v>10</v>
      </c>
      <c r="H67" s="537">
        <v>20</v>
      </c>
      <c r="I67" s="531">
        <v>10</v>
      </c>
      <c r="J67" s="532">
        <v>7</v>
      </c>
      <c r="K67" s="537">
        <v>15</v>
      </c>
      <c r="L67" s="531">
        <v>14</v>
      </c>
      <c r="M67" s="532">
        <v>11</v>
      </c>
      <c r="N67" s="537">
        <v>25</v>
      </c>
      <c r="O67" s="531">
        <v>14</v>
      </c>
      <c r="P67" s="532">
        <v>13</v>
      </c>
      <c r="Q67" s="537">
        <v>30</v>
      </c>
      <c r="R67" s="531">
        <v>14</v>
      </c>
      <c r="S67" s="532">
        <v>10</v>
      </c>
      <c r="T67" s="537">
        <v>25</v>
      </c>
      <c r="U67" s="531">
        <v>14</v>
      </c>
      <c r="V67" s="532">
        <v>12</v>
      </c>
      <c r="W67" s="537">
        <v>25</v>
      </c>
      <c r="X67" s="531">
        <v>14</v>
      </c>
      <c r="Y67" s="532">
        <v>10</v>
      </c>
      <c r="Z67" s="537">
        <v>25</v>
      </c>
      <c r="AA67" s="531">
        <v>14</v>
      </c>
      <c r="AB67" s="532">
        <v>10</v>
      </c>
      <c r="AC67" s="537">
        <v>25</v>
      </c>
      <c r="AD67" s="531">
        <v>14</v>
      </c>
      <c r="AE67" s="532">
        <v>10</v>
      </c>
      <c r="AF67" s="537">
        <v>25</v>
      </c>
      <c r="AG67" s="531">
        <v>14</v>
      </c>
      <c r="AH67" s="532">
        <v>9</v>
      </c>
      <c r="AI67" s="537">
        <v>20</v>
      </c>
      <c r="AJ67" s="531">
        <v>0</v>
      </c>
      <c r="AK67" s="532">
        <v>0</v>
      </c>
      <c r="AL67" s="538">
        <v>10</v>
      </c>
      <c r="AM67" s="539"/>
      <c r="AN67" s="540"/>
      <c r="AO67" s="540"/>
      <c r="AP67" s="539"/>
      <c r="AQ67" s="539"/>
      <c r="AR67" s="539"/>
      <c r="AS67" s="539"/>
      <c r="AT67" s="539"/>
      <c r="AU67" s="539"/>
      <c r="AV67" s="539"/>
      <c r="AW67" s="539"/>
      <c r="AX67" s="539"/>
      <c r="AY67" s="539"/>
      <c r="AZ67" s="539"/>
      <c r="BA67" s="539"/>
      <c r="BB67" s="539"/>
      <c r="BC67" s="539"/>
      <c r="BD67" s="539"/>
      <c r="BE67" s="541"/>
      <c r="BF67" s="541"/>
      <c r="BG67" s="541"/>
      <c r="BH67" s="541"/>
      <c r="BI67" s="541"/>
      <c r="BJ67" s="541"/>
      <c r="BK67" s="541"/>
      <c r="BL67" s="541"/>
      <c r="BM67" s="541"/>
      <c r="BN67" s="541"/>
      <c r="BO67" s="541"/>
      <c r="BP67" s="541"/>
      <c r="BQ67" s="541"/>
      <c r="BR67" s="541"/>
      <c r="BS67" s="541"/>
      <c r="BT67" s="541"/>
    </row>
    <row r="68" spans="1:72" x14ac:dyDescent="0.25">
      <c r="A68" s="325" t="s">
        <v>438</v>
      </c>
      <c r="B68" s="331" t="s">
        <v>577</v>
      </c>
      <c r="C68" s="531">
        <v>32</v>
      </c>
      <c r="D68" s="532">
        <v>20</v>
      </c>
      <c r="E68" s="537">
        <v>50</v>
      </c>
      <c r="F68" s="531">
        <v>32</v>
      </c>
      <c r="G68" s="532">
        <v>20</v>
      </c>
      <c r="H68" s="537">
        <v>50</v>
      </c>
      <c r="I68" s="531">
        <v>32</v>
      </c>
      <c r="J68" s="532">
        <v>23</v>
      </c>
      <c r="K68" s="537">
        <v>45</v>
      </c>
      <c r="L68" s="531">
        <v>32</v>
      </c>
      <c r="M68" s="532">
        <v>19</v>
      </c>
      <c r="N68" s="537">
        <v>40</v>
      </c>
      <c r="O68" s="531">
        <v>32</v>
      </c>
      <c r="P68" s="532">
        <v>21</v>
      </c>
      <c r="Q68" s="537">
        <v>45</v>
      </c>
      <c r="R68" s="531">
        <v>32</v>
      </c>
      <c r="S68" s="532">
        <v>19</v>
      </c>
      <c r="T68" s="537">
        <v>50</v>
      </c>
      <c r="U68" s="531">
        <v>32</v>
      </c>
      <c r="V68" s="532">
        <v>23</v>
      </c>
      <c r="W68" s="537">
        <v>50</v>
      </c>
      <c r="X68" s="531">
        <v>32</v>
      </c>
      <c r="Y68" s="532">
        <v>23</v>
      </c>
      <c r="Z68" s="537">
        <v>50</v>
      </c>
      <c r="AA68" s="531">
        <v>32</v>
      </c>
      <c r="AB68" s="532">
        <v>26</v>
      </c>
      <c r="AC68" s="537">
        <v>45</v>
      </c>
      <c r="AD68" s="531">
        <v>32</v>
      </c>
      <c r="AE68" s="532">
        <v>26</v>
      </c>
      <c r="AF68" s="537">
        <v>55</v>
      </c>
      <c r="AG68" s="531">
        <v>32</v>
      </c>
      <c r="AH68" s="532">
        <v>29</v>
      </c>
      <c r="AI68" s="537">
        <v>40</v>
      </c>
      <c r="AJ68" s="531">
        <v>0</v>
      </c>
      <c r="AK68" s="532">
        <v>0</v>
      </c>
      <c r="AL68" s="538">
        <v>15</v>
      </c>
      <c r="AM68" s="539"/>
      <c r="AN68" s="540"/>
      <c r="AO68" s="540"/>
      <c r="AP68" s="539"/>
      <c r="AQ68" s="539"/>
      <c r="AR68" s="539"/>
      <c r="AS68" s="539"/>
      <c r="AT68" s="539"/>
      <c r="AU68" s="539"/>
      <c r="AV68" s="539"/>
      <c r="AW68" s="539"/>
      <c r="AX68" s="539"/>
      <c r="AY68" s="539"/>
      <c r="AZ68" s="539"/>
      <c r="BA68" s="539"/>
      <c r="BB68" s="539"/>
      <c r="BC68" s="539"/>
      <c r="BD68" s="539"/>
      <c r="BE68" s="541"/>
      <c r="BF68" s="541"/>
      <c r="BG68" s="541"/>
      <c r="BH68" s="541"/>
      <c r="BI68" s="541"/>
      <c r="BJ68" s="541"/>
      <c r="BK68" s="541"/>
      <c r="BL68" s="541"/>
      <c r="BM68" s="541"/>
      <c r="BN68" s="541"/>
      <c r="BO68" s="541"/>
      <c r="BP68" s="541"/>
      <c r="BQ68" s="541"/>
      <c r="BR68" s="541"/>
      <c r="BS68" s="541"/>
      <c r="BT68" s="541"/>
    </row>
    <row r="69" spans="1:72" x14ac:dyDescent="0.25">
      <c r="A69" s="325" t="s">
        <v>401</v>
      </c>
      <c r="B69" s="331" t="s">
        <v>540</v>
      </c>
      <c r="C69" s="531">
        <v>105</v>
      </c>
      <c r="D69" s="532">
        <v>81</v>
      </c>
      <c r="E69" s="537">
        <v>155</v>
      </c>
      <c r="F69" s="531">
        <v>105</v>
      </c>
      <c r="G69" s="532">
        <v>88</v>
      </c>
      <c r="H69" s="537">
        <v>155</v>
      </c>
      <c r="I69" s="531">
        <v>105</v>
      </c>
      <c r="J69" s="532">
        <v>88</v>
      </c>
      <c r="K69" s="537">
        <v>160</v>
      </c>
      <c r="L69" s="531">
        <v>105</v>
      </c>
      <c r="M69" s="532">
        <v>79</v>
      </c>
      <c r="N69" s="537">
        <v>145</v>
      </c>
      <c r="O69" s="531">
        <v>103</v>
      </c>
      <c r="P69" s="532">
        <v>79</v>
      </c>
      <c r="Q69" s="537">
        <v>150</v>
      </c>
      <c r="R69" s="531">
        <v>103</v>
      </c>
      <c r="S69" s="532">
        <v>85</v>
      </c>
      <c r="T69" s="537">
        <v>135</v>
      </c>
      <c r="U69" s="531">
        <v>104</v>
      </c>
      <c r="V69" s="532">
        <v>79</v>
      </c>
      <c r="W69" s="537">
        <v>130</v>
      </c>
      <c r="X69" s="531">
        <v>104</v>
      </c>
      <c r="Y69" s="532">
        <v>84</v>
      </c>
      <c r="Z69" s="537">
        <v>160</v>
      </c>
      <c r="AA69" s="531">
        <v>104</v>
      </c>
      <c r="AB69" s="532">
        <v>84</v>
      </c>
      <c r="AC69" s="537">
        <v>125</v>
      </c>
      <c r="AD69" s="531">
        <v>104</v>
      </c>
      <c r="AE69" s="532">
        <v>93</v>
      </c>
      <c r="AF69" s="537">
        <v>140</v>
      </c>
      <c r="AG69" s="531">
        <v>104</v>
      </c>
      <c r="AH69" s="532">
        <v>80</v>
      </c>
      <c r="AI69" s="537">
        <v>125</v>
      </c>
      <c r="AJ69" s="531">
        <v>0</v>
      </c>
      <c r="AK69" s="532">
        <v>0</v>
      </c>
      <c r="AL69" s="538">
        <v>40</v>
      </c>
      <c r="AM69" s="539"/>
      <c r="AN69" s="540"/>
      <c r="AO69" s="540"/>
      <c r="AP69" s="539"/>
      <c r="AQ69" s="539"/>
      <c r="AR69" s="539"/>
      <c r="AS69" s="539"/>
      <c r="AT69" s="539"/>
      <c r="AU69" s="539"/>
      <c r="AV69" s="539"/>
      <c r="AW69" s="539"/>
      <c r="AX69" s="539"/>
      <c r="AY69" s="539"/>
      <c r="AZ69" s="539"/>
      <c r="BA69" s="539"/>
      <c r="BB69" s="539"/>
      <c r="BC69" s="539"/>
      <c r="BD69" s="539"/>
      <c r="BE69" s="541"/>
      <c r="BF69" s="541"/>
      <c r="BG69" s="541"/>
      <c r="BH69" s="541"/>
      <c r="BI69" s="541"/>
      <c r="BJ69" s="541"/>
      <c r="BK69" s="541"/>
      <c r="BL69" s="541"/>
      <c r="BM69" s="541"/>
      <c r="BN69" s="541"/>
      <c r="BO69" s="541"/>
      <c r="BP69" s="541"/>
      <c r="BQ69" s="541"/>
      <c r="BR69" s="541"/>
      <c r="BS69" s="541"/>
      <c r="BT69" s="541"/>
    </row>
    <row r="70" spans="1:72" x14ac:dyDescent="0.25">
      <c r="A70" s="325" t="s">
        <v>361</v>
      </c>
      <c r="B70" s="331" t="s">
        <v>501</v>
      </c>
      <c r="C70" s="533">
        <v>36</v>
      </c>
      <c r="D70" s="532">
        <v>35</v>
      </c>
      <c r="E70" s="537">
        <v>55</v>
      </c>
      <c r="F70" s="533">
        <v>36</v>
      </c>
      <c r="G70" s="532">
        <v>28</v>
      </c>
      <c r="H70" s="537">
        <v>60</v>
      </c>
      <c r="I70" s="533">
        <v>33</v>
      </c>
      <c r="J70" s="532">
        <v>32</v>
      </c>
      <c r="K70" s="537">
        <v>70</v>
      </c>
      <c r="L70" s="533">
        <v>35</v>
      </c>
      <c r="M70" s="532">
        <v>31</v>
      </c>
      <c r="N70" s="537">
        <v>70</v>
      </c>
      <c r="O70" s="533">
        <v>33</v>
      </c>
      <c r="P70" s="532">
        <v>28</v>
      </c>
      <c r="Q70" s="537">
        <v>55</v>
      </c>
      <c r="R70" s="533">
        <v>33</v>
      </c>
      <c r="S70" s="532">
        <v>27</v>
      </c>
      <c r="T70" s="537">
        <v>55</v>
      </c>
      <c r="U70" s="533">
        <v>33</v>
      </c>
      <c r="V70" s="532">
        <v>31</v>
      </c>
      <c r="W70" s="537">
        <v>65</v>
      </c>
      <c r="X70" s="533">
        <v>31</v>
      </c>
      <c r="Y70" s="532">
        <v>31</v>
      </c>
      <c r="Z70" s="537">
        <v>55</v>
      </c>
      <c r="AA70" s="533">
        <v>33</v>
      </c>
      <c r="AB70" s="532">
        <v>28</v>
      </c>
      <c r="AC70" s="537">
        <v>70</v>
      </c>
      <c r="AD70" s="533">
        <v>33</v>
      </c>
      <c r="AE70" s="532">
        <v>26</v>
      </c>
      <c r="AF70" s="537">
        <v>60</v>
      </c>
      <c r="AG70" s="533">
        <v>33</v>
      </c>
      <c r="AH70" s="532">
        <v>27</v>
      </c>
      <c r="AI70" s="537">
        <v>55</v>
      </c>
      <c r="AJ70" s="533">
        <v>0</v>
      </c>
      <c r="AK70" s="532">
        <v>0</v>
      </c>
      <c r="AL70" s="538">
        <v>45</v>
      </c>
      <c r="AM70" s="539"/>
      <c r="AN70" s="540"/>
      <c r="AO70" s="540"/>
      <c r="AP70" s="539"/>
      <c r="AQ70" s="539"/>
      <c r="AR70" s="539"/>
      <c r="AS70" s="539"/>
      <c r="AT70" s="539"/>
      <c r="AU70" s="539"/>
      <c r="AV70" s="539"/>
      <c r="AW70" s="539"/>
      <c r="AX70" s="539"/>
      <c r="AY70" s="539"/>
      <c r="AZ70" s="539"/>
      <c r="BA70" s="539"/>
      <c r="BB70" s="539"/>
      <c r="BC70" s="539"/>
      <c r="BD70" s="539"/>
      <c r="BE70" s="541"/>
      <c r="BF70" s="541"/>
      <c r="BG70" s="541"/>
      <c r="BH70" s="541"/>
      <c r="BI70" s="541"/>
      <c r="BJ70" s="541"/>
      <c r="BK70" s="541"/>
      <c r="BL70" s="541"/>
      <c r="BM70" s="541"/>
      <c r="BN70" s="541"/>
      <c r="BO70" s="541"/>
      <c r="BP70" s="541"/>
      <c r="BQ70" s="541"/>
      <c r="BR70" s="541"/>
      <c r="BS70" s="541"/>
      <c r="BT70" s="541"/>
    </row>
    <row r="71" spans="1:72" x14ac:dyDescent="0.25">
      <c r="A71" s="325" t="s">
        <v>326</v>
      </c>
      <c r="B71" s="331" t="s">
        <v>466</v>
      </c>
      <c r="C71" s="531">
        <v>30</v>
      </c>
      <c r="D71" s="532">
        <v>26</v>
      </c>
      <c r="E71" s="537">
        <v>30</v>
      </c>
      <c r="F71" s="531">
        <v>34</v>
      </c>
      <c r="G71" s="532">
        <v>31</v>
      </c>
      <c r="H71" s="537">
        <v>40</v>
      </c>
      <c r="I71" s="531">
        <v>30</v>
      </c>
      <c r="J71" s="532">
        <v>30</v>
      </c>
      <c r="K71" s="537">
        <v>40</v>
      </c>
      <c r="L71" s="531">
        <v>30</v>
      </c>
      <c r="M71" s="532">
        <v>25</v>
      </c>
      <c r="N71" s="537">
        <v>35</v>
      </c>
      <c r="O71" s="531">
        <v>30</v>
      </c>
      <c r="P71" s="532">
        <v>26</v>
      </c>
      <c r="Q71" s="537">
        <v>30</v>
      </c>
      <c r="R71" s="531">
        <v>30</v>
      </c>
      <c r="S71" s="532">
        <v>27</v>
      </c>
      <c r="T71" s="537">
        <v>35</v>
      </c>
      <c r="U71" s="531">
        <v>30</v>
      </c>
      <c r="V71" s="532">
        <v>30</v>
      </c>
      <c r="W71" s="537">
        <v>35</v>
      </c>
      <c r="X71" s="531">
        <v>34</v>
      </c>
      <c r="Y71" s="532">
        <v>33</v>
      </c>
      <c r="Z71" s="537">
        <v>45</v>
      </c>
      <c r="AA71" s="531">
        <v>34</v>
      </c>
      <c r="AB71" s="532">
        <v>20</v>
      </c>
      <c r="AC71" s="537">
        <v>20</v>
      </c>
      <c r="AD71" s="531">
        <v>34</v>
      </c>
      <c r="AE71" s="532">
        <v>33</v>
      </c>
      <c r="AF71" s="537">
        <v>45</v>
      </c>
      <c r="AG71" s="531">
        <v>30</v>
      </c>
      <c r="AH71" s="532">
        <v>28</v>
      </c>
      <c r="AI71" s="537">
        <v>35</v>
      </c>
      <c r="AJ71" s="531">
        <v>0</v>
      </c>
      <c r="AK71" s="532">
        <v>0</v>
      </c>
      <c r="AL71" s="538">
        <v>10</v>
      </c>
      <c r="AM71" s="539"/>
      <c r="AN71" s="540"/>
      <c r="AO71" s="540"/>
      <c r="AP71" s="539"/>
      <c r="AQ71" s="539"/>
      <c r="AR71" s="539"/>
      <c r="AS71" s="539"/>
      <c r="AT71" s="539"/>
      <c r="AU71" s="539"/>
      <c r="AV71" s="539"/>
      <c r="AW71" s="539"/>
      <c r="AX71" s="539"/>
      <c r="AY71" s="539"/>
      <c r="AZ71" s="539"/>
      <c r="BA71" s="539"/>
      <c r="BB71" s="539"/>
      <c r="BC71" s="539"/>
      <c r="BD71" s="539"/>
      <c r="BE71" s="541"/>
      <c r="BF71" s="541"/>
      <c r="BG71" s="541"/>
      <c r="BH71" s="541"/>
      <c r="BI71" s="541"/>
      <c r="BJ71" s="541"/>
      <c r="BK71" s="541"/>
      <c r="BL71" s="541"/>
      <c r="BM71" s="541"/>
      <c r="BN71" s="541"/>
      <c r="BO71" s="541"/>
      <c r="BP71" s="541"/>
      <c r="BQ71" s="541"/>
      <c r="BR71" s="541"/>
      <c r="BS71" s="541"/>
      <c r="BT71" s="541"/>
    </row>
    <row r="72" spans="1:72" x14ac:dyDescent="0.25">
      <c r="A72" s="326" t="s">
        <v>625</v>
      </c>
      <c r="B72" s="331" t="s">
        <v>626</v>
      </c>
      <c r="C72" s="533">
        <v>2</v>
      </c>
      <c r="D72" s="534">
        <v>2</v>
      </c>
      <c r="E72" s="537">
        <v>30</v>
      </c>
      <c r="F72" s="533">
        <v>2</v>
      </c>
      <c r="G72" s="534">
        <v>2</v>
      </c>
      <c r="H72" s="537">
        <v>40</v>
      </c>
      <c r="I72" s="533">
        <v>2</v>
      </c>
      <c r="J72" s="534">
        <v>2</v>
      </c>
      <c r="K72" s="537">
        <v>30</v>
      </c>
      <c r="L72" s="533">
        <v>2</v>
      </c>
      <c r="M72" s="534">
        <v>1</v>
      </c>
      <c r="N72" s="537">
        <v>20</v>
      </c>
      <c r="O72" s="533">
        <v>2</v>
      </c>
      <c r="P72" s="534">
        <v>1</v>
      </c>
      <c r="Q72" s="537">
        <v>40</v>
      </c>
      <c r="R72" s="533">
        <v>2</v>
      </c>
      <c r="S72" s="534">
        <v>2</v>
      </c>
      <c r="T72" s="537">
        <v>35</v>
      </c>
      <c r="U72" s="533">
        <v>2</v>
      </c>
      <c r="V72" s="534">
        <v>1</v>
      </c>
      <c r="W72" s="537">
        <v>30</v>
      </c>
      <c r="X72" s="533">
        <v>2</v>
      </c>
      <c r="Y72" s="534">
        <v>0</v>
      </c>
      <c r="Z72" s="537">
        <v>35</v>
      </c>
      <c r="AA72" s="533">
        <v>2</v>
      </c>
      <c r="AB72" s="534">
        <v>0</v>
      </c>
      <c r="AC72" s="537">
        <v>35</v>
      </c>
      <c r="AD72" s="533">
        <v>2</v>
      </c>
      <c r="AE72" s="534">
        <v>0</v>
      </c>
      <c r="AF72" s="537">
        <v>30</v>
      </c>
      <c r="AG72" s="533">
        <v>2</v>
      </c>
      <c r="AH72" s="534">
        <v>0</v>
      </c>
      <c r="AI72" s="537">
        <v>20</v>
      </c>
      <c r="AJ72" s="533">
        <v>0</v>
      </c>
      <c r="AK72" s="534">
        <v>0</v>
      </c>
      <c r="AL72" s="538">
        <v>10</v>
      </c>
      <c r="AM72" s="539"/>
      <c r="AN72" s="540"/>
      <c r="AO72" s="540"/>
      <c r="AP72" s="539"/>
      <c r="AQ72" s="539"/>
      <c r="AR72" s="539"/>
      <c r="AS72" s="539"/>
      <c r="AT72" s="539"/>
      <c r="AU72" s="539"/>
      <c r="AV72" s="539"/>
      <c r="AW72" s="539"/>
      <c r="AX72" s="539"/>
      <c r="AY72" s="539"/>
      <c r="AZ72" s="539"/>
      <c r="BA72" s="539"/>
      <c r="BB72" s="539"/>
      <c r="BC72" s="539"/>
      <c r="BD72" s="539"/>
      <c r="BE72" s="541"/>
      <c r="BF72" s="541"/>
      <c r="BG72" s="541"/>
      <c r="BH72" s="541"/>
      <c r="BI72" s="541"/>
      <c r="BJ72" s="541"/>
      <c r="BK72" s="541"/>
      <c r="BL72" s="541"/>
      <c r="BM72" s="541"/>
      <c r="BN72" s="541"/>
      <c r="BO72" s="541"/>
      <c r="BP72" s="541"/>
      <c r="BQ72" s="541"/>
      <c r="BR72" s="541"/>
      <c r="BS72" s="541"/>
      <c r="BT72" s="541"/>
    </row>
    <row r="73" spans="1:72" x14ac:dyDescent="0.25">
      <c r="A73" s="325" t="s">
        <v>308</v>
      </c>
      <c r="B73" s="331" t="s">
        <v>448</v>
      </c>
      <c r="C73" s="531">
        <v>33</v>
      </c>
      <c r="D73" s="532">
        <v>28</v>
      </c>
      <c r="E73" s="537">
        <v>50</v>
      </c>
      <c r="F73" s="531">
        <v>33</v>
      </c>
      <c r="G73" s="532">
        <v>27</v>
      </c>
      <c r="H73" s="537">
        <v>50</v>
      </c>
      <c r="I73" s="531">
        <v>33</v>
      </c>
      <c r="J73" s="532">
        <v>23</v>
      </c>
      <c r="K73" s="537">
        <v>40</v>
      </c>
      <c r="L73" s="531">
        <v>33</v>
      </c>
      <c r="M73" s="532">
        <v>25</v>
      </c>
      <c r="N73" s="537">
        <v>40</v>
      </c>
      <c r="O73" s="531">
        <v>33</v>
      </c>
      <c r="P73" s="532">
        <v>25</v>
      </c>
      <c r="Q73" s="537">
        <v>35</v>
      </c>
      <c r="R73" s="531">
        <v>33</v>
      </c>
      <c r="S73" s="532">
        <v>22</v>
      </c>
      <c r="T73" s="537">
        <v>40</v>
      </c>
      <c r="U73" s="531">
        <v>33</v>
      </c>
      <c r="V73" s="532">
        <v>28</v>
      </c>
      <c r="W73" s="537">
        <v>55</v>
      </c>
      <c r="X73" s="531">
        <v>33</v>
      </c>
      <c r="Y73" s="532">
        <v>29</v>
      </c>
      <c r="Z73" s="537">
        <v>40</v>
      </c>
      <c r="AA73" s="531">
        <v>33</v>
      </c>
      <c r="AB73" s="532">
        <v>28</v>
      </c>
      <c r="AC73" s="537">
        <v>35</v>
      </c>
      <c r="AD73" s="531">
        <v>33</v>
      </c>
      <c r="AE73" s="532">
        <v>28</v>
      </c>
      <c r="AF73" s="537">
        <v>50</v>
      </c>
      <c r="AG73" s="531">
        <v>33</v>
      </c>
      <c r="AH73" s="532">
        <v>27</v>
      </c>
      <c r="AI73" s="537">
        <v>45</v>
      </c>
      <c r="AJ73" s="531">
        <v>0</v>
      </c>
      <c r="AK73" s="532">
        <v>0</v>
      </c>
      <c r="AL73" s="538">
        <v>30</v>
      </c>
      <c r="AM73" s="539"/>
      <c r="AN73" s="540"/>
      <c r="AO73" s="540"/>
      <c r="AP73" s="539"/>
      <c r="AQ73" s="539"/>
      <c r="AR73" s="539"/>
      <c r="AS73" s="539"/>
      <c r="AT73" s="539"/>
      <c r="AU73" s="539"/>
      <c r="AV73" s="539"/>
      <c r="AW73" s="539"/>
      <c r="AX73" s="539"/>
      <c r="AY73" s="539"/>
      <c r="AZ73" s="539"/>
      <c r="BA73" s="539"/>
      <c r="BB73" s="539"/>
      <c r="BC73" s="539"/>
      <c r="BD73" s="539"/>
      <c r="BE73" s="541"/>
      <c r="BF73" s="541"/>
      <c r="BG73" s="541"/>
      <c r="BH73" s="541"/>
      <c r="BI73" s="541"/>
      <c r="BJ73" s="541"/>
      <c r="BK73" s="541"/>
      <c r="BL73" s="541"/>
      <c r="BM73" s="541"/>
      <c r="BN73" s="541"/>
      <c r="BO73" s="541"/>
      <c r="BP73" s="541"/>
      <c r="BQ73" s="541"/>
      <c r="BR73" s="541"/>
      <c r="BS73" s="541"/>
      <c r="BT73" s="541"/>
    </row>
    <row r="74" spans="1:72" x14ac:dyDescent="0.25">
      <c r="A74" s="325" t="s">
        <v>331</v>
      </c>
      <c r="B74" s="331" t="s">
        <v>471</v>
      </c>
      <c r="C74" s="531">
        <v>17</v>
      </c>
      <c r="D74" s="532">
        <v>17</v>
      </c>
      <c r="E74" s="537">
        <v>65</v>
      </c>
      <c r="F74" s="531">
        <v>17</v>
      </c>
      <c r="G74" s="532">
        <v>11</v>
      </c>
      <c r="H74" s="537">
        <v>65</v>
      </c>
      <c r="I74" s="531">
        <v>17</v>
      </c>
      <c r="J74" s="532">
        <v>12</v>
      </c>
      <c r="K74" s="537">
        <v>65</v>
      </c>
      <c r="L74" s="531">
        <v>17</v>
      </c>
      <c r="M74" s="532">
        <v>13</v>
      </c>
      <c r="N74" s="537">
        <v>70</v>
      </c>
      <c r="O74" s="531">
        <v>17</v>
      </c>
      <c r="P74" s="532">
        <v>13</v>
      </c>
      <c r="Q74" s="537">
        <v>55</v>
      </c>
      <c r="R74" s="531">
        <v>17</v>
      </c>
      <c r="S74" s="532">
        <v>14</v>
      </c>
      <c r="T74" s="537">
        <v>70</v>
      </c>
      <c r="U74" s="531">
        <v>17</v>
      </c>
      <c r="V74" s="532">
        <v>15</v>
      </c>
      <c r="W74" s="537">
        <v>55</v>
      </c>
      <c r="X74" s="531">
        <v>17</v>
      </c>
      <c r="Y74" s="532">
        <v>15</v>
      </c>
      <c r="Z74" s="537">
        <v>65</v>
      </c>
      <c r="AA74" s="531">
        <v>17</v>
      </c>
      <c r="AB74" s="532">
        <v>10</v>
      </c>
      <c r="AC74" s="537">
        <v>65</v>
      </c>
      <c r="AD74" s="531">
        <v>17</v>
      </c>
      <c r="AE74" s="532">
        <v>14</v>
      </c>
      <c r="AF74" s="537">
        <v>60</v>
      </c>
      <c r="AG74" s="531">
        <v>17</v>
      </c>
      <c r="AH74" s="532">
        <v>14</v>
      </c>
      <c r="AI74" s="537">
        <v>45</v>
      </c>
      <c r="AJ74" s="531">
        <v>0</v>
      </c>
      <c r="AK74" s="532">
        <v>0</v>
      </c>
      <c r="AL74" s="538">
        <v>25</v>
      </c>
      <c r="AM74" s="539"/>
      <c r="AN74" s="540"/>
      <c r="AO74" s="540"/>
      <c r="AP74" s="539"/>
      <c r="AQ74" s="539"/>
      <c r="AR74" s="539"/>
      <c r="AS74" s="539"/>
      <c r="AT74" s="539"/>
      <c r="AU74" s="539"/>
      <c r="AV74" s="539"/>
      <c r="AW74" s="539"/>
      <c r="AX74" s="539"/>
      <c r="AY74" s="539"/>
      <c r="AZ74" s="539"/>
      <c r="BA74" s="539"/>
      <c r="BB74" s="539"/>
      <c r="BC74" s="539"/>
      <c r="BD74" s="539"/>
      <c r="BE74" s="541"/>
      <c r="BF74" s="541"/>
      <c r="BG74" s="541"/>
      <c r="BH74" s="541"/>
      <c r="BI74" s="541"/>
      <c r="BJ74" s="541"/>
      <c r="BK74" s="541"/>
      <c r="BL74" s="541"/>
      <c r="BM74" s="541"/>
      <c r="BN74" s="541"/>
      <c r="BO74" s="541"/>
      <c r="BP74" s="541"/>
      <c r="BQ74" s="541"/>
      <c r="BR74" s="541"/>
      <c r="BS74" s="541"/>
      <c r="BT74" s="541"/>
    </row>
    <row r="75" spans="1:72" x14ac:dyDescent="0.25">
      <c r="A75" s="325" t="s">
        <v>425</v>
      </c>
      <c r="B75" s="331" t="s">
        <v>564</v>
      </c>
      <c r="C75" s="531">
        <v>16</v>
      </c>
      <c r="D75" s="532">
        <v>12</v>
      </c>
      <c r="E75" s="537">
        <v>30</v>
      </c>
      <c r="F75" s="531">
        <v>16</v>
      </c>
      <c r="G75" s="532">
        <v>13</v>
      </c>
      <c r="H75" s="537">
        <v>30</v>
      </c>
      <c r="I75" s="531">
        <v>16</v>
      </c>
      <c r="J75" s="532">
        <v>12</v>
      </c>
      <c r="K75" s="537">
        <v>30</v>
      </c>
      <c r="L75" s="531">
        <v>16</v>
      </c>
      <c r="M75" s="532">
        <v>15</v>
      </c>
      <c r="N75" s="537">
        <v>35</v>
      </c>
      <c r="O75" s="531">
        <v>16</v>
      </c>
      <c r="P75" s="532">
        <v>15</v>
      </c>
      <c r="Q75" s="537">
        <v>35</v>
      </c>
      <c r="R75" s="531">
        <v>16</v>
      </c>
      <c r="S75" s="532">
        <v>14</v>
      </c>
      <c r="T75" s="537">
        <v>35</v>
      </c>
      <c r="U75" s="531">
        <v>16</v>
      </c>
      <c r="V75" s="532">
        <v>16</v>
      </c>
      <c r="W75" s="537">
        <v>35</v>
      </c>
      <c r="X75" s="531">
        <v>16</v>
      </c>
      <c r="Y75" s="532">
        <v>16</v>
      </c>
      <c r="Z75" s="537">
        <v>30</v>
      </c>
      <c r="AA75" s="531">
        <v>19</v>
      </c>
      <c r="AB75" s="532">
        <v>13</v>
      </c>
      <c r="AC75" s="537">
        <v>20</v>
      </c>
      <c r="AD75" s="531">
        <v>19</v>
      </c>
      <c r="AE75" s="532">
        <v>11</v>
      </c>
      <c r="AF75" s="537">
        <v>30</v>
      </c>
      <c r="AG75" s="531">
        <v>19</v>
      </c>
      <c r="AH75" s="532">
        <v>13</v>
      </c>
      <c r="AI75" s="537">
        <v>30</v>
      </c>
      <c r="AJ75" s="531">
        <v>0</v>
      </c>
      <c r="AK75" s="532">
        <v>0</v>
      </c>
      <c r="AL75" s="538">
        <v>10</v>
      </c>
      <c r="AM75" s="539"/>
      <c r="AN75" s="540"/>
      <c r="AO75" s="540"/>
      <c r="AP75" s="539"/>
      <c r="AQ75" s="539"/>
      <c r="AR75" s="539"/>
      <c r="AS75" s="539"/>
      <c r="AT75" s="539"/>
      <c r="AU75" s="539"/>
      <c r="AV75" s="539"/>
      <c r="AW75" s="539"/>
      <c r="AX75" s="539"/>
      <c r="AY75" s="539"/>
      <c r="AZ75" s="539"/>
      <c r="BA75" s="539"/>
      <c r="BB75" s="539"/>
      <c r="BC75" s="539"/>
      <c r="BD75" s="539"/>
      <c r="BE75" s="541"/>
      <c r="BF75" s="541"/>
      <c r="BG75" s="541"/>
      <c r="BH75" s="541"/>
      <c r="BI75" s="541"/>
      <c r="BJ75" s="541"/>
      <c r="BK75" s="541"/>
      <c r="BL75" s="541"/>
      <c r="BM75" s="541"/>
      <c r="BN75" s="541"/>
      <c r="BO75" s="541"/>
      <c r="BP75" s="541"/>
      <c r="BQ75" s="541"/>
      <c r="BR75" s="541"/>
      <c r="BS75" s="541"/>
      <c r="BT75" s="541"/>
    </row>
    <row r="76" spans="1:72" x14ac:dyDescent="0.25">
      <c r="A76" s="325" t="s">
        <v>305</v>
      </c>
      <c r="B76" s="331" t="s">
        <v>445</v>
      </c>
      <c r="C76" s="531">
        <v>94</v>
      </c>
      <c r="D76" s="532">
        <v>89</v>
      </c>
      <c r="E76" s="537">
        <v>255</v>
      </c>
      <c r="F76" s="531">
        <v>86</v>
      </c>
      <c r="G76" s="532">
        <v>77</v>
      </c>
      <c r="H76" s="537">
        <v>265</v>
      </c>
      <c r="I76" s="531">
        <v>105</v>
      </c>
      <c r="J76" s="532">
        <v>98</v>
      </c>
      <c r="K76" s="537">
        <v>250</v>
      </c>
      <c r="L76" s="531">
        <v>86</v>
      </c>
      <c r="M76" s="532">
        <v>73</v>
      </c>
      <c r="N76" s="537">
        <v>275</v>
      </c>
      <c r="O76" s="531">
        <v>86</v>
      </c>
      <c r="P76" s="532">
        <v>75</v>
      </c>
      <c r="Q76" s="537">
        <v>310</v>
      </c>
      <c r="R76" s="531">
        <v>86</v>
      </c>
      <c r="S76" s="532">
        <v>74</v>
      </c>
      <c r="T76" s="537">
        <v>285</v>
      </c>
      <c r="U76" s="531">
        <v>108</v>
      </c>
      <c r="V76" s="532">
        <v>94</v>
      </c>
      <c r="W76" s="537">
        <v>280</v>
      </c>
      <c r="X76" s="531">
        <v>108</v>
      </c>
      <c r="Y76" s="532">
        <v>90</v>
      </c>
      <c r="Z76" s="537">
        <v>265</v>
      </c>
      <c r="AA76" s="531">
        <v>108</v>
      </c>
      <c r="AB76" s="532">
        <v>81</v>
      </c>
      <c r="AC76" s="537">
        <v>235</v>
      </c>
      <c r="AD76" s="531">
        <v>108</v>
      </c>
      <c r="AE76" s="532">
        <v>90</v>
      </c>
      <c r="AF76" s="537">
        <v>305</v>
      </c>
      <c r="AG76" s="531">
        <v>108</v>
      </c>
      <c r="AH76" s="532">
        <v>87</v>
      </c>
      <c r="AI76" s="537">
        <v>230</v>
      </c>
      <c r="AJ76" s="531">
        <v>0</v>
      </c>
      <c r="AK76" s="532">
        <v>0</v>
      </c>
      <c r="AL76" s="538">
        <v>110</v>
      </c>
      <c r="AM76" s="539"/>
      <c r="AN76" s="540"/>
      <c r="AO76" s="540"/>
      <c r="AP76" s="539"/>
      <c r="AQ76" s="539"/>
      <c r="AR76" s="539"/>
      <c r="AS76" s="539"/>
      <c r="AT76" s="539"/>
      <c r="AU76" s="539"/>
      <c r="AV76" s="539"/>
      <c r="AW76" s="539"/>
      <c r="AX76" s="539"/>
      <c r="AY76" s="539"/>
      <c r="AZ76" s="539"/>
      <c r="BA76" s="539"/>
      <c r="BB76" s="539"/>
      <c r="BC76" s="539"/>
      <c r="BD76" s="539"/>
      <c r="BE76" s="541"/>
      <c r="BF76" s="541"/>
      <c r="BG76" s="541"/>
      <c r="BH76" s="541"/>
      <c r="BI76" s="541"/>
      <c r="BJ76" s="541"/>
      <c r="BK76" s="541"/>
      <c r="BL76" s="541"/>
      <c r="BM76" s="541"/>
      <c r="BN76" s="541"/>
      <c r="BO76" s="541"/>
      <c r="BP76" s="541"/>
      <c r="BQ76" s="541"/>
      <c r="BR76" s="541"/>
      <c r="BS76" s="541"/>
      <c r="BT76" s="541"/>
    </row>
    <row r="77" spans="1:72" x14ac:dyDescent="0.25">
      <c r="A77" s="325" t="s">
        <v>391</v>
      </c>
      <c r="B77" s="331" t="s">
        <v>531</v>
      </c>
      <c r="C77" s="531">
        <v>29</v>
      </c>
      <c r="D77" s="532">
        <v>26</v>
      </c>
      <c r="E77" s="537">
        <v>55</v>
      </c>
      <c r="F77" s="531">
        <v>29</v>
      </c>
      <c r="G77" s="532">
        <v>28</v>
      </c>
      <c r="H77" s="537">
        <v>65</v>
      </c>
      <c r="I77" s="531">
        <v>29</v>
      </c>
      <c r="J77" s="532">
        <v>25</v>
      </c>
      <c r="K77" s="537">
        <v>50</v>
      </c>
      <c r="L77" s="531">
        <v>29</v>
      </c>
      <c r="M77" s="532">
        <v>26</v>
      </c>
      <c r="N77" s="537">
        <v>50</v>
      </c>
      <c r="O77" s="531">
        <v>29</v>
      </c>
      <c r="P77" s="532">
        <v>24</v>
      </c>
      <c r="Q77" s="537">
        <v>60</v>
      </c>
      <c r="R77" s="531">
        <v>29</v>
      </c>
      <c r="S77" s="532">
        <v>26</v>
      </c>
      <c r="T77" s="537">
        <v>50</v>
      </c>
      <c r="U77" s="531">
        <v>29</v>
      </c>
      <c r="V77" s="532">
        <v>24</v>
      </c>
      <c r="W77" s="537">
        <v>55</v>
      </c>
      <c r="X77" s="531">
        <v>29</v>
      </c>
      <c r="Y77" s="532">
        <v>28</v>
      </c>
      <c r="Z77" s="537">
        <v>65</v>
      </c>
      <c r="AA77" s="531">
        <v>29</v>
      </c>
      <c r="AB77" s="532">
        <v>27</v>
      </c>
      <c r="AC77" s="537">
        <v>55</v>
      </c>
      <c r="AD77" s="531">
        <v>29</v>
      </c>
      <c r="AE77" s="532">
        <v>26</v>
      </c>
      <c r="AF77" s="537">
        <v>55</v>
      </c>
      <c r="AG77" s="531">
        <v>29</v>
      </c>
      <c r="AH77" s="532">
        <v>26</v>
      </c>
      <c r="AI77" s="537">
        <v>50</v>
      </c>
      <c r="AJ77" s="531">
        <v>0</v>
      </c>
      <c r="AK77" s="532">
        <v>0</v>
      </c>
      <c r="AL77" s="538">
        <v>25</v>
      </c>
      <c r="AM77" s="539"/>
      <c r="AN77" s="540"/>
      <c r="AO77" s="540"/>
      <c r="AP77" s="539"/>
      <c r="AQ77" s="539"/>
      <c r="AR77" s="539"/>
      <c r="AS77" s="539"/>
      <c r="AT77" s="539"/>
      <c r="AU77" s="539"/>
      <c r="AV77" s="539"/>
      <c r="AW77" s="539"/>
      <c r="AX77" s="539"/>
      <c r="AY77" s="539"/>
      <c r="AZ77" s="539"/>
      <c r="BA77" s="539"/>
      <c r="BB77" s="539"/>
      <c r="BC77" s="539"/>
      <c r="BD77" s="539"/>
      <c r="BE77" s="541"/>
      <c r="BF77" s="541"/>
      <c r="BG77" s="541"/>
      <c r="BH77" s="541"/>
      <c r="BI77" s="541"/>
      <c r="BJ77" s="541"/>
      <c r="BK77" s="541"/>
      <c r="BL77" s="541"/>
      <c r="BM77" s="541"/>
      <c r="BN77" s="541"/>
      <c r="BO77" s="541"/>
      <c r="BP77" s="541"/>
      <c r="BQ77" s="541"/>
      <c r="BR77" s="541"/>
      <c r="BS77" s="541"/>
      <c r="BT77" s="541"/>
    </row>
    <row r="78" spans="1:72" x14ac:dyDescent="0.25">
      <c r="A78" s="325" t="s">
        <v>327</v>
      </c>
      <c r="B78" s="331" t="s">
        <v>467</v>
      </c>
      <c r="C78" s="531">
        <v>11</v>
      </c>
      <c r="D78" s="532">
        <v>10</v>
      </c>
      <c r="E78" s="537">
        <v>20</v>
      </c>
      <c r="F78" s="531">
        <v>11</v>
      </c>
      <c r="G78" s="532">
        <v>6</v>
      </c>
      <c r="H78" s="537">
        <v>15</v>
      </c>
      <c r="I78" s="531">
        <v>11</v>
      </c>
      <c r="J78" s="532">
        <v>6</v>
      </c>
      <c r="K78" s="537">
        <v>15</v>
      </c>
      <c r="L78" s="531">
        <v>11</v>
      </c>
      <c r="M78" s="532">
        <v>7</v>
      </c>
      <c r="N78" s="537">
        <v>20</v>
      </c>
      <c r="O78" s="531">
        <v>11</v>
      </c>
      <c r="P78" s="532">
        <v>9</v>
      </c>
      <c r="Q78" s="537">
        <v>15</v>
      </c>
      <c r="R78" s="531">
        <v>11</v>
      </c>
      <c r="S78" s="532">
        <v>6</v>
      </c>
      <c r="T78" s="537">
        <v>10</v>
      </c>
      <c r="U78" s="531">
        <v>11</v>
      </c>
      <c r="V78" s="532">
        <v>8</v>
      </c>
      <c r="W78" s="537">
        <v>20</v>
      </c>
      <c r="X78" s="531">
        <v>11</v>
      </c>
      <c r="Y78" s="532">
        <v>9</v>
      </c>
      <c r="Z78" s="537">
        <v>15</v>
      </c>
      <c r="AA78" s="531">
        <v>11</v>
      </c>
      <c r="AB78" s="532">
        <v>9</v>
      </c>
      <c r="AC78" s="537">
        <v>10</v>
      </c>
      <c r="AD78" s="531">
        <v>11</v>
      </c>
      <c r="AE78" s="532">
        <v>8</v>
      </c>
      <c r="AF78" s="537">
        <v>20</v>
      </c>
      <c r="AG78" s="531">
        <v>11</v>
      </c>
      <c r="AH78" s="532">
        <v>10</v>
      </c>
      <c r="AI78" s="537">
        <v>15</v>
      </c>
      <c r="AJ78" s="531">
        <v>0</v>
      </c>
      <c r="AK78" s="532">
        <v>0</v>
      </c>
      <c r="AL78" s="538" t="s">
        <v>636</v>
      </c>
      <c r="AM78" s="539"/>
      <c r="AN78" s="540"/>
      <c r="AO78" s="540"/>
      <c r="AP78" s="539"/>
      <c r="AQ78" s="539"/>
      <c r="AR78" s="539"/>
      <c r="AS78" s="539"/>
      <c r="AT78" s="539"/>
      <c r="AU78" s="539"/>
      <c r="AV78" s="539"/>
      <c r="AW78" s="539"/>
      <c r="AX78" s="539"/>
      <c r="AY78" s="539"/>
      <c r="AZ78" s="539"/>
      <c r="BA78" s="539"/>
      <c r="BB78" s="539"/>
      <c r="BC78" s="539"/>
      <c r="BD78" s="539"/>
      <c r="BE78" s="541"/>
      <c r="BF78" s="541"/>
      <c r="BG78" s="541"/>
      <c r="BH78" s="541"/>
      <c r="BI78" s="541"/>
      <c r="BJ78" s="541"/>
      <c r="BK78" s="541"/>
      <c r="BL78" s="541"/>
      <c r="BM78" s="541"/>
      <c r="BN78" s="541"/>
      <c r="BO78" s="541"/>
      <c r="BP78" s="541"/>
      <c r="BQ78" s="541"/>
      <c r="BR78" s="541"/>
      <c r="BS78" s="541"/>
      <c r="BT78" s="541"/>
    </row>
    <row r="79" spans="1:72" x14ac:dyDescent="0.25">
      <c r="A79" s="325" t="s">
        <v>395</v>
      </c>
      <c r="B79" s="331" t="s">
        <v>535</v>
      </c>
      <c r="C79" s="531">
        <v>21</v>
      </c>
      <c r="D79" s="532">
        <v>11</v>
      </c>
      <c r="E79" s="537">
        <v>30</v>
      </c>
      <c r="F79" s="531">
        <v>21</v>
      </c>
      <c r="G79" s="532">
        <v>11</v>
      </c>
      <c r="H79" s="537">
        <v>25</v>
      </c>
      <c r="I79" s="531">
        <v>21</v>
      </c>
      <c r="J79" s="532">
        <v>9</v>
      </c>
      <c r="K79" s="537">
        <v>30</v>
      </c>
      <c r="L79" s="531">
        <v>21</v>
      </c>
      <c r="M79" s="532">
        <v>9</v>
      </c>
      <c r="N79" s="537">
        <v>20</v>
      </c>
      <c r="O79" s="531">
        <v>21</v>
      </c>
      <c r="P79" s="532">
        <v>11</v>
      </c>
      <c r="Q79" s="537">
        <v>25</v>
      </c>
      <c r="R79" s="531">
        <v>21</v>
      </c>
      <c r="S79" s="532">
        <v>13</v>
      </c>
      <c r="T79" s="537">
        <v>25</v>
      </c>
      <c r="U79" s="531">
        <v>21</v>
      </c>
      <c r="V79" s="532">
        <v>14</v>
      </c>
      <c r="W79" s="537">
        <v>30</v>
      </c>
      <c r="X79" s="531">
        <v>21</v>
      </c>
      <c r="Y79" s="532">
        <v>14</v>
      </c>
      <c r="Z79" s="537">
        <v>30</v>
      </c>
      <c r="AA79" s="531">
        <v>21</v>
      </c>
      <c r="AB79" s="532">
        <v>10</v>
      </c>
      <c r="AC79" s="537">
        <v>15</v>
      </c>
      <c r="AD79" s="531">
        <v>21</v>
      </c>
      <c r="AE79" s="532">
        <v>13</v>
      </c>
      <c r="AF79" s="537">
        <v>30</v>
      </c>
      <c r="AG79" s="531">
        <v>21</v>
      </c>
      <c r="AH79" s="532">
        <v>8</v>
      </c>
      <c r="AI79" s="537">
        <v>20</v>
      </c>
      <c r="AJ79" s="531">
        <v>0</v>
      </c>
      <c r="AK79" s="532">
        <v>0</v>
      </c>
      <c r="AL79" s="538">
        <v>10</v>
      </c>
      <c r="AM79" s="539"/>
      <c r="AN79" s="540"/>
      <c r="AO79" s="540"/>
      <c r="AP79" s="539"/>
      <c r="AQ79" s="539"/>
      <c r="AR79" s="539"/>
      <c r="AS79" s="539"/>
      <c r="AT79" s="539"/>
      <c r="AU79" s="539"/>
      <c r="AV79" s="539"/>
      <c r="AW79" s="539"/>
      <c r="AX79" s="539"/>
      <c r="AY79" s="539"/>
      <c r="AZ79" s="539"/>
      <c r="BA79" s="539"/>
      <c r="BB79" s="539"/>
      <c r="BC79" s="539"/>
      <c r="BD79" s="539"/>
      <c r="BE79" s="541"/>
      <c r="BF79" s="541"/>
      <c r="BG79" s="541"/>
      <c r="BH79" s="541"/>
      <c r="BI79" s="541"/>
      <c r="BJ79" s="541"/>
      <c r="BK79" s="541"/>
      <c r="BL79" s="541"/>
      <c r="BM79" s="541"/>
      <c r="BN79" s="541"/>
      <c r="BO79" s="541"/>
      <c r="BP79" s="541"/>
      <c r="BQ79" s="541"/>
      <c r="BR79" s="541"/>
      <c r="BS79" s="541"/>
      <c r="BT79" s="541"/>
    </row>
    <row r="80" spans="1:72" x14ac:dyDescent="0.25">
      <c r="A80" s="325" t="s">
        <v>434</v>
      </c>
      <c r="B80" s="331" t="s">
        <v>573</v>
      </c>
      <c r="C80" s="531">
        <v>20</v>
      </c>
      <c r="D80" s="532">
        <v>8</v>
      </c>
      <c r="E80" s="537">
        <v>35</v>
      </c>
      <c r="F80" s="531">
        <v>20</v>
      </c>
      <c r="G80" s="532">
        <v>13</v>
      </c>
      <c r="H80" s="537">
        <v>35</v>
      </c>
      <c r="I80" s="531">
        <v>20</v>
      </c>
      <c r="J80" s="532">
        <v>11</v>
      </c>
      <c r="K80" s="537">
        <v>40</v>
      </c>
      <c r="L80" s="531">
        <v>20</v>
      </c>
      <c r="M80" s="532">
        <v>10</v>
      </c>
      <c r="N80" s="537">
        <v>35</v>
      </c>
      <c r="O80" s="531">
        <v>20</v>
      </c>
      <c r="P80" s="532">
        <v>9</v>
      </c>
      <c r="Q80" s="537">
        <v>30</v>
      </c>
      <c r="R80" s="531">
        <v>20</v>
      </c>
      <c r="S80" s="532">
        <v>9</v>
      </c>
      <c r="T80" s="537">
        <v>30</v>
      </c>
      <c r="U80" s="531">
        <v>20</v>
      </c>
      <c r="V80" s="532">
        <v>7</v>
      </c>
      <c r="W80" s="537">
        <v>30</v>
      </c>
      <c r="X80" s="531">
        <v>20</v>
      </c>
      <c r="Y80" s="532">
        <v>15</v>
      </c>
      <c r="Z80" s="537">
        <v>35</v>
      </c>
      <c r="AA80" s="531">
        <v>20</v>
      </c>
      <c r="AB80" s="532">
        <v>13</v>
      </c>
      <c r="AC80" s="537">
        <v>30</v>
      </c>
      <c r="AD80" s="531">
        <v>20</v>
      </c>
      <c r="AE80" s="532">
        <v>10</v>
      </c>
      <c r="AF80" s="537">
        <v>35</v>
      </c>
      <c r="AG80" s="531">
        <v>20</v>
      </c>
      <c r="AH80" s="532">
        <v>11</v>
      </c>
      <c r="AI80" s="537">
        <v>25</v>
      </c>
      <c r="AJ80" s="531">
        <v>0</v>
      </c>
      <c r="AK80" s="532">
        <v>0</v>
      </c>
      <c r="AL80" s="538">
        <v>10</v>
      </c>
      <c r="AM80" s="539"/>
      <c r="AN80" s="540"/>
      <c r="AO80" s="540"/>
      <c r="AP80" s="539"/>
      <c r="AQ80" s="539"/>
      <c r="AR80" s="539"/>
      <c r="AS80" s="539"/>
      <c r="AT80" s="539"/>
      <c r="AU80" s="539"/>
      <c r="AV80" s="539"/>
      <c r="AW80" s="539"/>
      <c r="AX80" s="539"/>
      <c r="AY80" s="539"/>
      <c r="AZ80" s="539"/>
      <c r="BA80" s="539"/>
      <c r="BB80" s="539"/>
      <c r="BC80" s="539"/>
      <c r="BD80" s="539"/>
      <c r="BE80" s="541"/>
      <c r="BF80" s="541"/>
      <c r="BG80" s="541"/>
      <c r="BH80" s="541"/>
      <c r="BI80" s="541"/>
      <c r="BJ80" s="541"/>
      <c r="BK80" s="541"/>
      <c r="BL80" s="541"/>
      <c r="BM80" s="541"/>
      <c r="BN80" s="541"/>
      <c r="BO80" s="541"/>
      <c r="BP80" s="541"/>
      <c r="BQ80" s="541"/>
      <c r="BR80" s="541"/>
      <c r="BS80" s="541"/>
      <c r="BT80" s="541"/>
    </row>
    <row r="81" spans="1:72" x14ac:dyDescent="0.25">
      <c r="A81" s="325" t="s">
        <v>338</v>
      </c>
      <c r="B81" s="331" t="s">
        <v>478</v>
      </c>
      <c r="C81" s="531">
        <v>9</v>
      </c>
      <c r="D81" s="532">
        <v>4</v>
      </c>
      <c r="E81" s="537" t="s">
        <v>636</v>
      </c>
      <c r="F81" s="531">
        <v>9</v>
      </c>
      <c r="G81" s="532">
        <v>6</v>
      </c>
      <c r="H81" s="537" t="s">
        <v>636</v>
      </c>
      <c r="I81" s="531">
        <v>9</v>
      </c>
      <c r="J81" s="532">
        <v>6</v>
      </c>
      <c r="K81" s="537">
        <v>10</v>
      </c>
      <c r="L81" s="531">
        <v>9</v>
      </c>
      <c r="M81" s="532">
        <v>5</v>
      </c>
      <c r="N81" s="537">
        <v>20</v>
      </c>
      <c r="O81" s="531">
        <v>9</v>
      </c>
      <c r="P81" s="532">
        <v>6</v>
      </c>
      <c r="Q81" s="537">
        <v>20</v>
      </c>
      <c r="R81" s="531">
        <v>9</v>
      </c>
      <c r="S81" s="532">
        <v>5</v>
      </c>
      <c r="T81" s="537">
        <v>15</v>
      </c>
      <c r="U81" s="531">
        <v>9</v>
      </c>
      <c r="V81" s="532">
        <v>6</v>
      </c>
      <c r="W81" s="537">
        <v>15</v>
      </c>
      <c r="X81" s="531">
        <v>9</v>
      </c>
      <c r="Y81" s="532">
        <v>7</v>
      </c>
      <c r="Z81" s="537">
        <v>20</v>
      </c>
      <c r="AA81" s="531">
        <v>9</v>
      </c>
      <c r="AB81" s="532">
        <v>7</v>
      </c>
      <c r="AC81" s="537">
        <v>20</v>
      </c>
      <c r="AD81" s="531">
        <v>9</v>
      </c>
      <c r="AE81" s="532">
        <v>7</v>
      </c>
      <c r="AF81" s="537">
        <v>25</v>
      </c>
      <c r="AG81" s="531">
        <v>9</v>
      </c>
      <c r="AH81" s="532">
        <v>6</v>
      </c>
      <c r="AI81" s="537">
        <v>15</v>
      </c>
      <c r="AJ81" s="531">
        <v>0</v>
      </c>
      <c r="AK81" s="532">
        <v>0</v>
      </c>
      <c r="AL81" s="538" t="s">
        <v>636</v>
      </c>
      <c r="AM81" s="539"/>
      <c r="AN81" s="540"/>
      <c r="AO81" s="540"/>
      <c r="AP81" s="539"/>
      <c r="AQ81" s="539"/>
      <c r="AR81" s="539"/>
      <c r="AS81" s="539"/>
      <c r="AT81" s="539"/>
      <c r="AU81" s="539"/>
      <c r="AV81" s="539"/>
      <c r="AW81" s="539"/>
      <c r="AX81" s="539"/>
      <c r="AY81" s="539"/>
      <c r="AZ81" s="539"/>
      <c r="BA81" s="539"/>
      <c r="BB81" s="539"/>
      <c r="BC81" s="539"/>
      <c r="BD81" s="539"/>
      <c r="BE81" s="541"/>
      <c r="BF81" s="541"/>
      <c r="BG81" s="541"/>
      <c r="BH81" s="541"/>
      <c r="BI81" s="541"/>
      <c r="BJ81" s="541"/>
      <c r="BK81" s="541"/>
      <c r="BL81" s="541"/>
      <c r="BM81" s="541"/>
      <c r="BN81" s="541"/>
      <c r="BO81" s="541"/>
      <c r="BP81" s="541"/>
      <c r="BQ81" s="541"/>
      <c r="BR81" s="541"/>
      <c r="BS81" s="541"/>
      <c r="BT81" s="541"/>
    </row>
    <row r="82" spans="1:72" x14ac:dyDescent="0.25">
      <c r="A82" s="325" t="s">
        <v>378</v>
      </c>
      <c r="B82" s="331" t="s">
        <v>518</v>
      </c>
      <c r="C82" s="531">
        <v>26</v>
      </c>
      <c r="D82" s="532">
        <v>19</v>
      </c>
      <c r="E82" s="537">
        <v>55</v>
      </c>
      <c r="F82" s="531">
        <v>26</v>
      </c>
      <c r="G82" s="532">
        <v>21</v>
      </c>
      <c r="H82" s="537">
        <v>60</v>
      </c>
      <c r="I82" s="531">
        <v>24</v>
      </c>
      <c r="J82" s="532">
        <v>21</v>
      </c>
      <c r="K82" s="537">
        <v>55</v>
      </c>
      <c r="L82" s="531">
        <v>23</v>
      </c>
      <c r="M82" s="532">
        <v>21</v>
      </c>
      <c r="N82" s="537">
        <v>60</v>
      </c>
      <c r="O82" s="531">
        <v>23</v>
      </c>
      <c r="P82" s="532">
        <v>21</v>
      </c>
      <c r="Q82" s="537">
        <v>55</v>
      </c>
      <c r="R82" s="531">
        <v>23</v>
      </c>
      <c r="S82" s="532">
        <v>20</v>
      </c>
      <c r="T82" s="537">
        <v>65</v>
      </c>
      <c r="U82" s="531">
        <v>25</v>
      </c>
      <c r="V82" s="532">
        <v>21</v>
      </c>
      <c r="W82" s="537">
        <v>65</v>
      </c>
      <c r="X82" s="531">
        <v>26</v>
      </c>
      <c r="Y82" s="532">
        <v>24</v>
      </c>
      <c r="Z82" s="537">
        <v>60</v>
      </c>
      <c r="AA82" s="531">
        <v>28</v>
      </c>
      <c r="AB82" s="532">
        <v>19</v>
      </c>
      <c r="AC82" s="537">
        <v>50</v>
      </c>
      <c r="AD82" s="531">
        <v>20</v>
      </c>
      <c r="AE82" s="532">
        <v>15</v>
      </c>
      <c r="AF82" s="537">
        <v>60</v>
      </c>
      <c r="AG82" s="531">
        <v>20</v>
      </c>
      <c r="AH82" s="532">
        <v>16</v>
      </c>
      <c r="AI82" s="537">
        <v>50</v>
      </c>
      <c r="AJ82" s="531">
        <v>0</v>
      </c>
      <c r="AK82" s="532">
        <v>0</v>
      </c>
      <c r="AL82" s="538">
        <v>15</v>
      </c>
      <c r="AM82" s="539"/>
      <c r="AN82" s="540"/>
      <c r="AO82" s="540"/>
      <c r="AP82" s="539"/>
      <c r="AQ82" s="539"/>
      <c r="AR82" s="539"/>
      <c r="AS82" s="539"/>
      <c r="AT82" s="539"/>
      <c r="AU82" s="539"/>
      <c r="AV82" s="539"/>
      <c r="AW82" s="539"/>
      <c r="AX82" s="539"/>
      <c r="AY82" s="539"/>
      <c r="AZ82" s="539"/>
      <c r="BA82" s="539"/>
      <c r="BB82" s="539"/>
      <c r="BC82" s="539"/>
      <c r="BD82" s="539"/>
      <c r="BE82" s="541"/>
      <c r="BF82" s="541"/>
      <c r="BG82" s="541"/>
      <c r="BH82" s="541"/>
      <c r="BI82" s="541"/>
      <c r="BJ82" s="541"/>
      <c r="BK82" s="541"/>
      <c r="BL82" s="541"/>
      <c r="BM82" s="541"/>
      <c r="BN82" s="541"/>
      <c r="BO82" s="541"/>
      <c r="BP82" s="541"/>
      <c r="BQ82" s="541"/>
      <c r="BR82" s="541"/>
      <c r="BS82" s="541"/>
      <c r="BT82" s="541"/>
    </row>
    <row r="83" spans="1:72" x14ac:dyDescent="0.25">
      <c r="A83" s="325" t="s">
        <v>416</v>
      </c>
      <c r="B83" s="331" t="s">
        <v>555</v>
      </c>
      <c r="C83" s="531">
        <v>46</v>
      </c>
      <c r="D83" s="532">
        <v>35</v>
      </c>
      <c r="E83" s="537">
        <v>100</v>
      </c>
      <c r="F83" s="531">
        <v>46</v>
      </c>
      <c r="G83" s="532">
        <v>32</v>
      </c>
      <c r="H83" s="537">
        <v>100</v>
      </c>
      <c r="I83" s="531">
        <v>46</v>
      </c>
      <c r="J83" s="532">
        <v>40</v>
      </c>
      <c r="K83" s="537">
        <v>115</v>
      </c>
      <c r="L83" s="531">
        <v>46</v>
      </c>
      <c r="M83" s="532">
        <v>33</v>
      </c>
      <c r="N83" s="537">
        <v>110</v>
      </c>
      <c r="O83" s="531">
        <v>46</v>
      </c>
      <c r="P83" s="532">
        <v>34</v>
      </c>
      <c r="Q83" s="537">
        <v>105</v>
      </c>
      <c r="R83" s="531">
        <v>46</v>
      </c>
      <c r="S83" s="532">
        <v>36</v>
      </c>
      <c r="T83" s="537">
        <v>95</v>
      </c>
      <c r="U83" s="531">
        <v>46</v>
      </c>
      <c r="V83" s="532">
        <v>34</v>
      </c>
      <c r="W83" s="537">
        <v>110</v>
      </c>
      <c r="X83" s="531">
        <v>46</v>
      </c>
      <c r="Y83" s="532">
        <v>38</v>
      </c>
      <c r="Z83" s="537">
        <v>110</v>
      </c>
      <c r="AA83" s="531">
        <v>46</v>
      </c>
      <c r="AB83" s="532">
        <v>36</v>
      </c>
      <c r="AC83" s="537">
        <v>95</v>
      </c>
      <c r="AD83" s="531">
        <v>46</v>
      </c>
      <c r="AE83" s="532">
        <v>34</v>
      </c>
      <c r="AF83" s="537">
        <v>80</v>
      </c>
      <c r="AG83" s="531">
        <v>46</v>
      </c>
      <c r="AH83" s="532">
        <v>28</v>
      </c>
      <c r="AI83" s="537">
        <v>80</v>
      </c>
      <c r="AJ83" s="531">
        <v>0</v>
      </c>
      <c r="AK83" s="532">
        <v>0</v>
      </c>
      <c r="AL83" s="538">
        <v>35</v>
      </c>
      <c r="AM83" s="539"/>
      <c r="AN83" s="540"/>
      <c r="AO83" s="540"/>
      <c r="AP83" s="539"/>
      <c r="AQ83" s="539"/>
      <c r="AR83" s="539"/>
      <c r="AS83" s="539"/>
      <c r="AT83" s="539"/>
      <c r="AU83" s="539"/>
      <c r="AV83" s="539"/>
      <c r="AW83" s="539"/>
      <c r="AX83" s="539"/>
      <c r="AY83" s="539"/>
      <c r="AZ83" s="539"/>
      <c r="BA83" s="539"/>
      <c r="BB83" s="539"/>
      <c r="BC83" s="539"/>
      <c r="BD83" s="539"/>
      <c r="BE83" s="541"/>
      <c r="BF83" s="541"/>
      <c r="BG83" s="541"/>
      <c r="BH83" s="541"/>
      <c r="BI83" s="541"/>
      <c r="BJ83" s="541"/>
      <c r="BK83" s="541"/>
      <c r="BL83" s="541"/>
      <c r="BM83" s="541"/>
      <c r="BN83" s="541"/>
      <c r="BO83" s="541"/>
      <c r="BP83" s="541"/>
      <c r="BQ83" s="541"/>
      <c r="BR83" s="541"/>
      <c r="BS83" s="541"/>
      <c r="BT83" s="541"/>
    </row>
    <row r="84" spans="1:72" x14ac:dyDescent="0.25">
      <c r="A84" s="325" t="s">
        <v>386</v>
      </c>
      <c r="B84" s="331" t="s">
        <v>526</v>
      </c>
      <c r="C84" s="531">
        <v>15</v>
      </c>
      <c r="D84" s="532">
        <v>14</v>
      </c>
      <c r="E84" s="537">
        <v>20</v>
      </c>
      <c r="F84" s="531">
        <v>15</v>
      </c>
      <c r="G84" s="532">
        <v>8</v>
      </c>
      <c r="H84" s="537">
        <v>15</v>
      </c>
      <c r="I84" s="531">
        <v>15</v>
      </c>
      <c r="J84" s="532">
        <v>10</v>
      </c>
      <c r="K84" s="537">
        <v>10</v>
      </c>
      <c r="L84" s="531">
        <v>15</v>
      </c>
      <c r="M84" s="532">
        <v>11</v>
      </c>
      <c r="N84" s="537">
        <v>20</v>
      </c>
      <c r="O84" s="531">
        <v>15</v>
      </c>
      <c r="P84" s="532">
        <v>11</v>
      </c>
      <c r="Q84" s="537">
        <v>20</v>
      </c>
      <c r="R84" s="531">
        <v>15</v>
      </c>
      <c r="S84" s="532">
        <v>11</v>
      </c>
      <c r="T84" s="537">
        <v>10</v>
      </c>
      <c r="U84" s="531">
        <v>0</v>
      </c>
      <c r="V84" s="532">
        <v>0</v>
      </c>
      <c r="W84" s="537">
        <v>0</v>
      </c>
      <c r="X84" s="531">
        <v>0</v>
      </c>
      <c r="Y84" s="532">
        <v>0</v>
      </c>
      <c r="Z84" s="537">
        <v>0</v>
      </c>
      <c r="AA84" s="531">
        <v>0</v>
      </c>
      <c r="AB84" s="532">
        <v>0</v>
      </c>
      <c r="AC84" s="537">
        <v>0</v>
      </c>
      <c r="AD84" s="531">
        <v>0</v>
      </c>
      <c r="AE84" s="532">
        <v>0</v>
      </c>
      <c r="AF84" s="537">
        <v>0</v>
      </c>
      <c r="AG84" s="531">
        <v>0</v>
      </c>
      <c r="AH84" s="532">
        <v>0</v>
      </c>
      <c r="AI84" s="537">
        <v>0</v>
      </c>
      <c r="AJ84" s="531">
        <v>0</v>
      </c>
      <c r="AK84" s="532">
        <v>0</v>
      </c>
      <c r="AL84" s="538">
        <v>0</v>
      </c>
      <c r="AM84" s="539"/>
      <c r="AN84" s="540"/>
      <c r="AO84" s="540"/>
      <c r="AP84" s="539"/>
      <c r="AQ84" s="539"/>
      <c r="AR84" s="539"/>
      <c r="AS84" s="539"/>
      <c r="AT84" s="539"/>
      <c r="AU84" s="539"/>
      <c r="AV84" s="539"/>
      <c r="AW84" s="539"/>
      <c r="AX84" s="539"/>
      <c r="AY84" s="539"/>
      <c r="AZ84" s="539"/>
      <c r="BA84" s="539"/>
      <c r="BB84" s="539"/>
      <c r="BC84" s="539"/>
      <c r="BD84" s="539"/>
      <c r="BE84" s="541"/>
      <c r="BF84" s="541"/>
      <c r="BG84" s="541"/>
      <c r="BH84" s="541"/>
      <c r="BI84" s="541"/>
      <c r="BJ84" s="541"/>
      <c r="BK84" s="541"/>
      <c r="BL84" s="541"/>
      <c r="BM84" s="541"/>
      <c r="BN84" s="541"/>
      <c r="BO84" s="541"/>
      <c r="BP84" s="541"/>
      <c r="BQ84" s="541"/>
      <c r="BR84" s="541"/>
      <c r="BS84" s="541"/>
      <c r="BT84" s="541"/>
    </row>
    <row r="85" spans="1:72" x14ac:dyDescent="0.25">
      <c r="A85" s="325" t="s">
        <v>318</v>
      </c>
      <c r="B85" s="331" t="s">
        <v>458</v>
      </c>
      <c r="C85" s="531">
        <v>10</v>
      </c>
      <c r="D85" s="532">
        <v>9</v>
      </c>
      <c r="E85" s="537">
        <v>20</v>
      </c>
      <c r="F85" s="531">
        <v>10</v>
      </c>
      <c r="G85" s="532">
        <v>9</v>
      </c>
      <c r="H85" s="537">
        <v>25</v>
      </c>
      <c r="I85" s="531">
        <v>10</v>
      </c>
      <c r="J85" s="532">
        <v>9</v>
      </c>
      <c r="K85" s="537">
        <v>30</v>
      </c>
      <c r="L85" s="531">
        <v>10</v>
      </c>
      <c r="M85" s="532">
        <v>10</v>
      </c>
      <c r="N85" s="537">
        <v>25</v>
      </c>
      <c r="O85" s="531">
        <v>10</v>
      </c>
      <c r="P85" s="532">
        <v>9</v>
      </c>
      <c r="Q85" s="537">
        <v>20</v>
      </c>
      <c r="R85" s="531">
        <v>10</v>
      </c>
      <c r="S85" s="532">
        <v>9</v>
      </c>
      <c r="T85" s="537">
        <v>25</v>
      </c>
      <c r="U85" s="531">
        <v>10</v>
      </c>
      <c r="V85" s="532">
        <v>9</v>
      </c>
      <c r="W85" s="537">
        <v>25</v>
      </c>
      <c r="X85" s="531">
        <v>10</v>
      </c>
      <c r="Y85" s="532">
        <v>10</v>
      </c>
      <c r="Z85" s="537">
        <v>25</v>
      </c>
      <c r="AA85" s="531">
        <v>10</v>
      </c>
      <c r="AB85" s="532">
        <v>9</v>
      </c>
      <c r="AC85" s="537">
        <v>20</v>
      </c>
      <c r="AD85" s="531">
        <v>10</v>
      </c>
      <c r="AE85" s="532">
        <v>9</v>
      </c>
      <c r="AF85" s="537">
        <v>20</v>
      </c>
      <c r="AG85" s="531">
        <v>10</v>
      </c>
      <c r="AH85" s="532">
        <v>9</v>
      </c>
      <c r="AI85" s="537">
        <v>15</v>
      </c>
      <c r="AJ85" s="531">
        <v>0</v>
      </c>
      <c r="AK85" s="532">
        <v>0</v>
      </c>
      <c r="AL85" s="538">
        <v>15</v>
      </c>
      <c r="AM85" s="539"/>
      <c r="AN85" s="540"/>
      <c r="AO85" s="540"/>
      <c r="AP85" s="539"/>
      <c r="AQ85" s="539"/>
      <c r="AR85" s="539"/>
      <c r="AS85" s="539"/>
      <c r="AT85" s="539"/>
      <c r="AU85" s="539"/>
      <c r="AV85" s="539"/>
      <c r="AW85" s="539"/>
      <c r="AX85" s="539"/>
      <c r="AY85" s="539"/>
      <c r="AZ85" s="539"/>
      <c r="BA85" s="539"/>
      <c r="BB85" s="539"/>
      <c r="BC85" s="539"/>
      <c r="BD85" s="539"/>
      <c r="BE85" s="541"/>
      <c r="BF85" s="541"/>
      <c r="BG85" s="541"/>
      <c r="BH85" s="541"/>
      <c r="BI85" s="541"/>
      <c r="BJ85" s="541"/>
      <c r="BK85" s="541"/>
      <c r="BL85" s="541"/>
      <c r="BM85" s="541"/>
      <c r="BN85" s="541"/>
      <c r="BO85" s="541"/>
      <c r="BP85" s="541"/>
      <c r="BQ85" s="541"/>
      <c r="BR85" s="541"/>
      <c r="BS85" s="541"/>
      <c r="BT85" s="541"/>
    </row>
    <row r="86" spans="1:72" x14ac:dyDescent="0.25">
      <c r="A86" s="325" t="s">
        <v>419</v>
      </c>
      <c r="B86" s="331" t="s">
        <v>558</v>
      </c>
      <c r="C86" s="531">
        <v>16</v>
      </c>
      <c r="D86" s="532">
        <v>15</v>
      </c>
      <c r="E86" s="537">
        <v>25</v>
      </c>
      <c r="F86" s="531">
        <v>16</v>
      </c>
      <c r="G86" s="532">
        <v>7</v>
      </c>
      <c r="H86" s="537">
        <v>20</v>
      </c>
      <c r="I86" s="531">
        <v>16</v>
      </c>
      <c r="J86" s="532">
        <v>14</v>
      </c>
      <c r="K86" s="537">
        <v>20</v>
      </c>
      <c r="L86" s="531">
        <v>16</v>
      </c>
      <c r="M86" s="532">
        <v>13</v>
      </c>
      <c r="N86" s="537">
        <v>20</v>
      </c>
      <c r="O86" s="531">
        <v>16</v>
      </c>
      <c r="P86" s="532">
        <v>10</v>
      </c>
      <c r="Q86" s="537">
        <v>20</v>
      </c>
      <c r="R86" s="531">
        <v>16</v>
      </c>
      <c r="S86" s="532">
        <v>8</v>
      </c>
      <c r="T86" s="537">
        <v>20</v>
      </c>
      <c r="U86" s="531">
        <v>16</v>
      </c>
      <c r="V86" s="532">
        <v>12</v>
      </c>
      <c r="W86" s="537">
        <v>30</v>
      </c>
      <c r="X86" s="531">
        <v>16</v>
      </c>
      <c r="Y86" s="532">
        <v>14</v>
      </c>
      <c r="Z86" s="537">
        <v>15</v>
      </c>
      <c r="AA86" s="531">
        <v>16</v>
      </c>
      <c r="AB86" s="532">
        <v>12</v>
      </c>
      <c r="AC86" s="537">
        <v>20</v>
      </c>
      <c r="AD86" s="531">
        <v>16</v>
      </c>
      <c r="AE86" s="532">
        <v>14</v>
      </c>
      <c r="AF86" s="537">
        <v>20</v>
      </c>
      <c r="AG86" s="531">
        <v>16</v>
      </c>
      <c r="AH86" s="532">
        <v>11</v>
      </c>
      <c r="AI86" s="537">
        <v>25</v>
      </c>
      <c r="AJ86" s="531">
        <v>0</v>
      </c>
      <c r="AK86" s="532">
        <v>0</v>
      </c>
      <c r="AL86" s="538">
        <v>10</v>
      </c>
      <c r="AM86" s="539"/>
      <c r="AN86" s="540"/>
      <c r="AO86" s="540"/>
      <c r="AP86" s="539"/>
      <c r="AQ86" s="539"/>
      <c r="AR86" s="539"/>
      <c r="AS86" s="539"/>
      <c r="AT86" s="539"/>
      <c r="AU86" s="539"/>
      <c r="AV86" s="539"/>
      <c r="AW86" s="539"/>
      <c r="AX86" s="539"/>
      <c r="AY86" s="539"/>
      <c r="AZ86" s="539"/>
      <c r="BA86" s="539"/>
      <c r="BB86" s="539"/>
      <c r="BC86" s="539"/>
      <c r="BD86" s="539"/>
      <c r="BE86" s="541"/>
      <c r="BF86" s="541"/>
      <c r="BG86" s="541"/>
      <c r="BH86" s="541"/>
      <c r="BI86" s="541"/>
      <c r="BJ86" s="541"/>
      <c r="BK86" s="541"/>
      <c r="BL86" s="541"/>
      <c r="BM86" s="541"/>
      <c r="BN86" s="541"/>
      <c r="BO86" s="541"/>
      <c r="BP86" s="541"/>
      <c r="BQ86" s="541"/>
      <c r="BR86" s="541"/>
      <c r="BS86" s="541"/>
      <c r="BT86" s="541"/>
    </row>
    <row r="87" spans="1:72" x14ac:dyDescent="0.25">
      <c r="A87" s="325" t="s">
        <v>351</v>
      </c>
      <c r="B87" s="331" t="s">
        <v>491</v>
      </c>
      <c r="C87" s="531">
        <v>22</v>
      </c>
      <c r="D87" s="532">
        <v>18</v>
      </c>
      <c r="E87" s="537">
        <v>20</v>
      </c>
      <c r="F87" s="531">
        <v>22</v>
      </c>
      <c r="G87" s="532">
        <v>14</v>
      </c>
      <c r="H87" s="537">
        <v>20</v>
      </c>
      <c r="I87" s="531">
        <v>22</v>
      </c>
      <c r="J87" s="532">
        <v>15</v>
      </c>
      <c r="K87" s="537">
        <v>20</v>
      </c>
      <c r="L87" s="531">
        <v>22</v>
      </c>
      <c r="M87" s="532">
        <v>18</v>
      </c>
      <c r="N87" s="537">
        <v>15</v>
      </c>
      <c r="O87" s="531">
        <v>22</v>
      </c>
      <c r="P87" s="532">
        <v>13</v>
      </c>
      <c r="Q87" s="537">
        <v>15</v>
      </c>
      <c r="R87" s="531">
        <v>22</v>
      </c>
      <c r="S87" s="532">
        <v>14</v>
      </c>
      <c r="T87" s="537">
        <v>20</v>
      </c>
      <c r="U87" s="531">
        <v>22</v>
      </c>
      <c r="V87" s="532">
        <v>14</v>
      </c>
      <c r="W87" s="537">
        <v>15</v>
      </c>
      <c r="X87" s="531">
        <v>22</v>
      </c>
      <c r="Y87" s="532">
        <v>17</v>
      </c>
      <c r="Z87" s="537">
        <v>15</v>
      </c>
      <c r="AA87" s="531">
        <v>22</v>
      </c>
      <c r="AB87" s="532">
        <v>17</v>
      </c>
      <c r="AC87" s="537">
        <v>10</v>
      </c>
      <c r="AD87" s="531">
        <v>22</v>
      </c>
      <c r="AE87" s="532">
        <v>13</v>
      </c>
      <c r="AF87" s="537">
        <v>0</v>
      </c>
      <c r="AG87" s="531">
        <v>22</v>
      </c>
      <c r="AH87" s="532">
        <v>15</v>
      </c>
      <c r="AI87" s="537">
        <v>0</v>
      </c>
      <c r="AJ87" s="531">
        <v>0</v>
      </c>
      <c r="AK87" s="532">
        <v>0</v>
      </c>
      <c r="AL87" s="538">
        <v>0</v>
      </c>
      <c r="AM87" s="539"/>
      <c r="AN87" s="540"/>
      <c r="AO87" s="540"/>
      <c r="AP87" s="539"/>
      <c r="AQ87" s="539"/>
      <c r="AR87" s="539"/>
      <c r="AS87" s="539"/>
      <c r="AT87" s="539"/>
      <c r="AU87" s="539"/>
      <c r="AV87" s="539"/>
      <c r="AW87" s="539"/>
      <c r="AX87" s="539"/>
      <c r="AY87" s="539"/>
      <c r="AZ87" s="539"/>
      <c r="BA87" s="539"/>
      <c r="BB87" s="539"/>
      <c r="BC87" s="539"/>
      <c r="BD87" s="539"/>
      <c r="BE87" s="541"/>
      <c r="BF87" s="541"/>
      <c r="BG87" s="541"/>
      <c r="BH87" s="541"/>
      <c r="BI87" s="541"/>
      <c r="BJ87" s="541"/>
      <c r="BK87" s="541"/>
      <c r="BL87" s="541"/>
      <c r="BM87" s="541"/>
      <c r="BN87" s="541"/>
      <c r="BO87" s="541"/>
      <c r="BP87" s="541"/>
      <c r="BQ87" s="541"/>
      <c r="BR87" s="541"/>
      <c r="BS87" s="541"/>
      <c r="BT87" s="541"/>
    </row>
    <row r="88" spans="1:72" x14ac:dyDescent="0.25">
      <c r="A88" s="325" t="s">
        <v>388</v>
      </c>
      <c r="B88" s="331" t="s">
        <v>528</v>
      </c>
      <c r="C88" s="531">
        <v>16</v>
      </c>
      <c r="D88" s="532">
        <v>7</v>
      </c>
      <c r="E88" s="537">
        <v>30</v>
      </c>
      <c r="F88" s="531">
        <v>16</v>
      </c>
      <c r="G88" s="532">
        <v>9</v>
      </c>
      <c r="H88" s="537">
        <v>35</v>
      </c>
      <c r="I88" s="531">
        <v>16</v>
      </c>
      <c r="J88" s="532">
        <v>5</v>
      </c>
      <c r="K88" s="537">
        <v>30</v>
      </c>
      <c r="L88" s="531">
        <v>16</v>
      </c>
      <c r="M88" s="532">
        <v>12</v>
      </c>
      <c r="N88" s="537">
        <v>30</v>
      </c>
      <c r="O88" s="531">
        <v>16</v>
      </c>
      <c r="P88" s="532">
        <v>8</v>
      </c>
      <c r="Q88" s="537">
        <v>25</v>
      </c>
      <c r="R88" s="531">
        <v>16</v>
      </c>
      <c r="S88" s="532">
        <v>11</v>
      </c>
      <c r="T88" s="537">
        <v>25</v>
      </c>
      <c r="U88" s="531">
        <v>16</v>
      </c>
      <c r="V88" s="532">
        <v>11</v>
      </c>
      <c r="W88" s="537">
        <v>35</v>
      </c>
      <c r="X88" s="531">
        <v>16</v>
      </c>
      <c r="Y88" s="532">
        <v>11</v>
      </c>
      <c r="Z88" s="537">
        <v>30</v>
      </c>
      <c r="AA88" s="531">
        <v>16</v>
      </c>
      <c r="AB88" s="532">
        <v>8</v>
      </c>
      <c r="AC88" s="537">
        <v>20</v>
      </c>
      <c r="AD88" s="531">
        <v>16</v>
      </c>
      <c r="AE88" s="532">
        <v>8</v>
      </c>
      <c r="AF88" s="537">
        <v>25</v>
      </c>
      <c r="AG88" s="531">
        <v>16</v>
      </c>
      <c r="AH88" s="532">
        <v>9</v>
      </c>
      <c r="AI88" s="537">
        <v>20</v>
      </c>
      <c r="AJ88" s="531">
        <v>0</v>
      </c>
      <c r="AK88" s="532">
        <v>0</v>
      </c>
      <c r="AL88" s="538">
        <v>10</v>
      </c>
      <c r="AM88" s="539"/>
      <c r="AN88" s="540"/>
      <c r="AO88" s="540"/>
      <c r="AP88" s="539"/>
      <c r="AQ88" s="539"/>
      <c r="AR88" s="539"/>
      <c r="AS88" s="539"/>
      <c r="AT88" s="539"/>
      <c r="AU88" s="539"/>
      <c r="AV88" s="539"/>
      <c r="AW88" s="539"/>
      <c r="AX88" s="539"/>
      <c r="AY88" s="539"/>
      <c r="AZ88" s="539"/>
      <c r="BA88" s="539"/>
      <c r="BB88" s="539"/>
      <c r="BC88" s="539"/>
      <c r="BD88" s="539"/>
      <c r="BE88" s="541"/>
      <c r="BF88" s="541"/>
      <c r="BG88" s="541"/>
      <c r="BH88" s="541"/>
      <c r="BI88" s="541"/>
      <c r="BJ88" s="541"/>
      <c r="BK88" s="541"/>
      <c r="BL88" s="541"/>
      <c r="BM88" s="541"/>
      <c r="BN88" s="541"/>
      <c r="BO88" s="541"/>
      <c r="BP88" s="541"/>
      <c r="BQ88" s="541"/>
      <c r="BR88" s="541"/>
      <c r="BS88" s="541"/>
      <c r="BT88" s="541"/>
    </row>
    <row r="89" spans="1:72" x14ac:dyDescent="0.25">
      <c r="A89" s="325" t="s">
        <v>329</v>
      </c>
      <c r="B89" s="331" t="s">
        <v>469</v>
      </c>
      <c r="C89" s="531">
        <v>9</v>
      </c>
      <c r="D89" s="532">
        <v>5</v>
      </c>
      <c r="E89" s="537">
        <v>15</v>
      </c>
      <c r="F89" s="531">
        <v>9</v>
      </c>
      <c r="G89" s="532">
        <v>4</v>
      </c>
      <c r="H89" s="537">
        <v>10</v>
      </c>
      <c r="I89" s="531">
        <v>8</v>
      </c>
      <c r="J89" s="532">
        <v>4</v>
      </c>
      <c r="K89" s="537" t="s">
        <v>636</v>
      </c>
      <c r="L89" s="531">
        <v>8</v>
      </c>
      <c r="M89" s="532">
        <v>4</v>
      </c>
      <c r="N89" s="537">
        <v>10</v>
      </c>
      <c r="O89" s="531">
        <v>8</v>
      </c>
      <c r="P89" s="532">
        <v>4</v>
      </c>
      <c r="Q89" s="537">
        <v>10</v>
      </c>
      <c r="R89" s="531">
        <v>8</v>
      </c>
      <c r="S89" s="532">
        <v>4</v>
      </c>
      <c r="T89" s="537">
        <v>10</v>
      </c>
      <c r="U89" s="531">
        <v>8</v>
      </c>
      <c r="V89" s="532">
        <v>5</v>
      </c>
      <c r="W89" s="537">
        <v>10</v>
      </c>
      <c r="X89" s="531">
        <v>8</v>
      </c>
      <c r="Y89" s="532">
        <v>5</v>
      </c>
      <c r="Z89" s="537">
        <v>15</v>
      </c>
      <c r="AA89" s="531">
        <v>8</v>
      </c>
      <c r="AB89" s="532">
        <v>4</v>
      </c>
      <c r="AC89" s="537" t="s">
        <v>636</v>
      </c>
      <c r="AD89" s="531">
        <v>8</v>
      </c>
      <c r="AE89" s="532">
        <v>3</v>
      </c>
      <c r="AF89" s="537">
        <v>10</v>
      </c>
      <c r="AG89" s="531">
        <v>6</v>
      </c>
      <c r="AH89" s="532">
        <v>5</v>
      </c>
      <c r="AI89" s="537">
        <v>15</v>
      </c>
      <c r="AJ89" s="531">
        <v>0</v>
      </c>
      <c r="AK89" s="532">
        <v>0</v>
      </c>
      <c r="AL89" s="538" t="s">
        <v>636</v>
      </c>
      <c r="AM89" s="539"/>
      <c r="AN89" s="540"/>
      <c r="AO89" s="540"/>
      <c r="AP89" s="539"/>
      <c r="AQ89" s="539"/>
      <c r="AR89" s="539"/>
      <c r="AS89" s="539"/>
      <c r="AT89" s="539"/>
      <c r="AU89" s="539"/>
      <c r="AV89" s="539"/>
      <c r="AW89" s="539"/>
      <c r="AX89" s="539"/>
      <c r="AY89" s="539"/>
      <c r="AZ89" s="539"/>
      <c r="BA89" s="539"/>
      <c r="BB89" s="539"/>
      <c r="BC89" s="539"/>
      <c r="BD89" s="539"/>
      <c r="BE89" s="541"/>
      <c r="BF89" s="541"/>
      <c r="BG89" s="541"/>
      <c r="BH89" s="541"/>
      <c r="BI89" s="541"/>
      <c r="BJ89" s="541"/>
      <c r="BK89" s="541"/>
      <c r="BL89" s="541"/>
      <c r="BM89" s="541"/>
      <c r="BN89" s="541"/>
      <c r="BO89" s="541"/>
      <c r="BP89" s="541"/>
      <c r="BQ89" s="541"/>
      <c r="BR89" s="541"/>
      <c r="BS89" s="541"/>
      <c r="BT89" s="541"/>
    </row>
    <row r="90" spans="1:72" x14ac:dyDescent="0.25">
      <c r="A90" s="325" t="s">
        <v>366</v>
      </c>
      <c r="B90" s="331" t="s">
        <v>506</v>
      </c>
      <c r="C90" s="531">
        <v>14</v>
      </c>
      <c r="D90" s="532">
        <v>11</v>
      </c>
      <c r="E90" s="537">
        <v>50</v>
      </c>
      <c r="F90" s="531">
        <v>14</v>
      </c>
      <c r="G90" s="532">
        <v>14</v>
      </c>
      <c r="H90" s="537">
        <v>55</v>
      </c>
      <c r="I90" s="531">
        <v>14</v>
      </c>
      <c r="J90" s="532">
        <v>13</v>
      </c>
      <c r="K90" s="537">
        <v>50</v>
      </c>
      <c r="L90" s="531">
        <v>14</v>
      </c>
      <c r="M90" s="532">
        <v>11</v>
      </c>
      <c r="N90" s="537">
        <v>60</v>
      </c>
      <c r="O90" s="531">
        <v>14</v>
      </c>
      <c r="P90" s="532">
        <v>10</v>
      </c>
      <c r="Q90" s="537">
        <v>45</v>
      </c>
      <c r="R90" s="531">
        <v>14</v>
      </c>
      <c r="S90" s="532">
        <v>10</v>
      </c>
      <c r="T90" s="537">
        <v>55</v>
      </c>
      <c r="U90" s="531">
        <v>14</v>
      </c>
      <c r="V90" s="532">
        <v>11</v>
      </c>
      <c r="W90" s="537">
        <v>60</v>
      </c>
      <c r="X90" s="531">
        <v>14</v>
      </c>
      <c r="Y90" s="532">
        <v>14</v>
      </c>
      <c r="Z90" s="537">
        <v>60</v>
      </c>
      <c r="AA90" s="531">
        <v>14</v>
      </c>
      <c r="AB90" s="532">
        <v>11</v>
      </c>
      <c r="AC90" s="537">
        <v>50</v>
      </c>
      <c r="AD90" s="531">
        <v>14</v>
      </c>
      <c r="AE90" s="532">
        <v>13</v>
      </c>
      <c r="AF90" s="537">
        <v>60</v>
      </c>
      <c r="AG90" s="531">
        <v>14</v>
      </c>
      <c r="AH90" s="532">
        <v>14</v>
      </c>
      <c r="AI90" s="537">
        <v>65</v>
      </c>
      <c r="AJ90" s="531">
        <v>0</v>
      </c>
      <c r="AK90" s="532">
        <v>0</v>
      </c>
      <c r="AL90" s="538">
        <v>15</v>
      </c>
      <c r="AM90" s="539"/>
      <c r="AN90" s="540"/>
      <c r="AO90" s="540"/>
      <c r="AP90" s="539"/>
      <c r="AQ90" s="539"/>
      <c r="AR90" s="539"/>
      <c r="AS90" s="539"/>
      <c r="AT90" s="539"/>
      <c r="AU90" s="539"/>
      <c r="AV90" s="539"/>
      <c r="AW90" s="539"/>
      <c r="AX90" s="539"/>
      <c r="AY90" s="539"/>
      <c r="AZ90" s="539"/>
      <c r="BA90" s="539"/>
      <c r="BB90" s="539"/>
      <c r="BC90" s="539"/>
      <c r="BD90" s="539"/>
      <c r="BE90" s="541"/>
      <c r="BF90" s="541"/>
      <c r="BG90" s="541"/>
      <c r="BH90" s="541"/>
      <c r="BI90" s="541"/>
      <c r="BJ90" s="541"/>
      <c r="BK90" s="541"/>
      <c r="BL90" s="541"/>
      <c r="BM90" s="541"/>
      <c r="BN90" s="541"/>
      <c r="BO90" s="541"/>
      <c r="BP90" s="541"/>
      <c r="BQ90" s="541"/>
      <c r="BR90" s="541"/>
      <c r="BS90" s="541"/>
      <c r="BT90" s="541"/>
    </row>
    <row r="91" spans="1:72" x14ac:dyDescent="0.25">
      <c r="A91" s="325" t="s">
        <v>409</v>
      </c>
      <c r="B91" s="331" t="s">
        <v>548</v>
      </c>
      <c r="C91" s="531">
        <v>15</v>
      </c>
      <c r="D91" s="532">
        <v>13</v>
      </c>
      <c r="E91" s="537">
        <v>35</v>
      </c>
      <c r="F91" s="531">
        <v>15</v>
      </c>
      <c r="G91" s="532">
        <v>9</v>
      </c>
      <c r="H91" s="537">
        <v>20</v>
      </c>
      <c r="I91" s="531">
        <v>15</v>
      </c>
      <c r="J91" s="532">
        <v>10</v>
      </c>
      <c r="K91" s="537">
        <v>25</v>
      </c>
      <c r="L91" s="531">
        <v>15</v>
      </c>
      <c r="M91" s="532">
        <v>9</v>
      </c>
      <c r="N91" s="537">
        <v>25</v>
      </c>
      <c r="O91" s="531">
        <v>15</v>
      </c>
      <c r="P91" s="532">
        <v>13</v>
      </c>
      <c r="Q91" s="537">
        <v>25</v>
      </c>
      <c r="R91" s="531">
        <v>15</v>
      </c>
      <c r="S91" s="532">
        <v>10</v>
      </c>
      <c r="T91" s="537">
        <v>25</v>
      </c>
      <c r="U91" s="531">
        <v>15</v>
      </c>
      <c r="V91" s="532">
        <v>12</v>
      </c>
      <c r="W91" s="537">
        <v>25</v>
      </c>
      <c r="X91" s="531">
        <v>15</v>
      </c>
      <c r="Y91" s="532">
        <v>11</v>
      </c>
      <c r="Z91" s="537">
        <v>30</v>
      </c>
      <c r="AA91" s="531">
        <v>15</v>
      </c>
      <c r="AB91" s="532">
        <v>7</v>
      </c>
      <c r="AC91" s="537">
        <v>35</v>
      </c>
      <c r="AD91" s="531">
        <v>15</v>
      </c>
      <c r="AE91" s="532">
        <v>12</v>
      </c>
      <c r="AF91" s="537">
        <v>30</v>
      </c>
      <c r="AG91" s="531">
        <v>15</v>
      </c>
      <c r="AH91" s="532">
        <v>12</v>
      </c>
      <c r="AI91" s="537">
        <v>25</v>
      </c>
      <c r="AJ91" s="531">
        <v>0</v>
      </c>
      <c r="AK91" s="532">
        <v>0</v>
      </c>
      <c r="AL91" s="538">
        <v>20</v>
      </c>
      <c r="AM91" s="539"/>
      <c r="AN91" s="540"/>
      <c r="AO91" s="540"/>
      <c r="AP91" s="539"/>
      <c r="AQ91" s="539"/>
      <c r="AR91" s="539"/>
      <c r="AS91" s="539"/>
      <c r="AT91" s="539"/>
      <c r="AU91" s="539"/>
      <c r="AV91" s="539"/>
      <c r="AW91" s="539"/>
      <c r="AX91" s="539"/>
      <c r="AY91" s="539"/>
      <c r="AZ91" s="539"/>
      <c r="BA91" s="539"/>
      <c r="BB91" s="539"/>
      <c r="BC91" s="539"/>
      <c r="BD91" s="539"/>
      <c r="BE91" s="541"/>
      <c r="BF91" s="541"/>
      <c r="BG91" s="541"/>
      <c r="BH91" s="541"/>
      <c r="BI91" s="541"/>
      <c r="BJ91" s="541"/>
      <c r="BK91" s="541"/>
      <c r="BL91" s="541"/>
      <c r="BM91" s="541"/>
      <c r="BN91" s="541"/>
      <c r="BO91" s="541"/>
      <c r="BP91" s="541"/>
      <c r="BQ91" s="541"/>
      <c r="BR91" s="541"/>
      <c r="BS91" s="541"/>
      <c r="BT91" s="541"/>
    </row>
    <row r="92" spans="1:72" x14ac:dyDescent="0.25">
      <c r="A92" s="325" t="s">
        <v>432</v>
      </c>
      <c r="B92" s="331" t="s">
        <v>571</v>
      </c>
      <c r="C92" s="531">
        <v>92</v>
      </c>
      <c r="D92" s="532">
        <v>71</v>
      </c>
      <c r="E92" s="537">
        <v>185</v>
      </c>
      <c r="F92" s="531">
        <v>92</v>
      </c>
      <c r="G92" s="532">
        <v>68</v>
      </c>
      <c r="H92" s="537">
        <v>170</v>
      </c>
      <c r="I92" s="531">
        <v>92</v>
      </c>
      <c r="J92" s="532">
        <v>77</v>
      </c>
      <c r="K92" s="537">
        <v>180</v>
      </c>
      <c r="L92" s="531">
        <v>92</v>
      </c>
      <c r="M92" s="532">
        <v>81</v>
      </c>
      <c r="N92" s="537">
        <v>195</v>
      </c>
      <c r="O92" s="531">
        <v>92</v>
      </c>
      <c r="P92" s="532">
        <v>80</v>
      </c>
      <c r="Q92" s="537">
        <v>190</v>
      </c>
      <c r="R92" s="531">
        <v>92</v>
      </c>
      <c r="S92" s="532">
        <v>77</v>
      </c>
      <c r="T92" s="537">
        <v>190</v>
      </c>
      <c r="U92" s="531">
        <v>92</v>
      </c>
      <c r="V92" s="532">
        <v>85</v>
      </c>
      <c r="W92" s="537">
        <v>205</v>
      </c>
      <c r="X92" s="531">
        <v>92</v>
      </c>
      <c r="Y92" s="532">
        <v>75</v>
      </c>
      <c r="Z92" s="537">
        <v>205</v>
      </c>
      <c r="AA92" s="531">
        <v>92</v>
      </c>
      <c r="AB92" s="532">
        <v>64</v>
      </c>
      <c r="AC92" s="537">
        <v>175</v>
      </c>
      <c r="AD92" s="531">
        <v>92</v>
      </c>
      <c r="AE92" s="532">
        <v>75</v>
      </c>
      <c r="AF92" s="537">
        <v>175</v>
      </c>
      <c r="AG92" s="531">
        <v>92</v>
      </c>
      <c r="AH92" s="532">
        <v>70</v>
      </c>
      <c r="AI92" s="537">
        <v>175</v>
      </c>
      <c r="AJ92" s="531">
        <v>0</v>
      </c>
      <c r="AK92" s="532">
        <v>0</v>
      </c>
      <c r="AL92" s="538">
        <v>75</v>
      </c>
      <c r="AM92" s="539"/>
      <c r="AN92" s="540"/>
      <c r="AO92" s="540"/>
      <c r="AP92" s="539"/>
      <c r="AQ92" s="539"/>
      <c r="AR92" s="539"/>
      <c r="AS92" s="539"/>
      <c r="AT92" s="539"/>
      <c r="AU92" s="539"/>
      <c r="AV92" s="539"/>
      <c r="AW92" s="539"/>
      <c r="AX92" s="539"/>
      <c r="AY92" s="539"/>
      <c r="AZ92" s="539"/>
      <c r="BA92" s="539"/>
      <c r="BB92" s="539"/>
      <c r="BC92" s="539"/>
      <c r="BD92" s="539"/>
      <c r="BE92" s="541"/>
      <c r="BF92" s="541"/>
      <c r="BG92" s="541"/>
      <c r="BH92" s="541"/>
      <c r="BI92" s="541"/>
      <c r="BJ92" s="541"/>
      <c r="BK92" s="541"/>
      <c r="BL92" s="541"/>
      <c r="BM92" s="541"/>
      <c r="BN92" s="541"/>
      <c r="BO92" s="541"/>
      <c r="BP92" s="541"/>
      <c r="BQ92" s="541"/>
      <c r="BR92" s="541"/>
      <c r="BS92" s="541"/>
      <c r="BT92" s="541"/>
    </row>
    <row r="93" spans="1:72" x14ac:dyDescent="0.25">
      <c r="A93" s="325" t="s">
        <v>411</v>
      </c>
      <c r="B93" s="331" t="s">
        <v>550</v>
      </c>
      <c r="C93" s="531">
        <v>70</v>
      </c>
      <c r="D93" s="532">
        <v>50</v>
      </c>
      <c r="E93" s="537">
        <v>120</v>
      </c>
      <c r="F93" s="531">
        <v>70</v>
      </c>
      <c r="G93" s="532">
        <v>48</v>
      </c>
      <c r="H93" s="537">
        <v>115</v>
      </c>
      <c r="I93" s="531">
        <v>70</v>
      </c>
      <c r="J93" s="532">
        <v>50</v>
      </c>
      <c r="K93" s="537">
        <v>110</v>
      </c>
      <c r="L93" s="531">
        <v>70</v>
      </c>
      <c r="M93" s="532">
        <v>47</v>
      </c>
      <c r="N93" s="537">
        <v>95</v>
      </c>
      <c r="O93" s="531">
        <v>70</v>
      </c>
      <c r="P93" s="532">
        <v>42</v>
      </c>
      <c r="Q93" s="537">
        <v>105</v>
      </c>
      <c r="R93" s="531">
        <v>70</v>
      </c>
      <c r="S93" s="532">
        <v>52</v>
      </c>
      <c r="T93" s="537">
        <v>125</v>
      </c>
      <c r="U93" s="531">
        <v>70</v>
      </c>
      <c r="V93" s="532">
        <v>49</v>
      </c>
      <c r="W93" s="537">
        <v>110</v>
      </c>
      <c r="X93" s="531">
        <v>70</v>
      </c>
      <c r="Y93" s="532">
        <v>48</v>
      </c>
      <c r="Z93" s="537">
        <v>125</v>
      </c>
      <c r="AA93" s="531">
        <v>70</v>
      </c>
      <c r="AB93" s="532">
        <v>51</v>
      </c>
      <c r="AC93" s="537">
        <v>100</v>
      </c>
      <c r="AD93" s="531">
        <v>70</v>
      </c>
      <c r="AE93" s="532">
        <v>49</v>
      </c>
      <c r="AF93" s="537">
        <v>105</v>
      </c>
      <c r="AG93" s="531">
        <v>70</v>
      </c>
      <c r="AH93" s="532">
        <v>48</v>
      </c>
      <c r="AI93" s="537">
        <v>110</v>
      </c>
      <c r="AJ93" s="531">
        <v>0</v>
      </c>
      <c r="AK93" s="532">
        <v>0</v>
      </c>
      <c r="AL93" s="538">
        <v>25</v>
      </c>
      <c r="AM93" s="539"/>
      <c r="AN93" s="540"/>
      <c r="AO93" s="540"/>
      <c r="AP93" s="539"/>
      <c r="AQ93" s="539"/>
      <c r="AR93" s="539"/>
      <c r="AS93" s="539"/>
      <c r="AT93" s="539"/>
      <c r="AU93" s="539"/>
      <c r="AV93" s="539"/>
      <c r="AW93" s="539"/>
      <c r="AX93" s="539"/>
      <c r="AY93" s="539"/>
      <c r="AZ93" s="539"/>
      <c r="BA93" s="539"/>
      <c r="BB93" s="539"/>
      <c r="BC93" s="539"/>
      <c r="BD93" s="539"/>
      <c r="BE93" s="541"/>
      <c r="BF93" s="541"/>
      <c r="BG93" s="541"/>
      <c r="BH93" s="541"/>
      <c r="BI93" s="541"/>
      <c r="BJ93" s="541"/>
      <c r="BK93" s="541"/>
      <c r="BL93" s="541"/>
      <c r="BM93" s="541"/>
      <c r="BN93" s="541"/>
      <c r="BO93" s="541"/>
      <c r="BP93" s="541"/>
      <c r="BQ93" s="541"/>
      <c r="BR93" s="541"/>
      <c r="BS93" s="541"/>
      <c r="BT93" s="541"/>
    </row>
    <row r="94" spans="1:72" x14ac:dyDescent="0.25">
      <c r="A94" s="325" t="s">
        <v>421</v>
      </c>
      <c r="B94" s="331" t="s">
        <v>560</v>
      </c>
      <c r="C94" s="531">
        <v>36</v>
      </c>
      <c r="D94" s="532">
        <v>26</v>
      </c>
      <c r="E94" s="537">
        <v>30</v>
      </c>
      <c r="F94" s="531">
        <v>36</v>
      </c>
      <c r="G94" s="532">
        <v>30</v>
      </c>
      <c r="H94" s="537">
        <v>35</v>
      </c>
      <c r="I94" s="531">
        <v>36</v>
      </c>
      <c r="J94" s="532">
        <v>32</v>
      </c>
      <c r="K94" s="537">
        <v>40</v>
      </c>
      <c r="L94" s="531">
        <v>36</v>
      </c>
      <c r="M94" s="532">
        <v>26</v>
      </c>
      <c r="N94" s="537">
        <v>35</v>
      </c>
      <c r="O94" s="531">
        <v>36</v>
      </c>
      <c r="P94" s="532">
        <v>28</v>
      </c>
      <c r="Q94" s="537">
        <v>30</v>
      </c>
      <c r="R94" s="531">
        <v>36</v>
      </c>
      <c r="S94" s="532">
        <v>29</v>
      </c>
      <c r="T94" s="537">
        <v>35</v>
      </c>
      <c r="U94" s="531">
        <v>36</v>
      </c>
      <c r="V94" s="532">
        <v>27</v>
      </c>
      <c r="W94" s="537">
        <v>35</v>
      </c>
      <c r="X94" s="531">
        <v>36</v>
      </c>
      <c r="Y94" s="532">
        <v>29</v>
      </c>
      <c r="Z94" s="537">
        <v>35</v>
      </c>
      <c r="AA94" s="531">
        <v>36</v>
      </c>
      <c r="AB94" s="532">
        <v>31</v>
      </c>
      <c r="AC94" s="537">
        <v>35</v>
      </c>
      <c r="AD94" s="531">
        <v>36</v>
      </c>
      <c r="AE94" s="532">
        <v>35</v>
      </c>
      <c r="AF94" s="537">
        <v>35</v>
      </c>
      <c r="AG94" s="531">
        <v>36</v>
      </c>
      <c r="AH94" s="532">
        <v>26</v>
      </c>
      <c r="AI94" s="537">
        <v>30</v>
      </c>
      <c r="AJ94" s="531">
        <v>0</v>
      </c>
      <c r="AK94" s="532">
        <v>0</v>
      </c>
      <c r="AL94" s="538">
        <v>10</v>
      </c>
      <c r="AM94" s="539"/>
      <c r="AN94" s="540"/>
      <c r="AO94" s="540"/>
      <c r="AP94" s="539"/>
      <c r="AQ94" s="539"/>
      <c r="AR94" s="539"/>
      <c r="AS94" s="539"/>
      <c r="AT94" s="539"/>
      <c r="AU94" s="539"/>
      <c r="AV94" s="539"/>
      <c r="AW94" s="539"/>
      <c r="AX94" s="539"/>
      <c r="AY94" s="539"/>
      <c r="AZ94" s="539"/>
      <c r="BA94" s="539"/>
      <c r="BB94" s="539"/>
      <c r="BC94" s="539"/>
      <c r="BD94" s="539"/>
      <c r="BE94" s="541"/>
      <c r="BF94" s="541"/>
      <c r="BG94" s="541"/>
      <c r="BH94" s="541"/>
      <c r="BI94" s="541"/>
      <c r="BJ94" s="541"/>
      <c r="BK94" s="541"/>
      <c r="BL94" s="541"/>
      <c r="BM94" s="541"/>
      <c r="BN94" s="541"/>
      <c r="BO94" s="541"/>
      <c r="BP94" s="541"/>
      <c r="BQ94" s="541"/>
      <c r="BR94" s="541"/>
      <c r="BS94" s="541"/>
      <c r="BT94" s="541"/>
    </row>
    <row r="95" spans="1:72" x14ac:dyDescent="0.25">
      <c r="A95" s="325" t="s">
        <v>337</v>
      </c>
      <c r="B95" s="331" t="s">
        <v>477</v>
      </c>
      <c r="C95" s="531">
        <v>11</v>
      </c>
      <c r="D95" s="532">
        <v>10</v>
      </c>
      <c r="E95" s="537">
        <v>20</v>
      </c>
      <c r="F95" s="531">
        <v>11</v>
      </c>
      <c r="G95" s="532">
        <v>10</v>
      </c>
      <c r="H95" s="537">
        <v>25</v>
      </c>
      <c r="I95" s="531">
        <v>11</v>
      </c>
      <c r="J95" s="532">
        <v>10</v>
      </c>
      <c r="K95" s="537">
        <v>20</v>
      </c>
      <c r="L95" s="531">
        <v>11</v>
      </c>
      <c r="M95" s="532">
        <v>10</v>
      </c>
      <c r="N95" s="537">
        <v>20</v>
      </c>
      <c r="O95" s="531">
        <v>11</v>
      </c>
      <c r="P95" s="532">
        <v>9</v>
      </c>
      <c r="Q95" s="537">
        <v>25</v>
      </c>
      <c r="R95" s="531">
        <v>11</v>
      </c>
      <c r="S95" s="532">
        <v>9</v>
      </c>
      <c r="T95" s="537">
        <v>20</v>
      </c>
      <c r="U95" s="531">
        <v>11</v>
      </c>
      <c r="V95" s="532">
        <v>10</v>
      </c>
      <c r="W95" s="537">
        <v>25</v>
      </c>
      <c r="X95" s="531">
        <v>11</v>
      </c>
      <c r="Y95" s="532">
        <v>9</v>
      </c>
      <c r="Z95" s="537">
        <v>25</v>
      </c>
      <c r="AA95" s="531">
        <v>11</v>
      </c>
      <c r="AB95" s="532">
        <v>9</v>
      </c>
      <c r="AC95" s="537">
        <v>20</v>
      </c>
      <c r="AD95" s="531">
        <v>11</v>
      </c>
      <c r="AE95" s="532">
        <v>10</v>
      </c>
      <c r="AF95" s="537">
        <v>25</v>
      </c>
      <c r="AG95" s="531">
        <v>11</v>
      </c>
      <c r="AH95" s="532">
        <v>9</v>
      </c>
      <c r="AI95" s="537">
        <v>20</v>
      </c>
      <c r="AJ95" s="531">
        <v>0</v>
      </c>
      <c r="AK95" s="532">
        <v>0</v>
      </c>
      <c r="AL95" s="538" t="s">
        <v>636</v>
      </c>
      <c r="AM95" s="539"/>
      <c r="AN95" s="540"/>
      <c r="AO95" s="540"/>
      <c r="AP95" s="539"/>
      <c r="AQ95" s="539"/>
      <c r="AR95" s="539"/>
      <c r="AS95" s="539"/>
      <c r="AT95" s="539"/>
      <c r="AU95" s="539"/>
      <c r="AV95" s="539"/>
      <c r="AW95" s="539"/>
      <c r="AX95" s="539"/>
      <c r="AY95" s="539"/>
      <c r="AZ95" s="539"/>
      <c r="BA95" s="539"/>
      <c r="BB95" s="539"/>
      <c r="BC95" s="539"/>
      <c r="BD95" s="539"/>
      <c r="BE95" s="541"/>
      <c r="BF95" s="541"/>
      <c r="BG95" s="541"/>
      <c r="BH95" s="541"/>
      <c r="BI95" s="541"/>
      <c r="BJ95" s="541"/>
      <c r="BK95" s="541"/>
      <c r="BL95" s="541"/>
      <c r="BM95" s="541"/>
      <c r="BN95" s="541"/>
      <c r="BO95" s="541"/>
      <c r="BP95" s="541"/>
      <c r="BQ95" s="541"/>
      <c r="BR95" s="541"/>
      <c r="BS95" s="541"/>
      <c r="BT95" s="541"/>
    </row>
    <row r="96" spans="1:72" x14ac:dyDescent="0.25">
      <c r="A96" s="325" t="s">
        <v>358</v>
      </c>
      <c r="B96" s="331" t="s">
        <v>498</v>
      </c>
      <c r="C96" s="531">
        <v>18</v>
      </c>
      <c r="D96" s="532">
        <v>18</v>
      </c>
      <c r="E96" s="537">
        <v>50</v>
      </c>
      <c r="F96" s="531">
        <v>17</v>
      </c>
      <c r="G96" s="532">
        <v>13</v>
      </c>
      <c r="H96" s="537">
        <v>50</v>
      </c>
      <c r="I96" s="531">
        <v>17</v>
      </c>
      <c r="J96" s="532">
        <v>14</v>
      </c>
      <c r="K96" s="537">
        <v>45</v>
      </c>
      <c r="L96" s="531">
        <v>17</v>
      </c>
      <c r="M96" s="532">
        <v>14</v>
      </c>
      <c r="N96" s="537">
        <v>50</v>
      </c>
      <c r="O96" s="531">
        <v>17</v>
      </c>
      <c r="P96" s="532">
        <v>15</v>
      </c>
      <c r="Q96" s="537">
        <v>50</v>
      </c>
      <c r="R96" s="531">
        <v>17</v>
      </c>
      <c r="S96" s="532">
        <v>16</v>
      </c>
      <c r="T96" s="537">
        <v>55</v>
      </c>
      <c r="U96" s="531">
        <v>17</v>
      </c>
      <c r="V96" s="532">
        <v>14</v>
      </c>
      <c r="W96" s="537">
        <v>45</v>
      </c>
      <c r="X96" s="531">
        <v>17</v>
      </c>
      <c r="Y96" s="532">
        <v>14</v>
      </c>
      <c r="Z96" s="537">
        <v>45</v>
      </c>
      <c r="AA96" s="531">
        <v>17</v>
      </c>
      <c r="AB96" s="532">
        <v>14</v>
      </c>
      <c r="AC96" s="537">
        <v>45</v>
      </c>
      <c r="AD96" s="531">
        <v>18</v>
      </c>
      <c r="AE96" s="532">
        <v>18</v>
      </c>
      <c r="AF96" s="537">
        <v>45</v>
      </c>
      <c r="AG96" s="531">
        <v>17</v>
      </c>
      <c r="AH96" s="532">
        <v>15</v>
      </c>
      <c r="AI96" s="537">
        <v>30</v>
      </c>
      <c r="AJ96" s="531">
        <v>0</v>
      </c>
      <c r="AK96" s="532">
        <v>0</v>
      </c>
      <c r="AL96" s="538">
        <v>10</v>
      </c>
      <c r="AM96" s="539"/>
      <c r="AN96" s="540"/>
      <c r="AO96" s="540"/>
      <c r="AP96" s="539"/>
      <c r="AQ96" s="539"/>
      <c r="AR96" s="539"/>
      <c r="AS96" s="539"/>
      <c r="AT96" s="539"/>
      <c r="AU96" s="539"/>
      <c r="AV96" s="539"/>
      <c r="AW96" s="539"/>
      <c r="AX96" s="539"/>
      <c r="AY96" s="539"/>
      <c r="AZ96" s="539"/>
      <c r="BA96" s="539"/>
      <c r="BB96" s="539"/>
      <c r="BC96" s="539"/>
      <c r="BD96" s="539"/>
      <c r="BE96" s="541"/>
      <c r="BF96" s="541"/>
      <c r="BG96" s="541"/>
      <c r="BH96" s="541"/>
      <c r="BI96" s="541"/>
      <c r="BJ96" s="541"/>
      <c r="BK96" s="541"/>
      <c r="BL96" s="541"/>
      <c r="BM96" s="541"/>
      <c r="BN96" s="541"/>
      <c r="BO96" s="541"/>
      <c r="BP96" s="541"/>
      <c r="BQ96" s="541"/>
      <c r="BR96" s="541"/>
      <c r="BS96" s="541"/>
      <c r="BT96" s="541"/>
    </row>
    <row r="97" spans="1:72" x14ac:dyDescent="0.25">
      <c r="A97" s="325" t="s">
        <v>359</v>
      </c>
      <c r="B97" s="331" t="s">
        <v>499</v>
      </c>
      <c r="C97" s="531">
        <v>18</v>
      </c>
      <c r="D97" s="532">
        <v>17</v>
      </c>
      <c r="E97" s="537">
        <v>50</v>
      </c>
      <c r="F97" s="531">
        <v>15</v>
      </c>
      <c r="G97" s="532">
        <v>14</v>
      </c>
      <c r="H97" s="537">
        <v>35</v>
      </c>
      <c r="I97" s="531">
        <v>16</v>
      </c>
      <c r="J97" s="532">
        <v>14</v>
      </c>
      <c r="K97" s="537">
        <v>40</v>
      </c>
      <c r="L97" s="531">
        <v>13</v>
      </c>
      <c r="M97" s="532">
        <v>11</v>
      </c>
      <c r="N97" s="537">
        <v>40</v>
      </c>
      <c r="O97" s="531">
        <v>12</v>
      </c>
      <c r="P97" s="532">
        <v>10</v>
      </c>
      <c r="Q97" s="537">
        <v>35</v>
      </c>
      <c r="R97" s="531">
        <v>16</v>
      </c>
      <c r="S97" s="532">
        <v>16</v>
      </c>
      <c r="T97" s="537">
        <v>50</v>
      </c>
      <c r="U97" s="531">
        <v>15</v>
      </c>
      <c r="V97" s="532">
        <v>14</v>
      </c>
      <c r="W97" s="537">
        <v>50</v>
      </c>
      <c r="X97" s="531">
        <v>15</v>
      </c>
      <c r="Y97" s="532">
        <v>14</v>
      </c>
      <c r="Z97" s="537">
        <v>55</v>
      </c>
      <c r="AA97" s="531">
        <v>17</v>
      </c>
      <c r="AB97" s="532">
        <v>15</v>
      </c>
      <c r="AC97" s="537">
        <v>45</v>
      </c>
      <c r="AD97" s="531">
        <v>15</v>
      </c>
      <c r="AE97" s="532">
        <v>12</v>
      </c>
      <c r="AF97" s="537">
        <v>50</v>
      </c>
      <c r="AG97" s="531">
        <v>13</v>
      </c>
      <c r="AH97" s="532">
        <v>11</v>
      </c>
      <c r="AI97" s="537">
        <v>50</v>
      </c>
      <c r="AJ97" s="531">
        <v>0</v>
      </c>
      <c r="AK97" s="532">
        <v>0</v>
      </c>
      <c r="AL97" s="538">
        <v>35</v>
      </c>
      <c r="AM97" s="539"/>
      <c r="AN97" s="540"/>
      <c r="AO97" s="540"/>
      <c r="AP97" s="539"/>
      <c r="AQ97" s="539"/>
      <c r="AR97" s="539"/>
      <c r="AS97" s="539"/>
      <c r="AT97" s="539"/>
      <c r="AU97" s="539"/>
      <c r="AV97" s="539"/>
      <c r="AW97" s="539"/>
      <c r="AX97" s="539"/>
      <c r="AY97" s="539"/>
      <c r="AZ97" s="539"/>
      <c r="BA97" s="539"/>
      <c r="BB97" s="539"/>
      <c r="BC97" s="539"/>
      <c r="BD97" s="539"/>
      <c r="BE97" s="541"/>
      <c r="BF97" s="541"/>
      <c r="BG97" s="541"/>
      <c r="BH97" s="541"/>
      <c r="BI97" s="541"/>
      <c r="BJ97" s="541"/>
      <c r="BK97" s="541"/>
      <c r="BL97" s="541"/>
      <c r="BM97" s="541"/>
      <c r="BN97" s="541"/>
      <c r="BO97" s="541"/>
      <c r="BP97" s="541"/>
      <c r="BQ97" s="541"/>
      <c r="BR97" s="541"/>
      <c r="BS97" s="541"/>
      <c r="BT97" s="541"/>
    </row>
    <row r="98" spans="1:72" x14ac:dyDescent="0.25">
      <c r="A98" s="325" t="s">
        <v>406</v>
      </c>
      <c r="B98" s="331" t="s">
        <v>545</v>
      </c>
      <c r="C98" s="531">
        <v>110</v>
      </c>
      <c r="D98" s="532">
        <v>57</v>
      </c>
      <c r="E98" s="537">
        <v>145</v>
      </c>
      <c r="F98" s="531">
        <v>110</v>
      </c>
      <c r="G98" s="532">
        <v>58</v>
      </c>
      <c r="H98" s="537">
        <v>135</v>
      </c>
      <c r="I98" s="531">
        <v>110</v>
      </c>
      <c r="J98" s="532">
        <v>61</v>
      </c>
      <c r="K98" s="537">
        <v>125</v>
      </c>
      <c r="L98" s="531">
        <v>110</v>
      </c>
      <c r="M98" s="532">
        <v>63</v>
      </c>
      <c r="N98" s="537">
        <v>125</v>
      </c>
      <c r="O98" s="531">
        <v>110</v>
      </c>
      <c r="P98" s="532">
        <v>67</v>
      </c>
      <c r="Q98" s="537">
        <v>130</v>
      </c>
      <c r="R98" s="531">
        <v>110</v>
      </c>
      <c r="S98" s="532">
        <v>71</v>
      </c>
      <c r="T98" s="537">
        <v>145</v>
      </c>
      <c r="U98" s="531">
        <v>110</v>
      </c>
      <c r="V98" s="532">
        <v>67</v>
      </c>
      <c r="W98" s="537">
        <v>140</v>
      </c>
      <c r="X98" s="531">
        <v>110</v>
      </c>
      <c r="Y98" s="532">
        <v>66</v>
      </c>
      <c r="Z98" s="537">
        <v>145</v>
      </c>
      <c r="AA98" s="531">
        <v>104</v>
      </c>
      <c r="AB98" s="532">
        <v>53</v>
      </c>
      <c r="AC98" s="537">
        <v>100</v>
      </c>
      <c r="AD98" s="531">
        <v>104</v>
      </c>
      <c r="AE98" s="532">
        <v>79</v>
      </c>
      <c r="AF98" s="537">
        <v>150</v>
      </c>
      <c r="AG98" s="531">
        <v>110</v>
      </c>
      <c r="AH98" s="532">
        <v>82</v>
      </c>
      <c r="AI98" s="537">
        <v>130</v>
      </c>
      <c r="AJ98" s="531">
        <v>0</v>
      </c>
      <c r="AK98" s="532">
        <v>0</v>
      </c>
      <c r="AL98" s="538">
        <v>25</v>
      </c>
      <c r="AM98" s="539"/>
      <c r="AN98" s="540"/>
      <c r="AO98" s="540"/>
      <c r="AP98" s="539"/>
      <c r="AQ98" s="539"/>
      <c r="AR98" s="539"/>
      <c r="AS98" s="539"/>
      <c r="AT98" s="539"/>
      <c r="AU98" s="539"/>
      <c r="AV98" s="539"/>
      <c r="AW98" s="539"/>
      <c r="AX98" s="539"/>
      <c r="AY98" s="539"/>
      <c r="AZ98" s="539"/>
      <c r="BA98" s="539"/>
      <c r="BB98" s="539"/>
      <c r="BC98" s="539"/>
      <c r="BD98" s="539"/>
      <c r="BE98" s="541"/>
      <c r="BF98" s="541"/>
      <c r="BG98" s="541"/>
      <c r="BH98" s="541"/>
      <c r="BI98" s="541"/>
      <c r="BJ98" s="541"/>
      <c r="BK98" s="541"/>
      <c r="BL98" s="541"/>
      <c r="BM98" s="541"/>
      <c r="BN98" s="541"/>
      <c r="BO98" s="541"/>
      <c r="BP98" s="541"/>
      <c r="BQ98" s="541"/>
      <c r="BR98" s="541"/>
      <c r="BS98" s="541"/>
      <c r="BT98" s="541"/>
    </row>
    <row r="99" spans="1:72" x14ac:dyDescent="0.25">
      <c r="A99" s="325" t="s">
        <v>343</v>
      </c>
      <c r="B99" s="331" t="s">
        <v>483</v>
      </c>
      <c r="C99" s="531">
        <v>15</v>
      </c>
      <c r="D99" s="532">
        <v>12</v>
      </c>
      <c r="E99" s="537">
        <v>30</v>
      </c>
      <c r="F99" s="531">
        <v>15</v>
      </c>
      <c r="G99" s="532">
        <v>7</v>
      </c>
      <c r="H99" s="537">
        <v>20</v>
      </c>
      <c r="I99" s="531">
        <v>15</v>
      </c>
      <c r="J99" s="532">
        <v>10</v>
      </c>
      <c r="K99" s="537">
        <v>30</v>
      </c>
      <c r="L99" s="531">
        <v>15</v>
      </c>
      <c r="M99" s="532">
        <v>8</v>
      </c>
      <c r="N99" s="537">
        <v>30</v>
      </c>
      <c r="O99" s="531">
        <v>15</v>
      </c>
      <c r="P99" s="532">
        <v>8</v>
      </c>
      <c r="Q99" s="537">
        <v>25</v>
      </c>
      <c r="R99" s="531">
        <v>15</v>
      </c>
      <c r="S99" s="532">
        <v>11</v>
      </c>
      <c r="T99" s="537">
        <v>30</v>
      </c>
      <c r="U99" s="531">
        <v>15</v>
      </c>
      <c r="V99" s="532">
        <v>10</v>
      </c>
      <c r="W99" s="537">
        <v>30</v>
      </c>
      <c r="X99" s="531">
        <v>15</v>
      </c>
      <c r="Y99" s="532">
        <v>8</v>
      </c>
      <c r="Z99" s="537">
        <v>30</v>
      </c>
      <c r="AA99" s="531">
        <v>15</v>
      </c>
      <c r="AB99" s="532">
        <v>13</v>
      </c>
      <c r="AC99" s="537">
        <v>30</v>
      </c>
      <c r="AD99" s="531">
        <v>15</v>
      </c>
      <c r="AE99" s="532">
        <v>15</v>
      </c>
      <c r="AF99" s="537">
        <v>35</v>
      </c>
      <c r="AG99" s="531">
        <v>15</v>
      </c>
      <c r="AH99" s="532">
        <v>10</v>
      </c>
      <c r="AI99" s="537">
        <v>30</v>
      </c>
      <c r="AJ99" s="531">
        <v>0</v>
      </c>
      <c r="AK99" s="532">
        <v>0</v>
      </c>
      <c r="AL99" s="538">
        <v>10</v>
      </c>
      <c r="AM99" s="539"/>
      <c r="AN99" s="540"/>
      <c r="AO99" s="540"/>
      <c r="AP99" s="539"/>
      <c r="AQ99" s="539"/>
      <c r="AR99" s="539"/>
      <c r="AS99" s="539"/>
      <c r="AT99" s="539"/>
      <c r="AU99" s="539"/>
      <c r="AV99" s="539"/>
      <c r="AW99" s="539"/>
      <c r="AX99" s="539"/>
      <c r="AY99" s="539"/>
      <c r="AZ99" s="539"/>
      <c r="BA99" s="539"/>
      <c r="BB99" s="539"/>
      <c r="BC99" s="539"/>
      <c r="BD99" s="539"/>
      <c r="BE99" s="541"/>
      <c r="BF99" s="541"/>
      <c r="BG99" s="541"/>
      <c r="BH99" s="541"/>
      <c r="BI99" s="541"/>
      <c r="BJ99" s="541"/>
      <c r="BK99" s="541"/>
      <c r="BL99" s="541"/>
      <c r="BM99" s="541"/>
      <c r="BN99" s="541"/>
      <c r="BO99" s="541"/>
      <c r="BP99" s="541"/>
      <c r="BQ99" s="541"/>
      <c r="BR99" s="541"/>
      <c r="BS99" s="541"/>
      <c r="BT99" s="541"/>
    </row>
    <row r="100" spans="1:72" x14ac:dyDescent="0.25">
      <c r="A100" s="325" t="s">
        <v>355</v>
      </c>
      <c r="B100" s="331" t="s">
        <v>495</v>
      </c>
      <c r="C100" s="531">
        <v>18</v>
      </c>
      <c r="D100" s="532">
        <v>15</v>
      </c>
      <c r="E100" s="537">
        <v>30</v>
      </c>
      <c r="F100" s="531">
        <v>18</v>
      </c>
      <c r="G100" s="532">
        <v>15</v>
      </c>
      <c r="H100" s="537">
        <v>35</v>
      </c>
      <c r="I100" s="531">
        <v>18</v>
      </c>
      <c r="J100" s="532">
        <v>15</v>
      </c>
      <c r="K100" s="537">
        <v>35</v>
      </c>
      <c r="L100" s="531">
        <v>18</v>
      </c>
      <c r="M100" s="532">
        <v>13</v>
      </c>
      <c r="N100" s="537">
        <v>30</v>
      </c>
      <c r="O100" s="531">
        <v>18</v>
      </c>
      <c r="P100" s="532">
        <v>11</v>
      </c>
      <c r="Q100" s="537">
        <v>30</v>
      </c>
      <c r="R100" s="531">
        <v>18</v>
      </c>
      <c r="S100" s="532">
        <v>15</v>
      </c>
      <c r="T100" s="537">
        <v>30</v>
      </c>
      <c r="U100" s="531">
        <v>18</v>
      </c>
      <c r="V100" s="532">
        <v>14</v>
      </c>
      <c r="W100" s="537">
        <v>30</v>
      </c>
      <c r="X100" s="531">
        <v>18</v>
      </c>
      <c r="Y100" s="532">
        <v>14</v>
      </c>
      <c r="Z100" s="537">
        <v>25</v>
      </c>
      <c r="AA100" s="531">
        <v>18</v>
      </c>
      <c r="AB100" s="532">
        <v>10</v>
      </c>
      <c r="AC100" s="537">
        <v>30</v>
      </c>
      <c r="AD100" s="531">
        <v>18</v>
      </c>
      <c r="AE100" s="532">
        <v>15</v>
      </c>
      <c r="AF100" s="537">
        <v>35</v>
      </c>
      <c r="AG100" s="531">
        <v>18</v>
      </c>
      <c r="AH100" s="532">
        <v>15</v>
      </c>
      <c r="AI100" s="537">
        <v>35</v>
      </c>
      <c r="AJ100" s="531">
        <v>0</v>
      </c>
      <c r="AK100" s="532">
        <v>0</v>
      </c>
      <c r="AL100" s="538">
        <v>10</v>
      </c>
      <c r="AM100" s="539"/>
      <c r="AN100" s="540"/>
      <c r="AO100" s="540"/>
      <c r="AP100" s="539"/>
      <c r="AQ100" s="539"/>
      <c r="AR100" s="539"/>
      <c r="AS100" s="539"/>
      <c r="AT100" s="539"/>
      <c r="AU100" s="539"/>
      <c r="AV100" s="539"/>
      <c r="AW100" s="539"/>
      <c r="AX100" s="539"/>
      <c r="AY100" s="539"/>
      <c r="AZ100" s="539"/>
      <c r="BA100" s="539"/>
      <c r="BB100" s="539"/>
      <c r="BC100" s="539"/>
      <c r="BD100" s="539"/>
      <c r="BE100" s="541"/>
      <c r="BF100" s="541"/>
      <c r="BG100" s="541"/>
      <c r="BH100" s="541"/>
      <c r="BI100" s="541"/>
      <c r="BJ100" s="541"/>
      <c r="BK100" s="541"/>
      <c r="BL100" s="541"/>
      <c r="BM100" s="541"/>
      <c r="BN100" s="541"/>
      <c r="BO100" s="541"/>
      <c r="BP100" s="541"/>
      <c r="BQ100" s="541"/>
      <c r="BR100" s="541"/>
      <c r="BS100" s="541"/>
      <c r="BT100" s="541"/>
    </row>
    <row r="101" spans="1:72" x14ac:dyDescent="0.25">
      <c r="A101" s="325" t="s">
        <v>316</v>
      </c>
      <c r="B101" s="331" t="s">
        <v>456</v>
      </c>
      <c r="C101" s="531">
        <v>85</v>
      </c>
      <c r="D101" s="532">
        <v>65</v>
      </c>
      <c r="E101" s="537">
        <v>145</v>
      </c>
      <c r="F101" s="531">
        <v>89</v>
      </c>
      <c r="G101" s="532">
        <v>70</v>
      </c>
      <c r="H101" s="537">
        <v>150</v>
      </c>
      <c r="I101" s="531">
        <v>89</v>
      </c>
      <c r="J101" s="532">
        <v>62</v>
      </c>
      <c r="K101" s="537">
        <v>100</v>
      </c>
      <c r="L101" s="531">
        <v>89</v>
      </c>
      <c r="M101" s="532">
        <v>70</v>
      </c>
      <c r="N101" s="537">
        <v>115</v>
      </c>
      <c r="O101" s="531">
        <v>89</v>
      </c>
      <c r="P101" s="532">
        <v>75</v>
      </c>
      <c r="Q101" s="537">
        <v>120</v>
      </c>
      <c r="R101" s="531">
        <v>89</v>
      </c>
      <c r="S101" s="532">
        <v>68</v>
      </c>
      <c r="T101" s="537">
        <v>115</v>
      </c>
      <c r="U101" s="531">
        <v>89</v>
      </c>
      <c r="V101" s="532">
        <v>65</v>
      </c>
      <c r="W101" s="537">
        <v>105</v>
      </c>
      <c r="X101" s="531">
        <v>89</v>
      </c>
      <c r="Y101" s="532">
        <v>64</v>
      </c>
      <c r="Z101" s="537">
        <v>110</v>
      </c>
      <c r="AA101" s="531">
        <v>79</v>
      </c>
      <c r="AB101" s="532">
        <v>64</v>
      </c>
      <c r="AC101" s="537">
        <v>95</v>
      </c>
      <c r="AD101" s="531">
        <v>86</v>
      </c>
      <c r="AE101" s="532">
        <v>69</v>
      </c>
      <c r="AF101" s="537">
        <v>95</v>
      </c>
      <c r="AG101" s="531">
        <v>86</v>
      </c>
      <c r="AH101" s="532">
        <v>66</v>
      </c>
      <c r="AI101" s="537">
        <v>95</v>
      </c>
      <c r="AJ101" s="531">
        <v>0</v>
      </c>
      <c r="AK101" s="532">
        <v>0</v>
      </c>
      <c r="AL101" s="538">
        <v>35</v>
      </c>
      <c r="AM101" s="539"/>
      <c r="AN101" s="540"/>
      <c r="AO101" s="540"/>
      <c r="AP101" s="539"/>
      <c r="AQ101" s="539"/>
      <c r="AR101" s="539"/>
      <c r="AS101" s="539"/>
      <c r="AT101" s="539"/>
      <c r="AU101" s="539"/>
      <c r="AV101" s="539"/>
      <c r="AW101" s="539"/>
      <c r="AX101" s="539"/>
      <c r="AY101" s="539"/>
      <c r="AZ101" s="539"/>
      <c r="BA101" s="539"/>
      <c r="BB101" s="539"/>
      <c r="BC101" s="539"/>
      <c r="BD101" s="539"/>
      <c r="BE101" s="541"/>
      <c r="BF101" s="541"/>
      <c r="BG101" s="541"/>
      <c r="BH101" s="541"/>
      <c r="BI101" s="541"/>
      <c r="BJ101" s="541"/>
      <c r="BK101" s="541"/>
      <c r="BL101" s="541"/>
      <c r="BM101" s="541"/>
      <c r="BN101" s="541"/>
      <c r="BO101" s="541"/>
      <c r="BP101" s="541"/>
      <c r="BQ101" s="541"/>
      <c r="BR101" s="541"/>
      <c r="BS101" s="541"/>
      <c r="BT101" s="541"/>
    </row>
    <row r="102" spans="1:72" x14ac:dyDescent="0.25">
      <c r="A102" s="325" t="s">
        <v>394</v>
      </c>
      <c r="B102" s="331" t="s">
        <v>534</v>
      </c>
      <c r="C102" s="531">
        <v>36</v>
      </c>
      <c r="D102" s="532">
        <v>32</v>
      </c>
      <c r="E102" s="537">
        <v>45</v>
      </c>
      <c r="F102" s="531">
        <v>36</v>
      </c>
      <c r="G102" s="532">
        <v>30</v>
      </c>
      <c r="H102" s="537">
        <v>35</v>
      </c>
      <c r="I102" s="531">
        <v>36</v>
      </c>
      <c r="J102" s="532">
        <v>31</v>
      </c>
      <c r="K102" s="537">
        <v>50</v>
      </c>
      <c r="L102" s="531">
        <v>36</v>
      </c>
      <c r="M102" s="532">
        <v>30</v>
      </c>
      <c r="N102" s="537">
        <v>45</v>
      </c>
      <c r="O102" s="531">
        <v>36</v>
      </c>
      <c r="P102" s="532">
        <v>28</v>
      </c>
      <c r="Q102" s="537">
        <v>40</v>
      </c>
      <c r="R102" s="531">
        <v>36</v>
      </c>
      <c r="S102" s="532">
        <v>32</v>
      </c>
      <c r="T102" s="537">
        <v>35</v>
      </c>
      <c r="U102" s="531">
        <v>0</v>
      </c>
      <c r="V102" s="532">
        <v>0</v>
      </c>
      <c r="W102" s="537">
        <v>0</v>
      </c>
      <c r="X102" s="531">
        <v>0</v>
      </c>
      <c r="Y102" s="532">
        <v>0</v>
      </c>
      <c r="Z102" s="537">
        <v>0</v>
      </c>
      <c r="AA102" s="531">
        <v>0</v>
      </c>
      <c r="AB102" s="532">
        <v>0</v>
      </c>
      <c r="AC102" s="537">
        <v>0</v>
      </c>
      <c r="AD102" s="531">
        <v>0</v>
      </c>
      <c r="AE102" s="532">
        <v>0</v>
      </c>
      <c r="AF102" s="537">
        <v>0</v>
      </c>
      <c r="AG102" s="531">
        <v>0</v>
      </c>
      <c r="AH102" s="532">
        <v>0</v>
      </c>
      <c r="AI102" s="537">
        <v>0</v>
      </c>
      <c r="AJ102" s="531">
        <v>0</v>
      </c>
      <c r="AK102" s="532">
        <v>0</v>
      </c>
      <c r="AL102" s="538">
        <v>0</v>
      </c>
      <c r="AM102" s="539"/>
      <c r="AN102" s="540"/>
      <c r="AO102" s="540"/>
      <c r="AP102" s="539"/>
      <c r="AQ102" s="539"/>
      <c r="AR102" s="539"/>
      <c r="AS102" s="539"/>
      <c r="AT102" s="539"/>
      <c r="AU102" s="539"/>
      <c r="AV102" s="539"/>
      <c r="AW102" s="539"/>
      <c r="AX102" s="539"/>
      <c r="AY102" s="539"/>
      <c r="AZ102" s="539"/>
      <c r="BA102" s="539"/>
      <c r="BB102" s="539"/>
      <c r="BC102" s="539"/>
      <c r="BD102" s="539"/>
      <c r="BE102" s="541"/>
      <c r="BF102" s="541"/>
      <c r="BG102" s="541"/>
      <c r="BH102" s="541"/>
      <c r="BI102" s="541"/>
      <c r="BJ102" s="541"/>
      <c r="BK102" s="541"/>
      <c r="BL102" s="541"/>
      <c r="BM102" s="541"/>
      <c r="BN102" s="541"/>
      <c r="BO102" s="541"/>
      <c r="BP102" s="541"/>
      <c r="BQ102" s="541"/>
      <c r="BR102" s="541"/>
      <c r="BS102" s="541"/>
      <c r="BT102" s="541"/>
    </row>
    <row r="103" spans="1:72" x14ac:dyDescent="0.25">
      <c r="A103" s="325" t="s">
        <v>317</v>
      </c>
      <c r="B103" s="331" t="s">
        <v>457</v>
      </c>
      <c r="C103" s="531">
        <v>14</v>
      </c>
      <c r="D103" s="532">
        <v>11</v>
      </c>
      <c r="E103" s="537">
        <v>15</v>
      </c>
      <c r="F103" s="531">
        <v>14</v>
      </c>
      <c r="G103" s="532">
        <v>3</v>
      </c>
      <c r="H103" s="537" t="s">
        <v>636</v>
      </c>
      <c r="I103" s="531">
        <v>14</v>
      </c>
      <c r="J103" s="532">
        <v>8</v>
      </c>
      <c r="K103" s="537">
        <v>10</v>
      </c>
      <c r="L103" s="531">
        <v>14</v>
      </c>
      <c r="M103" s="532">
        <v>9</v>
      </c>
      <c r="N103" s="537" t="s">
        <v>636</v>
      </c>
      <c r="O103" s="531">
        <v>14</v>
      </c>
      <c r="P103" s="532">
        <v>10</v>
      </c>
      <c r="Q103" s="537">
        <v>10</v>
      </c>
      <c r="R103" s="531">
        <v>14</v>
      </c>
      <c r="S103" s="532">
        <v>7</v>
      </c>
      <c r="T103" s="537">
        <v>10</v>
      </c>
      <c r="U103" s="531">
        <v>14</v>
      </c>
      <c r="V103" s="532">
        <v>8</v>
      </c>
      <c r="W103" s="537">
        <v>10</v>
      </c>
      <c r="X103" s="531">
        <v>14</v>
      </c>
      <c r="Y103" s="532">
        <v>8</v>
      </c>
      <c r="Z103" s="537">
        <v>15</v>
      </c>
      <c r="AA103" s="531">
        <v>14</v>
      </c>
      <c r="AB103" s="532">
        <v>3</v>
      </c>
      <c r="AC103" s="537" t="s">
        <v>636</v>
      </c>
      <c r="AD103" s="531">
        <v>14</v>
      </c>
      <c r="AE103" s="532">
        <v>7</v>
      </c>
      <c r="AF103" s="537" t="s">
        <v>636</v>
      </c>
      <c r="AG103" s="531">
        <v>14</v>
      </c>
      <c r="AH103" s="532">
        <v>6</v>
      </c>
      <c r="AI103" s="537" t="s">
        <v>636</v>
      </c>
      <c r="AJ103" s="531">
        <v>0</v>
      </c>
      <c r="AK103" s="532">
        <v>0</v>
      </c>
      <c r="AL103" s="538" t="s">
        <v>636</v>
      </c>
      <c r="AM103" s="539"/>
      <c r="AN103" s="540"/>
      <c r="AO103" s="540"/>
      <c r="AP103" s="539"/>
      <c r="AQ103" s="539"/>
      <c r="AR103" s="539"/>
      <c r="AS103" s="539"/>
      <c r="AT103" s="539"/>
      <c r="AU103" s="539"/>
      <c r="AV103" s="539"/>
      <c r="AW103" s="539"/>
      <c r="AX103" s="539"/>
      <c r="AY103" s="539"/>
      <c r="AZ103" s="539"/>
      <c r="BA103" s="539"/>
      <c r="BB103" s="539"/>
      <c r="BC103" s="539"/>
      <c r="BD103" s="539"/>
      <c r="BE103" s="541"/>
      <c r="BF103" s="541"/>
      <c r="BG103" s="541"/>
      <c r="BH103" s="541"/>
      <c r="BI103" s="541"/>
      <c r="BJ103" s="541"/>
      <c r="BK103" s="541"/>
      <c r="BL103" s="541"/>
      <c r="BM103" s="541"/>
      <c r="BN103" s="541"/>
      <c r="BO103" s="541"/>
      <c r="BP103" s="541"/>
      <c r="BQ103" s="541"/>
      <c r="BR103" s="541"/>
      <c r="BS103" s="541"/>
      <c r="BT103" s="541"/>
    </row>
    <row r="104" spans="1:72" x14ac:dyDescent="0.25">
      <c r="A104" s="325" t="s">
        <v>350</v>
      </c>
      <c r="B104" s="331" t="s">
        <v>490</v>
      </c>
      <c r="C104" s="531">
        <v>39</v>
      </c>
      <c r="D104" s="532">
        <v>31</v>
      </c>
      <c r="E104" s="537">
        <v>40</v>
      </c>
      <c r="F104" s="531">
        <v>39</v>
      </c>
      <c r="G104" s="532">
        <v>37</v>
      </c>
      <c r="H104" s="537">
        <v>40</v>
      </c>
      <c r="I104" s="531">
        <v>43</v>
      </c>
      <c r="J104" s="532">
        <v>38</v>
      </c>
      <c r="K104" s="537">
        <v>40</v>
      </c>
      <c r="L104" s="531">
        <v>43</v>
      </c>
      <c r="M104" s="532">
        <v>38</v>
      </c>
      <c r="N104" s="537">
        <v>40</v>
      </c>
      <c r="O104" s="531">
        <v>43</v>
      </c>
      <c r="P104" s="532">
        <v>38</v>
      </c>
      <c r="Q104" s="537">
        <v>30</v>
      </c>
      <c r="R104" s="531">
        <v>43</v>
      </c>
      <c r="S104" s="532">
        <v>38</v>
      </c>
      <c r="T104" s="537">
        <v>35</v>
      </c>
      <c r="U104" s="531">
        <v>43</v>
      </c>
      <c r="V104" s="532">
        <v>38</v>
      </c>
      <c r="W104" s="537">
        <v>40</v>
      </c>
      <c r="X104" s="531">
        <v>43</v>
      </c>
      <c r="Y104" s="532">
        <v>38</v>
      </c>
      <c r="Z104" s="537">
        <v>40</v>
      </c>
      <c r="AA104" s="531">
        <v>0</v>
      </c>
      <c r="AB104" s="532">
        <v>0</v>
      </c>
      <c r="AC104" s="537">
        <v>25</v>
      </c>
      <c r="AD104" s="531">
        <v>43</v>
      </c>
      <c r="AE104" s="532">
        <v>38</v>
      </c>
      <c r="AF104" s="537">
        <v>35</v>
      </c>
      <c r="AG104" s="531">
        <v>43</v>
      </c>
      <c r="AH104" s="532">
        <v>38</v>
      </c>
      <c r="AI104" s="537">
        <v>30</v>
      </c>
      <c r="AJ104" s="531">
        <v>0</v>
      </c>
      <c r="AK104" s="532">
        <v>0</v>
      </c>
      <c r="AL104" s="538" t="s">
        <v>636</v>
      </c>
      <c r="AM104" s="539"/>
      <c r="AN104" s="540"/>
      <c r="AO104" s="540"/>
      <c r="AP104" s="539"/>
      <c r="AQ104" s="539"/>
      <c r="AR104" s="539"/>
      <c r="AS104" s="539"/>
      <c r="AT104" s="539"/>
      <c r="AU104" s="539"/>
      <c r="AV104" s="539"/>
      <c r="AW104" s="539"/>
      <c r="AX104" s="539"/>
      <c r="AY104" s="539"/>
      <c r="AZ104" s="539"/>
      <c r="BA104" s="539"/>
      <c r="BB104" s="539"/>
      <c r="BC104" s="539"/>
      <c r="BD104" s="539"/>
      <c r="BE104" s="541"/>
      <c r="BF104" s="541"/>
      <c r="BG104" s="541"/>
      <c r="BH104" s="541"/>
      <c r="BI104" s="541"/>
      <c r="BJ104" s="541"/>
      <c r="BK104" s="541"/>
      <c r="BL104" s="541"/>
      <c r="BM104" s="541"/>
      <c r="BN104" s="541"/>
      <c r="BO104" s="541"/>
      <c r="BP104" s="541"/>
      <c r="BQ104" s="541"/>
      <c r="BR104" s="541"/>
      <c r="BS104" s="541"/>
      <c r="BT104" s="541"/>
    </row>
    <row r="105" spans="1:72" x14ac:dyDescent="0.25">
      <c r="A105" s="325" t="s">
        <v>309</v>
      </c>
      <c r="B105" s="331" t="s">
        <v>449</v>
      </c>
      <c r="C105" s="531">
        <v>21</v>
      </c>
      <c r="D105" s="532">
        <v>20</v>
      </c>
      <c r="E105" s="537">
        <v>30</v>
      </c>
      <c r="F105" s="531">
        <v>21</v>
      </c>
      <c r="G105" s="532">
        <v>21</v>
      </c>
      <c r="H105" s="537">
        <v>25</v>
      </c>
      <c r="I105" s="531">
        <v>21</v>
      </c>
      <c r="J105" s="532">
        <v>20</v>
      </c>
      <c r="K105" s="537">
        <v>25</v>
      </c>
      <c r="L105" s="531">
        <v>21</v>
      </c>
      <c r="M105" s="532">
        <v>21</v>
      </c>
      <c r="N105" s="537">
        <v>25</v>
      </c>
      <c r="O105" s="531">
        <v>21</v>
      </c>
      <c r="P105" s="532">
        <v>21</v>
      </c>
      <c r="Q105" s="537">
        <v>25</v>
      </c>
      <c r="R105" s="531">
        <v>21</v>
      </c>
      <c r="S105" s="532">
        <v>21</v>
      </c>
      <c r="T105" s="537">
        <v>30</v>
      </c>
      <c r="U105" s="531">
        <v>21</v>
      </c>
      <c r="V105" s="532">
        <v>21</v>
      </c>
      <c r="W105" s="537">
        <v>30</v>
      </c>
      <c r="X105" s="531">
        <v>21</v>
      </c>
      <c r="Y105" s="532">
        <v>20</v>
      </c>
      <c r="Z105" s="537">
        <v>30</v>
      </c>
      <c r="AA105" s="531">
        <v>21</v>
      </c>
      <c r="AB105" s="532">
        <v>20</v>
      </c>
      <c r="AC105" s="537">
        <v>20</v>
      </c>
      <c r="AD105" s="531">
        <v>21</v>
      </c>
      <c r="AE105" s="532">
        <v>20</v>
      </c>
      <c r="AF105" s="537">
        <v>30</v>
      </c>
      <c r="AG105" s="531">
        <v>21</v>
      </c>
      <c r="AH105" s="532">
        <v>20</v>
      </c>
      <c r="AI105" s="537">
        <v>30</v>
      </c>
      <c r="AJ105" s="531">
        <v>0</v>
      </c>
      <c r="AK105" s="532">
        <v>0</v>
      </c>
      <c r="AL105" s="538">
        <v>10</v>
      </c>
      <c r="AM105" s="539"/>
      <c r="AN105" s="540"/>
      <c r="AO105" s="540"/>
      <c r="AP105" s="539"/>
      <c r="AQ105" s="539"/>
      <c r="AR105" s="539"/>
      <c r="AS105" s="539"/>
      <c r="AT105" s="539"/>
      <c r="AU105" s="539"/>
      <c r="AV105" s="539"/>
      <c r="AW105" s="539"/>
      <c r="AX105" s="539"/>
      <c r="AY105" s="539"/>
      <c r="AZ105" s="539"/>
      <c r="BA105" s="539"/>
      <c r="BB105" s="539"/>
      <c r="BC105" s="539"/>
      <c r="BD105" s="539"/>
      <c r="BE105" s="541"/>
      <c r="BF105" s="541"/>
      <c r="BG105" s="541"/>
      <c r="BH105" s="541"/>
      <c r="BI105" s="541"/>
      <c r="BJ105" s="541"/>
      <c r="BK105" s="541"/>
      <c r="BL105" s="541"/>
      <c r="BM105" s="541"/>
      <c r="BN105" s="541"/>
      <c r="BO105" s="541"/>
      <c r="BP105" s="541"/>
      <c r="BQ105" s="541"/>
      <c r="BR105" s="541"/>
      <c r="BS105" s="541"/>
      <c r="BT105" s="541"/>
    </row>
    <row r="106" spans="1:72" x14ac:dyDescent="0.25">
      <c r="A106" s="325" t="s">
        <v>336</v>
      </c>
      <c r="B106" s="331" t="s">
        <v>476</v>
      </c>
      <c r="C106" s="531">
        <v>13</v>
      </c>
      <c r="D106" s="532">
        <v>8</v>
      </c>
      <c r="E106" s="537">
        <v>30</v>
      </c>
      <c r="F106" s="531">
        <v>13</v>
      </c>
      <c r="G106" s="532">
        <v>6</v>
      </c>
      <c r="H106" s="537">
        <v>30</v>
      </c>
      <c r="I106" s="531">
        <v>13</v>
      </c>
      <c r="J106" s="532">
        <v>8</v>
      </c>
      <c r="K106" s="537">
        <v>35</v>
      </c>
      <c r="L106" s="531">
        <v>13</v>
      </c>
      <c r="M106" s="532">
        <v>12</v>
      </c>
      <c r="N106" s="537">
        <v>35</v>
      </c>
      <c r="O106" s="531">
        <v>13</v>
      </c>
      <c r="P106" s="532">
        <v>9</v>
      </c>
      <c r="Q106" s="537">
        <v>35</v>
      </c>
      <c r="R106" s="531">
        <v>13</v>
      </c>
      <c r="S106" s="532">
        <v>9</v>
      </c>
      <c r="T106" s="537">
        <v>25</v>
      </c>
      <c r="U106" s="531">
        <v>13</v>
      </c>
      <c r="V106" s="532">
        <v>5</v>
      </c>
      <c r="W106" s="537">
        <v>25</v>
      </c>
      <c r="X106" s="531">
        <v>13</v>
      </c>
      <c r="Y106" s="532">
        <v>7</v>
      </c>
      <c r="Z106" s="537">
        <v>30</v>
      </c>
      <c r="AA106" s="531">
        <v>13</v>
      </c>
      <c r="AB106" s="532">
        <v>8</v>
      </c>
      <c r="AC106" s="537">
        <v>30</v>
      </c>
      <c r="AD106" s="531">
        <v>13</v>
      </c>
      <c r="AE106" s="532">
        <v>7</v>
      </c>
      <c r="AF106" s="537">
        <v>25</v>
      </c>
      <c r="AG106" s="531">
        <v>13</v>
      </c>
      <c r="AH106" s="532">
        <v>11</v>
      </c>
      <c r="AI106" s="537">
        <v>35</v>
      </c>
      <c r="AJ106" s="531">
        <v>0</v>
      </c>
      <c r="AK106" s="532">
        <v>0</v>
      </c>
      <c r="AL106" s="538">
        <v>15</v>
      </c>
      <c r="AM106" s="539"/>
      <c r="AN106" s="540"/>
      <c r="AO106" s="540"/>
      <c r="AP106" s="539"/>
      <c r="AQ106" s="539"/>
      <c r="AR106" s="539"/>
      <c r="AS106" s="539"/>
      <c r="AT106" s="539"/>
      <c r="AU106" s="539"/>
      <c r="AV106" s="539"/>
      <c r="AW106" s="539"/>
      <c r="AX106" s="539"/>
      <c r="AY106" s="539"/>
      <c r="AZ106" s="539"/>
      <c r="BA106" s="539"/>
      <c r="BB106" s="539"/>
      <c r="BC106" s="539"/>
      <c r="BD106" s="539"/>
      <c r="BE106" s="541"/>
      <c r="BF106" s="541"/>
      <c r="BG106" s="541"/>
      <c r="BH106" s="541"/>
      <c r="BI106" s="541"/>
      <c r="BJ106" s="541"/>
      <c r="BK106" s="541"/>
      <c r="BL106" s="541"/>
      <c r="BM106" s="541"/>
      <c r="BN106" s="541"/>
      <c r="BO106" s="541"/>
      <c r="BP106" s="541"/>
      <c r="BQ106" s="541"/>
      <c r="BR106" s="541"/>
      <c r="BS106" s="541"/>
      <c r="BT106" s="541"/>
    </row>
    <row r="107" spans="1:72" x14ac:dyDescent="0.25">
      <c r="A107" s="325" t="s">
        <v>379</v>
      </c>
      <c r="B107" s="331" t="s">
        <v>519</v>
      </c>
      <c r="C107" s="531">
        <v>30</v>
      </c>
      <c r="D107" s="532">
        <v>30</v>
      </c>
      <c r="E107" s="537">
        <v>45</v>
      </c>
      <c r="F107" s="531">
        <v>30</v>
      </c>
      <c r="G107" s="532">
        <v>28</v>
      </c>
      <c r="H107" s="537">
        <v>35</v>
      </c>
      <c r="I107" s="531">
        <v>30</v>
      </c>
      <c r="J107" s="532">
        <v>30</v>
      </c>
      <c r="K107" s="537">
        <v>50</v>
      </c>
      <c r="L107" s="531">
        <v>38</v>
      </c>
      <c r="M107" s="532">
        <v>30</v>
      </c>
      <c r="N107" s="537">
        <v>35</v>
      </c>
      <c r="O107" s="531">
        <v>30</v>
      </c>
      <c r="P107" s="532">
        <v>27</v>
      </c>
      <c r="Q107" s="537">
        <v>45</v>
      </c>
      <c r="R107" s="531">
        <v>30</v>
      </c>
      <c r="S107" s="532">
        <v>27</v>
      </c>
      <c r="T107" s="537">
        <v>35</v>
      </c>
      <c r="U107" s="531">
        <v>30</v>
      </c>
      <c r="V107" s="532">
        <v>29</v>
      </c>
      <c r="W107" s="537">
        <v>50</v>
      </c>
      <c r="X107" s="531">
        <v>30</v>
      </c>
      <c r="Y107" s="532">
        <v>27</v>
      </c>
      <c r="Z107" s="537">
        <v>45</v>
      </c>
      <c r="AA107" s="531">
        <v>30</v>
      </c>
      <c r="AB107" s="532">
        <v>27</v>
      </c>
      <c r="AC107" s="537">
        <v>50</v>
      </c>
      <c r="AD107" s="531">
        <v>30</v>
      </c>
      <c r="AE107" s="532">
        <v>30</v>
      </c>
      <c r="AF107" s="537">
        <v>45</v>
      </c>
      <c r="AG107" s="531">
        <v>30</v>
      </c>
      <c r="AH107" s="532">
        <v>28</v>
      </c>
      <c r="AI107" s="537">
        <v>45</v>
      </c>
      <c r="AJ107" s="531">
        <v>0</v>
      </c>
      <c r="AK107" s="532">
        <v>0</v>
      </c>
      <c r="AL107" s="538">
        <v>15</v>
      </c>
      <c r="AM107" s="539"/>
      <c r="AN107" s="540"/>
      <c r="AO107" s="540"/>
      <c r="AP107" s="539"/>
      <c r="AQ107" s="539"/>
      <c r="AR107" s="539"/>
      <c r="AS107" s="539"/>
      <c r="AT107" s="539"/>
      <c r="AU107" s="539"/>
      <c r="AV107" s="539"/>
      <c r="AW107" s="539"/>
      <c r="AX107" s="539"/>
      <c r="AY107" s="539"/>
      <c r="AZ107" s="539"/>
      <c r="BA107" s="539"/>
      <c r="BB107" s="539"/>
      <c r="BC107" s="539"/>
      <c r="BD107" s="539"/>
      <c r="BE107" s="541"/>
      <c r="BF107" s="541"/>
      <c r="BG107" s="541"/>
      <c r="BH107" s="541"/>
      <c r="BI107" s="541"/>
      <c r="BJ107" s="541"/>
      <c r="BK107" s="541"/>
      <c r="BL107" s="541"/>
      <c r="BM107" s="541"/>
      <c r="BN107" s="541"/>
      <c r="BO107" s="541"/>
      <c r="BP107" s="541"/>
      <c r="BQ107" s="541"/>
      <c r="BR107" s="541"/>
      <c r="BS107" s="541"/>
      <c r="BT107" s="541"/>
    </row>
    <row r="108" spans="1:72" x14ac:dyDescent="0.25">
      <c r="A108" s="325" t="s">
        <v>389</v>
      </c>
      <c r="B108" s="331" t="s">
        <v>529</v>
      </c>
      <c r="C108" s="531">
        <v>10</v>
      </c>
      <c r="D108" s="532">
        <v>6</v>
      </c>
      <c r="E108" s="537">
        <v>15</v>
      </c>
      <c r="F108" s="531">
        <v>10</v>
      </c>
      <c r="G108" s="532">
        <v>5</v>
      </c>
      <c r="H108" s="537">
        <v>20</v>
      </c>
      <c r="I108" s="531">
        <v>10</v>
      </c>
      <c r="J108" s="532">
        <v>6</v>
      </c>
      <c r="K108" s="537">
        <v>20</v>
      </c>
      <c r="L108" s="531">
        <v>10</v>
      </c>
      <c r="M108" s="532">
        <v>8</v>
      </c>
      <c r="N108" s="537">
        <v>25</v>
      </c>
      <c r="O108" s="531">
        <v>10</v>
      </c>
      <c r="P108" s="532">
        <v>6</v>
      </c>
      <c r="Q108" s="537">
        <v>25</v>
      </c>
      <c r="R108" s="531">
        <v>10</v>
      </c>
      <c r="S108" s="532">
        <v>10</v>
      </c>
      <c r="T108" s="537">
        <v>30</v>
      </c>
      <c r="U108" s="531">
        <v>10</v>
      </c>
      <c r="V108" s="532">
        <v>7</v>
      </c>
      <c r="W108" s="537">
        <v>20</v>
      </c>
      <c r="X108" s="531">
        <v>10</v>
      </c>
      <c r="Y108" s="532">
        <v>7</v>
      </c>
      <c r="Z108" s="537">
        <v>20</v>
      </c>
      <c r="AA108" s="531">
        <v>10</v>
      </c>
      <c r="AB108" s="532">
        <v>6</v>
      </c>
      <c r="AC108" s="537">
        <v>15</v>
      </c>
      <c r="AD108" s="531">
        <v>10</v>
      </c>
      <c r="AE108" s="532">
        <v>7</v>
      </c>
      <c r="AF108" s="537">
        <v>25</v>
      </c>
      <c r="AG108" s="531">
        <v>10</v>
      </c>
      <c r="AH108" s="532">
        <v>9</v>
      </c>
      <c r="AI108" s="537">
        <v>30</v>
      </c>
      <c r="AJ108" s="531">
        <v>0</v>
      </c>
      <c r="AK108" s="532">
        <v>0</v>
      </c>
      <c r="AL108" s="538">
        <v>15</v>
      </c>
      <c r="AM108" s="539"/>
      <c r="AN108" s="540"/>
      <c r="AO108" s="540"/>
      <c r="AP108" s="539"/>
      <c r="AQ108" s="539"/>
      <c r="AR108" s="539"/>
      <c r="AS108" s="539"/>
      <c r="AT108" s="539"/>
      <c r="AU108" s="539"/>
      <c r="AV108" s="539"/>
      <c r="AW108" s="539"/>
      <c r="AX108" s="539"/>
      <c r="AY108" s="539"/>
      <c r="AZ108" s="539"/>
      <c r="BA108" s="539"/>
      <c r="BB108" s="539"/>
      <c r="BC108" s="539"/>
      <c r="BD108" s="539"/>
      <c r="BE108" s="541"/>
      <c r="BF108" s="541"/>
      <c r="BG108" s="541"/>
      <c r="BH108" s="541"/>
      <c r="BI108" s="541"/>
      <c r="BJ108" s="541"/>
      <c r="BK108" s="541"/>
      <c r="BL108" s="541"/>
      <c r="BM108" s="541"/>
      <c r="BN108" s="541"/>
      <c r="BO108" s="541"/>
      <c r="BP108" s="541"/>
      <c r="BQ108" s="541"/>
      <c r="BR108" s="541"/>
      <c r="BS108" s="541"/>
      <c r="BT108" s="541"/>
    </row>
    <row r="109" spans="1:72" x14ac:dyDescent="0.25">
      <c r="A109" s="325" t="s">
        <v>436</v>
      </c>
      <c r="B109" s="331" t="s">
        <v>575</v>
      </c>
      <c r="C109" s="531">
        <v>18</v>
      </c>
      <c r="D109" s="532">
        <v>14</v>
      </c>
      <c r="E109" s="537">
        <v>30</v>
      </c>
      <c r="F109" s="531">
        <v>16</v>
      </c>
      <c r="G109" s="532">
        <v>16</v>
      </c>
      <c r="H109" s="537">
        <v>20</v>
      </c>
      <c r="I109" s="531">
        <v>14</v>
      </c>
      <c r="J109" s="532">
        <v>10</v>
      </c>
      <c r="K109" s="537">
        <v>15</v>
      </c>
      <c r="L109" s="531">
        <v>17</v>
      </c>
      <c r="M109" s="532">
        <v>16</v>
      </c>
      <c r="N109" s="537">
        <v>25</v>
      </c>
      <c r="O109" s="531">
        <v>20</v>
      </c>
      <c r="P109" s="532">
        <v>15</v>
      </c>
      <c r="Q109" s="537">
        <v>20</v>
      </c>
      <c r="R109" s="531">
        <v>19</v>
      </c>
      <c r="S109" s="532">
        <v>19</v>
      </c>
      <c r="T109" s="537">
        <v>20</v>
      </c>
      <c r="U109" s="531">
        <v>17</v>
      </c>
      <c r="V109" s="532">
        <v>14</v>
      </c>
      <c r="W109" s="537">
        <v>15</v>
      </c>
      <c r="X109" s="531">
        <v>17</v>
      </c>
      <c r="Y109" s="532">
        <v>15</v>
      </c>
      <c r="Z109" s="537">
        <v>20</v>
      </c>
      <c r="AA109" s="531">
        <v>21</v>
      </c>
      <c r="AB109" s="532">
        <v>15</v>
      </c>
      <c r="AC109" s="537">
        <v>15</v>
      </c>
      <c r="AD109" s="531">
        <v>19</v>
      </c>
      <c r="AE109" s="532">
        <v>17</v>
      </c>
      <c r="AF109" s="537">
        <v>15</v>
      </c>
      <c r="AG109" s="531">
        <v>15</v>
      </c>
      <c r="AH109" s="532">
        <v>9</v>
      </c>
      <c r="AI109" s="537">
        <v>10</v>
      </c>
      <c r="AJ109" s="531">
        <v>0</v>
      </c>
      <c r="AK109" s="532">
        <v>0</v>
      </c>
      <c r="AL109" s="538" t="s">
        <v>636</v>
      </c>
      <c r="AM109" s="539"/>
      <c r="AN109" s="540"/>
      <c r="AO109" s="540"/>
      <c r="AP109" s="539"/>
      <c r="AQ109" s="539"/>
      <c r="AR109" s="539"/>
      <c r="AS109" s="539"/>
      <c r="AT109" s="539"/>
      <c r="AU109" s="539"/>
      <c r="AV109" s="539"/>
      <c r="AW109" s="539"/>
      <c r="AX109" s="539"/>
      <c r="AY109" s="539"/>
      <c r="AZ109" s="539"/>
      <c r="BA109" s="539"/>
      <c r="BB109" s="539"/>
      <c r="BC109" s="539"/>
      <c r="BD109" s="539"/>
      <c r="BE109" s="541"/>
      <c r="BF109" s="541"/>
      <c r="BG109" s="541"/>
      <c r="BH109" s="541"/>
      <c r="BI109" s="541"/>
      <c r="BJ109" s="541"/>
      <c r="BK109" s="541"/>
      <c r="BL109" s="541"/>
      <c r="BM109" s="541"/>
      <c r="BN109" s="541"/>
      <c r="BO109" s="541"/>
      <c r="BP109" s="541"/>
      <c r="BQ109" s="541"/>
      <c r="BR109" s="541"/>
      <c r="BS109" s="541"/>
      <c r="BT109" s="541"/>
    </row>
    <row r="110" spans="1:72" x14ac:dyDescent="0.25">
      <c r="A110" s="325" t="s">
        <v>623</v>
      </c>
      <c r="B110" s="331" t="s">
        <v>624</v>
      </c>
      <c r="C110" s="531">
        <v>0</v>
      </c>
      <c r="D110" s="532">
        <v>0</v>
      </c>
      <c r="E110" s="537">
        <v>25</v>
      </c>
      <c r="F110" s="531">
        <v>0</v>
      </c>
      <c r="G110" s="532">
        <v>0</v>
      </c>
      <c r="H110" s="537">
        <v>20</v>
      </c>
      <c r="I110" s="531">
        <v>0</v>
      </c>
      <c r="J110" s="532">
        <v>0</v>
      </c>
      <c r="K110" s="537">
        <v>20</v>
      </c>
      <c r="L110" s="531">
        <v>0</v>
      </c>
      <c r="M110" s="532">
        <v>0</v>
      </c>
      <c r="N110" s="537">
        <v>25</v>
      </c>
      <c r="O110" s="531">
        <v>0</v>
      </c>
      <c r="P110" s="532">
        <v>0</v>
      </c>
      <c r="Q110" s="537">
        <v>15</v>
      </c>
      <c r="R110" s="531">
        <v>0</v>
      </c>
      <c r="S110" s="532">
        <v>0</v>
      </c>
      <c r="T110" s="537">
        <v>25</v>
      </c>
      <c r="U110" s="531">
        <v>0</v>
      </c>
      <c r="V110" s="532">
        <v>0</v>
      </c>
      <c r="W110" s="537">
        <v>30</v>
      </c>
      <c r="X110" s="531">
        <v>0</v>
      </c>
      <c r="Y110" s="532">
        <v>0</v>
      </c>
      <c r="Z110" s="537">
        <v>30</v>
      </c>
      <c r="AA110" s="531">
        <v>0</v>
      </c>
      <c r="AB110" s="532">
        <v>0</v>
      </c>
      <c r="AC110" s="537">
        <v>25</v>
      </c>
      <c r="AD110" s="531">
        <v>0</v>
      </c>
      <c r="AE110" s="532">
        <v>0</v>
      </c>
      <c r="AF110" s="537">
        <v>20</v>
      </c>
      <c r="AG110" s="531">
        <v>0</v>
      </c>
      <c r="AH110" s="532">
        <v>0</v>
      </c>
      <c r="AI110" s="537">
        <v>20</v>
      </c>
      <c r="AJ110" s="531">
        <v>0</v>
      </c>
      <c r="AK110" s="532">
        <v>0</v>
      </c>
      <c r="AL110" s="538" t="s">
        <v>636</v>
      </c>
      <c r="AM110" s="539"/>
      <c r="AN110" s="540"/>
      <c r="AO110" s="540"/>
      <c r="AP110" s="539"/>
      <c r="AQ110" s="539"/>
      <c r="AR110" s="539"/>
      <c r="AS110" s="539"/>
      <c r="AT110" s="539"/>
      <c r="AU110" s="539"/>
      <c r="AV110" s="539"/>
      <c r="AW110" s="539"/>
      <c r="AX110" s="539"/>
      <c r="AY110" s="539"/>
      <c r="AZ110" s="539"/>
      <c r="BA110" s="539"/>
      <c r="BB110" s="539"/>
      <c r="BC110" s="539"/>
      <c r="BD110" s="539"/>
      <c r="BE110" s="541"/>
      <c r="BF110" s="541"/>
      <c r="BG110" s="541"/>
      <c r="BH110" s="541"/>
      <c r="BI110" s="541"/>
      <c r="BJ110" s="541"/>
      <c r="BK110" s="541"/>
      <c r="BL110" s="541"/>
      <c r="BM110" s="541"/>
      <c r="BN110" s="541"/>
      <c r="BO110" s="541"/>
      <c r="BP110" s="541"/>
      <c r="BQ110" s="541"/>
      <c r="BR110" s="541"/>
      <c r="BS110" s="541"/>
      <c r="BT110" s="541"/>
    </row>
    <row r="111" spans="1:72" x14ac:dyDescent="0.25">
      <c r="A111" s="325" t="s">
        <v>357</v>
      </c>
      <c r="B111" s="331" t="s">
        <v>497</v>
      </c>
      <c r="C111" s="531">
        <v>118</v>
      </c>
      <c r="D111" s="532">
        <v>96</v>
      </c>
      <c r="E111" s="537">
        <v>160</v>
      </c>
      <c r="F111" s="531">
        <v>118</v>
      </c>
      <c r="G111" s="532">
        <v>83</v>
      </c>
      <c r="H111" s="537">
        <v>145</v>
      </c>
      <c r="I111" s="531">
        <v>118</v>
      </c>
      <c r="J111" s="532">
        <v>96</v>
      </c>
      <c r="K111" s="537">
        <v>165</v>
      </c>
      <c r="L111" s="531">
        <v>118</v>
      </c>
      <c r="M111" s="532">
        <v>106</v>
      </c>
      <c r="N111" s="537">
        <v>155</v>
      </c>
      <c r="O111" s="531">
        <v>118</v>
      </c>
      <c r="P111" s="532">
        <v>97</v>
      </c>
      <c r="Q111" s="537">
        <v>165</v>
      </c>
      <c r="R111" s="531">
        <v>118</v>
      </c>
      <c r="S111" s="532">
        <v>98</v>
      </c>
      <c r="T111" s="537">
        <v>165</v>
      </c>
      <c r="U111" s="531">
        <v>118</v>
      </c>
      <c r="V111" s="532">
        <v>94</v>
      </c>
      <c r="W111" s="537">
        <v>145</v>
      </c>
      <c r="X111" s="531">
        <v>118</v>
      </c>
      <c r="Y111" s="532">
        <v>93</v>
      </c>
      <c r="Z111" s="537">
        <v>160</v>
      </c>
      <c r="AA111" s="531">
        <v>118</v>
      </c>
      <c r="AB111" s="532">
        <v>83</v>
      </c>
      <c r="AC111" s="537">
        <v>125</v>
      </c>
      <c r="AD111" s="531">
        <v>118</v>
      </c>
      <c r="AE111" s="532">
        <v>99</v>
      </c>
      <c r="AF111" s="537">
        <v>145</v>
      </c>
      <c r="AG111" s="531">
        <v>118</v>
      </c>
      <c r="AH111" s="532">
        <v>96</v>
      </c>
      <c r="AI111" s="537">
        <v>130</v>
      </c>
      <c r="AJ111" s="531">
        <v>0</v>
      </c>
      <c r="AK111" s="532">
        <v>0</v>
      </c>
      <c r="AL111" s="538">
        <v>40</v>
      </c>
      <c r="AM111" s="539"/>
      <c r="AN111" s="540"/>
      <c r="AO111" s="540"/>
      <c r="AP111" s="539"/>
      <c r="AQ111" s="539"/>
      <c r="AR111" s="539"/>
      <c r="AS111" s="539"/>
      <c r="AT111" s="539"/>
      <c r="AU111" s="539"/>
      <c r="AV111" s="539"/>
      <c r="AW111" s="539"/>
      <c r="AX111" s="539"/>
      <c r="AY111" s="539"/>
      <c r="AZ111" s="539"/>
      <c r="BA111" s="539"/>
      <c r="BB111" s="539"/>
      <c r="BC111" s="539"/>
      <c r="BD111" s="539"/>
      <c r="BE111" s="541"/>
      <c r="BF111" s="541"/>
      <c r="BG111" s="541"/>
      <c r="BH111" s="541"/>
      <c r="BI111" s="541"/>
      <c r="BJ111" s="541"/>
      <c r="BK111" s="541"/>
      <c r="BL111" s="541"/>
      <c r="BM111" s="541"/>
      <c r="BN111" s="541"/>
      <c r="BO111" s="541"/>
      <c r="BP111" s="541"/>
      <c r="BQ111" s="541"/>
      <c r="BR111" s="541"/>
      <c r="BS111" s="541"/>
      <c r="BT111" s="541"/>
    </row>
    <row r="112" spans="1:72" x14ac:dyDescent="0.25">
      <c r="A112" s="325" t="s">
        <v>370</v>
      </c>
      <c r="B112" s="331" t="s">
        <v>510</v>
      </c>
      <c r="C112" s="531">
        <v>11</v>
      </c>
      <c r="D112" s="532">
        <v>11</v>
      </c>
      <c r="E112" s="537">
        <v>25</v>
      </c>
      <c r="F112" s="531">
        <v>11</v>
      </c>
      <c r="G112" s="532">
        <v>6</v>
      </c>
      <c r="H112" s="537">
        <v>20</v>
      </c>
      <c r="I112" s="531">
        <v>11</v>
      </c>
      <c r="J112" s="532">
        <v>6</v>
      </c>
      <c r="K112" s="537">
        <v>20</v>
      </c>
      <c r="L112" s="531">
        <v>11</v>
      </c>
      <c r="M112" s="532">
        <v>7</v>
      </c>
      <c r="N112" s="537">
        <v>20</v>
      </c>
      <c r="O112" s="531">
        <v>11</v>
      </c>
      <c r="P112" s="532">
        <v>8</v>
      </c>
      <c r="Q112" s="537">
        <v>20</v>
      </c>
      <c r="R112" s="531">
        <v>11</v>
      </c>
      <c r="S112" s="532">
        <v>10</v>
      </c>
      <c r="T112" s="537">
        <v>20</v>
      </c>
      <c r="U112" s="531">
        <v>11</v>
      </c>
      <c r="V112" s="532">
        <v>5</v>
      </c>
      <c r="W112" s="537">
        <v>30</v>
      </c>
      <c r="X112" s="531">
        <v>11</v>
      </c>
      <c r="Y112" s="532">
        <v>9</v>
      </c>
      <c r="Z112" s="537">
        <v>25</v>
      </c>
      <c r="AA112" s="531">
        <v>11</v>
      </c>
      <c r="AB112" s="532">
        <v>10</v>
      </c>
      <c r="AC112" s="537">
        <v>20</v>
      </c>
      <c r="AD112" s="531">
        <v>11</v>
      </c>
      <c r="AE112" s="532">
        <v>9</v>
      </c>
      <c r="AF112" s="537">
        <v>20</v>
      </c>
      <c r="AG112" s="531">
        <v>11</v>
      </c>
      <c r="AH112" s="532">
        <v>6</v>
      </c>
      <c r="AI112" s="537">
        <v>15</v>
      </c>
      <c r="AJ112" s="531">
        <v>0</v>
      </c>
      <c r="AK112" s="532">
        <v>0</v>
      </c>
      <c r="AL112" s="538" t="s">
        <v>636</v>
      </c>
      <c r="AM112" s="539"/>
      <c r="AN112" s="540"/>
      <c r="AO112" s="540"/>
      <c r="AP112" s="539"/>
      <c r="AQ112" s="539"/>
      <c r="AR112" s="539"/>
      <c r="AS112" s="539"/>
      <c r="AT112" s="539"/>
      <c r="AU112" s="539"/>
      <c r="AV112" s="539"/>
      <c r="AW112" s="539"/>
      <c r="AX112" s="539"/>
      <c r="AY112" s="539"/>
      <c r="AZ112" s="539"/>
      <c r="BA112" s="539"/>
      <c r="BB112" s="539"/>
      <c r="BC112" s="539"/>
      <c r="BD112" s="539"/>
      <c r="BE112" s="541"/>
      <c r="BF112" s="541"/>
      <c r="BG112" s="541"/>
      <c r="BH112" s="541"/>
      <c r="BI112" s="541"/>
      <c r="BJ112" s="541"/>
      <c r="BK112" s="541"/>
      <c r="BL112" s="541"/>
      <c r="BM112" s="541"/>
      <c r="BN112" s="541"/>
      <c r="BO112" s="541"/>
      <c r="BP112" s="541"/>
      <c r="BQ112" s="541"/>
      <c r="BR112" s="541"/>
      <c r="BS112" s="541"/>
      <c r="BT112" s="541"/>
    </row>
    <row r="113" spans="1:72" x14ac:dyDescent="0.25">
      <c r="A113" s="326" t="s">
        <v>442</v>
      </c>
      <c r="B113" s="331" t="s">
        <v>581</v>
      </c>
      <c r="C113" s="533">
        <v>16</v>
      </c>
      <c r="D113" s="534">
        <v>13</v>
      </c>
      <c r="E113" s="537">
        <v>40</v>
      </c>
      <c r="F113" s="533">
        <v>17</v>
      </c>
      <c r="G113" s="534">
        <v>15</v>
      </c>
      <c r="H113" s="537">
        <v>35</v>
      </c>
      <c r="I113" s="533">
        <v>18</v>
      </c>
      <c r="J113" s="534">
        <v>13</v>
      </c>
      <c r="K113" s="537">
        <v>30</v>
      </c>
      <c r="L113" s="533">
        <v>16</v>
      </c>
      <c r="M113" s="534">
        <v>12</v>
      </c>
      <c r="N113" s="537">
        <v>40</v>
      </c>
      <c r="O113" s="533">
        <v>18</v>
      </c>
      <c r="P113" s="534">
        <v>14</v>
      </c>
      <c r="Q113" s="537">
        <v>30</v>
      </c>
      <c r="R113" s="533">
        <v>18</v>
      </c>
      <c r="S113" s="534">
        <v>11</v>
      </c>
      <c r="T113" s="537">
        <v>25</v>
      </c>
      <c r="U113" s="533">
        <v>17</v>
      </c>
      <c r="V113" s="534">
        <v>14</v>
      </c>
      <c r="W113" s="537">
        <v>30</v>
      </c>
      <c r="X113" s="533">
        <v>19</v>
      </c>
      <c r="Y113" s="534">
        <v>17</v>
      </c>
      <c r="Z113" s="537">
        <v>30</v>
      </c>
      <c r="AA113" s="533">
        <v>18</v>
      </c>
      <c r="AB113" s="534">
        <v>16</v>
      </c>
      <c r="AC113" s="537">
        <v>30</v>
      </c>
      <c r="AD113" s="533">
        <v>20</v>
      </c>
      <c r="AE113" s="534">
        <v>16</v>
      </c>
      <c r="AF113" s="537">
        <v>35</v>
      </c>
      <c r="AG113" s="533">
        <v>18</v>
      </c>
      <c r="AH113" s="534">
        <v>13</v>
      </c>
      <c r="AI113" s="537">
        <v>30</v>
      </c>
      <c r="AJ113" s="533">
        <v>0</v>
      </c>
      <c r="AK113" s="534">
        <v>0</v>
      </c>
      <c r="AL113" s="538">
        <v>10</v>
      </c>
      <c r="AM113" s="539"/>
      <c r="AN113" s="540"/>
      <c r="AO113" s="540"/>
      <c r="AP113" s="539"/>
      <c r="AQ113" s="539"/>
      <c r="AR113" s="539"/>
      <c r="AS113" s="539"/>
      <c r="AT113" s="539"/>
      <c r="AU113" s="539"/>
      <c r="AV113" s="539"/>
      <c r="AW113" s="539"/>
      <c r="AX113" s="539"/>
      <c r="AY113" s="539"/>
      <c r="AZ113" s="539"/>
      <c r="BA113" s="539"/>
      <c r="BB113" s="539"/>
      <c r="BC113" s="539"/>
      <c r="BD113" s="539"/>
      <c r="BE113" s="541"/>
      <c r="BF113" s="541"/>
      <c r="BG113" s="541"/>
      <c r="BH113" s="541"/>
      <c r="BI113" s="541"/>
      <c r="BJ113" s="541"/>
      <c r="BK113" s="541"/>
      <c r="BL113" s="541"/>
      <c r="BM113" s="541"/>
      <c r="BN113" s="541"/>
      <c r="BO113" s="541"/>
      <c r="BP113" s="541"/>
      <c r="BQ113" s="541"/>
      <c r="BR113" s="541"/>
      <c r="BS113" s="541"/>
      <c r="BT113" s="541"/>
    </row>
    <row r="114" spans="1:72" x14ac:dyDescent="0.25">
      <c r="A114" s="325" t="s">
        <v>414</v>
      </c>
      <c r="B114" s="331" t="s">
        <v>553</v>
      </c>
      <c r="C114" s="531">
        <v>63</v>
      </c>
      <c r="D114" s="532">
        <v>53</v>
      </c>
      <c r="E114" s="537">
        <v>85</v>
      </c>
      <c r="F114" s="531">
        <v>62</v>
      </c>
      <c r="G114" s="532">
        <v>54</v>
      </c>
      <c r="H114" s="537">
        <v>90</v>
      </c>
      <c r="I114" s="531">
        <v>64</v>
      </c>
      <c r="J114" s="532">
        <v>54</v>
      </c>
      <c r="K114" s="537">
        <v>95</v>
      </c>
      <c r="L114" s="531">
        <v>61</v>
      </c>
      <c r="M114" s="532">
        <v>58</v>
      </c>
      <c r="N114" s="537">
        <v>95</v>
      </c>
      <c r="O114" s="531">
        <v>60</v>
      </c>
      <c r="P114" s="532">
        <v>59</v>
      </c>
      <c r="Q114" s="537">
        <v>90</v>
      </c>
      <c r="R114" s="531">
        <v>58</v>
      </c>
      <c r="S114" s="532">
        <v>51</v>
      </c>
      <c r="T114" s="537">
        <v>80</v>
      </c>
      <c r="U114" s="531">
        <v>59</v>
      </c>
      <c r="V114" s="532">
        <v>48</v>
      </c>
      <c r="W114" s="537">
        <v>80</v>
      </c>
      <c r="X114" s="531">
        <v>59</v>
      </c>
      <c r="Y114" s="532">
        <v>53</v>
      </c>
      <c r="Z114" s="537">
        <v>100</v>
      </c>
      <c r="AA114" s="531">
        <v>50</v>
      </c>
      <c r="AB114" s="532">
        <v>45</v>
      </c>
      <c r="AC114" s="537">
        <v>70</v>
      </c>
      <c r="AD114" s="531">
        <v>64</v>
      </c>
      <c r="AE114" s="532">
        <v>57</v>
      </c>
      <c r="AF114" s="537">
        <v>90</v>
      </c>
      <c r="AG114" s="531">
        <v>64</v>
      </c>
      <c r="AH114" s="532">
        <v>59</v>
      </c>
      <c r="AI114" s="537">
        <v>85</v>
      </c>
      <c r="AJ114" s="531">
        <v>0</v>
      </c>
      <c r="AK114" s="532">
        <v>0</v>
      </c>
      <c r="AL114" s="538">
        <v>25</v>
      </c>
      <c r="AM114" s="539"/>
      <c r="AN114" s="540"/>
      <c r="AO114" s="540"/>
      <c r="AP114" s="539"/>
      <c r="AQ114" s="539"/>
      <c r="AR114" s="539"/>
      <c r="AS114" s="539"/>
      <c r="AT114" s="539"/>
      <c r="AU114" s="539"/>
      <c r="AV114" s="539"/>
      <c r="AW114" s="539"/>
      <c r="AX114" s="539"/>
      <c r="AY114" s="539"/>
      <c r="AZ114" s="539"/>
      <c r="BA114" s="539"/>
      <c r="BB114" s="539"/>
      <c r="BC114" s="539"/>
      <c r="BD114" s="539"/>
      <c r="BE114" s="541"/>
      <c r="BF114" s="541"/>
      <c r="BG114" s="541"/>
      <c r="BH114" s="541"/>
      <c r="BI114" s="541"/>
      <c r="BJ114" s="541"/>
      <c r="BK114" s="541"/>
      <c r="BL114" s="541"/>
      <c r="BM114" s="541"/>
      <c r="BN114" s="541"/>
      <c r="BO114" s="541"/>
      <c r="BP114" s="541"/>
      <c r="BQ114" s="541"/>
      <c r="BR114" s="541"/>
      <c r="BS114" s="541"/>
      <c r="BT114" s="541"/>
    </row>
    <row r="115" spans="1:72" x14ac:dyDescent="0.25">
      <c r="A115" s="325" t="s">
        <v>615</v>
      </c>
      <c r="B115" s="331" t="s">
        <v>618</v>
      </c>
      <c r="C115" s="531">
        <v>23</v>
      </c>
      <c r="D115" s="532">
        <v>14</v>
      </c>
      <c r="E115" s="537">
        <v>20</v>
      </c>
      <c r="F115" s="531">
        <v>24</v>
      </c>
      <c r="G115" s="532">
        <v>19</v>
      </c>
      <c r="H115" s="537">
        <v>35</v>
      </c>
      <c r="I115" s="531">
        <v>24</v>
      </c>
      <c r="J115" s="532">
        <v>14</v>
      </c>
      <c r="K115" s="537">
        <v>30</v>
      </c>
      <c r="L115" s="531">
        <v>24</v>
      </c>
      <c r="M115" s="532">
        <v>15</v>
      </c>
      <c r="N115" s="537">
        <v>30</v>
      </c>
      <c r="O115" s="531">
        <v>24</v>
      </c>
      <c r="P115" s="532">
        <v>15</v>
      </c>
      <c r="Q115" s="537">
        <v>20</v>
      </c>
      <c r="R115" s="531">
        <v>24</v>
      </c>
      <c r="S115" s="532">
        <v>21</v>
      </c>
      <c r="T115" s="537">
        <v>25</v>
      </c>
      <c r="U115" s="531">
        <v>24</v>
      </c>
      <c r="V115" s="532">
        <v>17</v>
      </c>
      <c r="W115" s="537">
        <v>15</v>
      </c>
      <c r="X115" s="531">
        <v>24</v>
      </c>
      <c r="Y115" s="532">
        <v>12</v>
      </c>
      <c r="Z115" s="537">
        <v>25</v>
      </c>
      <c r="AA115" s="531">
        <v>24</v>
      </c>
      <c r="AB115" s="532">
        <v>12</v>
      </c>
      <c r="AC115" s="537">
        <v>15</v>
      </c>
      <c r="AD115" s="531">
        <v>24</v>
      </c>
      <c r="AE115" s="532">
        <v>16</v>
      </c>
      <c r="AF115" s="537">
        <v>20</v>
      </c>
      <c r="AG115" s="531">
        <v>24</v>
      </c>
      <c r="AH115" s="532">
        <v>12</v>
      </c>
      <c r="AI115" s="537">
        <v>20</v>
      </c>
      <c r="AJ115" s="531">
        <v>0</v>
      </c>
      <c r="AK115" s="532">
        <v>0</v>
      </c>
      <c r="AL115" s="538" t="s">
        <v>636</v>
      </c>
      <c r="AM115" s="539"/>
      <c r="AN115" s="540"/>
      <c r="AO115" s="540"/>
      <c r="AP115" s="539"/>
      <c r="AQ115" s="539"/>
      <c r="AR115" s="539"/>
      <c r="AS115" s="539"/>
      <c r="AT115" s="539"/>
      <c r="AU115" s="539"/>
      <c r="AV115" s="539"/>
      <c r="AW115" s="539"/>
      <c r="AX115" s="539"/>
      <c r="AY115" s="539"/>
      <c r="AZ115" s="539"/>
      <c r="BA115" s="539"/>
      <c r="BB115" s="539"/>
      <c r="BC115" s="539"/>
      <c r="BD115" s="539"/>
      <c r="BE115" s="541"/>
      <c r="BF115" s="541"/>
      <c r="BG115" s="541"/>
      <c r="BH115" s="541"/>
      <c r="BI115" s="541"/>
      <c r="BJ115" s="541"/>
      <c r="BK115" s="541"/>
      <c r="BL115" s="541"/>
      <c r="BM115" s="541"/>
      <c r="BN115" s="541"/>
      <c r="BO115" s="541"/>
      <c r="BP115" s="541"/>
      <c r="BQ115" s="541"/>
      <c r="BR115" s="541"/>
      <c r="BS115" s="541"/>
      <c r="BT115" s="541"/>
    </row>
    <row r="116" spans="1:72" x14ac:dyDescent="0.25">
      <c r="A116" s="325" t="s">
        <v>364</v>
      </c>
      <c r="B116" s="331" t="s">
        <v>504</v>
      </c>
      <c r="C116" s="531">
        <v>7</v>
      </c>
      <c r="D116" s="532">
        <v>2</v>
      </c>
      <c r="E116" s="537">
        <v>20</v>
      </c>
      <c r="F116" s="531">
        <v>7</v>
      </c>
      <c r="G116" s="532">
        <v>3</v>
      </c>
      <c r="H116" s="537">
        <v>15</v>
      </c>
      <c r="I116" s="531">
        <v>7</v>
      </c>
      <c r="J116" s="532">
        <v>5</v>
      </c>
      <c r="K116" s="537">
        <v>20</v>
      </c>
      <c r="L116" s="531">
        <v>7</v>
      </c>
      <c r="M116" s="532">
        <v>4</v>
      </c>
      <c r="N116" s="537">
        <v>25</v>
      </c>
      <c r="O116" s="531">
        <v>7</v>
      </c>
      <c r="P116" s="532">
        <v>5</v>
      </c>
      <c r="Q116" s="537">
        <v>15</v>
      </c>
      <c r="R116" s="531">
        <v>5</v>
      </c>
      <c r="S116" s="532">
        <v>5</v>
      </c>
      <c r="T116" s="537">
        <v>20</v>
      </c>
      <c r="U116" s="531">
        <v>7</v>
      </c>
      <c r="V116" s="532">
        <v>3</v>
      </c>
      <c r="W116" s="537">
        <v>15</v>
      </c>
      <c r="X116" s="531">
        <v>7</v>
      </c>
      <c r="Y116" s="532">
        <v>2</v>
      </c>
      <c r="Z116" s="537">
        <v>15</v>
      </c>
      <c r="AA116" s="531">
        <v>7</v>
      </c>
      <c r="AB116" s="532">
        <v>4</v>
      </c>
      <c r="AC116" s="537">
        <v>20</v>
      </c>
      <c r="AD116" s="531">
        <v>7</v>
      </c>
      <c r="AE116" s="532">
        <v>6</v>
      </c>
      <c r="AF116" s="537">
        <v>20</v>
      </c>
      <c r="AG116" s="531">
        <v>7</v>
      </c>
      <c r="AH116" s="532">
        <v>1</v>
      </c>
      <c r="AI116" s="537">
        <v>25</v>
      </c>
      <c r="AJ116" s="531">
        <v>0</v>
      </c>
      <c r="AK116" s="532">
        <v>0</v>
      </c>
      <c r="AL116" s="538">
        <v>10</v>
      </c>
      <c r="AM116" s="539"/>
      <c r="AN116" s="540"/>
      <c r="AO116" s="540"/>
      <c r="AP116" s="539"/>
      <c r="AQ116" s="539"/>
      <c r="AR116" s="539"/>
      <c r="AS116" s="539"/>
      <c r="AT116" s="539"/>
      <c r="AU116" s="539"/>
      <c r="AV116" s="539"/>
      <c r="AW116" s="539"/>
      <c r="AX116" s="539"/>
      <c r="AY116" s="539"/>
      <c r="AZ116" s="539"/>
      <c r="BA116" s="539"/>
      <c r="BB116" s="539"/>
      <c r="BC116" s="539"/>
      <c r="BD116" s="539"/>
      <c r="BE116" s="541"/>
      <c r="BF116" s="541"/>
      <c r="BG116" s="541"/>
      <c r="BH116" s="541"/>
      <c r="BI116" s="541"/>
      <c r="BJ116" s="541"/>
      <c r="BK116" s="541"/>
      <c r="BL116" s="541"/>
      <c r="BM116" s="541"/>
      <c r="BN116" s="541"/>
      <c r="BO116" s="541"/>
      <c r="BP116" s="541"/>
      <c r="BQ116" s="541"/>
      <c r="BR116" s="541"/>
      <c r="BS116" s="541"/>
      <c r="BT116" s="541"/>
    </row>
    <row r="117" spans="1:72" x14ac:dyDescent="0.25">
      <c r="A117" s="325" t="s">
        <v>315</v>
      </c>
      <c r="B117" s="331" t="s">
        <v>455</v>
      </c>
      <c r="C117" s="531">
        <v>28</v>
      </c>
      <c r="D117" s="532">
        <v>28</v>
      </c>
      <c r="E117" s="537">
        <v>40</v>
      </c>
      <c r="F117" s="531">
        <v>27</v>
      </c>
      <c r="G117" s="532">
        <v>24</v>
      </c>
      <c r="H117" s="537">
        <v>30</v>
      </c>
      <c r="I117" s="531">
        <v>27</v>
      </c>
      <c r="J117" s="532">
        <v>22</v>
      </c>
      <c r="K117" s="537">
        <v>40</v>
      </c>
      <c r="L117" s="531">
        <v>26</v>
      </c>
      <c r="M117" s="532">
        <v>22</v>
      </c>
      <c r="N117" s="537">
        <v>30</v>
      </c>
      <c r="O117" s="531">
        <v>27</v>
      </c>
      <c r="P117" s="532">
        <v>25</v>
      </c>
      <c r="Q117" s="537">
        <v>30</v>
      </c>
      <c r="R117" s="531">
        <v>27</v>
      </c>
      <c r="S117" s="532">
        <v>22</v>
      </c>
      <c r="T117" s="537">
        <v>35</v>
      </c>
      <c r="U117" s="531">
        <v>24</v>
      </c>
      <c r="V117" s="532">
        <v>22</v>
      </c>
      <c r="W117" s="537">
        <v>35</v>
      </c>
      <c r="X117" s="531">
        <v>26</v>
      </c>
      <c r="Y117" s="532">
        <v>25</v>
      </c>
      <c r="Z117" s="537">
        <v>35</v>
      </c>
      <c r="AA117" s="531">
        <v>26</v>
      </c>
      <c r="AB117" s="532">
        <v>23</v>
      </c>
      <c r="AC117" s="537">
        <v>35</v>
      </c>
      <c r="AD117" s="531">
        <v>26</v>
      </c>
      <c r="AE117" s="532">
        <v>26</v>
      </c>
      <c r="AF117" s="537">
        <v>40</v>
      </c>
      <c r="AG117" s="531">
        <v>27</v>
      </c>
      <c r="AH117" s="532">
        <v>25</v>
      </c>
      <c r="AI117" s="537">
        <v>35</v>
      </c>
      <c r="AJ117" s="531">
        <v>0</v>
      </c>
      <c r="AK117" s="532">
        <v>0</v>
      </c>
      <c r="AL117" s="538">
        <v>15</v>
      </c>
      <c r="AM117" s="539"/>
      <c r="AN117" s="540"/>
      <c r="AO117" s="540"/>
      <c r="AP117" s="539"/>
      <c r="AQ117" s="539"/>
      <c r="AR117" s="539"/>
      <c r="AS117" s="539"/>
      <c r="AT117" s="539"/>
      <c r="AU117" s="539"/>
      <c r="AV117" s="539"/>
      <c r="AW117" s="539"/>
      <c r="AX117" s="539"/>
      <c r="AY117" s="539"/>
      <c r="AZ117" s="539"/>
      <c r="BA117" s="539"/>
      <c r="BB117" s="539"/>
      <c r="BC117" s="539"/>
      <c r="BD117" s="539"/>
      <c r="BE117" s="541"/>
      <c r="BF117" s="541"/>
      <c r="BG117" s="541"/>
      <c r="BH117" s="541"/>
      <c r="BI117" s="541"/>
      <c r="BJ117" s="541"/>
      <c r="BK117" s="541"/>
      <c r="BL117" s="541"/>
      <c r="BM117" s="541"/>
      <c r="BN117" s="541"/>
      <c r="BO117" s="541"/>
      <c r="BP117" s="541"/>
      <c r="BQ117" s="541"/>
      <c r="BR117" s="541"/>
      <c r="BS117" s="541"/>
      <c r="BT117" s="541"/>
    </row>
    <row r="118" spans="1:72" x14ac:dyDescent="0.25">
      <c r="A118" s="325" t="s">
        <v>420</v>
      </c>
      <c r="B118" s="331" t="s">
        <v>559</v>
      </c>
      <c r="C118" s="531">
        <v>11</v>
      </c>
      <c r="D118" s="532">
        <v>11</v>
      </c>
      <c r="E118" s="537">
        <v>15</v>
      </c>
      <c r="F118" s="531">
        <v>11</v>
      </c>
      <c r="G118" s="532">
        <v>9</v>
      </c>
      <c r="H118" s="537">
        <v>15</v>
      </c>
      <c r="I118" s="531">
        <v>11</v>
      </c>
      <c r="J118" s="532">
        <v>11</v>
      </c>
      <c r="K118" s="537">
        <v>20</v>
      </c>
      <c r="L118" s="531">
        <v>11</v>
      </c>
      <c r="M118" s="532">
        <v>10</v>
      </c>
      <c r="N118" s="537">
        <v>15</v>
      </c>
      <c r="O118" s="531">
        <v>11</v>
      </c>
      <c r="P118" s="532">
        <v>9</v>
      </c>
      <c r="Q118" s="537">
        <v>15</v>
      </c>
      <c r="R118" s="531">
        <v>11</v>
      </c>
      <c r="S118" s="532">
        <v>10</v>
      </c>
      <c r="T118" s="537">
        <v>25</v>
      </c>
      <c r="U118" s="531">
        <v>11</v>
      </c>
      <c r="V118" s="532">
        <v>10</v>
      </c>
      <c r="W118" s="537">
        <v>30</v>
      </c>
      <c r="X118" s="531">
        <v>11</v>
      </c>
      <c r="Y118" s="532">
        <v>10</v>
      </c>
      <c r="Z118" s="537">
        <v>15</v>
      </c>
      <c r="AA118" s="531">
        <v>11</v>
      </c>
      <c r="AB118" s="532">
        <v>11</v>
      </c>
      <c r="AC118" s="537">
        <v>20</v>
      </c>
      <c r="AD118" s="531">
        <v>11</v>
      </c>
      <c r="AE118" s="532">
        <v>7</v>
      </c>
      <c r="AF118" s="537">
        <v>30</v>
      </c>
      <c r="AG118" s="531">
        <v>11</v>
      </c>
      <c r="AH118" s="532">
        <v>9</v>
      </c>
      <c r="AI118" s="537">
        <v>10</v>
      </c>
      <c r="AJ118" s="531">
        <v>0</v>
      </c>
      <c r="AK118" s="532">
        <v>0</v>
      </c>
      <c r="AL118" s="538" t="s">
        <v>636</v>
      </c>
      <c r="AM118" s="539"/>
      <c r="AN118" s="540"/>
      <c r="AO118" s="540"/>
      <c r="AP118" s="539"/>
      <c r="AQ118" s="539"/>
      <c r="AR118" s="539"/>
      <c r="AS118" s="539"/>
      <c r="AT118" s="539"/>
      <c r="AU118" s="539"/>
      <c r="AV118" s="539"/>
      <c r="AW118" s="539"/>
      <c r="AX118" s="539"/>
      <c r="AY118" s="539"/>
      <c r="AZ118" s="539"/>
      <c r="BA118" s="539"/>
      <c r="BB118" s="539"/>
      <c r="BC118" s="539"/>
      <c r="BD118" s="539"/>
      <c r="BE118" s="541"/>
      <c r="BF118" s="541"/>
      <c r="BG118" s="541"/>
      <c r="BH118" s="541"/>
      <c r="BI118" s="541"/>
      <c r="BJ118" s="541"/>
      <c r="BK118" s="541"/>
      <c r="BL118" s="541"/>
      <c r="BM118" s="541"/>
      <c r="BN118" s="541"/>
      <c r="BO118" s="541"/>
      <c r="BP118" s="541"/>
      <c r="BQ118" s="541"/>
      <c r="BR118" s="541"/>
      <c r="BS118" s="541"/>
      <c r="BT118" s="541"/>
    </row>
    <row r="119" spans="1:72" x14ac:dyDescent="0.25">
      <c r="A119" s="325" t="s">
        <v>303</v>
      </c>
      <c r="B119" s="331" t="s">
        <v>629</v>
      </c>
      <c r="C119" s="531">
        <v>0</v>
      </c>
      <c r="D119" s="532">
        <v>0</v>
      </c>
      <c r="E119" s="537" t="s">
        <v>636</v>
      </c>
      <c r="F119" s="531">
        <v>0</v>
      </c>
      <c r="G119" s="532">
        <v>0</v>
      </c>
      <c r="H119" s="537" t="s">
        <v>636</v>
      </c>
      <c r="I119" s="531">
        <v>0</v>
      </c>
      <c r="J119" s="532">
        <v>0</v>
      </c>
      <c r="K119" s="537" t="s">
        <v>636</v>
      </c>
      <c r="L119" s="531">
        <v>0</v>
      </c>
      <c r="M119" s="532">
        <v>0</v>
      </c>
      <c r="N119" s="537" t="s">
        <v>636</v>
      </c>
      <c r="O119" s="531">
        <v>0</v>
      </c>
      <c r="P119" s="532">
        <v>0</v>
      </c>
      <c r="Q119" s="537">
        <v>0</v>
      </c>
      <c r="R119" s="531">
        <v>0</v>
      </c>
      <c r="S119" s="532">
        <v>0</v>
      </c>
      <c r="T119" s="537" t="s">
        <v>636</v>
      </c>
      <c r="U119" s="531">
        <v>0</v>
      </c>
      <c r="V119" s="532">
        <v>0</v>
      </c>
      <c r="W119" s="537" t="s">
        <v>636</v>
      </c>
      <c r="X119" s="531">
        <v>0</v>
      </c>
      <c r="Y119" s="532">
        <v>0</v>
      </c>
      <c r="Z119" s="537" t="s">
        <v>636</v>
      </c>
      <c r="AA119" s="531">
        <v>0</v>
      </c>
      <c r="AB119" s="532">
        <v>0</v>
      </c>
      <c r="AC119" s="537">
        <v>0</v>
      </c>
      <c r="AD119" s="531">
        <v>0</v>
      </c>
      <c r="AE119" s="532">
        <v>0</v>
      </c>
      <c r="AF119" s="537">
        <v>0</v>
      </c>
      <c r="AG119" s="531">
        <v>0</v>
      </c>
      <c r="AH119" s="532">
        <v>0</v>
      </c>
      <c r="AI119" s="537" t="s">
        <v>636</v>
      </c>
      <c r="AJ119" s="531">
        <v>0</v>
      </c>
      <c r="AK119" s="532">
        <v>0</v>
      </c>
      <c r="AL119" s="538">
        <v>0</v>
      </c>
      <c r="AM119" s="539"/>
      <c r="AN119" s="540"/>
      <c r="AO119" s="540"/>
      <c r="AP119" s="539"/>
      <c r="AQ119" s="539"/>
      <c r="AR119" s="539"/>
      <c r="AS119" s="539"/>
      <c r="AT119" s="539"/>
      <c r="AU119" s="539"/>
      <c r="AV119" s="539"/>
      <c r="AW119" s="539"/>
      <c r="AX119" s="539"/>
      <c r="AY119" s="539"/>
      <c r="AZ119" s="539"/>
      <c r="BA119" s="539"/>
      <c r="BB119" s="539"/>
      <c r="BC119" s="539"/>
      <c r="BD119" s="539"/>
      <c r="BE119" s="541"/>
      <c r="BF119" s="541"/>
      <c r="BG119" s="541"/>
      <c r="BH119" s="541"/>
      <c r="BI119" s="541"/>
      <c r="BJ119" s="541"/>
      <c r="BK119" s="541"/>
      <c r="BL119" s="541"/>
      <c r="BM119" s="541"/>
      <c r="BN119" s="541"/>
      <c r="BO119" s="541"/>
      <c r="BP119" s="541"/>
      <c r="BQ119" s="541"/>
      <c r="BR119" s="541"/>
      <c r="BS119" s="541"/>
      <c r="BT119" s="541"/>
    </row>
    <row r="120" spans="1:72" x14ac:dyDescent="0.25">
      <c r="A120" s="325" t="s">
        <v>363</v>
      </c>
      <c r="B120" s="331" t="s">
        <v>503</v>
      </c>
      <c r="C120" s="531">
        <v>60</v>
      </c>
      <c r="D120" s="532">
        <v>56</v>
      </c>
      <c r="E120" s="537">
        <v>135</v>
      </c>
      <c r="F120" s="531">
        <v>60</v>
      </c>
      <c r="G120" s="532">
        <v>56</v>
      </c>
      <c r="H120" s="537">
        <v>135</v>
      </c>
      <c r="I120" s="531">
        <v>60</v>
      </c>
      <c r="J120" s="532">
        <v>57</v>
      </c>
      <c r="K120" s="537">
        <v>145</v>
      </c>
      <c r="L120" s="531">
        <v>51</v>
      </c>
      <c r="M120" s="532">
        <v>44</v>
      </c>
      <c r="N120" s="537">
        <v>135</v>
      </c>
      <c r="O120" s="531">
        <v>56</v>
      </c>
      <c r="P120" s="532">
        <v>45</v>
      </c>
      <c r="Q120" s="537">
        <v>145</v>
      </c>
      <c r="R120" s="531">
        <v>60</v>
      </c>
      <c r="S120" s="532">
        <v>48</v>
      </c>
      <c r="T120" s="537">
        <v>125</v>
      </c>
      <c r="U120" s="531">
        <v>60</v>
      </c>
      <c r="V120" s="532">
        <v>51</v>
      </c>
      <c r="W120" s="537">
        <v>135</v>
      </c>
      <c r="X120" s="531">
        <v>60</v>
      </c>
      <c r="Y120" s="532">
        <v>54</v>
      </c>
      <c r="Z120" s="537">
        <v>125</v>
      </c>
      <c r="AA120" s="531">
        <v>60</v>
      </c>
      <c r="AB120" s="532">
        <v>55</v>
      </c>
      <c r="AC120" s="537">
        <v>105</v>
      </c>
      <c r="AD120" s="531">
        <v>60</v>
      </c>
      <c r="AE120" s="532">
        <v>58</v>
      </c>
      <c r="AF120" s="537">
        <v>130</v>
      </c>
      <c r="AG120" s="531">
        <v>60</v>
      </c>
      <c r="AH120" s="532">
        <v>55</v>
      </c>
      <c r="AI120" s="537">
        <v>110</v>
      </c>
      <c r="AJ120" s="531">
        <v>0</v>
      </c>
      <c r="AK120" s="532">
        <v>0</v>
      </c>
      <c r="AL120" s="538">
        <v>45</v>
      </c>
      <c r="AM120" s="539"/>
      <c r="AN120" s="540"/>
      <c r="AO120" s="540"/>
      <c r="AP120" s="539"/>
      <c r="AQ120" s="539"/>
      <c r="AR120" s="539"/>
      <c r="AS120" s="539"/>
      <c r="AT120" s="539"/>
      <c r="AU120" s="539"/>
      <c r="AV120" s="539"/>
      <c r="AW120" s="539"/>
      <c r="AX120" s="539"/>
      <c r="AY120" s="539"/>
      <c r="AZ120" s="539"/>
      <c r="BA120" s="539"/>
      <c r="BB120" s="539"/>
      <c r="BC120" s="539"/>
      <c r="BD120" s="539"/>
      <c r="BE120" s="541"/>
      <c r="BF120" s="541"/>
      <c r="BG120" s="541"/>
      <c r="BH120" s="541"/>
      <c r="BI120" s="541"/>
      <c r="BJ120" s="541"/>
      <c r="BK120" s="541"/>
      <c r="BL120" s="541"/>
      <c r="BM120" s="541"/>
      <c r="BN120" s="541"/>
      <c r="BO120" s="541"/>
      <c r="BP120" s="541"/>
      <c r="BQ120" s="541"/>
      <c r="BR120" s="541"/>
      <c r="BS120" s="541"/>
      <c r="BT120" s="541"/>
    </row>
    <row r="121" spans="1:72" x14ac:dyDescent="0.25">
      <c r="A121" s="325" t="s">
        <v>325</v>
      </c>
      <c r="B121" s="331" t="s">
        <v>465</v>
      </c>
      <c r="C121" s="531">
        <v>14</v>
      </c>
      <c r="D121" s="532">
        <v>14</v>
      </c>
      <c r="E121" s="537">
        <v>20</v>
      </c>
      <c r="F121" s="531">
        <v>14</v>
      </c>
      <c r="G121" s="532">
        <v>12</v>
      </c>
      <c r="H121" s="537">
        <v>25</v>
      </c>
      <c r="I121" s="531">
        <v>11</v>
      </c>
      <c r="J121" s="532">
        <v>10</v>
      </c>
      <c r="K121" s="537">
        <v>20</v>
      </c>
      <c r="L121" s="531">
        <v>14</v>
      </c>
      <c r="M121" s="532">
        <v>8</v>
      </c>
      <c r="N121" s="537">
        <v>20</v>
      </c>
      <c r="O121" s="531">
        <v>14</v>
      </c>
      <c r="P121" s="532">
        <v>11</v>
      </c>
      <c r="Q121" s="537">
        <v>20</v>
      </c>
      <c r="R121" s="531">
        <v>13</v>
      </c>
      <c r="S121" s="532">
        <v>13</v>
      </c>
      <c r="T121" s="537">
        <v>20</v>
      </c>
      <c r="U121" s="531">
        <v>14</v>
      </c>
      <c r="V121" s="532">
        <v>12</v>
      </c>
      <c r="W121" s="537">
        <v>25</v>
      </c>
      <c r="X121" s="531">
        <v>12</v>
      </c>
      <c r="Y121" s="532">
        <v>10</v>
      </c>
      <c r="Z121" s="537">
        <v>25</v>
      </c>
      <c r="AA121" s="531">
        <v>14</v>
      </c>
      <c r="AB121" s="532">
        <v>14</v>
      </c>
      <c r="AC121" s="537">
        <v>25</v>
      </c>
      <c r="AD121" s="531">
        <v>14</v>
      </c>
      <c r="AE121" s="532">
        <v>13</v>
      </c>
      <c r="AF121" s="537">
        <v>20</v>
      </c>
      <c r="AG121" s="531">
        <v>14</v>
      </c>
      <c r="AH121" s="532">
        <v>12</v>
      </c>
      <c r="AI121" s="537">
        <v>25</v>
      </c>
      <c r="AJ121" s="531">
        <v>0</v>
      </c>
      <c r="AK121" s="532">
        <v>0</v>
      </c>
      <c r="AL121" s="538">
        <v>10</v>
      </c>
      <c r="AM121" s="539"/>
      <c r="AN121" s="540"/>
      <c r="AO121" s="540"/>
      <c r="AP121" s="539"/>
      <c r="AQ121" s="539"/>
      <c r="AR121" s="539"/>
      <c r="AS121" s="539"/>
      <c r="AT121" s="539"/>
      <c r="AU121" s="539"/>
      <c r="AV121" s="539"/>
      <c r="AW121" s="539"/>
      <c r="AX121" s="539"/>
      <c r="AY121" s="539"/>
      <c r="AZ121" s="539"/>
      <c r="BA121" s="539"/>
      <c r="BB121" s="539"/>
      <c r="BC121" s="539"/>
      <c r="BD121" s="539"/>
      <c r="BE121" s="541"/>
      <c r="BF121" s="541"/>
      <c r="BG121" s="541"/>
      <c r="BH121" s="541"/>
      <c r="BI121" s="541"/>
      <c r="BJ121" s="541"/>
      <c r="BK121" s="541"/>
      <c r="BL121" s="541"/>
      <c r="BM121" s="541"/>
      <c r="BN121" s="541"/>
      <c r="BO121" s="541"/>
      <c r="BP121" s="541"/>
      <c r="BQ121" s="541"/>
      <c r="BR121" s="541"/>
      <c r="BS121" s="541"/>
      <c r="BT121" s="541"/>
    </row>
    <row r="122" spans="1:72" x14ac:dyDescent="0.25">
      <c r="A122" s="325" t="s">
        <v>428</v>
      </c>
      <c r="B122" s="331" t="s">
        <v>567</v>
      </c>
      <c r="C122" s="531">
        <v>13</v>
      </c>
      <c r="D122" s="532">
        <v>11</v>
      </c>
      <c r="E122" s="537">
        <v>25</v>
      </c>
      <c r="F122" s="531">
        <v>13</v>
      </c>
      <c r="G122" s="532">
        <v>9</v>
      </c>
      <c r="H122" s="537">
        <v>25</v>
      </c>
      <c r="I122" s="531">
        <v>13</v>
      </c>
      <c r="J122" s="532">
        <v>11</v>
      </c>
      <c r="K122" s="537">
        <v>25</v>
      </c>
      <c r="L122" s="531">
        <v>13</v>
      </c>
      <c r="M122" s="532">
        <v>9</v>
      </c>
      <c r="N122" s="537">
        <v>25</v>
      </c>
      <c r="O122" s="531">
        <v>13</v>
      </c>
      <c r="P122" s="532">
        <v>9</v>
      </c>
      <c r="Q122" s="537">
        <v>30</v>
      </c>
      <c r="R122" s="531">
        <v>13</v>
      </c>
      <c r="S122" s="532">
        <v>10</v>
      </c>
      <c r="T122" s="537">
        <v>20</v>
      </c>
      <c r="U122" s="531">
        <v>13</v>
      </c>
      <c r="V122" s="532">
        <v>10</v>
      </c>
      <c r="W122" s="537">
        <v>20</v>
      </c>
      <c r="X122" s="531">
        <v>13</v>
      </c>
      <c r="Y122" s="532">
        <v>13</v>
      </c>
      <c r="Z122" s="537">
        <v>20</v>
      </c>
      <c r="AA122" s="531">
        <v>13</v>
      </c>
      <c r="AB122" s="532">
        <v>6</v>
      </c>
      <c r="AC122" s="537">
        <v>20</v>
      </c>
      <c r="AD122" s="531">
        <v>13</v>
      </c>
      <c r="AE122" s="532">
        <v>12</v>
      </c>
      <c r="AF122" s="537">
        <v>30</v>
      </c>
      <c r="AG122" s="531">
        <v>13</v>
      </c>
      <c r="AH122" s="532">
        <v>11</v>
      </c>
      <c r="AI122" s="537">
        <v>25</v>
      </c>
      <c r="AJ122" s="531">
        <v>0</v>
      </c>
      <c r="AK122" s="532">
        <v>0</v>
      </c>
      <c r="AL122" s="538">
        <v>20</v>
      </c>
      <c r="AM122" s="539"/>
      <c r="AN122" s="540"/>
      <c r="AO122" s="540"/>
      <c r="AP122" s="539"/>
      <c r="AQ122" s="539"/>
      <c r="AR122" s="539"/>
      <c r="AS122" s="539"/>
      <c r="AT122" s="539"/>
      <c r="AU122" s="539"/>
      <c r="AV122" s="539"/>
      <c r="AW122" s="539"/>
      <c r="AX122" s="539"/>
      <c r="AY122" s="539"/>
      <c r="AZ122" s="539"/>
      <c r="BA122" s="539"/>
      <c r="BB122" s="539"/>
      <c r="BC122" s="539"/>
      <c r="BD122" s="539"/>
      <c r="BE122" s="541"/>
      <c r="BF122" s="541"/>
      <c r="BG122" s="541"/>
      <c r="BH122" s="541"/>
      <c r="BI122" s="541"/>
      <c r="BJ122" s="541"/>
      <c r="BK122" s="541"/>
      <c r="BL122" s="541"/>
      <c r="BM122" s="541"/>
      <c r="BN122" s="541"/>
      <c r="BO122" s="541"/>
      <c r="BP122" s="541"/>
      <c r="BQ122" s="541"/>
      <c r="BR122" s="541"/>
      <c r="BS122" s="541"/>
      <c r="BT122" s="541"/>
    </row>
    <row r="123" spans="1:72" x14ac:dyDescent="0.25">
      <c r="A123" s="325" t="s">
        <v>413</v>
      </c>
      <c r="B123" s="331" t="s">
        <v>552</v>
      </c>
      <c r="C123" s="531">
        <v>16</v>
      </c>
      <c r="D123" s="532">
        <v>14</v>
      </c>
      <c r="E123" s="537">
        <v>25</v>
      </c>
      <c r="F123" s="531">
        <v>16</v>
      </c>
      <c r="G123" s="532">
        <v>16</v>
      </c>
      <c r="H123" s="537">
        <v>10</v>
      </c>
      <c r="I123" s="531">
        <v>16</v>
      </c>
      <c r="J123" s="532">
        <v>15</v>
      </c>
      <c r="K123" s="537">
        <v>15</v>
      </c>
      <c r="L123" s="531">
        <v>16</v>
      </c>
      <c r="M123" s="532">
        <v>14</v>
      </c>
      <c r="N123" s="537">
        <v>15</v>
      </c>
      <c r="O123" s="531">
        <v>16</v>
      </c>
      <c r="P123" s="532">
        <v>15</v>
      </c>
      <c r="Q123" s="537">
        <v>15</v>
      </c>
      <c r="R123" s="531">
        <v>16</v>
      </c>
      <c r="S123" s="532">
        <v>14</v>
      </c>
      <c r="T123" s="537">
        <v>25</v>
      </c>
      <c r="U123" s="531">
        <v>16</v>
      </c>
      <c r="V123" s="532">
        <v>15</v>
      </c>
      <c r="W123" s="537">
        <v>30</v>
      </c>
      <c r="X123" s="531">
        <v>16</v>
      </c>
      <c r="Y123" s="532">
        <v>15</v>
      </c>
      <c r="Z123" s="537">
        <v>30</v>
      </c>
      <c r="AA123" s="531">
        <v>16</v>
      </c>
      <c r="AB123" s="532">
        <v>12</v>
      </c>
      <c r="AC123" s="537">
        <v>30</v>
      </c>
      <c r="AD123" s="531">
        <v>16</v>
      </c>
      <c r="AE123" s="532">
        <v>14</v>
      </c>
      <c r="AF123" s="537">
        <v>35</v>
      </c>
      <c r="AG123" s="531">
        <v>16</v>
      </c>
      <c r="AH123" s="532">
        <v>15</v>
      </c>
      <c r="AI123" s="537">
        <v>30</v>
      </c>
      <c r="AJ123" s="531">
        <v>0</v>
      </c>
      <c r="AK123" s="532">
        <v>0</v>
      </c>
      <c r="AL123" s="538">
        <v>10</v>
      </c>
      <c r="AM123" s="539"/>
      <c r="AN123" s="540"/>
      <c r="AO123" s="540"/>
      <c r="AP123" s="539"/>
      <c r="AQ123" s="539"/>
      <c r="AR123" s="539"/>
      <c r="AS123" s="539"/>
      <c r="AT123" s="539"/>
      <c r="AU123" s="539"/>
      <c r="AV123" s="539"/>
      <c r="AW123" s="539"/>
      <c r="AX123" s="539"/>
      <c r="AY123" s="539"/>
      <c r="AZ123" s="539"/>
      <c r="BA123" s="539"/>
      <c r="BB123" s="539"/>
      <c r="BC123" s="539"/>
      <c r="BD123" s="539"/>
      <c r="BE123" s="541"/>
      <c r="BF123" s="541"/>
      <c r="BG123" s="541"/>
      <c r="BH123" s="541"/>
      <c r="BI123" s="541"/>
      <c r="BJ123" s="541"/>
      <c r="BK123" s="541"/>
      <c r="BL123" s="541"/>
      <c r="BM123" s="541"/>
      <c r="BN123" s="541"/>
      <c r="BO123" s="541"/>
      <c r="BP123" s="541"/>
      <c r="BQ123" s="541"/>
      <c r="BR123" s="541"/>
      <c r="BS123" s="541"/>
      <c r="BT123" s="541"/>
    </row>
    <row r="124" spans="1:72" x14ac:dyDescent="0.25">
      <c r="A124" s="325" t="s">
        <v>302</v>
      </c>
      <c r="B124" s="331" t="s">
        <v>632</v>
      </c>
      <c r="C124" s="531">
        <v>0</v>
      </c>
      <c r="D124" s="532">
        <v>0</v>
      </c>
      <c r="E124" s="537">
        <v>0</v>
      </c>
      <c r="F124" s="531">
        <v>0</v>
      </c>
      <c r="G124" s="532">
        <v>0</v>
      </c>
      <c r="H124" s="537" t="s">
        <v>636</v>
      </c>
      <c r="I124" s="531">
        <v>0</v>
      </c>
      <c r="J124" s="532">
        <v>0</v>
      </c>
      <c r="K124" s="537">
        <v>0</v>
      </c>
      <c r="L124" s="531">
        <v>0</v>
      </c>
      <c r="M124" s="532">
        <v>0</v>
      </c>
      <c r="N124" s="537">
        <v>0</v>
      </c>
      <c r="O124" s="531">
        <v>0</v>
      </c>
      <c r="P124" s="532">
        <v>0</v>
      </c>
      <c r="Q124" s="537">
        <v>0</v>
      </c>
      <c r="R124" s="531">
        <v>0</v>
      </c>
      <c r="S124" s="532">
        <v>0</v>
      </c>
      <c r="T124" s="537">
        <v>0</v>
      </c>
      <c r="U124" s="531">
        <v>0</v>
      </c>
      <c r="V124" s="532">
        <v>0</v>
      </c>
      <c r="W124" s="537">
        <v>0</v>
      </c>
      <c r="X124" s="531">
        <v>0</v>
      </c>
      <c r="Y124" s="532">
        <v>0</v>
      </c>
      <c r="Z124" s="537">
        <v>0</v>
      </c>
      <c r="AA124" s="531">
        <v>0</v>
      </c>
      <c r="AB124" s="532">
        <v>0</v>
      </c>
      <c r="AC124" s="537">
        <v>0</v>
      </c>
      <c r="AD124" s="531">
        <v>0</v>
      </c>
      <c r="AE124" s="532">
        <v>0</v>
      </c>
      <c r="AF124" s="537">
        <v>0</v>
      </c>
      <c r="AG124" s="531">
        <v>0</v>
      </c>
      <c r="AH124" s="532">
        <v>0</v>
      </c>
      <c r="AI124" s="537">
        <v>0</v>
      </c>
      <c r="AJ124" s="531">
        <v>0</v>
      </c>
      <c r="AK124" s="532">
        <v>0</v>
      </c>
      <c r="AL124" s="538">
        <v>0</v>
      </c>
      <c r="AM124" s="539"/>
      <c r="AN124" s="540"/>
      <c r="AO124" s="540"/>
      <c r="AP124" s="539"/>
      <c r="AQ124" s="539"/>
      <c r="AR124" s="539"/>
      <c r="AS124" s="539"/>
      <c r="AT124" s="539"/>
      <c r="AU124" s="539"/>
      <c r="AV124" s="539"/>
      <c r="AW124" s="539"/>
      <c r="AX124" s="539"/>
      <c r="AY124" s="539"/>
      <c r="AZ124" s="539"/>
      <c r="BA124" s="539"/>
      <c r="BB124" s="539"/>
      <c r="BC124" s="539"/>
      <c r="BD124" s="539"/>
      <c r="BE124" s="541"/>
      <c r="BF124" s="541"/>
      <c r="BG124" s="541"/>
      <c r="BH124" s="541"/>
      <c r="BI124" s="541"/>
      <c r="BJ124" s="541"/>
      <c r="BK124" s="541"/>
      <c r="BL124" s="541"/>
      <c r="BM124" s="541"/>
      <c r="BN124" s="541"/>
      <c r="BO124" s="541"/>
      <c r="BP124" s="541"/>
      <c r="BQ124" s="541"/>
      <c r="BR124" s="541"/>
      <c r="BS124" s="541"/>
      <c r="BT124" s="541"/>
    </row>
    <row r="125" spans="1:72" x14ac:dyDescent="0.25">
      <c r="A125" s="325" t="s">
        <v>381</v>
      </c>
      <c r="B125" s="331" t="s">
        <v>521</v>
      </c>
      <c r="C125" s="531">
        <v>9</v>
      </c>
      <c r="D125" s="532">
        <v>8</v>
      </c>
      <c r="E125" s="537">
        <v>20</v>
      </c>
      <c r="F125" s="531">
        <v>9</v>
      </c>
      <c r="G125" s="532">
        <v>9</v>
      </c>
      <c r="H125" s="537">
        <v>30</v>
      </c>
      <c r="I125" s="531">
        <v>9</v>
      </c>
      <c r="J125" s="532">
        <v>5</v>
      </c>
      <c r="K125" s="537">
        <v>25</v>
      </c>
      <c r="L125" s="531">
        <v>9</v>
      </c>
      <c r="M125" s="532">
        <v>6</v>
      </c>
      <c r="N125" s="537">
        <v>25</v>
      </c>
      <c r="O125" s="531">
        <v>9</v>
      </c>
      <c r="P125" s="532">
        <v>6</v>
      </c>
      <c r="Q125" s="537">
        <v>20</v>
      </c>
      <c r="R125" s="531">
        <v>9</v>
      </c>
      <c r="S125" s="532">
        <v>9</v>
      </c>
      <c r="T125" s="537">
        <v>20</v>
      </c>
      <c r="U125" s="531">
        <v>9</v>
      </c>
      <c r="V125" s="532">
        <v>9</v>
      </c>
      <c r="W125" s="537">
        <v>20</v>
      </c>
      <c r="X125" s="531">
        <v>9</v>
      </c>
      <c r="Y125" s="532">
        <v>8</v>
      </c>
      <c r="Z125" s="537">
        <v>35</v>
      </c>
      <c r="AA125" s="531">
        <v>9</v>
      </c>
      <c r="AB125" s="532">
        <v>5</v>
      </c>
      <c r="AC125" s="537">
        <v>20</v>
      </c>
      <c r="AD125" s="531">
        <v>9</v>
      </c>
      <c r="AE125" s="532">
        <v>6</v>
      </c>
      <c r="AF125" s="537">
        <v>25</v>
      </c>
      <c r="AG125" s="531">
        <v>9</v>
      </c>
      <c r="AH125" s="532">
        <v>9</v>
      </c>
      <c r="AI125" s="537">
        <v>10</v>
      </c>
      <c r="AJ125" s="531">
        <v>0</v>
      </c>
      <c r="AK125" s="532">
        <v>0</v>
      </c>
      <c r="AL125" s="538">
        <v>0</v>
      </c>
      <c r="AM125" s="539"/>
      <c r="AN125" s="540"/>
      <c r="AO125" s="540"/>
      <c r="AP125" s="539"/>
      <c r="AQ125" s="539"/>
      <c r="AR125" s="539"/>
      <c r="AS125" s="539"/>
      <c r="AT125" s="539"/>
      <c r="AU125" s="539"/>
      <c r="AV125" s="539"/>
      <c r="AW125" s="539"/>
      <c r="AX125" s="539"/>
      <c r="AY125" s="539"/>
      <c r="AZ125" s="539"/>
      <c r="BA125" s="539"/>
      <c r="BB125" s="539"/>
      <c r="BC125" s="539"/>
      <c r="BD125" s="539"/>
      <c r="BE125" s="541"/>
      <c r="BF125" s="541"/>
      <c r="BG125" s="541"/>
      <c r="BH125" s="541"/>
      <c r="BI125" s="541"/>
      <c r="BJ125" s="541"/>
      <c r="BK125" s="541"/>
      <c r="BL125" s="541"/>
      <c r="BM125" s="541"/>
      <c r="BN125" s="541"/>
      <c r="BO125" s="541"/>
      <c r="BP125" s="541"/>
      <c r="BQ125" s="541"/>
      <c r="BR125" s="541"/>
      <c r="BS125" s="541"/>
      <c r="BT125" s="541"/>
    </row>
    <row r="126" spans="1:72" x14ac:dyDescent="0.25">
      <c r="A126" s="325" t="s">
        <v>321</v>
      </c>
      <c r="B126" s="331" t="s">
        <v>461</v>
      </c>
      <c r="C126" s="531">
        <v>14</v>
      </c>
      <c r="D126" s="532">
        <v>9</v>
      </c>
      <c r="E126" s="537">
        <v>35</v>
      </c>
      <c r="F126" s="531">
        <v>14</v>
      </c>
      <c r="G126" s="532">
        <v>12</v>
      </c>
      <c r="H126" s="537">
        <v>30</v>
      </c>
      <c r="I126" s="531">
        <v>14</v>
      </c>
      <c r="J126" s="532">
        <v>13</v>
      </c>
      <c r="K126" s="537">
        <v>35</v>
      </c>
      <c r="L126" s="531">
        <v>14</v>
      </c>
      <c r="M126" s="532">
        <v>14</v>
      </c>
      <c r="N126" s="537">
        <v>35</v>
      </c>
      <c r="O126" s="531">
        <v>14</v>
      </c>
      <c r="P126" s="532">
        <v>8</v>
      </c>
      <c r="Q126" s="537">
        <v>30</v>
      </c>
      <c r="R126" s="531">
        <v>14</v>
      </c>
      <c r="S126" s="532">
        <v>11</v>
      </c>
      <c r="T126" s="537">
        <v>25</v>
      </c>
      <c r="U126" s="531">
        <v>14</v>
      </c>
      <c r="V126" s="532">
        <v>10</v>
      </c>
      <c r="W126" s="537">
        <v>25</v>
      </c>
      <c r="X126" s="531">
        <v>14</v>
      </c>
      <c r="Y126" s="532">
        <v>10</v>
      </c>
      <c r="Z126" s="537">
        <v>30</v>
      </c>
      <c r="AA126" s="531">
        <v>12</v>
      </c>
      <c r="AB126" s="532">
        <v>8</v>
      </c>
      <c r="AC126" s="537">
        <v>25</v>
      </c>
      <c r="AD126" s="531">
        <v>14</v>
      </c>
      <c r="AE126" s="532">
        <v>11</v>
      </c>
      <c r="AF126" s="537">
        <v>30</v>
      </c>
      <c r="AG126" s="531">
        <v>14</v>
      </c>
      <c r="AH126" s="532">
        <v>10</v>
      </c>
      <c r="AI126" s="537">
        <v>25</v>
      </c>
      <c r="AJ126" s="531">
        <v>0</v>
      </c>
      <c r="AK126" s="532">
        <v>0</v>
      </c>
      <c r="AL126" s="538">
        <v>10</v>
      </c>
      <c r="AM126" s="539"/>
      <c r="AN126" s="540"/>
      <c r="AO126" s="540"/>
      <c r="AP126" s="539"/>
      <c r="AQ126" s="539"/>
      <c r="AR126" s="539"/>
      <c r="AS126" s="539"/>
      <c r="AT126" s="539"/>
      <c r="AU126" s="539"/>
      <c r="AV126" s="539"/>
      <c r="AW126" s="539"/>
      <c r="AX126" s="539"/>
      <c r="AY126" s="539"/>
      <c r="AZ126" s="539"/>
      <c r="BA126" s="539"/>
      <c r="BB126" s="539"/>
      <c r="BC126" s="539"/>
      <c r="BD126" s="539"/>
      <c r="BE126" s="541"/>
      <c r="BF126" s="541"/>
      <c r="BG126" s="541"/>
      <c r="BH126" s="541"/>
      <c r="BI126" s="541"/>
      <c r="BJ126" s="541"/>
      <c r="BK126" s="541"/>
      <c r="BL126" s="541"/>
      <c r="BM126" s="541"/>
      <c r="BN126" s="541"/>
      <c r="BO126" s="541"/>
      <c r="BP126" s="541"/>
      <c r="BQ126" s="541"/>
      <c r="BR126" s="541"/>
      <c r="BS126" s="541"/>
      <c r="BT126" s="541"/>
    </row>
    <row r="127" spans="1:72" x14ac:dyDescent="0.25">
      <c r="A127" s="325" t="s">
        <v>328</v>
      </c>
      <c r="B127" s="331" t="s">
        <v>468</v>
      </c>
      <c r="C127" s="531">
        <v>6</v>
      </c>
      <c r="D127" s="532">
        <v>6</v>
      </c>
      <c r="E127" s="537">
        <v>10</v>
      </c>
      <c r="F127" s="531">
        <v>8</v>
      </c>
      <c r="G127" s="532">
        <v>5</v>
      </c>
      <c r="H127" s="537" t="s">
        <v>636</v>
      </c>
      <c r="I127" s="531">
        <v>8</v>
      </c>
      <c r="J127" s="532">
        <v>7</v>
      </c>
      <c r="K127" s="537">
        <v>10</v>
      </c>
      <c r="L127" s="531">
        <v>8</v>
      </c>
      <c r="M127" s="532">
        <v>3</v>
      </c>
      <c r="N127" s="537" t="s">
        <v>636</v>
      </c>
      <c r="O127" s="531">
        <v>6</v>
      </c>
      <c r="P127" s="532">
        <v>6</v>
      </c>
      <c r="Q127" s="537">
        <v>10</v>
      </c>
      <c r="R127" s="531">
        <v>6</v>
      </c>
      <c r="S127" s="532">
        <v>6</v>
      </c>
      <c r="T127" s="537">
        <v>10</v>
      </c>
      <c r="U127" s="531">
        <v>6</v>
      </c>
      <c r="V127" s="532">
        <v>5</v>
      </c>
      <c r="W127" s="537">
        <v>10</v>
      </c>
      <c r="X127" s="531">
        <v>6</v>
      </c>
      <c r="Y127" s="532">
        <v>5</v>
      </c>
      <c r="Z127" s="537">
        <v>10</v>
      </c>
      <c r="AA127" s="531">
        <v>6</v>
      </c>
      <c r="AB127" s="532">
        <v>4</v>
      </c>
      <c r="AC127" s="537" t="s">
        <v>636</v>
      </c>
      <c r="AD127" s="531">
        <v>6</v>
      </c>
      <c r="AE127" s="532">
        <v>5</v>
      </c>
      <c r="AF127" s="537" t="s">
        <v>636</v>
      </c>
      <c r="AG127" s="531">
        <v>6</v>
      </c>
      <c r="AH127" s="532">
        <v>5</v>
      </c>
      <c r="AI127" s="537">
        <v>10</v>
      </c>
      <c r="AJ127" s="531">
        <v>0</v>
      </c>
      <c r="AK127" s="532">
        <v>0</v>
      </c>
      <c r="AL127" s="538">
        <v>0</v>
      </c>
      <c r="AM127" s="539"/>
      <c r="AN127" s="540"/>
      <c r="AO127" s="540"/>
      <c r="AP127" s="539"/>
      <c r="AQ127" s="539"/>
      <c r="AR127" s="539"/>
      <c r="AS127" s="539"/>
      <c r="AT127" s="539"/>
      <c r="AU127" s="539"/>
      <c r="AV127" s="539"/>
      <c r="AW127" s="539"/>
      <c r="AX127" s="539"/>
      <c r="AY127" s="539"/>
      <c r="AZ127" s="539"/>
      <c r="BA127" s="539"/>
      <c r="BB127" s="539"/>
      <c r="BC127" s="539"/>
      <c r="BD127" s="539"/>
      <c r="BE127" s="541"/>
      <c r="BF127" s="541"/>
      <c r="BG127" s="541"/>
      <c r="BH127" s="541"/>
      <c r="BI127" s="541"/>
      <c r="BJ127" s="541"/>
      <c r="BK127" s="541"/>
      <c r="BL127" s="541"/>
      <c r="BM127" s="541"/>
      <c r="BN127" s="541"/>
      <c r="BO127" s="541"/>
      <c r="BP127" s="541"/>
      <c r="BQ127" s="541"/>
      <c r="BR127" s="541"/>
      <c r="BS127" s="541"/>
      <c r="BT127" s="541"/>
    </row>
    <row r="128" spans="1:72" x14ac:dyDescent="0.25">
      <c r="A128" s="325" t="s">
        <v>385</v>
      </c>
      <c r="B128" s="331" t="s">
        <v>525</v>
      </c>
      <c r="C128" s="531">
        <v>20</v>
      </c>
      <c r="D128" s="532">
        <v>17</v>
      </c>
      <c r="E128" s="537">
        <v>40</v>
      </c>
      <c r="F128" s="531">
        <v>20</v>
      </c>
      <c r="G128" s="532">
        <v>17</v>
      </c>
      <c r="H128" s="537">
        <v>40</v>
      </c>
      <c r="I128" s="531">
        <v>20</v>
      </c>
      <c r="J128" s="532">
        <v>19</v>
      </c>
      <c r="K128" s="537">
        <v>45</v>
      </c>
      <c r="L128" s="531">
        <v>20</v>
      </c>
      <c r="M128" s="532">
        <v>18</v>
      </c>
      <c r="N128" s="537">
        <v>40</v>
      </c>
      <c r="O128" s="531">
        <v>20</v>
      </c>
      <c r="P128" s="532">
        <v>20</v>
      </c>
      <c r="Q128" s="537">
        <v>45</v>
      </c>
      <c r="R128" s="531">
        <v>20</v>
      </c>
      <c r="S128" s="532">
        <v>20</v>
      </c>
      <c r="T128" s="537">
        <v>45</v>
      </c>
      <c r="U128" s="531">
        <v>20</v>
      </c>
      <c r="V128" s="532">
        <v>17</v>
      </c>
      <c r="W128" s="537">
        <v>35</v>
      </c>
      <c r="X128" s="531">
        <v>20</v>
      </c>
      <c r="Y128" s="532">
        <v>20</v>
      </c>
      <c r="Z128" s="537">
        <v>40</v>
      </c>
      <c r="AA128" s="531">
        <v>20</v>
      </c>
      <c r="AB128" s="532">
        <v>18</v>
      </c>
      <c r="AC128" s="537">
        <v>30</v>
      </c>
      <c r="AD128" s="531">
        <v>20</v>
      </c>
      <c r="AE128" s="532">
        <v>20</v>
      </c>
      <c r="AF128" s="537">
        <v>45</v>
      </c>
      <c r="AG128" s="531">
        <v>20</v>
      </c>
      <c r="AH128" s="532">
        <v>20</v>
      </c>
      <c r="AI128" s="537">
        <v>40</v>
      </c>
      <c r="AJ128" s="531">
        <v>0</v>
      </c>
      <c r="AK128" s="532">
        <v>0</v>
      </c>
      <c r="AL128" s="538">
        <v>10</v>
      </c>
      <c r="AM128" s="539"/>
      <c r="AN128" s="540"/>
      <c r="AO128" s="540"/>
      <c r="AP128" s="539"/>
      <c r="AQ128" s="539"/>
      <c r="AR128" s="539"/>
      <c r="AS128" s="539"/>
      <c r="AT128" s="539"/>
      <c r="AU128" s="539"/>
      <c r="AV128" s="539"/>
      <c r="AW128" s="539"/>
      <c r="AX128" s="539"/>
      <c r="AY128" s="539"/>
      <c r="AZ128" s="539"/>
      <c r="BA128" s="539"/>
      <c r="BB128" s="539"/>
      <c r="BC128" s="539"/>
      <c r="BD128" s="539"/>
      <c r="BE128" s="541"/>
      <c r="BF128" s="541"/>
      <c r="BG128" s="541"/>
      <c r="BH128" s="541"/>
      <c r="BI128" s="541"/>
      <c r="BJ128" s="541"/>
      <c r="BK128" s="541"/>
      <c r="BL128" s="541"/>
      <c r="BM128" s="541"/>
      <c r="BN128" s="541"/>
      <c r="BO128" s="541"/>
      <c r="BP128" s="541"/>
      <c r="BQ128" s="541"/>
      <c r="BR128" s="541"/>
      <c r="BS128" s="541"/>
      <c r="BT128" s="541"/>
    </row>
    <row r="129" spans="1:72" x14ac:dyDescent="0.25">
      <c r="A129" s="325" t="s">
        <v>319</v>
      </c>
      <c r="B129" s="331" t="s">
        <v>459</v>
      </c>
      <c r="C129" s="531">
        <v>9</v>
      </c>
      <c r="D129" s="532">
        <v>7</v>
      </c>
      <c r="E129" s="537">
        <v>35</v>
      </c>
      <c r="F129" s="531">
        <v>9</v>
      </c>
      <c r="G129" s="532">
        <v>8</v>
      </c>
      <c r="H129" s="537">
        <v>35</v>
      </c>
      <c r="I129" s="531">
        <v>9</v>
      </c>
      <c r="J129" s="532">
        <v>5</v>
      </c>
      <c r="K129" s="537">
        <v>35</v>
      </c>
      <c r="L129" s="531">
        <v>9</v>
      </c>
      <c r="M129" s="532">
        <v>7</v>
      </c>
      <c r="N129" s="537">
        <v>35</v>
      </c>
      <c r="O129" s="531">
        <v>9</v>
      </c>
      <c r="P129" s="532">
        <v>5</v>
      </c>
      <c r="Q129" s="537">
        <v>25</v>
      </c>
      <c r="R129" s="531">
        <v>9</v>
      </c>
      <c r="S129" s="532">
        <v>7</v>
      </c>
      <c r="T129" s="537">
        <v>40</v>
      </c>
      <c r="U129" s="531">
        <v>9</v>
      </c>
      <c r="V129" s="532">
        <v>6</v>
      </c>
      <c r="W129" s="537">
        <v>30</v>
      </c>
      <c r="X129" s="531">
        <v>9</v>
      </c>
      <c r="Y129" s="532">
        <v>7</v>
      </c>
      <c r="Z129" s="537">
        <v>30</v>
      </c>
      <c r="AA129" s="531">
        <v>9</v>
      </c>
      <c r="AB129" s="532">
        <v>7</v>
      </c>
      <c r="AC129" s="537">
        <v>35</v>
      </c>
      <c r="AD129" s="531">
        <v>9</v>
      </c>
      <c r="AE129" s="532">
        <v>8</v>
      </c>
      <c r="AF129" s="537">
        <v>35</v>
      </c>
      <c r="AG129" s="531">
        <v>9</v>
      </c>
      <c r="AH129" s="532">
        <v>6</v>
      </c>
      <c r="AI129" s="537">
        <v>30</v>
      </c>
      <c r="AJ129" s="531">
        <v>0</v>
      </c>
      <c r="AK129" s="532">
        <v>0</v>
      </c>
      <c r="AL129" s="538">
        <v>20</v>
      </c>
      <c r="AM129" s="539"/>
      <c r="AN129" s="540"/>
      <c r="AO129" s="540"/>
      <c r="AP129" s="539"/>
      <c r="AQ129" s="539"/>
      <c r="AR129" s="539"/>
      <c r="AS129" s="539"/>
      <c r="AT129" s="539"/>
      <c r="AU129" s="539"/>
      <c r="AV129" s="539"/>
      <c r="AW129" s="539"/>
      <c r="AX129" s="539"/>
      <c r="AY129" s="539"/>
      <c r="AZ129" s="539"/>
      <c r="BA129" s="539"/>
      <c r="BB129" s="539"/>
      <c r="BC129" s="539"/>
      <c r="BD129" s="539"/>
      <c r="BE129" s="541"/>
      <c r="BF129" s="541"/>
      <c r="BG129" s="541"/>
      <c r="BH129" s="541"/>
      <c r="BI129" s="541"/>
      <c r="BJ129" s="541"/>
      <c r="BK129" s="541"/>
      <c r="BL129" s="541"/>
      <c r="BM129" s="541"/>
      <c r="BN129" s="541"/>
      <c r="BO129" s="541"/>
      <c r="BP129" s="541"/>
      <c r="BQ129" s="541"/>
      <c r="BR129" s="541"/>
      <c r="BS129" s="541"/>
      <c r="BT129" s="541"/>
    </row>
    <row r="130" spans="1:72" x14ac:dyDescent="0.25">
      <c r="A130" s="325" t="s">
        <v>407</v>
      </c>
      <c r="B130" s="331" t="s">
        <v>546</v>
      </c>
      <c r="C130" s="531">
        <v>86</v>
      </c>
      <c r="D130" s="532">
        <v>68</v>
      </c>
      <c r="E130" s="537">
        <v>135</v>
      </c>
      <c r="F130" s="531">
        <v>86</v>
      </c>
      <c r="G130" s="532">
        <v>71</v>
      </c>
      <c r="H130" s="537">
        <v>130</v>
      </c>
      <c r="I130" s="531">
        <v>86</v>
      </c>
      <c r="J130" s="532">
        <v>64</v>
      </c>
      <c r="K130" s="537">
        <v>125</v>
      </c>
      <c r="L130" s="531">
        <v>86</v>
      </c>
      <c r="M130" s="532">
        <v>65</v>
      </c>
      <c r="N130" s="537">
        <v>125</v>
      </c>
      <c r="O130" s="531">
        <v>86</v>
      </c>
      <c r="P130" s="532">
        <v>64</v>
      </c>
      <c r="Q130" s="537">
        <v>125</v>
      </c>
      <c r="R130" s="531">
        <v>86</v>
      </c>
      <c r="S130" s="532">
        <v>78</v>
      </c>
      <c r="T130" s="537">
        <v>140</v>
      </c>
      <c r="U130" s="531">
        <v>86</v>
      </c>
      <c r="V130" s="532">
        <v>78</v>
      </c>
      <c r="W130" s="537">
        <v>120</v>
      </c>
      <c r="X130" s="531">
        <v>86</v>
      </c>
      <c r="Y130" s="532">
        <v>63</v>
      </c>
      <c r="Z130" s="537">
        <v>140</v>
      </c>
      <c r="AA130" s="531">
        <v>86</v>
      </c>
      <c r="AB130" s="532">
        <v>60</v>
      </c>
      <c r="AC130" s="537">
        <v>110</v>
      </c>
      <c r="AD130" s="531">
        <v>86</v>
      </c>
      <c r="AE130" s="532">
        <v>62</v>
      </c>
      <c r="AF130" s="537">
        <v>110</v>
      </c>
      <c r="AG130" s="531">
        <v>86</v>
      </c>
      <c r="AH130" s="532">
        <v>70</v>
      </c>
      <c r="AI130" s="537">
        <v>100</v>
      </c>
      <c r="AJ130" s="531">
        <v>0</v>
      </c>
      <c r="AK130" s="532">
        <v>0</v>
      </c>
      <c r="AL130" s="538">
        <v>40</v>
      </c>
      <c r="AM130" s="539"/>
      <c r="AN130" s="540"/>
      <c r="AO130" s="540"/>
      <c r="AP130" s="539"/>
      <c r="AQ130" s="539"/>
      <c r="AR130" s="539"/>
      <c r="AS130" s="539"/>
      <c r="AT130" s="539"/>
      <c r="AU130" s="539"/>
      <c r="AV130" s="539"/>
      <c r="AW130" s="539"/>
      <c r="AX130" s="539"/>
      <c r="AY130" s="539"/>
      <c r="AZ130" s="539"/>
      <c r="BA130" s="539"/>
      <c r="BB130" s="539"/>
      <c r="BC130" s="539"/>
      <c r="BD130" s="539"/>
      <c r="BE130" s="541"/>
      <c r="BF130" s="541"/>
      <c r="BG130" s="541"/>
      <c r="BH130" s="541"/>
      <c r="BI130" s="541"/>
      <c r="BJ130" s="541"/>
      <c r="BK130" s="541"/>
      <c r="BL130" s="541"/>
      <c r="BM130" s="541"/>
      <c r="BN130" s="541"/>
      <c r="BO130" s="541"/>
      <c r="BP130" s="541"/>
      <c r="BQ130" s="541"/>
      <c r="BR130" s="541"/>
      <c r="BS130" s="541"/>
      <c r="BT130" s="541"/>
    </row>
    <row r="131" spans="1:72" x14ac:dyDescent="0.25">
      <c r="A131" s="325" t="s">
        <v>397</v>
      </c>
      <c r="B131" s="331" t="s">
        <v>537</v>
      </c>
      <c r="C131" s="531">
        <v>9</v>
      </c>
      <c r="D131" s="532">
        <v>7</v>
      </c>
      <c r="E131" s="537">
        <v>10</v>
      </c>
      <c r="F131" s="531">
        <v>9</v>
      </c>
      <c r="G131" s="532">
        <v>6</v>
      </c>
      <c r="H131" s="537" t="s">
        <v>636</v>
      </c>
      <c r="I131" s="531">
        <v>9</v>
      </c>
      <c r="J131" s="532">
        <v>5</v>
      </c>
      <c r="K131" s="537">
        <v>10</v>
      </c>
      <c r="L131" s="531">
        <v>9</v>
      </c>
      <c r="M131" s="532">
        <v>8</v>
      </c>
      <c r="N131" s="537">
        <v>10</v>
      </c>
      <c r="O131" s="531">
        <v>9</v>
      </c>
      <c r="P131" s="532">
        <v>3</v>
      </c>
      <c r="Q131" s="537" t="s">
        <v>636</v>
      </c>
      <c r="R131" s="531">
        <v>9</v>
      </c>
      <c r="S131" s="532">
        <v>7</v>
      </c>
      <c r="T131" s="537">
        <v>10</v>
      </c>
      <c r="U131" s="531">
        <v>9</v>
      </c>
      <c r="V131" s="532">
        <v>9</v>
      </c>
      <c r="W131" s="537">
        <v>10</v>
      </c>
      <c r="X131" s="531">
        <v>9</v>
      </c>
      <c r="Y131" s="532">
        <v>8</v>
      </c>
      <c r="Z131" s="537">
        <v>10</v>
      </c>
      <c r="AA131" s="531">
        <v>9</v>
      </c>
      <c r="AB131" s="532">
        <v>6</v>
      </c>
      <c r="AC131" s="537" t="s">
        <v>636</v>
      </c>
      <c r="AD131" s="531">
        <v>10</v>
      </c>
      <c r="AE131" s="532">
        <v>9</v>
      </c>
      <c r="AF131" s="537">
        <v>15</v>
      </c>
      <c r="AG131" s="531">
        <v>10</v>
      </c>
      <c r="AH131" s="532">
        <v>10</v>
      </c>
      <c r="AI131" s="537">
        <v>10</v>
      </c>
      <c r="AJ131" s="531">
        <v>0</v>
      </c>
      <c r="AK131" s="532">
        <v>0</v>
      </c>
      <c r="AL131" s="538" t="s">
        <v>636</v>
      </c>
      <c r="AM131" s="539"/>
      <c r="AN131" s="540"/>
      <c r="AO131" s="540"/>
      <c r="AP131" s="539"/>
      <c r="AQ131" s="539"/>
      <c r="AR131" s="539"/>
      <c r="AS131" s="539"/>
      <c r="AT131" s="539"/>
      <c r="AU131" s="539"/>
      <c r="AV131" s="539"/>
      <c r="AW131" s="539"/>
      <c r="AX131" s="539"/>
      <c r="AY131" s="539"/>
      <c r="AZ131" s="539"/>
      <c r="BA131" s="539"/>
      <c r="BB131" s="539"/>
      <c r="BC131" s="539"/>
      <c r="BD131" s="539"/>
      <c r="BE131" s="541"/>
      <c r="BF131" s="541"/>
      <c r="BG131" s="541"/>
      <c r="BH131" s="541"/>
      <c r="BI131" s="541"/>
      <c r="BJ131" s="541"/>
      <c r="BK131" s="541"/>
      <c r="BL131" s="541"/>
      <c r="BM131" s="541"/>
      <c r="BN131" s="541"/>
      <c r="BO131" s="541"/>
      <c r="BP131" s="541"/>
      <c r="BQ131" s="541"/>
      <c r="BR131" s="541"/>
      <c r="BS131" s="541"/>
      <c r="BT131" s="541"/>
    </row>
    <row r="132" spans="1:72" x14ac:dyDescent="0.25">
      <c r="A132" s="325" t="s">
        <v>614</v>
      </c>
      <c r="B132" s="536" t="s">
        <v>631</v>
      </c>
      <c r="C132" s="531">
        <v>0</v>
      </c>
      <c r="D132" s="532">
        <v>0</v>
      </c>
      <c r="E132" s="537">
        <v>0</v>
      </c>
      <c r="F132" s="531">
        <v>0</v>
      </c>
      <c r="G132" s="532">
        <v>0</v>
      </c>
      <c r="H132" s="537">
        <v>0</v>
      </c>
      <c r="I132" s="531">
        <v>0</v>
      </c>
      <c r="J132" s="532">
        <v>0</v>
      </c>
      <c r="K132" s="537">
        <v>0</v>
      </c>
      <c r="L132" s="531">
        <v>0</v>
      </c>
      <c r="M132" s="532">
        <v>0</v>
      </c>
      <c r="N132" s="537">
        <v>0</v>
      </c>
      <c r="O132" s="531">
        <v>0</v>
      </c>
      <c r="P132" s="532">
        <v>0</v>
      </c>
      <c r="Q132" s="537">
        <v>0</v>
      </c>
      <c r="R132" s="531">
        <v>0</v>
      </c>
      <c r="S132" s="532">
        <v>0</v>
      </c>
      <c r="T132" s="537">
        <v>0</v>
      </c>
      <c r="U132" s="531">
        <v>0</v>
      </c>
      <c r="V132" s="532">
        <v>0</v>
      </c>
      <c r="W132" s="537">
        <v>0</v>
      </c>
      <c r="X132" s="531">
        <v>0</v>
      </c>
      <c r="Y132" s="532">
        <v>0</v>
      </c>
      <c r="Z132" s="537">
        <v>0</v>
      </c>
      <c r="AA132" s="531">
        <v>0</v>
      </c>
      <c r="AB132" s="532">
        <v>0</v>
      </c>
      <c r="AC132" s="537">
        <v>0</v>
      </c>
      <c r="AD132" s="531">
        <v>0</v>
      </c>
      <c r="AE132" s="532">
        <v>0</v>
      </c>
      <c r="AF132" s="537">
        <v>0</v>
      </c>
      <c r="AG132" s="531">
        <v>0</v>
      </c>
      <c r="AH132" s="532">
        <v>0</v>
      </c>
      <c r="AI132" s="537">
        <v>0</v>
      </c>
      <c r="AJ132" s="531">
        <v>0</v>
      </c>
      <c r="AK132" s="532">
        <v>0</v>
      </c>
      <c r="AL132" s="538">
        <v>0</v>
      </c>
      <c r="AM132" s="539"/>
      <c r="AN132" s="540"/>
      <c r="AO132" s="540"/>
      <c r="AP132" s="539"/>
      <c r="AQ132" s="539"/>
      <c r="AR132" s="539"/>
      <c r="AS132" s="539"/>
      <c r="AT132" s="539"/>
      <c r="AU132" s="539"/>
      <c r="AV132" s="539"/>
      <c r="AW132" s="539"/>
      <c r="AX132" s="539"/>
      <c r="AY132" s="539"/>
      <c r="AZ132" s="539"/>
      <c r="BA132" s="539"/>
      <c r="BB132" s="539"/>
      <c r="BC132" s="539"/>
      <c r="BD132" s="539"/>
      <c r="BE132" s="541"/>
      <c r="BF132" s="541"/>
      <c r="BG132" s="541"/>
      <c r="BH132" s="541"/>
      <c r="BI132" s="541"/>
      <c r="BJ132" s="541"/>
      <c r="BK132" s="541"/>
      <c r="BL132" s="541"/>
      <c r="BM132" s="541"/>
      <c r="BN132" s="541"/>
      <c r="BO132" s="541"/>
      <c r="BP132" s="541"/>
      <c r="BQ132" s="541"/>
      <c r="BR132" s="541"/>
      <c r="BS132" s="541"/>
      <c r="BT132" s="541"/>
    </row>
    <row r="133" spans="1:72" x14ac:dyDescent="0.25">
      <c r="A133" s="325" t="s">
        <v>335</v>
      </c>
      <c r="B133" s="331" t="s">
        <v>475</v>
      </c>
      <c r="C133" s="531">
        <v>13</v>
      </c>
      <c r="D133" s="532">
        <v>7</v>
      </c>
      <c r="E133" s="537">
        <v>15</v>
      </c>
      <c r="F133" s="531">
        <v>13</v>
      </c>
      <c r="G133" s="532">
        <v>10</v>
      </c>
      <c r="H133" s="537">
        <v>15</v>
      </c>
      <c r="I133" s="531">
        <v>13</v>
      </c>
      <c r="J133" s="532">
        <v>6</v>
      </c>
      <c r="K133" s="537">
        <v>15</v>
      </c>
      <c r="L133" s="531">
        <v>13</v>
      </c>
      <c r="M133" s="532">
        <v>5</v>
      </c>
      <c r="N133" s="537">
        <v>10</v>
      </c>
      <c r="O133" s="531">
        <v>13</v>
      </c>
      <c r="P133" s="532">
        <v>8</v>
      </c>
      <c r="Q133" s="537">
        <v>15</v>
      </c>
      <c r="R133" s="531">
        <v>13</v>
      </c>
      <c r="S133" s="532">
        <v>8</v>
      </c>
      <c r="T133" s="537">
        <v>20</v>
      </c>
      <c r="U133" s="531">
        <v>13</v>
      </c>
      <c r="V133" s="532">
        <v>6</v>
      </c>
      <c r="W133" s="537">
        <v>10</v>
      </c>
      <c r="X133" s="531">
        <v>13</v>
      </c>
      <c r="Y133" s="532">
        <v>10</v>
      </c>
      <c r="Z133" s="537">
        <v>20</v>
      </c>
      <c r="AA133" s="531">
        <v>13</v>
      </c>
      <c r="AB133" s="532">
        <v>11</v>
      </c>
      <c r="AC133" s="537">
        <v>15</v>
      </c>
      <c r="AD133" s="531">
        <v>13</v>
      </c>
      <c r="AE133" s="532">
        <v>8</v>
      </c>
      <c r="AF133" s="537">
        <v>20</v>
      </c>
      <c r="AG133" s="531">
        <v>13</v>
      </c>
      <c r="AH133" s="532">
        <v>8</v>
      </c>
      <c r="AI133" s="537">
        <v>15</v>
      </c>
      <c r="AJ133" s="531">
        <v>0</v>
      </c>
      <c r="AK133" s="532">
        <v>0</v>
      </c>
      <c r="AL133" s="538" t="s">
        <v>636</v>
      </c>
      <c r="AM133" s="539"/>
      <c r="AN133" s="540"/>
      <c r="AO133" s="540"/>
      <c r="AP133" s="539"/>
      <c r="AQ133" s="539"/>
      <c r="AR133" s="539"/>
      <c r="AS133" s="539"/>
      <c r="AT133" s="539"/>
      <c r="AU133" s="539"/>
      <c r="AV133" s="539"/>
      <c r="AW133" s="539"/>
      <c r="AX133" s="539"/>
      <c r="AY133" s="539"/>
      <c r="AZ133" s="539"/>
      <c r="BA133" s="539"/>
      <c r="BB133" s="539"/>
      <c r="BC133" s="539"/>
      <c r="BD133" s="539"/>
      <c r="BE133" s="541"/>
      <c r="BF133" s="541"/>
      <c r="BG133" s="541"/>
      <c r="BH133" s="541"/>
      <c r="BI133" s="541"/>
      <c r="BJ133" s="541"/>
      <c r="BK133" s="541"/>
      <c r="BL133" s="541"/>
      <c r="BM133" s="541"/>
      <c r="BN133" s="541"/>
      <c r="BO133" s="541"/>
      <c r="BP133" s="541"/>
      <c r="BQ133" s="541"/>
      <c r="BR133" s="541"/>
      <c r="BS133" s="541"/>
      <c r="BT133" s="541"/>
    </row>
    <row r="134" spans="1:72" x14ac:dyDescent="0.25">
      <c r="A134" s="325" t="s">
        <v>374</v>
      </c>
      <c r="B134" s="331" t="s">
        <v>514</v>
      </c>
      <c r="C134" s="531">
        <v>5</v>
      </c>
      <c r="D134" s="532">
        <v>3</v>
      </c>
      <c r="E134" s="537">
        <v>10</v>
      </c>
      <c r="F134" s="531">
        <v>4</v>
      </c>
      <c r="G134" s="532">
        <v>3</v>
      </c>
      <c r="H134" s="537" t="s">
        <v>636</v>
      </c>
      <c r="I134" s="531">
        <v>6</v>
      </c>
      <c r="J134" s="532">
        <v>6</v>
      </c>
      <c r="K134" s="537">
        <v>10</v>
      </c>
      <c r="L134" s="531">
        <v>4</v>
      </c>
      <c r="M134" s="532">
        <v>2</v>
      </c>
      <c r="N134" s="537" t="s">
        <v>636</v>
      </c>
      <c r="O134" s="531">
        <v>5</v>
      </c>
      <c r="P134" s="532">
        <v>4</v>
      </c>
      <c r="Q134" s="537" t="s">
        <v>636</v>
      </c>
      <c r="R134" s="531">
        <v>5</v>
      </c>
      <c r="S134" s="532">
        <v>4</v>
      </c>
      <c r="T134" s="537">
        <v>10</v>
      </c>
      <c r="U134" s="531">
        <v>5</v>
      </c>
      <c r="V134" s="532">
        <v>5</v>
      </c>
      <c r="W134" s="537" t="s">
        <v>636</v>
      </c>
      <c r="X134" s="531">
        <v>5</v>
      </c>
      <c r="Y134" s="532">
        <v>5</v>
      </c>
      <c r="Z134" s="537">
        <v>10</v>
      </c>
      <c r="AA134" s="531">
        <v>4</v>
      </c>
      <c r="AB134" s="532">
        <v>2</v>
      </c>
      <c r="AC134" s="537" t="s">
        <v>636</v>
      </c>
      <c r="AD134" s="531">
        <v>4</v>
      </c>
      <c r="AE134" s="532">
        <v>4</v>
      </c>
      <c r="AF134" s="537">
        <v>10</v>
      </c>
      <c r="AG134" s="531">
        <v>5</v>
      </c>
      <c r="AH134" s="532">
        <v>4</v>
      </c>
      <c r="AI134" s="537" t="s">
        <v>636</v>
      </c>
      <c r="AJ134" s="531">
        <v>0</v>
      </c>
      <c r="AK134" s="532">
        <v>0</v>
      </c>
      <c r="AL134" s="538">
        <v>0</v>
      </c>
      <c r="AM134" s="539"/>
      <c r="AN134" s="540"/>
      <c r="AO134" s="540"/>
      <c r="AP134" s="539"/>
      <c r="AQ134" s="539"/>
      <c r="AR134" s="539"/>
      <c r="AS134" s="539"/>
      <c r="AT134" s="539"/>
      <c r="AU134" s="539"/>
      <c r="AV134" s="539"/>
      <c r="AW134" s="539"/>
      <c r="AX134" s="539"/>
      <c r="AY134" s="539"/>
      <c r="AZ134" s="539"/>
      <c r="BA134" s="539"/>
      <c r="BB134" s="539"/>
      <c r="BC134" s="539"/>
      <c r="BD134" s="539"/>
      <c r="BE134" s="541"/>
      <c r="BF134" s="541"/>
      <c r="BG134" s="541"/>
      <c r="BH134" s="541"/>
      <c r="BI134" s="541"/>
      <c r="BJ134" s="541"/>
      <c r="BK134" s="541"/>
      <c r="BL134" s="541"/>
      <c r="BM134" s="541"/>
      <c r="BN134" s="541"/>
      <c r="BO134" s="541"/>
      <c r="BP134" s="541"/>
      <c r="BQ134" s="541"/>
      <c r="BR134" s="541"/>
      <c r="BS134" s="541"/>
      <c r="BT134" s="541"/>
    </row>
    <row r="135" spans="1:72" x14ac:dyDescent="0.25">
      <c r="A135" s="325" t="s">
        <v>348</v>
      </c>
      <c r="B135" s="331" t="s">
        <v>488</v>
      </c>
      <c r="C135" s="531">
        <v>11</v>
      </c>
      <c r="D135" s="532">
        <v>10</v>
      </c>
      <c r="E135" s="537">
        <v>30</v>
      </c>
      <c r="F135" s="531">
        <v>9</v>
      </c>
      <c r="G135" s="532">
        <v>7</v>
      </c>
      <c r="H135" s="537">
        <v>20</v>
      </c>
      <c r="I135" s="531">
        <v>11</v>
      </c>
      <c r="J135" s="532">
        <v>11</v>
      </c>
      <c r="K135" s="537">
        <v>30</v>
      </c>
      <c r="L135" s="531">
        <v>11</v>
      </c>
      <c r="M135" s="532">
        <v>10</v>
      </c>
      <c r="N135" s="537">
        <v>25</v>
      </c>
      <c r="O135" s="531">
        <v>10</v>
      </c>
      <c r="P135" s="532">
        <v>8</v>
      </c>
      <c r="Q135" s="537">
        <v>20</v>
      </c>
      <c r="R135" s="531">
        <v>10</v>
      </c>
      <c r="S135" s="532">
        <v>6</v>
      </c>
      <c r="T135" s="537">
        <v>30</v>
      </c>
      <c r="U135" s="531">
        <v>10</v>
      </c>
      <c r="V135" s="532">
        <v>8</v>
      </c>
      <c r="W135" s="537">
        <v>20</v>
      </c>
      <c r="X135" s="531">
        <v>10</v>
      </c>
      <c r="Y135" s="532">
        <v>8</v>
      </c>
      <c r="Z135" s="537">
        <v>25</v>
      </c>
      <c r="AA135" s="531">
        <v>10</v>
      </c>
      <c r="AB135" s="532">
        <v>10</v>
      </c>
      <c r="AC135" s="537">
        <v>20</v>
      </c>
      <c r="AD135" s="531">
        <v>13</v>
      </c>
      <c r="AE135" s="532">
        <v>9</v>
      </c>
      <c r="AF135" s="537">
        <v>20</v>
      </c>
      <c r="AG135" s="531">
        <v>11</v>
      </c>
      <c r="AH135" s="532">
        <v>11</v>
      </c>
      <c r="AI135" s="537">
        <v>20</v>
      </c>
      <c r="AJ135" s="531">
        <v>0</v>
      </c>
      <c r="AK135" s="532">
        <v>0</v>
      </c>
      <c r="AL135" s="538">
        <v>10</v>
      </c>
      <c r="AM135" s="539"/>
      <c r="AN135" s="540"/>
      <c r="AO135" s="540"/>
      <c r="AP135" s="539"/>
      <c r="AQ135" s="539"/>
      <c r="AR135" s="539"/>
      <c r="AS135" s="539"/>
      <c r="AT135" s="539"/>
      <c r="AU135" s="539"/>
      <c r="AV135" s="539"/>
      <c r="AW135" s="539"/>
      <c r="AX135" s="539"/>
      <c r="AY135" s="539"/>
      <c r="AZ135" s="539"/>
      <c r="BA135" s="539"/>
      <c r="BB135" s="539"/>
      <c r="BC135" s="539"/>
      <c r="BD135" s="539"/>
      <c r="BE135" s="541"/>
      <c r="BF135" s="541"/>
      <c r="BG135" s="541"/>
      <c r="BH135" s="541"/>
      <c r="BI135" s="541"/>
      <c r="BJ135" s="541"/>
      <c r="BK135" s="541"/>
      <c r="BL135" s="541"/>
      <c r="BM135" s="541"/>
      <c r="BN135" s="541"/>
      <c r="BO135" s="541"/>
      <c r="BP135" s="541"/>
      <c r="BQ135" s="541"/>
      <c r="BR135" s="541"/>
      <c r="BS135" s="541"/>
      <c r="BT135" s="541"/>
    </row>
    <row r="136" spans="1:72" x14ac:dyDescent="0.25">
      <c r="A136" s="325" t="s">
        <v>342</v>
      </c>
      <c r="B136" s="331" t="s">
        <v>482</v>
      </c>
      <c r="C136" s="531">
        <v>12</v>
      </c>
      <c r="D136" s="532">
        <v>7</v>
      </c>
      <c r="E136" s="537">
        <v>10</v>
      </c>
      <c r="F136" s="531">
        <v>12</v>
      </c>
      <c r="G136" s="532">
        <v>6</v>
      </c>
      <c r="H136" s="537">
        <v>10</v>
      </c>
      <c r="I136" s="531">
        <v>12</v>
      </c>
      <c r="J136" s="532">
        <v>7</v>
      </c>
      <c r="K136" s="537">
        <v>10</v>
      </c>
      <c r="L136" s="531">
        <v>12</v>
      </c>
      <c r="M136" s="532">
        <v>9</v>
      </c>
      <c r="N136" s="537">
        <v>10</v>
      </c>
      <c r="O136" s="531">
        <v>12</v>
      </c>
      <c r="P136" s="532">
        <v>6</v>
      </c>
      <c r="Q136" s="537">
        <v>10</v>
      </c>
      <c r="R136" s="531">
        <v>12</v>
      </c>
      <c r="S136" s="532">
        <v>8</v>
      </c>
      <c r="T136" s="537">
        <v>10</v>
      </c>
      <c r="U136" s="531">
        <v>12</v>
      </c>
      <c r="V136" s="532">
        <v>5</v>
      </c>
      <c r="W136" s="537">
        <v>10</v>
      </c>
      <c r="X136" s="531">
        <v>12</v>
      </c>
      <c r="Y136" s="532">
        <v>6</v>
      </c>
      <c r="Z136" s="537">
        <v>10</v>
      </c>
      <c r="AA136" s="531">
        <v>12</v>
      </c>
      <c r="AB136" s="532">
        <v>10</v>
      </c>
      <c r="AC136" s="537">
        <v>10</v>
      </c>
      <c r="AD136" s="531">
        <v>12</v>
      </c>
      <c r="AE136" s="532">
        <v>9</v>
      </c>
      <c r="AF136" s="537">
        <v>15</v>
      </c>
      <c r="AG136" s="531">
        <v>12</v>
      </c>
      <c r="AH136" s="532">
        <v>9</v>
      </c>
      <c r="AI136" s="537">
        <v>10</v>
      </c>
      <c r="AJ136" s="531">
        <v>0</v>
      </c>
      <c r="AK136" s="532">
        <v>0</v>
      </c>
      <c r="AL136" s="538" t="s">
        <v>636</v>
      </c>
      <c r="AM136" s="539"/>
      <c r="AN136" s="540"/>
      <c r="AO136" s="540"/>
      <c r="AP136" s="539"/>
      <c r="AQ136" s="539"/>
      <c r="AR136" s="539"/>
      <c r="AS136" s="539"/>
      <c r="AT136" s="539"/>
      <c r="AU136" s="539"/>
      <c r="AV136" s="539"/>
      <c r="AW136" s="539"/>
      <c r="AX136" s="539"/>
      <c r="AY136" s="539"/>
      <c r="AZ136" s="539"/>
      <c r="BA136" s="539"/>
      <c r="BB136" s="539"/>
      <c r="BC136" s="539"/>
      <c r="BD136" s="539"/>
      <c r="BE136" s="541"/>
      <c r="BF136" s="541"/>
      <c r="BG136" s="541"/>
      <c r="BH136" s="541"/>
      <c r="BI136" s="541"/>
      <c r="BJ136" s="541"/>
      <c r="BK136" s="541"/>
      <c r="BL136" s="541"/>
      <c r="BM136" s="541"/>
      <c r="BN136" s="541"/>
      <c r="BO136" s="541"/>
      <c r="BP136" s="541"/>
      <c r="BQ136" s="541"/>
      <c r="BR136" s="541"/>
      <c r="BS136" s="541"/>
      <c r="BT136" s="541"/>
    </row>
    <row r="137" spans="1:72" x14ac:dyDescent="0.25">
      <c r="A137" s="326" t="s">
        <v>392</v>
      </c>
      <c r="B137" s="331" t="s">
        <v>532</v>
      </c>
      <c r="C137" s="533">
        <v>15</v>
      </c>
      <c r="D137" s="534">
        <v>11</v>
      </c>
      <c r="E137" s="537">
        <v>15</v>
      </c>
      <c r="F137" s="533">
        <v>16</v>
      </c>
      <c r="G137" s="534">
        <v>12</v>
      </c>
      <c r="H137" s="537">
        <v>20</v>
      </c>
      <c r="I137" s="533">
        <v>16</v>
      </c>
      <c r="J137" s="534">
        <v>15</v>
      </c>
      <c r="K137" s="537">
        <v>20</v>
      </c>
      <c r="L137" s="533">
        <v>16</v>
      </c>
      <c r="M137" s="534">
        <v>15</v>
      </c>
      <c r="N137" s="537">
        <v>20</v>
      </c>
      <c r="O137" s="533">
        <v>16</v>
      </c>
      <c r="P137" s="534">
        <v>11</v>
      </c>
      <c r="Q137" s="537">
        <v>15</v>
      </c>
      <c r="R137" s="533">
        <v>16</v>
      </c>
      <c r="S137" s="534">
        <v>15</v>
      </c>
      <c r="T137" s="537">
        <v>20</v>
      </c>
      <c r="U137" s="533">
        <v>16</v>
      </c>
      <c r="V137" s="534">
        <v>14</v>
      </c>
      <c r="W137" s="537">
        <v>20</v>
      </c>
      <c r="X137" s="533">
        <v>16</v>
      </c>
      <c r="Y137" s="534">
        <v>15</v>
      </c>
      <c r="Z137" s="537">
        <v>20</v>
      </c>
      <c r="AA137" s="533">
        <v>16</v>
      </c>
      <c r="AB137" s="534">
        <v>5</v>
      </c>
      <c r="AC137" s="537">
        <v>10</v>
      </c>
      <c r="AD137" s="533">
        <v>16</v>
      </c>
      <c r="AE137" s="534">
        <v>13</v>
      </c>
      <c r="AF137" s="537">
        <v>15</v>
      </c>
      <c r="AG137" s="533">
        <v>16</v>
      </c>
      <c r="AH137" s="534">
        <v>11</v>
      </c>
      <c r="AI137" s="537">
        <v>15</v>
      </c>
      <c r="AJ137" s="533">
        <v>0</v>
      </c>
      <c r="AK137" s="534">
        <v>0</v>
      </c>
      <c r="AL137" s="538" t="s">
        <v>636</v>
      </c>
      <c r="AM137" s="539"/>
      <c r="AN137" s="540"/>
      <c r="AO137" s="540"/>
      <c r="AP137" s="539"/>
      <c r="AQ137" s="539"/>
      <c r="AR137" s="539"/>
      <c r="AS137" s="539"/>
      <c r="AT137" s="539"/>
      <c r="AU137" s="539"/>
      <c r="AV137" s="539"/>
      <c r="AW137" s="539"/>
      <c r="AX137" s="539"/>
      <c r="AY137" s="539"/>
      <c r="AZ137" s="539"/>
      <c r="BA137" s="539"/>
      <c r="BB137" s="539"/>
      <c r="BC137" s="539"/>
      <c r="BD137" s="539"/>
      <c r="BE137" s="541"/>
      <c r="BF137" s="541"/>
      <c r="BG137" s="541"/>
      <c r="BH137" s="541"/>
      <c r="BI137" s="541"/>
      <c r="BJ137" s="541"/>
      <c r="BK137" s="541"/>
      <c r="BL137" s="541"/>
      <c r="BM137" s="541"/>
      <c r="BN137" s="541"/>
      <c r="BO137" s="541"/>
      <c r="BP137" s="541"/>
      <c r="BQ137" s="541"/>
      <c r="BR137" s="541"/>
      <c r="BS137" s="541"/>
      <c r="BT137" s="541"/>
    </row>
    <row r="138" spans="1:72" x14ac:dyDescent="0.25">
      <c r="A138" s="325" t="s">
        <v>403</v>
      </c>
      <c r="B138" s="331" t="s">
        <v>542</v>
      </c>
      <c r="C138" s="531">
        <v>6</v>
      </c>
      <c r="D138" s="532">
        <v>4</v>
      </c>
      <c r="E138" s="537" t="s">
        <v>636</v>
      </c>
      <c r="F138" s="531">
        <v>6</v>
      </c>
      <c r="G138" s="532">
        <v>6</v>
      </c>
      <c r="H138" s="537" t="s">
        <v>636</v>
      </c>
      <c r="I138" s="531">
        <v>6</v>
      </c>
      <c r="J138" s="532">
        <v>4</v>
      </c>
      <c r="K138" s="537">
        <v>10</v>
      </c>
      <c r="L138" s="531">
        <v>6</v>
      </c>
      <c r="M138" s="532">
        <v>5</v>
      </c>
      <c r="N138" s="537">
        <v>10</v>
      </c>
      <c r="O138" s="531">
        <v>6</v>
      </c>
      <c r="P138" s="532">
        <v>5</v>
      </c>
      <c r="Q138" s="537">
        <v>10</v>
      </c>
      <c r="R138" s="531">
        <v>6</v>
      </c>
      <c r="S138" s="532">
        <v>3</v>
      </c>
      <c r="T138" s="537">
        <v>10</v>
      </c>
      <c r="U138" s="531">
        <v>7</v>
      </c>
      <c r="V138" s="532">
        <v>5</v>
      </c>
      <c r="W138" s="537">
        <v>10</v>
      </c>
      <c r="X138" s="531">
        <v>7</v>
      </c>
      <c r="Y138" s="532">
        <v>7</v>
      </c>
      <c r="Z138" s="537">
        <v>10</v>
      </c>
      <c r="AA138" s="531">
        <v>7</v>
      </c>
      <c r="AB138" s="532">
        <v>4</v>
      </c>
      <c r="AC138" s="537">
        <v>0</v>
      </c>
      <c r="AD138" s="531">
        <v>7</v>
      </c>
      <c r="AE138" s="532">
        <v>7</v>
      </c>
      <c r="AF138" s="537">
        <v>15</v>
      </c>
      <c r="AG138" s="531">
        <v>7</v>
      </c>
      <c r="AH138" s="532">
        <v>6</v>
      </c>
      <c r="AI138" s="537">
        <v>10</v>
      </c>
      <c r="AJ138" s="531">
        <v>0</v>
      </c>
      <c r="AK138" s="532">
        <v>0</v>
      </c>
      <c r="AL138" s="538">
        <v>0</v>
      </c>
      <c r="AM138" s="539"/>
      <c r="AN138" s="540"/>
      <c r="AO138" s="540"/>
      <c r="AP138" s="539"/>
      <c r="AQ138" s="539"/>
      <c r="AR138" s="539"/>
      <c r="AS138" s="539"/>
      <c r="AT138" s="539"/>
      <c r="AU138" s="539"/>
      <c r="AV138" s="539"/>
      <c r="AW138" s="539"/>
      <c r="AX138" s="539"/>
      <c r="AY138" s="539"/>
      <c r="AZ138" s="539"/>
      <c r="BA138" s="539"/>
      <c r="BB138" s="539"/>
      <c r="BC138" s="539"/>
      <c r="BD138" s="539"/>
      <c r="BE138" s="541"/>
      <c r="BF138" s="541"/>
      <c r="BG138" s="541"/>
      <c r="BH138" s="541"/>
      <c r="BI138" s="541"/>
      <c r="BJ138" s="541"/>
      <c r="BK138" s="541"/>
      <c r="BL138" s="541"/>
      <c r="BM138" s="541"/>
      <c r="BN138" s="541"/>
      <c r="BO138" s="541"/>
      <c r="BP138" s="541"/>
      <c r="BQ138" s="541"/>
      <c r="BR138" s="541"/>
      <c r="BS138" s="541"/>
      <c r="BT138" s="541"/>
    </row>
    <row r="139" spans="1:72" x14ac:dyDescent="0.25">
      <c r="A139" s="325" t="s">
        <v>375</v>
      </c>
      <c r="B139" s="331" t="s">
        <v>515</v>
      </c>
      <c r="C139" s="531">
        <v>28</v>
      </c>
      <c r="D139" s="532">
        <v>17</v>
      </c>
      <c r="E139" s="537">
        <v>65</v>
      </c>
      <c r="F139" s="531">
        <v>28</v>
      </c>
      <c r="G139" s="532">
        <v>20</v>
      </c>
      <c r="H139" s="537">
        <v>65</v>
      </c>
      <c r="I139" s="531">
        <v>28</v>
      </c>
      <c r="J139" s="532">
        <v>18</v>
      </c>
      <c r="K139" s="537">
        <v>70</v>
      </c>
      <c r="L139" s="531">
        <v>28</v>
      </c>
      <c r="M139" s="532">
        <v>18</v>
      </c>
      <c r="N139" s="537">
        <v>60</v>
      </c>
      <c r="O139" s="531">
        <v>28</v>
      </c>
      <c r="P139" s="532">
        <v>23</v>
      </c>
      <c r="Q139" s="537">
        <v>65</v>
      </c>
      <c r="R139" s="531">
        <v>28</v>
      </c>
      <c r="S139" s="532">
        <v>15</v>
      </c>
      <c r="T139" s="537">
        <v>60</v>
      </c>
      <c r="U139" s="531">
        <v>28</v>
      </c>
      <c r="V139" s="532">
        <v>20</v>
      </c>
      <c r="W139" s="537">
        <v>55</v>
      </c>
      <c r="X139" s="531">
        <v>28</v>
      </c>
      <c r="Y139" s="532">
        <v>24</v>
      </c>
      <c r="Z139" s="537">
        <v>60</v>
      </c>
      <c r="AA139" s="531">
        <v>28</v>
      </c>
      <c r="AB139" s="532">
        <v>17</v>
      </c>
      <c r="AC139" s="537">
        <v>50</v>
      </c>
      <c r="AD139" s="531">
        <v>28</v>
      </c>
      <c r="AE139" s="532">
        <v>19</v>
      </c>
      <c r="AF139" s="537">
        <v>50</v>
      </c>
      <c r="AG139" s="531">
        <v>28</v>
      </c>
      <c r="AH139" s="532">
        <v>18</v>
      </c>
      <c r="AI139" s="537">
        <v>55</v>
      </c>
      <c r="AJ139" s="531">
        <v>0</v>
      </c>
      <c r="AK139" s="532">
        <v>0</v>
      </c>
      <c r="AL139" s="538">
        <v>15</v>
      </c>
      <c r="AM139" s="539"/>
      <c r="AN139" s="540"/>
      <c r="AO139" s="540"/>
      <c r="AP139" s="539"/>
      <c r="AQ139" s="539"/>
      <c r="AR139" s="539"/>
      <c r="AS139" s="539"/>
      <c r="AT139" s="539"/>
      <c r="AU139" s="539"/>
      <c r="AV139" s="539"/>
      <c r="AW139" s="539"/>
      <c r="AX139" s="539"/>
      <c r="AY139" s="539"/>
      <c r="AZ139" s="539"/>
      <c r="BA139" s="539"/>
      <c r="BB139" s="539"/>
      <c r="BC139" s="539"/>
      <c r="BD139" s="539"/>
      <c r="BE139" s="541"/>
      <c r="BF139" s="541"/>
      <c r="BG139" s="541"/>
      <c r="BH139" s="541"/>
      <c r="BI139" s="541"/>
      <c r="BJ139" s="541"/>
      <c r="BK139" s="541"/>
      <c r="BL139" s="541"/>
      <c r="BM139" s="541"/>
      <c r="BN139" s="541"/>
      <c r="BO139" s="541"/>
      <c r="BP139" s="541"/>
      <c r="BQ139" s="541"/>
      <c r="BR139" s="541"/>
      <c r="BS139" s="541"/>
      <c r="BT139" s="541"/>
    </row>
    <row r="140" spans="1:72" x14ac:dyDescent="0.25">
      <c r="A140" s="325" t="s">
        <v>345</v>
      </c>
      <c r="B140" s="331" t="s">
        <v>485</v>
      </c>
      <c r="C140" s="531">
        <v>20</v>
      </c>
      <c r="D140" s="532">
        <v>12</v>
      </c>
      <c r="E140" s="537" t="s">
        <v>636</v>
      </c>
      <c r="F140" s="531">
        <v>20</v>
      </c>
      <c r="G140" s="532">
        <v>13</v>
      </c>
      <c r="H140" s="537">
        <v>10</v>
      </c>
      <c r="I140" s="531">
        <v>20</v>
      </c>
      <c r="J140" s="532">
        <v>14</v>
      </c>
      <c r="K140" s="537" t="s">
        <v>636</v>
      </c>
      <c r="L140" s="531">
        <v>20</v>
      </c>
      <c r="M140" s="532">
        <v>19</v>
      </c>
      <c r="N140" s="537" t="s">
        <v>636</v>
      </c>
      <c r="O140" s="531">
        <v>20</v>
      </c>
      <c r="P140" s="532">
        <v>15</v>
      </c>
      <c r="Q140" s="537">
        <v>10</v>
      </c>
      <c r="R140" s="531">
        <v>20</v>
      </c>
      <c r="S140" s="532">
        <v>17</v>
      </c>
      <c r="T140" s="537">
        <v>10</v>
      </c>
      <c r="U140" s="531">
        <v>20</v>
      </c>
      <c r="V140" s="532">
        <v>11</v>
      </c>
      <c r="W140" s="537">
        <v>10</v>
      </c>
      <c r="X140" s="531">
        <v>20</v>
      </c>
      <c r="Y140" s="532">
        <v>15</v>
      </c>
      <c r="Z140" s="537">
        <v>10</v>
      </c>
      <c r="AA140" s="531">
        <v>20</v>
      </c>
      <c r="AB140" s="532">
        <v>18</v>
      </c>
      <c r="AC140" s="537">
        <v>15</v>
      </c>
      <c r="AD140" s="531">
        <v>20</v>
      </c>
      <c r="AE140" s="532">
        <v>14</v>
      </c>
      <c r="AF140" s="537">
        <v>15</v>
      </c>
      <c r="AG140" s="531">
        <v>20</v>
      </c>
      <c r="AH140" s="532">
        <v>15</v>
      </c>
      <c r="AI140" s="537">
        <v>10</v>
      </c>
      <c r="AJ140" s="531">
        <v>0</v>
      </c>
      <c r="AK140" s="532">
        <v>0</v>
      </c>
      <c r="AL140" s="538" t="s">
        <v>636</v>
      </c>
      <c r="AM140" s="539"/>
      <c r="AN140" s="540"/>
      <c r="AO140" s="540"/>
      <c r="AP140" s="539"/>
      <c r="AQ140" s="539"/>
      <c r="AR140" s="539"/>
      <c r="AS140" s="539"/>
      <c r="AT140" s="539"/>
      <c r="AU140" s="539"/>
      <c r="AV140" s="539"/>
      <c r="AW140" s="539"/>
      <c r="AX140" s="539"/>
      <c r="AY140" s="539"/>
      <c r="AZ140" s="539"/>
      <c r="BA140" s="539"/>
      <c r="BB140" s="539"/>
      <c r="BC140" s="539"/>
      <c r="BD140" s="539"/>
      <c r="BE140" s="541"/>
      <c r="BF140" s="541"/>
      <c r="BG140" s="541"/>
      <c r="BH140" s="541"/>
      <c r="BI140" s="541"/>
      <c r="BJ140" s="541"/>
      <c r="BK140" s="541"/>
      <c r="BL140" s="541"/>
      <c r="BM140" s="541"/>
      <c r="BN140" s="541"/>
      <c r="BO140" s="541"/>
      <c r="BP140" s="541"/>
      <c r="BQ140" s="541"/>
      <c r="BR140" s="541"/>
      <c r="BS140" s="541"/>
      <c r="BT140" s="541"/>
    </row>
    <row r="141" spans="1:72" x14ac:dyDescent="0.25">
      <c r="A141" s="325" t="s">
        <v>313</v>
      </c>
      <c r="B141" s="331" t="s">
        <v>453</v>
      </c>
      <c r="C141" s="531">
        <v>10</v>
      </c>
      <c r="D141" s="532">
        <v>5</v>
      </c>
      <c r="E141" s="537">
        <v>15</v>
      </c>
      <c r="F141" s="531">
        <v>10</v>
      </c>
      <c r="G141" s="532">
        <v>6</v>
      </c>
      <c r="H141" s="537">
        <v>10</v>
      </c>
      <c r="I141" s="531">
        <v>10</v>
      </c>
      <c r="J141" s="532">
        <v>5</v>
      </c>
      <c r="K141" s="537">
        <v>15</v>
      </c>
      <c r="L141" s="531">
        <v>10</v>
      </c>
      <c r="M141" s="532">
        <v>6</v>
      </c>
      <c r="N141" s="537">
        <v>20</v>
      </c>
      <c r="O141" s="531">
        <v>10</v>
      </c>
      <c r="P141" s="532">
        <v>8</v>
      </c>
      <c r="Q141" s="537">
        <v>20</v>
      </c>
      <c r="R141" s="531">
        <v>10</v>
      </c>
      <c r="S141" s="532">
        <v>7</v>
      </c>
      <c r="T141" s="537">
        <v>20</v>
      </c>
      <c r="U141" s="531">
        <v>10</v>
      </c>
      <c r="V141" s="532">
        <v>7</v>
      </c>
      <c r="W141" s="537">
        <v>20</v>
      </c>
      <c r="X141" s="531">
        <v>10</v>
      </c>
      <c r="Y141" s="532">
        <v>6</v>
      </c>
      <c r="Z141" s="537">
        <v>20</v>
      </c>
      <c r="AA141" s="531">
        <v>10</v>
      </c>
      <c r="AB141" s="532">
        <v>5</v>
      </c>
      <c r="AC141" s="537">
        <v>20</v>
      </c>
      <c r="AD141" s="531">
        <v>10</v>
      </c>
      <c r="AE141" s="532">
        <v>6</v>
      </c>
      <c r="AF141" s="537">
        <v>20</v>
      </c>
      <c r="AG141" s="531">
        <v>10</v>
      </c>
      <c r="AH141" s="532">
        <v>6</v>
      </c>
      <c r="AI141" s="537">
        <v>15</v>
      </c>
      <c r="AJ141" s="531">
        <v>0</v>
      </c>
      <c r="AK141" s="532">
        <v>0</v>
      </c>
      <c r="AL141" s="538">
        <v>10</v>
      </c>
      <c r="AM141" s="539"/>
      <c r="AN141" s="540"/>
      <c r="AO141" s="540"/>
      <c r="AP141" s="539"/>
      <c r="AQ141" s="539"/>
      <c r="AR141" s="539"/>
      <c r="AS141" s="539"/>
      <c r="AT141" s="539"/>
      <c r="AU141" s="539"/>
      <c r="AV141" s="539"/>
      <c r="AW141" s="539"/>
      <c r="AX141" s="539"/>
      <c r="AY141" s="539"/>
      <c r="AZ141" s="539"/>
      <c r="BA141" s="539"/>
      <c r="BB141" s="539"/>
      <c r="BC141" s="539"/>
      <c r="BD141" s="539"/>
      <c r="BE141" s="541"/>
      <c r="BF141" s="541"/>
      <c r="BG141" s="541"/>
      <c r="BH141" s="541"/>
      <c r="BI141" s="541"/>
      <c r="BJ141" s="541"/>
      <c r="BK141" s="541"/>
      <c r="BL141" s="541"/>
      <c r="BM141" s="541"/>
      <c r="BN141" s="541"/>
      <c r="BO141" s="541"/>
      <c r="BP141" s="541"/>
      <c r="BQ141" s="541"/>
      <c r="BR141" s="541"/>
      <c r="BS141" s="541"/>
      <c r="BT141" s="541"/>
    </row>
    <row r="142" spans="1:72" x14ac:dyDescent="0.25">
      <c r="A142" s="325" t="s">
        <v>423</v>
      </c>
      <c r="B142" s="331" t="s">
        <v>562</v>
      </c>
      <c r="C142" s="531">
        <v>31</v>
      </c>
      <c r="D142" s="532">
        <v>25</v>
      </c>
      <c r="E142" s="537">
        <v>40</v>
      </c>
      <c r="F142" s="531">
        <v>31</v>
      </c>
      <c r="G142" s="532">
        <v>23</v>
      </c>
      <c r="H142" s="537">
        <v>40</v>
      </c>
      <c r="I142" s="531">
        <v>31</v>
      </c>
      <c r="J142" s="532">
        <v>23</v>
      </c>
      <c r="K142" s="537">
        <v>35</v>
      </c>
      <c r="L142" s="531">
        <v>31</v>
      </c>
      <c r="M142" s="532">
        <v>20</v>
      </c>
      <c r="N142" s="537">
        <v>50</v>
      </c>
      <c r="O142" s="531">
        <v>31</v>
      </c>
      <c r="P142" s="532">
        <v>19</v>
      </c>
      <c r="Q142" s="537">
        <v>35</v>
      </c>
      <c r="R142" s="531">
        <v>31</v>
      </c>
      <c r="S142" s="532">
        <v>20</v>
      </c>
      <c r="T142" s="537">
        <v>35</v>
      </c>
      <c r="U142" s="531">
        <v>31</v>
      </c>
      <c r="V142" s="532">
        <v>22</v>
      </c>
      <c r="W142" s="537">
        <v>35</v>
      </c>
      <c r="X142" s="531">
        <v>31</v>
      </c>
      <c r="Y142" s="532">
        <v>24</v>
      </c>
      <c r="Z142" s="537">
        <v>45</v>
      </c>
      <c r="AA142" s="531">
        <v>31</v>
      </c>
      <c r="AB142" s="532">
        <v>20</v>
      </c>
      <c r="AC142" s="537">
        <v>30</v>
      </c>
      <c r="AD142" s="531">
        <v>31</v>
      </c>
      <c r="AE142" s="532">
        <v>24</v>
      </c>
      <c r="AF142" s="537">
        <v>35</v>
      </c>
      <c r="AG142" s="531">
        <v>33</v>
      </c>
      <c r="AH142" s="532">
        <v>25</v>
      </c>
      <c r="AI142" s="537">
        <v>35</v>
      </c>
      <c r="AJ142" s="531">
        <v>0</v>
      </c>
      <c r="AK142" s="532">
        <v>0</v>
      </c>
      <c r="AL142" s="538">
        <v>15</v>
      </c>
      <c r="AM142" s="539"/>
      <c r="AN142" s="540"/>
      <c r="AO142" s="540"/>
      <c r="AP142" s="539"/>
      <c r="AQ142" s="539"/>
      <c r="AR142" s="539"/>
      <c r="AS142" s="539"/>
      <c r="AT142" s="539"/>
      <c r="AU142" s="539"/>
      <c r="AV142" s="539"/>
      <c r="AW142" s="539"/>
      <c r="AX142" s="539"/>
      <c r="AY142" s="539"/>
      <c r="AZ142" s="539"/>
      <c r="BA142" s="539"/>
      <c r="BB142" s="539"/>
      <c r="BC142" s="539"/>
      <c r="BD142" s="539"/>
      <c r="BE142" s="541"/>
      <c r="BF142" s="541"/>
      <c r="BG142" s="541"/>
      <c r="BH142" s="541"/>
      <c r="BI142" s="541"/>
      <c r="BJ142" s="541"/>
      <c r="BK142" s="541"/>
      <c r="BL142" s="541"/>
      <c r="BM142" s="541"/>
      <c r="BN142" s="541"/>
      <c r="BO142" s="541"/>
      <c r="BP142" s="541"/>
      <c r="BQ142" s="541"/>
      <c r="BR142" s="541"/>
      <c r="BS142" s="541"/>
      <c r="BT142" s="541"/>
    </row>
    <row r="143" spans="1:72" x14ac:dyDescent="0.25">
      <c r="A143" s="325" t="s">
        <v>405</v>
      </c>
      <c r="B143" s="331" t="s">
        <v>544</v>
      </c>
      <c r="C143" s="531">
        <v>61</v>
      </c>
      <c r="D143" s="532">
        <v>51</v>
      </c>
      <c r="E143" s="537">
        <v>65</v>
      </c>
      <c r="F143" s="531">
        <v>61</v>
      </c>
      <c r="G143" s="532">
        <v>53</v>
      </c>
      <c r="H143" s="537">
        <v>65</v>
      </c>
      <c r="I143" s="531">
        <v>61</v>
      </c>
      <c r="J143" s="532">
        <v>52</v>
      </c>
      <c r="K143" s="537">
        <v>65</v>
      </c>
      <c r="L143" s="531">
        <v>61</v>
      </c>
      <c r="M143" s="532">
        <v>54</v>
      </c>
      <c r="N143" s="537">
        <v>65</v>
      </c>
      <c r="O143" s="531">
        <v>61</v>
      </c>
      <c r="P143" s="532">
        <v>50</v>
      </c>
      <c r="Q143" s="537">
        <v>60</v>
      </c>
      <c r="R143" s="531">
        <v>61</v>
      </c>
      <c r="S143" s="532">
        <v>52</v>
      </c>
      <c r="T143" s="537">
        <v>65</v>
      </c>
      <c r="U143" s="531">
        <v>61</v>
      </c>
      <c r="V143" s="532">
        <v>51</v>
      </c>
      <c r="W143" s="537">
        <v>70</v>
      </c>
      <c r="X143" s="531">
        <v>61</v>
      </c>
      <c r="Y143" s="532">
        <v>61</v>
      </c>
      <c r="Z143" s="537">
        <v>75</v>
      </c>
      <c r="AA143" s="531">
        <v>61</v>
      </c>
      <c r="AB143" s="532">
        <v>46</v>
      </c>
      <c r="AC143" s="537">
        <v>50</v>
      </c>
      <c r="AD143" s="531">
        <v>61</v>
      </c>
      <c r="AE143" s="532">
        <v>55</v>
      </c>
      <c r="AF143" s="537">
        <v>65</v>
      </c>
      <c r="AG143" s="531">
        <v>61</v>
      </c>
      <c r="AH143" s="532">
        <v>54</v>
      </c>
      <c r="AI143" s="537">
        <v>65</v>
      </c>
      <c r="AJ143" s="531">
        <v>0</v>
      </c>
      <c r="AK143" s="532">
        <v>0</v>
      </c>
      <c r="AL143" s="538">
        <v>25</v>
      </c>
      <c r="AM143" s="539"/>
      <c r="AN143" s="540"/>
      <c r="AO143" s="540"/>
      <c r="AP143" s="539"/>
      <c r="AQ143" s="539"/>
      <c r="AR143" s="539"/>
      <c r="AS143" s="539"/>
      <c r="AT143" s="539"/>
      <c r="AU143" s="539"/>
      <c r="AV143" s="539"/>
      <c r="AW143" s="539"/>
      <c r="AX143" s="539"/>
      <c r="AY143" s="539"/>
      <c r="AZ143" s="539"/>
      <c r="BA143" s="539"/>
      <c r="BB143" s="539"/>
      <c r="BC143" s="539"/>
      <c r="BD143" s="539"/>
      <c r="BE143" s="541"/>
      <c r="BF143" s="541"/>
      <c r="BG143" s="541"/>
      <c r="BH143" s="541"/>
      <c r="BI143" s="541"/>
      <c r="BJ143" s="541"/>
      <c r="BK143" s="541"/>
      <c r="BL143" s="541"/>
      <c r="BM143" s="541"/>
      <c r="BN143" s="541"/>
      <c r="BO143" s="541"/>
      <c r="BP143" s="541"/>
      <c r="BQ143" s="541"/>
      <c r="BR143" s="541"/>
      <c r="BS143" s="541"/>
      <c r="BT143" s="541"/>
    </row>
    <row r="144" spans="1:72" x14ac:dyDescent="0.25">
      <c r="A144" s="325" t="s">
        <v>356</v>
      </c>
      <c r="B144" s="331" t="s">
        <v>496</v>
      </c>
      <c r="C144" s="531">
        <v>110</v>
      </c>
      <c r="D144" s="532">
        <v>93</v>
      </c>
      <c r="E144" s="537">
        <v>165</v>
      </c>
      <c r="F144" s="531">
        <v>110</v>
      </c>
      <c r="G144" s="532">
        <v>90</v>
      </c>
      <c r="H144" s="537">
        <v>180</v>
      </c>
      <c r="I144" s="531">
        <v>110</v>
      </c>
      <c r="J144" s="532">
        <v>90</v>
      </c>
      <c r="K144" s="537">
        <v>185</v>
      </c>
      <c r="L144" s="531">
        <v>110</v>
      </c>
      <c r="M144" s="532">
        <v>92</v>
      </c>
      <c r="N144" s="537">
        <v>170</v>
      </c>
      <c r="O144" s="531">
        <v>110</v>
      </c>
      <c r="P144" s="532">
        <v>90</v>
      </c>
      <c r="Q144" s="537">
        <v>175</v>
      </c>
      <c r="R144" s="531">
        <v>110</v>
      </c>
      <c r="S144" s="532">
        <v>93</v>
      </c>
      <c r="T144" s="537">
        <v>190</v>
      </c>
      <c r="U144" s="531">
        <v>110</v>
      </c>
      <c r="V144" s="532">
        <v>92</v>
      </c>
      <c r="W144" s="537">
        <v>180</v>
      </c>
      <c r="X144" s="531">
        <v>110</v>
      </c>
      <c r="Y144" s="532">
        <v>87</v>
      </c>
      <c r="Z144" s="537">
        <v>160</v>
      </c>
      <c r="AA144" s="531">
        <v>110</v>
      </c>
      <c r="AB144" s="532">
        <v>73</v>
      </c>
      <c r="AC144" s="537">
        <v>145</v>
      </c>
      <c r="AD144" s="531">
        <v>110</v>
      </c>
      <c r="AE144" s="532">
        <v>95</v>
      </c>
      <c r="AF144" s="537">
        <v>180</v>
      </c>
      <c r="AG144" s="531">
        <v>110</v>
      </c>
      <c r="AH144" s="532">
        <v>86</v>
      </c>
      <c r="AI144" s="537">
        <v>145</v>
      </c>
      <c r="AJ144" s="531">
        <v>0</v>
      </c>
      <c r="AK144" s="532">
        <v>0</v>
      </c>
      <c r="AL144" s="538">
        <v>55</v>
      </c>
      <c r="AM144" s="539"/>
      <c r="AN144" s="540"/>
      <c r="AO144" s="540"/>
      <c r="AP144" s="539"/>
      <c r="AQ144" s="539"/>
      <c r="AR144" s="539"/>
      <c r="AS144" s="539"/>
      <c r="AT144" s="539"/>
      <c r="AU144" s="539"/>
      <c r="AV144" s="539"/>
      <c r="AW144" s="539"/>
      <c r="AX144" s="539"/>
      <c r="AY144" s="539"/>
      <c r="AZ144" s="539"/>
      <c r="BA144" s="539"/>
      <c r="BB144" s="539"/>
      <c r="BC144" s="539"/>
      <c r="BD144" s="539"/>
      <c r="BE144" s="541"/>
      <c r="BF144" s="541"/>
      <c r="BG144" s="541"/>
      <c r="BH144" s="541"/>
      <c r="BI144" s="541"/>
      <c r="BJ144" s="541"/>
      <c r="BK144" s="541"/>
      <c r="BL144" s="541"/>
      <c r="BM144" s="541"/>
      <c r="BN144" s="541"/>
      <c r="BO144" s="541"/>
      <c r="BP144" s="541"/>
      <c r="BQ144" s="541"/>
      <c r="BR144" s="541"/>
      <c r="BS144" s="541"/>
      <c r="BT144" s="541"/>
    </row>
    <row r="145" spans="1:72" x14ac:dyDescent="0.25">
      <c r="A145" s="325" t="s">
        <v>404</v>
      </c>
      <c r="B145" s="331" t="s">
        <v>543</v>
      </c>
      <c r="C145" s="531">
        <v>98</v>
      </c>
      <c r="D145" s="532">
        <v>89</v>
      </c>
      <c r="E145" s="537">
        <v>90</v>
      </c>
      <c r="F145" s="531">
        <v>100</v>
      </c>
      <c r="G145" s="532">
        <v>88</v>
      </c>
      <c r="H145" s="537">
        <v>80</v>
      </c>
      <c r="I145" s="531">
        <v>99</v>
      </c>
      <c r="J145" s="532">
        <v>93</v>
      </c>
      <c r="K145" s="537">
        <v>95</v>
      </c>
      <c r="L145" s="531">
        <v>101</v>
      </c>
      <c r="M145" s="532">
        <v>94</v>
      </c>
      <c r="N145" s="537">
        <v>75</v>
      </c>
      <c r="O145" s="531">
        <v>99</v>
      </c>
      <c r="P145" s="532">
        <v>94</v>
      </c>
      <c r="Q145" s="537">
        <v>75</v>
      </c>
      <c r="R145" s="531">
        <v>98</v>
      </c>
      <c r="S145" s="532">
        <v>91</v>
      </c>
      <c r="T145" s="537">
        <v>85</v>
      </c>
      <c r="U145" s="531">
        <v>100</v>
      </c>
      <c r="V145" s="532">
        <v>92</v>
      </c>
      <c r="W145" s="537">
        <v>75</v>
      </c>
      <c r="X145" s="531">
        <v>99</v>
      </c>
      <c r="Y145" s="532">
        <v>93</v>
      </c>
      <c r="Z145" s="537">
        <v>95</v>
      </c>
      <c r="AA145" s="531">
        <v>93</v>
      </c>
      <c r="AB145" s="532">
        <v>87</v>
      </c>
      <c r="AC145" s="537">
        <v>60</v>
      </c>
      <c r="AD145" s="531">
        <v>93</v>
      </c>
      <c r="AE145" s="532">
        <v>87</v>
      </c>
      <c r="AF145" s="537">
        <v>75</v>
      </c>
      <c r="AG145" s="531">
        <v>95</v>
      </c>
      <c r="AH145" s="532">
        <v>89</v>
      </c>
      <c r="AI145" s="537">
        <v>85</v>
      </c>
      <c r="AJ145" s="531">
        <v>0</v>
      </c>
      <c r="AK145" s="532">
        <v>0</v>
      </c>
      <c r="AL145" s="538">
        <v>25</v>
      </c>
      <c r="AM145" s="539"/>
      <c r="AN145" s="540"/>
      <c r="AO145" s="540"/>
      <c r="AP145" s="539"/>
      <c r="AQ145" s="539"/>
      <c r="AR145" s="539"/>
      <c r="AS145" s="539"/>
      <c r="AT145" s="539"/>
      <c r="AU145" s="539"/>
      <c r="AV145" s="539"/>
      <c r="AW145" s="539"/>
      <c r="AX145" s="539"/>
      <c r="AY145" s="539"/>
      <c r="AZ145" s="539"/>
      <c r="BA145" s="539"/>
      <c r="BB145" s="539"/>
      <c r="BC145" s="539"/>
      <c r="BD145" s="539"/>
      <c r="BE145" s="541"/>
      <c r="BF145" s="541"/>
      <c r="BG145" s="541"/>
      <c r="BH145" s="541"/>
      <c r="BI145" s="541"/>
      <c r="BJ145" s="541"/>
      <c r="BK145" s="541"/>
      <c r="BL145" s="541"/>
      <c r="BM145" s="541"/>
      <c r="BN145" s="541"/>
      <c r="BO145" s="541"/>
      <c r="BP145" s="541"/>
      <c r="BQ145" s="541"/>
      <c r="BR145" s="541"/>
      <c r="BS145" s="541"/>
      <c r="BT145" s="541"/>
    </row>
    <row r="146" spans="1:72" x14ac:dyDescent="0.25">
      <c r="A146" s="325" t="s">
        <v>312</v>
      </c>
      <c r="B146" s="331" t="s">
        <v>452</v>
      </c>
      <c r="C146" s="531">
        <v>55</v>
      </c>
      <c r="D146" s="532">
        <v>50</v>
      </c>
      <c r="E146" s="537">
        <v>120</v>
      </c>
      <c r="F146" s="531">
        <v>55</v>
      </c>
      <c r="G146" s="532">
        <v>50</v>
      </c>
      <c r="H146" s="537">
        <v>125</v>
      </c>
      <c r="I146" s="531">
        <v>58</v>
      </c>
      <c r="J146" s="532">
        <v>58</v>
      </c>
      <c r="K146" s="537">
        <v>120</v>
      </c>
      <c r="L146" s="531">
        <v>55</v>
      </c>
      <c r="M146" s="532">
        <v>52</v>
      </c>
      <c r="N146" s="537">
        <v>100</v>
      </c>
      <c r="O146" s="531">
        <v>55</v>
      </c>
      <c r="P146" s="532">
        <v>52</v>
      </c>
      <c r="Q146" s="537">
        <v>90</v>
      </c>
      <c r="R146" s="531">
        <v>55</v>
      </c>
      <c r="S146" s="532">
        <v>55</v>
      </c>
      <c r="T146" s="537">
        <v>115</v>
      </c>
      <c r="U146" s="531">
        <v>55</v>
      </c>
      <c r="V146" s="532">
        <v>54</v>
      </c>
      <c r="W146" s="537">
        <v>120</v>
      </c>
      <c r="X146" s="531">
        <v>55</v>
      </c>
      <c r="Y146" s="532">
        <v>54</v>
      </c>
      <c r="Z146" s="537">
        <v>125</v>
      </c>
      <c r="AA146" s="531">
        <v>55</v>
      </c>
      <c r="AB146" s="532">
        <v>46</v>
      </c>
      <c r="AC146" s="537">
        <v>105</v>
      </c>
      <c r="AD146" s="531">
        <v>55</v>
      </c>
      <c r="AE146" s="532">
        <v>54</v>
      </c>
      <c r="AF146" s="537">
        <v>120</v>
      </c>
      <c r="AG146" s="531">
        <v>55</v>
      </c>
      <c r="AH146" s="532">
        <v>52</v>
      </c>
      <c r="AI146" s="537">
        <v>100</v>
      </c>
      <c r="AJ146" s="531">
        <v>0</v>
      </c>
      <c r="AK146" s="532">
        <v>0</v>
      </c>
      <c r="AL146" s="538">
        <v>20</v>
      </c>
      <c r="AM146" s="539"/>
      <c r="AN146" s="540"/>
      <c r="AO146" s="540"/>
      <c r="AP146" s="539"/>
      <c r="AQ146" s="539"/>
      <c r="AR146" s="539"/>
      <c r="AS146" s="539"/>
      <c r="AT146" s="539"/>
      <c r="AU146" s="539"/>
      <c r="AV146" s="539"/>
      <c r="AW146" s="539"/>
      <c r="AX146" s="539"/>
      <c r="AY146" s="539"/>
      <c r="AZ146" s="539"/>
      <c r="BA146" s="539"/>
      <c r="BB146" s="539"/>
      <c r="BC146" s="539"/>
      <c r="BD146" s="539"/>
      <c r="BE146" s="541"/>
      <c r="BF146" s="541"/>
      <c r="BG146" s="541"/>
      <c r="BH146" s="541"/>
      <c r="BI146" s="541"/>
      <c r="BJ146" s="541"/>
      <c r="BK146" s="541"/>
      <c r="BL146" s="541"/>
      <c r="BM146" s="541"/>
      <c r="BN146" s="541"/>
      <c r="BO146" s="541"/>
      <c r="BP146" s="541"/>
      <c r="BQ146" s="541"/>
      <c r="BR146" s="541"/>
      <c r="BS146" s="541"/>
      <c r="BT146" s="541"/>
    </row>
    <row r="147" spans="1:72" x14ac:dyDescent="0.25">
      <c r="A147" s="325" t="s">
        <v>372</v>
      </c>
      <c r="B147" s="331" t="s">
        <v>512</v>
      </c>
      <c r="C147" s="531">
        <v>37</v>
      </c>
      <c r="D147" s="532">
        <v>36</v>
      </c>
      <c r="E147" s="537">
        <v>80</v>
      </c>
      <c r="F147" s="531">
        <v>37</v>
      </c>
      <c r="G147" s="532">
        <v>36</v>
      </c>
      <c r="H147" s="537">
        <v>90</v>
      </c>
      <c r="I147" s="531">
        <v>37</v>
      </c>
      <c r="J147" s="532">
        <v>34</v>
      </c>
      <c r="K147" s="537">
        <v>90</v>
      </c>
      <c r="L147" s="531">
        <v>37</v>
      </c>
      <c r="M147" s="532">
        <v>37</v>
      </c>
      <c r="N147" s="537">
        <v>85</v>
      </c>
      <c r="O147" s="531">
        <v>37</v>
      </c>
      <c r="P147" s="532">
        <v>33</v>
      </c>
      <c r="Q147" s="537">
        <v>80</v>
      </c>
      <c r="R147" s="531">
        <v>37</v>
      </c>
      <c r="S147" s="532">
        <v>37</v>
      </c>
      <c r="T147" s="537">
        <v>90</v>
      </c>
      <c r="U147" s="531">
        <v>37</v>
      </c>
      <c r="V147" s="532">
        <v>37</v>
      </c>
      <c r="W147" s="537">
        <v>95</v>
      </c>
      <c r="X147" s="531">
        <v>37</v>
      </c>
      <c r="Y147" s="532">
        <v>36</v>
      </c>
      <c r="Z147" s="537">
        <v>95</v>
      </c>
      <c r="AA147" s="531">
        <v>37</v>
      </c>
      <c r="AB147" s="532">
        <v>35</v>
      </c>
      <c r="AC147" s="537">
        <v>70</v>
      </c>
      <c r="AD147" s="531">
        <v>37</v>
      </c>
      <c r="AE147" s="532">
        <v>37</v>
      </c>
      <c r="AF147" s="537">
        <v>80</v>
      </c>
      <c r="AG147" s="531">
        <v>37</v>
      </c>
      <c r="AH147" s="532">
        <v>36</v>
      </c>
      <c r="AI147" s="537">
        <v>70</v>
      </c>
      <c r="AJ147" s="531">
        <v>0</v>
      </c>
      <c r="AK147" s="532">
        <v>0</v>
      </c>
      <c r="AL147" s="538">
        <v>30</v>
      </c>
      <c r="AM147" s="539"/>
      <c r="AN147" s="540"/>
      <c r="AO147" s="540"/>
      <c r="AP147" s="539"/>
      <c r="AQ147" s="539"/>
      <c r="AR147" s="539"/>
      <c r="AS147" s="539"/>
      <c r="AT147" s="539"/>
      <c r="AU147" s="539"/>
      <c r="AV147" s="539"/>
      <c r="AW147" s="539"/>
      <c r="AX147" s="539"/>
      <c r="AY147" s="539"/>
      <c r="AZ147" s="539"/>
      <c r="BA147" s="539"/>
      <c r="BB147" s="539"/>
      <c r="BC147" s="539"/>
      <c r="BD147" s="539"/>
      <c r="BE147" s="541"/>
      <c r="BF147" s="541"/>
      <c r="BG147" s="541"/>
      <c r="BH147" s="541"/>
      <c r="BI147" s="541"/>
      <c r="BJ147" s="541"/>
      <c r="BK147" s="541"/>
      <c r="BL147" s="541"/>
      <c r="BM147" s="541"/>
      <c r="BN147" s="541"/>
      <c r="BO147" s="541"/>
      <c r="BP147" s="541"/>
      <c r="BQ147" s="541"/>
      <c r="BR147" s="541"/>
      <c r="BS147" s="541"/>
      <c r="BT147" s="541"/>
    </row>
    <row r="148" spans="1:72" x14ac:dyDescent="0.25">
      <c r="A148" s="325" t="s">
        <v>410</v>
      </c>
      <c r="B148" s="331" t="s">
        <v>549</v>
      </c>
      <c r="C148" s="531">
        <v>54</v>
      </c>
      <c r="D148" s="532">
        <v>46</v>
      </c>
      <c r="E148" s="537">
        <v>40</v>
      </c>
      <c r="F148" s="531">
        <v>54</v>
      </c>
      <c r="G148" s="532">
        <v>38</v>
      </c>
      <c r="H148" s="537">
        <v>40</v>
      </c>
      <c r="I148" s="531">
        <v>54</v>
      </c>
      <c r="J148" s="532">
        <v>30</v>
      </c>
      <c r="K148" s="537">
        <v>35</v>
      </c>
      <c r="L148" s="531">
        <v>54</v>
      </c>
      <c r="M148" s="532">
        <v>42</v>
      </c>
      <c r="N148" s="537">
        <v>45</v>
      </c>
      <c r="O148" s="531">
        <v>54</v>
      </c>
      <c r="P148" s="532">
        <v>41</v>
      </c>
      <c r="Q148" s="537">
        <v>45</v>
      </c>
      <c r="R148" s="531">
        <v>54</v>
      </c>
      <c r="S148" s="532">
        <v>44</v>
      </c>
      <c r="T148" s="537">
        <v>45</v>
      </c>
      <c r="U148" s="531">
        <v>54</v>
      </c>
      <c r="V148" s="532">
        <v>39</v>
      </c>
      <c r="W148" s="537">
        <v>40</v>
      </c>
      <c r="X148" s="531">
        <v>55</v>
      </c>
      <c r="Y148" s="532">
        <v>48</v>
      </c>
      <c r="Z148" s="537">
        <v>50</v>
      </c>
      <c r="AA148" s="531">
        <v>55</v>
      </c>
      <c r="AB148" s="532">
        <v>37</v>
      </c>
      <c r="AC148" s="537">
        <v>30</v>
      </c>
      <c r="AD148" s="531">
        <v>55</v>
      </c>
      <c r="AE148" s="532">
        <v>43</v>
      </c>
      <c r="AF148" s="537">
        <v>40</v>
      </c>
      <c r="AG148" s="531">
        <v>55</v>
      </c>
      <c r="AH148" s="532">
        <v>46</v>
      </c>
      <c r="AI148" s="537">
        <v>40</v>
      </c>
      <c r="AJ148" s="531">
        <v>0</v>
      </c>
      <c r="AK148" s="532">
        <v>0</v>
      </c>
      <c r="AL148" s="538">
        <v>10</v>
      </c>
      <c r="AM148" s="539"/>
      <c r="AN148" s="540"/>
      <c r="AO148" s="540"/>
      <c r="AP148" s="539"/>
      <c r="AQ148" s="539"/>
      <c r="AR148" s="539"/>
      <c r="AS148" s="539"/>
      <c r="AT148" s="539"/>
      <c r="AU148" s="539"/>
      <c r="AV148" s="539"/>
      <c r="AW148" s="539"/>
      <c r="AX148" s="539"/>
      <c r="AY148" s="539"/>
      <c r="AZ148" s="539"/>
      <c r="BA148" s="539"/>
      <c r="BB148" s="539"/>
      <c r="BC148" s="539"/>
      <c r="BD148" s="539"/>
      <c r="BE148" s="541"/>
      <c r="BF148" s="541"/>
      <c r="BG148" s="541"/>
      <c r="BH148" s="541"/>
      <c r="BI148" s="541"/>
      <c r="BJ148" s="541"/>
      <c r="BK148" s="541"/>
      <c r="BL148" s="541"/>
      <c r="BM148" s="541"/>
      <c r="BN148" s="541"/>
      <c r="BO148" s="541"/>
      <c r="BP148" s="541"/>
      <c r="BQ148" s="541"/>
      <c r="BR148" s="541"/>
      <c r="BS148" s="541"/>
      <c r="BT148" s="541"/>
    </row>
    <row r="149" spans="1:72" x14ac:dyDescent="0.25">
      <c r="A149" s="325" t="s">
        <v>424</v>
      </c>
      <c r="B149" s="331" t="s">
        <v>563</v>
      </c>
      <c r="C149" s="531">
        <v>76</v>
      </c>
      <c r="D149" s="532">
        <v>55</v>
      </c>
      <c r="E149" s="537">
        <v>145</v>
      </c>
      <c r="F149" s="531">
        <v>76</v>
      </c>
      <c r="G149" s="532">
        <v>55</v>
      </c>
      <c r="H149" s="537">
        <v>170</v>
      </c>
      <c r="I149" s="531">
        <v>76</v>
      </c>
      <c r="J149" s="532">
        <v>65</v>
      </c>
      <c r="K149" s="537">
        <v>175</v>
      </c>
      <c r="L149" s="531">
        <v>76</v>
      </c>
      <c r="M149" s="532">
        <v>58</v>
      </c>
      <c r="N149" s="537">
        <v>155</v>
      </c>
      <c r="O149" s="531">
        <v>76</v>
      </c>
      <c r="P149" s="532">
        <v>62</v>
      </c>
      <c r="Q149" s="537">
        <v>175</v>
      </c>
      <c r="R149" s="531">
        <v>77</v>
      </c>
      <c r="S149" s="532">
        <v>64</v>
      </c>
      <c r="T149" s="537">
        <v>175</v>
      </c>
      <c r="U149" s="531">
        <v>77</v>
      </c>
      <c r="V149" s="532">
        <v>70</v>
      </c>
      <c r="W149" s="537">
        <v>180</v>
      </c>
      <c r="X149" s="531">
        <v>77</v>
      </c>
      <c r="Y149" s="532">
        <v>55</v>
      </c>
      <c r="Z149" s="537">
        <v>185</v>
      </c>
      <c r="AA149" s="531">
        <v>77</v>
      </c>
      <c r="AB149" s="532">
        <v>46</v>
      </c>
      <c r="AC149" s="537">
        <v>130</v>
      </c>
      <c r="AD149" s="531">
        <v>81</v>
      </c>
      <c r="AE149" s="532">
        <v>63</v>
      </c>
      <c r="AF149" s="537">
        <v>170</v>
      </c>
      <c r="AG149" s="531">
        <v>81</v>
      </c>
      <c r="AH149" s="532">
        <v>58</v>
      </c>
      <c r="AI149" s="537">
        <v>160</v>
      </c>
      <c r="AJ149" s="531">
        <v>0</v>
      </c>
      <c r="AK149" s="532">
        <v>0</v>
      </c>
      <c r="AL149" s="538">
        <v>55</v>
      </c>
      <c r="AM149" s="539"/>
      <c r="AN149" s="540"/>
      <c r="AO149" s="540"/>
      <c r="AP149" s="539"/>
      <c r="AQ149" s="539"/>
      <c r="AR149" s="539"/>
      <c r="AS149" s="539"/>
      <c r="AT149" s="539"/>
      <c r="AU149" s="539"/>
      <c r="AV149" s="539"/>
      <c r="AW149" s="539"/>
      <c r="AX149" s="539"/>
      <c r="AY149" s="539"/>
      <c r="AZ149" s="539"/>
      <c r="BA149" s="539"/>
      <c r="BB149" s="539"/>
      <c r="BC149" s="539"/>
      <c r="BD149" s="539"/>
      <c r="BE149" s="541"/>
      <c r="BF149" s="541"/>
      <c r="BG149" s="541"/>
      <c r="BH149" s="541"/>
      <c r="BI149" s="541"/>
      <c r="BJ149" s="541"/>
      <c r="BK149" s="541"/>
      <c r="BL149" s="541"/>
      <c r="BM149" s="541"/>
      <c r="BN149" s="541"/>
      <c r="BO149" s="541"/>
      <c r="BP149" s="541"/>
      <c r="BQ149" s="541"/>
      <c r="BR149" s="541"/>
      <c r="BS149" s="541"/>
      <c r="BT149" s="541"/>
    </row>
    <row r="150" spans="1:72" x14ac:dyDescent="0.25">
      <c r="A150" s="325" t="s">
        <v>415</v>
      </c>
      <c r="B150" s="331" t="s">
        <v>554</v>
      </c>
      <c r="C150" s="531">
        <v>14</v>
      </c>
      <c r="D150" s="532">
        <v>12</v>
      </c>
      <c r="E150" s="537">
        <v>30</v>
      </c>
      <c r="F150" s="531">
        <v>14</v>
      </c>
      <c r="G150" s="532">
        <v>10</v>
      </c>
      <c r="H150" s="537">
        <v>25</v>
      </c>
      <c r="I150" s="531">
        <v>14</v>
      </c>
      <c r="J150" s="532">
        <v>9</v>
      </c>
      <c r="K150" s="537">
        <v>20</v>
      </c>
      <c r="L150" s="531">
        <v>14</v>
      </c>
      <c r="M150" s="532">
        <v>7</v>
      </c>
      <c r="N150" s="537">
        <v>20</v>
      </c>
      <c r="O150" s="531">
        <v>14</v>
      </c>
      <c r="P150" s="532">
        <v>8</v>
      </c>
      <c r="Q150" s="537">
        <v>20</v>
      </c>
      <c r="R150" s="531">
        <v>14</v>
      </c>
      <c r="S150" s="532">
        <v>9</v>
      </c>
      <c r="T150" s="537">
        <v>20</v>
      </c>
      <c r="U150" s="531">
        <v>14</v>
      </c>
      <c r="V150" s="532">
        <v>10</v>
      </c>
      <c r="W150" s="537">
        <v>20</v>
      </c>
      <c r="X150" s="531">
        <v>14</v>
      </c>
      <c r="Y150" s="532">
        <v>12</v>
      </c>
      <c r="Z150" s="537">
        <v>20</v>
      </c>
      <c r="AA150" s="531">
        <v>14</v>
      </c>
      <c r="AB150" s="532">
        <v>12</v>
      </c>
      <c r="AC150" s="537">
        <v>20</v>
      </c>
      <c r="AD150" s="531">
        <v>14</v>
      </c>
      <c r="AE150" s="532">
        <v>9</v>
      </c>
      <c r="AF150" s="537">
        <v>20</v>
      </c>
      <c r="AG150" s="531">
        <v>14</v>
      </c>
      <c r="AH150" s="532">
        <v>12</v>
      </c>
      <c r="AI150" s="537">
        <v>20</v>
      </c>
      <c r="AJ150" s="531">
        <v>0</v>
      </c>
      <c r="AK150" s="532">
        <v>0</v>
      </c>
      <c r="AL150" s="538">
        <v>10</v>
      </c>
      <c r="AM150" s="539"/>
      <c r="AN150" s="540"/>
      <c r="AO150" s="540"/>
      <c r="AP150" s="539"/>
      <c r="AQ150" s="539"/>
      <c r="AR150" s="539"/>
      <c r="AS150" s="539"/>
      <c r="AT150" s="539"/>
      <c r="AU150" s="539"/>
      <c r="AV150" s="539"/>
      <c r="AW150" s="539"/>
      <c r="AX150" s="539"/>
      <c r="AY150" s="539"/>
      <c r="AZ150" s="539"/>
      <c r="BA150" s="539"/>
      <c r="BB150" s="539"/>
      <c r="BC150" s="539"/>
      <c r="BD150" s="539"/>
      <c r="BE150" s="541"/>
      <c r="BF150" s="541"/>
      <c r="BG150" s="541"/>
      <c r="BH150" s="541"/>
      <c r="BI150" s="541"/>
      <c r="BJ150" s="541"/>
      <c r="BK150" s="541"/>
      <c r="BL150" s="541"/>
      <c r="BM150" s="541"/>
      <c r="BN150" s="541"/>
      <c r="BO150" s="541"/>
      <c r="BP150" s="541"/>
      <c r="BQ150" s="541"/>
      <c r="BR150" s="541"/>
      <c r="BS150" s="541"/>
      <c r="BT150" s="541"/>
    </row>
    <row r="151" spans="1:72" x14ac:dyDescent="0.25">
      <c r="A151" s="325" t="s">
        <v>365</v>
      </c>
      <c r="B151" s="331" t="s">
        <v>505</v>
      </c>
      <c r="C151" s="531">
        <v>82</v>
      </c>
      <c r="D151" s="532">
        <v>74</v>
      </c>
      <c r="E151" s="537">
        <v>125</v>
      </c>
      <c r="F151" s="531">
        <v>81</v>
      </c>
      <c r="G151" s="532">
        <v>71</v>
      </c>
      <c r="H151" s="537">
        <v>125</v>
      </c>
      <c r="I151" s="531">
        <v>82</v>
      </c>
      <c r="J151" s="532">
        <v>71</v>
      </c>
      <c r="K151" s="537">
        <v>130</v>
      </c>
      <c r="L151" s="531">
        <v>82</v>
      </c>
      <c r="M151" s="532">
        <v>67</v>
      </c>
      <c r="N151" s="537">
        <v>130</v>
      </c>
      <c r="O151" s="531">
        <v>82</v>
      </c>
      <c r="P151" s="532">
        <v>66</v>
      </c>
      <c r="Q151" s="537">
        <v>110</v>
      </c>
      <c r="R151" s="531">
        <v>82</v>
      </c>
      <c r="S151" s="532">
        <v>72</v>
      </c>
      <c r="T151" s="537">
        <v>125</v>
      </c>
      <c r="U151" s="531">
        <v>82</v>
      </c>
      <c r="V151" s="532">
        <v>70</v>
      </c>
      <c r="W151" s="537">
        <v>120</v>
      </c>
      <c r="X151" s="531">
        <v>82</v>
      </c>
      <c r="Y151" s="532">
        <v>69</v>
      </c>
      <c r="Z151" s="537">
        <v>120</v>
      </c>
      <c r="AA151" s="531">
        <v>82</v>
      </c>
      <c r="AB151" s="532">
        <v>64</v>
      </c>
      <c r="AC151" s="537">
        <v>110</v>
      </c>
      <c r="AD151" s="531">
        <v>82</v>
      </c>
      <c r="AE151" s="532">
        <v>68</v>
      </c>
      <c r="AF151" s="537">
        <v>110</v>
      </c>
      <c r="AG151" s="531">
        <v>82</v>
      </c>
      <c r="AH151" s="532">
        <v>77</v>
      </c>
      <c r="AI151" s="537">
        <v>95</v>
      </c>
      <c r="AJ151" s="531">
        <v>0</v>
      </c>
      <c r="AK151" s="532">
        <v>0</v>
      </c>
      <c r="AL151" s="538">
        <v>30</v>
      </c>
      <c r="AM151" s="539"/>
      <c r="AN151" s="540"/>
      <c r="AO151" s="540"/>
      <c r="AP151" s="539"/>
      <c r="AQ151" s="539"/>
      <c r="AR151" s="539"/>
      <c r="AS151" s="539"/>
      <c r="AT151" s="539"/>
      <c r="AU151" s="539"/>
      <c r="AV151" s="539"/>
      <c r="AW151" s="539"/>
      <c r="AX151" s="539"/>
      <c r="AY151" s="539"/>
      <c r="AZ151" s="539"/>
      <c r="BA151" s="539"/>
      <c r="BB151" s="539"/>
      <c r="BC151" s="539"/>
      <c r="BD151" s="539"/>
      <c r="BE151" s="541"/>
      <c r="BF151" s="541"/>
      <c r="BG151" s="541"/>
      <c r="BH151" s="541"/>
      <c r="BI151" s="541"/>
      <c r="BJ151" s="541"/>
      <c r="BK151" s="541"/>
      <c r="BL151" s="541"/>
      <c r="BM151" s="541"/>
      <c r="BN151" s="541"/>
      <c r="BO151" s="541"/>
      <c r="BP151" s="541"/>
      <c r="BQ151" s="541"/>
      <c r="BR151" s="541"/>
      <c r="BS151" s="541"/>
      <c r="BT151" s="541"/>
    </row>
    <row r="152" spans="1:72" x14ac:dyDescent="0.25">
      <c r="A152" s="325" t="s">
        <v>371</v>
      </c>
      <c r="B152" s="331" t="s">
        <v>511</v>
      </c>
      <c r="C152" s="531">
        <v>42</v>
      </c>
      <c r="D152" s="532">
        <v>28</v>
      </c>
      <c r="E152" s="537">
        <v>60</v>
      </c>
      <c r="F152" s="531">
        <v>42</v>
      </c>
      <c r="G152" s="532">
        <v>37</v>
      </c>
      <c r="H152" s="537">
        <v>65</v>
      </c>
      <c r="I152" s="531">
        <v>42</v>
      </c>
      <c r="J152" s="532">
        <v>31</v>
      </c>
      <c r="K152" s="537">
        <v>60</v>
      </c>
      <c r="L152" s="531">
        <v>42</v>
      </c>
      <c r="M152" s="532">
        <v>35</v>
      </c>
      <c r="N152" s="537">
        <v>65</v>
      </c>
      <c r="O152" s="531">
        <v>42</v>
      </c>
      <c r="P152" s="532">
        <v>29</v>
      </c>
      <c r="Q152" s="537">
        <v>65</v>
      </c>
      <c r="R152" s="531">
        <v>42</v>
      </c>
      <c r="S152" s="532">
        <v>32</v>
      </c>
      <c r="T152" s="537">
        <v>65</v>
      </c>
      <c r="U152" s="531">
        <v>42</v>
      </c>
      <c r="V152" s="532">
        <v>24</v>
      </c>
      <c r="W152" s="537">
        <v>55</v>
      </c>
      <c r="X152" s="531">
        <v>42</v>
      </c>
      <c r="Y152" s="532">
        <v>29</v>
      </c>
      <c r="Z152" s="537">
        <v>50</v>
      </c>
      <c r="AA152" s="531">
        <v>42</v>
      </c>
      <c r="AB152" s="532">
        <v>23</v>
      </c>
      <c r="AC152" s="537">
        <v>45</v>
      </c>
      <c r="AD152" s="531">
        <v>42</v>
      </c>
      <c r="AE152" s="532">
        <v>37</v>
      </c>
      <c r="AF152" s="537">
        <v>65</v>
      </c>
      <c r="AG152" s="531">
        <v>42</v>
      </c>
      <c r="AH152" s="532">
        <v>37</v>
      </c>
      <c r="AI152" s="537">
        <v>55</v>
      </c>
      <c r="AJ152" s="531">
        <v>0</v>
      </c>
      <c r="AK152" s="532">
        <v>0</v>
      </c>
      <c r="AL152" s="538">
        <v>15</v>
      </c>
      <c r="AM152" s="539"/>
      <c r="AN152" s="540"/>
      <c r="AO152" s="540"/>
      <c r="AP152" s="539"/>
      <c r="AQ152" s="539"/>
      <c r="AR152" s="539"/>
      <c r="AS152" s="539"/>
      <c r="AT152" s="539"/>
      <c r="AU152" s="539"/>
      <c r="AV152" s="539"/>
      <c r="AW152" s="539"/>
      <c r="AX152" s="539"/>
      <c r="AY152" s="539"/>
      <c r="AZ152" s="539"/>
      <c r="BA152" s="539"/>
      <c r="BB152" s="539"/>
      <c r="BC152" s="539"/>
      <c r="BD152" s="539"/>
      <c r="BE152" s="541"/>
      <c r="BF152" s="541"/>
      <c r="BG152" s="541"/>
      <c r="BH152" s="541"/>
      <c r="BI152" s="541"/>
      <c r="BJ152" s="541"/>
      <c r="BK152" s="541"/>
      <c r="BL152" s="541"/>
      <c r="BM152" s="541"/>
      <c r="BN152" s="541"/>
      <c r="BO152" s="541"/>
      <c r="BP152" s="541"/>
      <c r="BQ152" s="541"/>
      <c r="BR152" s="541"/>
      <c r="BS152" s="541"/>
      <c r="BT152" s="541"/>
    </row>
    <row r="153" spans="1:72" x14ac:dyDescent="0.25">
      <c r="A153" s="325" t="s">
        <v>323</v>
      </c>
      <c r="B153" s="331" t="s">
        <v>463</v>
      </c>
      <c r="C153" s="531">
        <v>13</v>
      </c>
      <c r="D153" s="532">
        <v>9</v>
      </c>
      <c r="E153" s="537">
        <v>25</v>
      </c>
      <c r="F153" s="531">
        <v>13</v>
      </c>
      <c r="G153" s="532">
        <v>10</v>
      </c>
      <c r="H153" s="537">
        <v>30</v>
      </c>
      <c r="I153" s="531">
        <v>13</v>
      </c>
      <c r="J153" s="532">
        <v>13</v>
      </c>
      <c r="K153" s="537">
        <v>30</v>
      </c>
      <c r="L153" s="531">
        <v>13</v>
      </c>
      <c r="M153" s="532">
        <v>10</v>
      </c>
      <c r="N153" s="537">
        <v>30</v>
      </c>
      <c r="O153" s="531">
        <v>13</v>
      </c>
      <c r="P153" s="532">
        <v>10</v>
      </c>
      <c r="Q153" s="537">
        <v>25</v>
      </c>
      <c r="R153" s="531">
        <v>13</v>
      </c>
      <c r="S153" s="532">
        <v>8</v>
      </c>
      <c r="T153" s="537">
        <v>35</v>
      </c>
      <c r="U153" s="531">
        <v>13</v>
      </c>
      <c r="V153" s="532">
        <v>10</v>
      </c>
      <c r="W153" s="537">
        <v>30</v>
      </c>
      <c r="X153" s="531">
        <v>13</v>
      </c>
      <c r="Y153" s="532">
        <v>11</v>
      </c>
      <c r="Z153" s="537">
        <v>30</v>
      </c>
      <c r="AA153" s="531">
        <v>13</v>
      </c>
      <c r="AB153" s="532">
        <v>9</v>
      </c>
      <c r="AC153" s="537">
        <v>30</v>
      </c>
      <c r="AD153" s="531">
        <v>13</v>
      </c>
      <c r="AE153" s="532">
        <v>9</v>
      </c>
      <c r="AF153" s="537">
        <v>30</v>
      </c>
      <c r="AG153" s="531">
        <v>13</v>
      </c>
      <c r="AH153" s="532">
        <v>13</v>
      </c>
      <c r="AI153" s="537">
        <v>25</v>
      </c>
      <c r="AJ153" s="531">
        <v>0</v>
      </c>
      <c r="AK153" s="532">
        <v>0</v>
      </c>
      <c r="AL153" s="538">
        <v>20</v>
      </c>
      <c r="AM153" s="539"/>
      <c r="AN153" s="540"/>
      <c r="AO153" s="540"/>
      <c r="AP153" s="539"/>
      <c r="AQ153" s="539"/>
      <c r="AR153" s="539"/>
      <c r="AS153" s="539"/>
      <c r="AT153" s="539"/>
      <c r="AU153" s="539"/>
      <c r="AV153" s="539"/>
      <c r="AW153" s="539"/>
      <c r="AX153" s="539"/>
      <c r="AY153" s="539"/>
      <c r="AZ153" s="539"/>
      <c r="BA153" s="539"/>
      <c r="BB153" s="539"/>
      <c r="BC153" s="539"/>
      <c r="BD153" s="539"/>
      <c r="BE153" s="541"/>
      <c r="BF153" s="541"/>
      <c r="BG153" s="541"/>
      <c r="BH153" s="541"/>
      <c r="BI153" s="541"/>
      <c r="BJ153" s="541"/>
      <c r="BK153" s="541"/>
      <c r="BL153" s="541"/>
      <c r="BM153" s="541"/>
      <c r="BN153" s="541"/>
      <c r="BO153" s="541"/>
      <c r="BP153" s="541"/>
      <c r="BQ153" s="541"/>
      <c r="BR153" s="541"/>
      <c r="BS153" s="541"/>
      <c r="BT153" s="541"/>
    </row>
    <row r="154" spans="1:72" x14ac:dyDescent="0.25">
      <c r="A154" s="325" t="s">
        <v>430</v>
      </c>
      <c r="B154" s="331" t="s">
        <v>569</v>
      </c>
      <c r="C154" s="531">
        <v>18</v>
      </c>
      <c r="D154" s="532">
        <v>17</v>
      </c>
      <c r="E154" s="537">
        <v>25</v>
      </c>
      <c r="F154" s="531">
        <v>18</v>
      </c>
      <c r="G154" s="532">
        <v>16</v>
      </c>
      <c r="H154" s="537">
        <v>25</v>
      </c>
      <c r="I154" s="531">
        <v>18</v>
      </c>
      <c r="J154" s="532">
        <v>18</v>
      </c>
      <c r="K154" s="537">
        <v>25</v>
      </c>
      <c r="L154" s="531">
        <v>18</v>
      </c>
      <c r="M154" s="532">
        <v>18</v>
      </c>
      <c r="N154" s="537">
        <v>25</v>
      </c>
      <c r="O154" s="531">
        <v>18</v>
      </c>
      <c r="P154" s="532">
        <v>18</v>
      </c>
      <c r="Q154" s="537">
        <v>30</v>
      </c>
      <c r="R154" s="531">
        <v>18</v>
      </c>
      <c r="S154" s="532">
        <v>18</v>
      </c>
      <c r="T154" s="537">
        <v>25</v>
      </c>
      <c r="U154" s="531">
        <v>18</v>
      </c>
      <c r="V154" s="532">
        <v>18</v>
      </c>
      <c r="W154" s="537">
        <v>30</v>
      </c>
      <c r="X154" s="531">
        <v>18</v>
      </c>
      <c r="Y154" s="532">
        <v>17</v>
      </c>
      <c r="Z154" s="537">
        <v>30</v>
      </c>
      <c r="AA154" s="531">
        <v>18</v>
      </c>
      <c r="AB154" s="532">
        <v>16</v>
      </c>
      <c r="AC154" s="537">
        <v>20</v>
      </c>
      <c r="AD154" s="531">
        <v>18</v>
      </c>
      <c r="AE154" s="532">
        <v>16</v>
      </c>
      <c r="AF154" s="537">
        <v>30</v>
      </c>
      <c r="AG154" s="531">
        <v>18</v>
      </c>
      <c r="AH154" s="532">
        <v>15</v>
      </c>
      <c r="AI154" s="537">
        <v>15</v>
      </c>
      <c r="AJ154" s="531">
        <v>0</v>
      </c>
      <c r="AK154" s="532">
        <v>0</v>
      </c>
      <c r="AL154" s="538">
        <v>15</v>
      </c>
      <c r="AM154" s="539"/>
      <c r="AN154" s="540"/>
      <c r="AO154" s="540"/>
      <c r="AP154" s="539"/>
      <c r="AQ154" s="539"/>
      <c r="AR154" s="539"/>
      <c r="AS154" s="539"/>
      <c r="AT154" s="539"/>
      <c r="AU154" s="539"/>
      <c r="AV154" s="539"/>
      <c r="AW154" s="539"/>
      <c r="AX154" s="539"/>
      <c r="AY154" s="539"/>
      <c r="AZ154" s="539"/>
      <c r="BA154" s="539"/>
      <c r="BB154" s="539"/>
      <c r="BC154" s="539"/>
      <c r="BD154" s="539"/>
      <c r="BE154" s="541"/>
      <c r="BF154" s="541"/>
      <c r="BG154" s="541"/>
      <c r="BH154" s="541"/>
      <c r="BI154" s="541"/>
      <c r="BJ154" s="541"/>
      <c r="BK154" s="541"/>
      <c r="BL154" s="541"/>
      <c r="BM154" s="541"/>
      <c r="BN154" s="541"/>
      <c r="BO154" s="541"/>
      <c r="BP154" s="541"/>
      <c r="BQ154" s="541"/>
      <c r="BR154" s="541"/>
      <c r="BS154" s="541"/>
      <c r="BT154" s="541"/>
    </row>
    <row r="155" spans="1:72" x14ac:dyDescent="0.25">
      <c r="A155" s="325" t="s">
        <v>426</v>
      </c>
      <c r="B155" s="331" t="s">
        <v>565</v>
      </c>
      <c r="C155" s="531">
        <v>19</v>
      </c>
      <c r="D155" s="532">
        <v>14</v>
      </c>
      <c r="E155" s="537">
        <v>35</v>
      </c>
      <c r="F155" s="531">
        <v>19</v>
      </c>
      <c r="G155" s="532">
        <v>13</v>
      </c>
      <c r="H155" s="537">
        <v>30</v>
      </c>
      <c r="I155" s="531">
        <v>17</v>
      </c>
      <c r="J155" s="532">
        <v>13</v>
      </c>
      <c r="K155" s="537">
        <v>35</v>
      </c>
      <c r="L155" s="531">
        <v>17</v>
      </c>
      <c r="M155" s="532">
        <v>11</v>
      </c>
      <c r="N155" s="537">
        <v>35</v>
      </c>
      <c r="O155" s="531">
        <v>17</v>
      </c>
      <c r="P155" s="532">
        <v>11</v>
      </c>
      <c r="Q155" s="537">
        <v>30</v>
      </c>
      <c r="R155" s="531">
        <v>19</v>
      </c>
      <c r="S155" s="532">
        <v>16</v>
      </c>
      <c r="T155" s="537">
        <v>30</v>
      </c>
      <c r="U155" s="531">
        <v>19</v>
      </c>
      <c r="V155" s="532">
        <v>12</v>
      </c>
      <c r="W155" s="537">
        <v>25</v>
      </c>
      <c r="X155" s="531">
        <v>19</v>
      </c>
      <c r="Y155" s="532">
        <v>13</v>
      </c>
      <c r="Z155" s="537">
        <v>30</v>
      </c>
      <c r="AA155" s="531">
        <v>19</v>
      </c>
      <c r="AB155" s="532">
        <v>11</v>
      </c>
      <c r="AC155" s="537">
        <v>30</v>
      </c>
      <c r="AD155" s="531">
        <v>19</v>
      </c>
      <c r="AE155" s="532">
        <v>12</v>
      </c>
      <c r="AF155" s="537">
        <v>45</v>
      </c>
      <c r="AG155" s="531">
        <v>19</v>
      </c>
      <c r="AH155" s="532">
        <v>14</v>
      </c>
      <c r="AI155" s="537">
        <v>35</v>
      </c>
      <c r="AJ155" s="531">
        <v>0</v>
      </c>
      <c r="AK155" s="532">
        <v>0</v>
      </c>
      <c r="AL155" s="538">
        <v>20</v>
      </c>
      <c r="AM155" s="539"/>
      <c r="AN155" s="540"/>
      <c r="AO155" s="540"/>
      <c r="AP155" s="539"/>
      <c r="AQ155" s="539"/>
      <c r="AR155" s="539"/>
      <c r="AS155" s="539"/>
      <c r="AT155" s="539"/>
      <c r="AU155" s="539"/>
      <c r="AV155" s="539"/>
      <c r="AW155" s="539"/>
      <c r="AX155" s="539"/>
      <c r="AY155" s="539"/>
      <c r="AZ155" s="539"/>
      <c r="BA155" s="539"/>
      <c r="BB155" s="539"/>
      <c r="BC155" s="539"/>
      <c r="BD155" s="539"/>
      <c r="BE155" s="541"/>
      <c r="BF155" s="541"/>
      <c r="BG155" s="541"/>
      <c r="BH155" s="541"/>
      <c r="BI155" s="541"/>
      <c r="BJ155" s="541"/>
      <c r="BK155" s="541"/>
      <c r="BL155" s="541"/>
      <c r="BM155" s="541"/>
      <c r="BN155" s="541"/>
      <c r="BO155" s="541"/>
      <c r="BP155" s="541"/>
      <c r="BQ155" s="541"/>
      <c r="BR155" s="541"/>
      <c r="BS155" s="541"/>
      <c r="BT155" s="541"/>
    </row>
    <row r="156" spans="1:72" x14ac:dyDescent="0.25">
      <c r="A156" s="325" t="s">
        <v>353</v>
      </c>
      <c r="B156" s="331" t="s">
        <v>493</v>
      </c>
      <c r="C156" s="531">
        <v>9</v>
      </c>
      <c r="D156" s="532">
        <v>7</v>
      </c>
      <c r="E156" s="537">
        <v>10</v>
      </c>
      <c r="F156" s="531">
        <v>9</v>
      </c>
      <c r="G156" s="532">
        <v>6</v>
      </c>
      <c r="H156" s="537">
        <v>10</v>
      </c>
      <c r="I156" s="531">
        <v>9</v>
      </c>
      <c r="J156" s="532">
        <v>6</v>
      </c>
      <c r="K156" s="537" t="s">
        <v>636</v>
      </c>
      <c r="L156" s="531">
        <v>9</v>
      </c>
      <c r="M156" s="532">
        <v>9</v>
      </c>
      <c r="N156" s="537">
        <v>10</v>
      </c>
      <c r="O156" s="531">
        <v>9</v>
      </c>
      <c r="P156" s="532">
        <v>4</v>
      </c>
      <c r="Q156" s="537">
        <v>15</v>
      </c>
      <c r="R156" s="531">
        <v>9</v>
      </c>
      <c r="S156" s="532">
        <v>5</v>
      </c>
      <c r="T156" s="537">
        <v>15</v>
      </c>
      <c r="U156" s="531">
        <v>9</v>
      </c>
      <c r="V156" s="532">
        <v>7</v>
      </c>
      <c r="W156" s="537">
        <v>20</v>
      </c>
      <c r="X156" s="531">
        <v>9</v>
      </c>
      <c r="Y156" s="532">
        <v>6</v>
      </c>
      <c r="Z156" s="537">
        <v>15</v>
      </c>
      <c r="AA156" s="531">
        <v>9</v>
      </c>
      <c r="AB156" s="532">
        <v>6</v>
      </c>
      <c r="AC156" s="537">
        <v>10</v>
      </c>
      <c r="AD156" s="531">
        <v>9</v>
      </c>
      <c r="AE156" s="532">
        <v>5</v>
      </c>
      <c r="AF156" s="537">
        <v>10</v>
      </c>
      <c r="AG156" s="531">
        <v>9</v>
      </c>
      <c r="AH156" s="532">
        <v>5</v>
      </c>
      <c r="AI156" s="537">
        <v>15</v>
      </c>
      <c r="AJ156" s="531">
        <v>0</v>
      </c>
      <c r="AK156" s="532">
        <v>0</v>
      </c>
      <c r="AL156" s="538">
        <v>10</v>
      </c>
      <c r="AM156" s="539"/>
      <c r="AN156" s="540"/>
      <c r="AO156" s="540"/>
      <c r="AP156" s="539"/>
      <c r="AQ156" s="539"/>
      <c r="AR156" s="539"/>
      <c r="AS156" s="539"/>
      <c r="AT156" s="539"/>
      <c r="AU156" s="539"/>
      <c r="AV156" s="539"/>
      <c r="AW156" s="539"/>
      <c r="AX156" s="539"/>
      <c r="AY156" s="539"/>
      <c r="AZ156" s="539"/>
      <c r="BA156" s="539"/>
      <c r="BB156" s="539"/>
      <c r="BC156" s="539"/>
      <c r="BD156" s="539"/>
      <c r="BE156" s="541"/>
      <c r="BF156" s="541"/>
      <c r="BG156" s="541"/>
      <c r="BH156" s="541"/>
      <c r="BI156" s="541"/>
      <c r="BJ156" s="541"/>
      <c r="BK156" s="541"/>
      <c r="BL156" s="541"/>
      <c r="BM156" s="541"/>
      <c r="BN156" s="541"/>
      <c r="BO156" s="541"/>
      <c r="BP156" s="541"/>
      <c r="BQ156" s="541"/>
      <c r="BR156" s="541"/>
      <c r="BS156" s="541"/>
      <c r="BT156" s="541"/>
    </row>
    <row r="157" spans="1:72" x14ac:dyDescent="0.25">
      <c r="A157" s="325" t="s">
        <v>444</v>
      </c>
      <c r="B157" s="331" t="s">
        <v>583</v>
      </c>
      <c r="C157" s="531">
        <v>22</v>
      </c>
      <c r="D157" s="532">
        <v>16</v>
      </c>
      <c r="E157" s="537">
        <v>35</v>
      </c>
      <c r="F157" s="531">
        <v>22</v>
      </c>
      <c r="G157" s="532">
        <v>19</v>
      </c>
      <c r="H157" s="537">
        <v>40</v>
      </c>
      <c r="I157" s="531">
        <v>22</v>
      </c>
      <c r="J157" s="532">
        <v>15</v>
      </c>
      <c r="K157" s="537">
        <v>40</v>
      </c>
      <c r="L157" s="531">
        <v>22</v>
      </c>
      <c r="M157" s="532">
        <v>19</v>
      </c>
      <c r="N157" s="537">
        <v>40</v>
      </c>
      <c r="O157" s="531">
        <v>22</v>
      </c>
      <c r="P157" s="532">
        <v>17</v>
      </c>
      <c r="Q157" s="537">
        <v>40</v>
      </c>
      <c r="R157" s="531">
        <v>22</v>
      </c>
      <c r="S157" s="532">
        <v>16</v>
      </c>
      <c r="T157" s="537">
        <v>40</v>
      </c>
      <c r="U157" s="531">
        <v>22</v>
      </c>
      <c r="V157" s="532">
        <v>20</v>
      </c>
      <c r="W157" s="537">
        <v>40</v>
      </c>
      <c r="X157" s="531">
        <v>22</v>
      </c>
      <c r="Y157" s="532">
        <v>15</v>
      </c>
      <c r="Z157" s="537">
        <v>40</v>
      </c>
      <c r="AA157" s="531">
        <v>22</v>
      </c>
      <c r="AB157" s="532">
        <v>17</v>
      </c>
      <c r="AC157" s="537">
        <v>30</v>
      </c>
      <c r="AD157" s="531">
        <v>22</v>
      </c>
      <c r="AE157" s="532">
        <v>17</v>
      </c>
      <c r="AF157" s="537">
        <v>35</v>
      </c>
      <c r="AG157" s="531">
        <v>22</v>
      </c>
      <c r="AH157" s="532">
        <v>17</v>
      </c>
      <c r="AI157" s="537">
        <v>30</v>
      </c>
      <c r="AJ157" s="531">
        <v>0</v>
      </c>
      <c r="AK157" s="532">
        <v>0</v>
      </c>
      <c r="AL157" s="538">
        <v>10</v>
      </c>
      <c r="AM157" s="539"/>
      <c r="AN157" s="540"/>
      <c r="AO157" s="540"/>
      <c r="AP157" s="539"/>
      <c r="AQ157" s="539"/>
      <c r="AR157" s="539"/>
      <c r="AS157" s="539"/>
      <c r="AT157" s="539"/>
      <c r="AU157" s="539"/>
      <c r="AV157" s="539"/>
      <c r="AW157" s="539"/>
      <c r="AX157" s="539"/>
      <c r="AY157" s="539"/>
      <c r="AZ157" s="539"/>
      <c r="BA157" s="539"/>
      <c r="BB157" s="539"/>
      <c r="BC157" s="539"/>
      <c r="BD157" s="539"/>
      <c r="BE157" s="541"/>
      <c r="BF157" s="541"/>
      <c r="BG157" s="541"/>
      <c r="BH157" s="541"/>
      <c r="BI157" s="541"/>
      <c r="BJ157" s="541"/>
      <c r="BK157" s="541"/>
      <c r="BL157" s="541"/>
      <c r="BM157" s="541"/>
      <c r="BN157" s="541"/>
      <c r="BO157" s="541"/>
      <c r="BP157" s="541"/>
      <c r="BQ157" s="541"/>
      <c r="BR157" s="541"/>
      <c r="BS157" s="541"/>
      <c r="BT157" s="541"/>
    </row>
    <row r="158" spans="1:72" x14ac:dyDescent="0.25">
      <c r="A158" s="325" t="s">
        <v>310</v>
      </c>
      <c r="B158" s="331" t="s">
        <v>450</v>
      </c>
      <c r="C158" s="531">
        <v>5</v>
      </c>
      <c r="D158" s="532">
        <v>4</v>
      </c>
      <c r="E158" s="537" t="s">
        <v>636</v>
      </c>
      <c r="F158" s="531">
        <v>5</v>
      </c>
      <c r="G158" s="532">
        <v>4</v>
      </c>
      <c r="H158" s="537" t="s">
        <v>636</v>
      </c>
      <c r="I158" s="531">
        <v>5</v>
      </c>
      <c r="J158" s="532">
        <v>5</v>
      </c>
      <c r="K158" s="537" t="s">
        <v>636</v>
      </c>
      <c r="L158" s="531">
        <v>5</v>
      </c>
      <c r="M158" s="532">
        <v>5</v>
      </c>
      <c r="N158" s="537" t="s">
        <v>636</v>
      </c>
      <c r="O158" s="531">
        <v>5</v>
      </c>
      <c r="P158" s="532">
        <v>3</v>
      </c>
      <c r="Q158" s="537" t="s">
        <v>636</v>
      </c>
      <c r="R158" s="531">
        <v>5</v>
      </c>
      <c r="S158" s="532">
        <v>5</v>
      </c>
      <c r="T158" s="537" t="s">
        <v>636</v>
      </c>
      <c r="U158" s="531">
        <v>5</v>
      </c>
      <c r="V158" s="532">
        <v>5</v>
      </c>
      <c r="W158" s="537" t="s">
        <v>636</v>
      </c>
      <c r="X158" s="531">
        <v>5</v>
      </c>
      <c r="Y158" s="532">
        <v>3</v>
      </c>
      <c r="Z158" s="537" t="s">
        <v>636</v>
      </c>
      <c r="AA158" s="531">
        <v>5</v>
      </c>
      <c r="AB158" s="532">
        <v>3</v>
      </c>
      <c r="AC158" s="537" t="s">
        <v>636</v>
      </c>
      <c r="AD158" s="531">
        <v>5</v>
      </c>
      <c r="AE158" s="532">
        <v>5</v>
      </c>
      <c r="AF158" s="537" t="s">
        <v>636</v>
      </c>
      <c r="AG158" s="531">
        <v>5</v>
      </c>
      <c r="AH158" s="532">
        <v>3</v>
      </c>
      <c r="AI158" s="537" t="s">
        <v>636</v>
      </c>
      <c r="AJ158" s="531">
        <v>0</v>
      </c>
      <c r="AK158" s="532">
        <v>0</v>
      </c>
      <c r="AL158" s="538" t="s">
        <v>636</v>
      </c>
      <c r="AM158" s="539"/>
      <c r="AN158" s="540"/>
      <c r="AO158" s="540"/>
      <c r="AP158" s="539"/>
      <c r="AQ158" s="539"/>
      <c r="AR158" s="539"/>
      <c r="AS158" s="539"/>
      <c r="AT158" s="539"/>
      <c r="AU158" s="539"/>
      <c r="AV158" s="539"/>
      <c r="AW158" s="539"/>
      <c r="AX158" s="539"/>
      <c r="AY158" s="539"/>
      <c r="AZ158" s="539"/>
      <c r="BA158" s="539"/>
      <c r="BB158" s="539"/>
      <c r="BC158" s="539"/>
      <c r="BD158" s="539"/>
      <c r="BE158" s="541"/>
      <c r="BF158" s="541"/>
      <c r="BG158" s="541"/>
      <c r="BH158" s="541"/>
      <c r="BI158" s="541"/>
      <c r="BJ158" s="541"/>
      <c r="BK158" s="541"/>
      <c r="BL158" s="541"/>
      <c r="BM158" s="541"/>
      <c r="BN158" s="541"/>
      <c r="BO158" s="541"/>
      <c r="BP158" s="541"/>
      <c r="BQ158" s="541"/>
      <c r="BR158" s="541"/>
      <c r="BS158" s="541"/>
      <c r="BT158" s="541"/>
    </row>
    <row r="159" spans="1:72" x14ac:dyDescent="0.25">
      <c r="A159" s="325" t="s">
        <v>373</v>
      </c>
      <c r="B159" s="331" t="s">
        <v>513</v>
      </c>
      <c r="C159" s="531">
        <v>10</v>
      </c>
      <c r="D159" s="532">
        <v>7</v>
      </c>
      <c r="E159" s="537">
        <v>15</v>
      </c>
      <c r="F159" s="531">
        <v>10</v>
      </c>
      <c r="G159" s="532">
        <v>6</v>
      </c>
      <c r="H159" s="537">
        <v>15</v>
      </c>
      <c r="I159" s="531">
        <v>10</v>
      </c>
      <c r="J159" s="532">
        <v>9</v>
      </c>
      <c r="K159" s="537">
        <v>20</v>
      </c>
      <c r="L159" s="531">
        <v>10</v>
      </c>
      <c r="M159" s="532">
        <v>5</v>
      </c>
      <c r="N159" s="537">
        <v>15</v>
      </c>
      <c r="O159" s="531">
        <v>10</v>
      </c>
      <c r="P159" s="532">
        <v>10</v>
      </c>
      <c r="Q159" s="537">
        <v>15</v>
      </c>
      <c r="R159" s="531">
        <v>10</v>
      </c>
      <c r="S159" s="532">
        <v>8</v>
      </c>
      <c r="T159" s="537">
        <v>10</v>
      </c>
      <c r="U159" s="531">
        <v>11</v>
      </c>
      <c r="V159" s="532">
        <v>10</v>
      </c>
      <c r="W159" s="537">
        <v>15</v>
      </c>
      <c r="X159" s="531">
        <v>10</v>
      </c>
      <c r="Y159" s="532">
        <v>8</v>
      </c>
      <c r="Z159" s="537">
        <v>20</v>
      </c>
      <c r="AA159" s="531">
        <v>10</v>
      </c>
      <c r="AB159" s="532">
        <v>9</v>
      </c>
      <c r="AC159" s="537">
        <v>15</v>
      </c>
      <c r="AD159" s="531">
        <v>10</v>
      </c>
      <c r="AE159" s="532">
        <v>7</v>
      </c>
      <c r="AF159" s="537">
        <v>15</v>
      </c>
      <c r="AG159" s="531">
        <v>10</v>
      </c>
      <c r="AH159" s="532">
        <v>10</v>
      </c>
      <c r="AI159" s="537">
        <v>15</v>
      </c>
      <c r="AJ159" s="531">
        <v>0</v>
      </c>
      <c r="AK159" s="532">
        <v>0</v>
      </c>
      <c r="AL159" s="538" t="s">
        <v>636</v>
      </c>
      <c r="AM159" s="539"/>
      <c r="AN159" s="540"/>
      <c r="AO159" s="540"/>
      <c r="AP159" s="539"/>
      <c r="AQ159" s="539"/>
      <c r="AR159" s="539"/>
      <c r="AS159" s="539"/>
      <c r="AT159" s="539"/>
      <c r="AU159" s="539"/>
      <c r="AV159" s="539"/>
      <c r="AW159" s="539"/>
      <c r="AX159" s="539"/>
      <c r="AY159" s="539"/>
      <c r="AZ159" s="539"/>
      <c r="BA159" s="539"/>
      <c r="BB159" s="539"/>
      <c r="BC159" s="539"/>
      <c r="BD159" s="539"/>
      <c r="BE159" s="541"/>
      <c r="BF159" s="541"/>
      <c r="BG159" s="541"/>
      <c r="BH159" s="541"/>
      <c r="BI159" s="541"/>
      <c r="BJ159" s="541"/>
      <c r="BK159" s="541"/>
      <c r="BL159" s="541"/>
      <c r="BM159" s="541"/>
      <c r="BN159" s="541"/>
      <c r="BO159" s="541"/>
      <c r="BP159" s="541"/>
      <c r="BQ159" s="541"/>
      <c r="BR159" s="541"/>
      <c r="BS159" s="541"/>
      <c r="BT159" s="541"/>
    </row>
    <row r="160" spans="1:72" x14ac:dyDescent="0.25">
      <c r="A160" s="325" t="s">
        <v>324</v>
      </c>
      <c r="B160" s="331" t="s">
        <v>464</v>
      </c>
      <c r="C160" s="531">
        <v>18</v>
      </c>
      <c r="D160" s="532">
        <v>17</v>
      </c>
      <c r="E160" s="537">
        <v>15</v>
      </c>
      <c r="F160" s="531">
        <v>18</v>
      </c>
      <c r="G160" s="532">
        <v>16</v>
      </c>
      <c r="H160" s="537">
        <v>15</v>
      </c>
      <c r="I160" s="531">
        <v>18</v>
      </c>
      <c r="J160" s="532">
        <v>14</v>
      </c>
      <c r="K160" s="537">
        <v>10</v>
      </c>
      <c r="L160" s="531">
        <v>18</v>
      </c>
      <c r="M160" s="532">
        <v>18</v>
      </c>
      <c r="N160" s="537">
        <v>15</v>
      </c>
      <c r="O160" s="531">
        <v>18</v>
      </c>
      <c r="P160" s="532">
        <v>15</v>
      </c>
      <c r="Q160" s="537">
        <v>15</v>
      </c>
      <c r="R160" s="531">
        <v>18</v>
      </c>
      <c r="S160" s="532">
        <v>15</v>
      </c>
      <c r="T160" s="537">
        <v>15</v>
      </c>
      <c r="U160" s="531">
        <v>18</v>
      </c>
      <c r="V160" s="532">
        <v>18</v>
      </c>
      <c r="W160" s="537">
        <v>15</v>
      </c>
      <c r="X160" s="531">
        <v>18</v>
      </c>
      <c r="Y160" s="532">
        <v>16</v>
      </c>
      <c r="Z160" s="537">
        <v>15</v>
      </c>
      <c r="AA160" s="531">
        <v>18</v>
      </c>
      <c r="AB160" s="532">
        <v>17</v>
      </c>
      <c r="AC160" s="537">
        <v>20</v>
      </c>
      <c r="AD160" s="531">
        <v>18</v>
      </c>
      <c r="AE160" s="532">
        <v>17</v>
      </c>
      <c r="AF160" s="537">
        <v>30</v>
      </c>
      <c r="AG160" s="531">
        <v>18</v>
      </c>
      <c r="AH160" s="532">
        <v>17</v>
      </c>
      <c r="AI160" s="537">
        <v>30</v>
      </c>
      <c r="AJ160" s="531">
        <v>0</v>
      </c>
      <c r="AK160" s="532">
        <v>0</v>
      </c>
      <c r="AL160" s="538" t="s">
        <v>636</v>
      </c>
      <c r="AM160" s="539"/>
      <c r="AN160" s="540"/>
      <c r="AO160" s="540"/>
      <c r="AP160" s="539"/>
      <c r="AQ160" s="539"/>
      <c r="AR160" s="539"/>
      <c r="AS160" s="539"/>
      <c r="AT160" s="539"/>
      <c r="AU160" s="539"/>
      <c r="AV160" s="539"/>
      <c r="AW160" s="539"/>
      <c r="AX160" s="539"/>
      <c r="AY160" s="539"/>
      <c r="AZ160" s="539"/>
      <c r="BA160" s="539"/>
      <c r="BB160" s="539"/>
      <c r="BC160" s="539"/>
      <c r="BD160" s="539"/>
      <c r="BE160" s="541"/>
      <c r="BF160" s="541"/>
      <c r="BG160" s="541"/>
      <c r="BH160" s="541"/>
      <c r="BI160" s="541"/>
      <c r="BJ160" s="541"/>
      <c r="BK160" s="541"/>
      <c r="BL160" s="541"/>
      <c r="BM160" s="541"/>
      <c r="BN160" s="541"/>
      <c r="BO160" s="541"/>
      <c r="BP160" s="541"/>
      <c r="BQ160" s="541"/>
      <c r="BR160" s="541"/>
      <c r="BS160" s="541"/>
      <c r="BT160" s="541"/>
    </row>
    <row r="161" spans="1:72" x14ac:dyDescent="0.25">
      <c r="A161" s="325" t="s">
        <v>429</v>
      </c>
      <c r="B161" s="331" t="s">
        <v>568</v>
      </c>
      <c r="C161" s="531">
        <v>29</v>
      </c>
      <c r="D161" s="532">
        <v>17</v>
      </c>
      <c r="E161" s="537">
        <v>55</v>
      </c>
      <c r="F161" s="531">
        <v>29</v>
      </c>
      <c r="G161" s="532">
        <v>24</v>
      </c>
      <c r="H161" s="537">
        <v>55</v>
      </c>
      <c r="I161" s="531">
        <v>29</v>
      </c>
      <c r="J161" s="532">
        <v>17</v>
      </c>
      <c r="K161" s="537">
        <v>50</v>
      </c>
      <c r="L161" s="531">
        <v>29</v>
      </c>
      <c r="M161" s="532">
        <v>19</v>
      </c>
      <c r="N161" s="537">
        <v>60</v>
      </c>
      <c r="O161" s="531">
        <v>29</v>
      </c>
      <c r="P161" s="532">
        <v>19</v>
      </c>
      <c r="Q161" s="537">
        <v>50</v>
      </c>
      <c r="R161" s="531">
        <v>29</v>
      </c>
      <c r="S161" s="532">
        <v>21</v>
      </c>
      <c r="T161" s="537">
        <v>50</v>
      </c>
      <c r="U161" s="531">
        <v>21</v>
      </c>
      <c r="V161" s="532">
        <v>12</v>
      </c>
      <c r="W161" s="537">
        <v>45</v>
      </c>
      <c r="X161" s="531">
        <v>21</v>
      </c>
      <c r="Y161" s="532">
        <v>18</v>
      </c>
      <c r="Z161" s="537">
        <v>60</v>
      </c>
      <c r="AA161" s="531">
        <v>21</v>
      </c>
      <c r="AB161" s="532">
        <v>13</v>
      </c>
      <c r="AC161" s="537">
        <v>55</v>
      </c>
      <c r="AD161" s="531">
        <v>21</v>
      </c>
      <c r="AE161" s="532">
        <v>14</v>
      </c>
      <c r="AF161" s="537">
        <v>45</v>
      </c>
      <c r="AG161" s="531">
        <v>21</v>
      </c>
      <c r="AH161" s="532">
        <v>11</v>
      </c>
      <c r="AI161" s="537">
        <v>40</v>
      </c>
      <c r="AJ161" s="531">
        <v>0</v>
      </c>
      <c r="AK161" s="532">
        <v>0</v>
      </c>
      <c r="AL161" s="538">
        <v>25</v>
      </c>
      <c r="AM161" s="539"/>
      <c r="AN161" s="540"/>
      <c r="AO161" s="540"/>
      <c r="AP161" s="539"/>
      <c r="AQ161" s="539"/>
      <c r="AR161" s="539"/>
      <c r="AS161" s="539"/>
      <c r="AT161" s="539"/>
      <c r="AU161" s="539"/>
      <c r="AV161" s="539"/>
      <c r="AW161" s="539"/>
      <c r="AX161" s="539"/>
      <c r="AY161" s="539"/>
      <c r="AZ161" s="539"/>
      <c r="BA161" s="539"/>
      <c r="BB161" s="539"/>
      <c r="BC161" s="539"/>
      <c r="BD161" s="539"/>
      <c r="BE161" s="541"/>
      <c r="BF161" s="541"/>
      <c r="BG161" s="541"/>
      <c r="BH161" s="541"/>
      <c r="BI161" s="541"/>
      <c r="BJ161" s="541"/>
      <c r="BK161" s="541"/>
      <c r="BL161" s="541"/>
      <c r="BM161" s="541"/>
      <c r="BN161" s="541"/>
      <c r="BO161" s="541"/>
      <c r="BP161" s="541"/>
      <c r="BQ161" s="541"/>
      <c r="BR161" s="541"/>
      <c r="BS161" s="541"/>
      <c r="BT161" s="541"/>
    </row>
    <row r="162" spans="1:72" x14ac:dyDescent="0.25">
      <c r="A162" s="325" t="s">
        <v>402</v>
      </c>
      <c r="B162" s="331" t="s">
        <v>541</v>
      </c>
      <c r="C162" s="531">
        <v>11</v>
      </c>
      <c r="D162" s="532">
        <v>7</v>
      </c>
      <c r="E162" s="537">
        <v>15</v>
      </c>
      <c r="F162" s="531">
        <v>11</v>
      </c>
      <c r="G162" s="532">
        <v>8</v>
      </c>
      <c r="H162" s="537">
        <v>20</v>
      </c>
      <c r="I162" s="531">
        <v>9</v>
      </c>
      <c r="J162" s="532">
        <v>4</v>
      </c>
      <c r="K162" s="537">
        <v>15</v>
      </c>
      <c r="L162" s="531">
        <v>11</v>
      </c>
      <c r="M162" s="532">
        <v>7</v>
      </c>
      <c r="N162" s="537">
        <v>25</v>
      </c>
      <c r="O162" s="531">
        <v>11</v>
      </c>
      <c r="P162" s="532">
        <v>6</v>
      </c>
      <c r="Q162" s="537">
        <v>10</v>
      </c>
      <c r="R162" s="531">
        <v>11</v>
      </c>
      <c r="S162" s="532">
        <v>6</v>
      </c>
      <c r="T162" s="537">
        <v>20</v>
      </c>
      <c r="U162" s="531">
        <v>11</v>
      </c>
      <c r="V162" s="532">
        <v>6</v>
      </c>
      <c r="W162" s="537">
        <v>20</v>
      </c>
      <c r="X162" s="531">
        <v>11</v>
      </c>
      <c r="Y162" s="532">
        <v>7</v>
      </c>
      <c r="Z162" s="537">
        <v>25</v>
      </c>
      <c r="AA162" s="531">
        <v>11</v>
      </c>
      <c r="AB162" s="532">
        <v>6</v>
      </c>
      <c r="AC162" s="537">
        <v>25</v>
      </c>
      <c r="AD162" s="531">
        <v>11</v>
      </c>
      <c r="AE162" s="532">
        <v>5</v>
      </c>
      <c r="AF162" s="537">
        <v>25</v>
      </c>
      <c r="AG162" s="531">
        <v>11</v>
      </c>
      <c r="AH162" s="532">
        <v>5</v>
      </c>
      <c r="AI162" s="537">
        <v>20</v>
      </c>
      <c r="AJ162" s="531">
        <v>0</v>
      </c>
      <c r="AK162" s="532">
        <v>0</v>
      </c>
      <c r="AL162" s="538">
        <v>10</v>
      </c>
      <c r="AM162" s="539"/>
      <c r="AN162" s="540"/>
      <c r="AO162" s="540"/>
      <c r="AP162" s="539"/>
      <c r="AQ162" s="539"/>
      <c r="AR162" s="539"/>
      <c r="AS162" s="539"/>
      <c r="AT162" s="539"/>
      <c r="AU162" s="539"/>
      <c r="AV162" s="539"/>
      <c r="AW162" s="539"/>
      <c r="AX162" s="539"/>
      <c r="AY162" s="539"/>
      <c r="AZ162" s="539"/>
      <c r="BA162" s="539"/>
      <c r="BB162" s="539"/>
      <c r="BC162" s="539"/>
      <c r="BD162" s="539"/>
      <c r="BE162" s="541"/>
      <c r="BF162" s="541"/>
      <c r="BG162" s="541"/>
      <c r="BH162" s="541"/>
      <c r="BI162" s="541"/>
      <c r="BJ162" s="541"/>
      <c r="BK162" s="541"/>
      <c r="BL162" s="541"/>
      <c r="BM162" s="541"/>
      <c r="BN162" s="541"/>
      <c r="BO162" s="541"/>
      <c r="BP162" s="541"/>
      <c r="BQ162" s="541"/>
      <c r="BR162" s="541"/>
      <c r="BS162" s="541"/>
      <c r="BT162" s="541"/>
    </row>
    <row r="163" spans="1:72" x14ac:dyDescent="0.25">
      <c r="A163" s="325" t="s">
        <v>376</v>
      </c>
      <c r="B163" s="331" t="s">
        <v>516</v>
      </c>
      <c r="C163" s="531">
        <v>6</v>
      </c>
      <c r="D163" s="532">
        <v>6</v>
      </c>
      <c r="E163" s="537">
        <v>15</v>
      </c>
      <c r="F163" s="531">
        <v>6</v>
      </c>
      <c r="G163" s="532">
        <v>5</v>
      </c>
      <c r="H163" s="537">
        <v>15</v>
      </c>
      <c r="I163" s="531">
        <v>6</v>
      </c>
      <c r="J163" s="532">
        <v>4</v>
      </c>
      <c r="K163" s="537">
        <v>15</v>
      </c>
      <c r="L163" s="531">
        <v>6</v>
      </c>
      <c r="M163" s="532">
        <v>4</v>
      </c>
      <c r="N163" s="537">
        <v>20</v>
      </c>
      <c r="O163" s="531">
        <v>6</v>
      </c>
      <c r="P163" s="532">
        <v>4</v>
      </c>
      <c r="Q163" s="537">
        <v>10</v>
      </c>
      <c r="R163" s="531">
        <v>6</v>
      </c>
      <c r="S163" s="532">
        <v>3</v>
      </c>
      <c r="T163" s="537">
        <v>10</v>
      </c>
      <c r="U163" s="531">
        <v>6</v>
      </c>
      <c r="V163" s="532">
        <v>5</v>
      </c>
      <c r="W163" s="537">
        <v>10</v>
      </c>
      <c r="X163" s="531">
        <v>6</v>
      </c>
      <c r="Y163" s="532">
        <v>6</v>
      </c>
      <c r="Z163" s="537">
        <v>15</v>
      </c>
      <c r="AA163" s="531">
        <v>6</v>
      </c>
      <c r="AB163" s="532">
        <v>6</v>
      </c>
      <c r="AC163" s="537">
        <v>10</v>
      </c>
      <c r="AD163" s="531">
        <v>6</v>
      </c>
      <c r="AE163" s="532">
        <v>6</v>
      </c>
      <c r="AF163" s="537">
        <v>20</v>
      </c>
      <c r="AG163" s="531">
        <v>6</v>
      </c>
      <c r="AH163" s="532">
        <v>2</v>
      </c>
      <c r="AI163" s="537">
        <v>20</v>
      </c>
      <c r="AJ163" s="531">
        <v>0</v>
      </c>
      <c r="AK163" s="532">
        <v>0</v>
      </c>
      <c r="AL163" s="538" t="s">
        <v>636</v>
      </c>
      <c r="AM163" s="539"/>
      <c r="AN163" s="540"/>
      <c r="AO163" s="540"/>
      <c r="AP163" s="539"/>
      <c r="AQ163" s="539"/>
      <c r="AR163" s="539"/>
      <c r="AS163" s="539"/>
      <c r="AT163" s="539"/>
      <c r="AU163" s="539"/>
      <c r="AV163" s="539"/>
      <c r="AW163" s="539"/>
      <c r="AX163" s="539"/>
      <c r="AY163" s="539"/>
      <c r="AZ163" s="539"/>
      <c r="BA163" s="539"/>
      <c r="BB163" s="539"/>
      <c r="BC163" s="539"/>
      <c r="BD163" s="539"/>
      <c r="BE163" s="541"/>
      <c r="BF163" s="541"/>
      <c r="BG163" s="541"/>
      <c r="BH163" s="541"/>
      <c r="BI163" s="541"/>
      <c r="BJ163" s="541"/>
      <c r="BK163" s="541"/>
      <c r="BL163" s="541"/>
      <c r="BM163" s="541"/>
      <c r="BN163" s="541"/>
      <c r="BO163" s="541"/>
      <c r="BP163" s="541"/>
      <c r="BQ163" s="541"/>
      <c r="BR163" s="541"/>
      <c r="BS163" s="541"/>
      <c r="BT163" s="541"/>
    </row>
    <row r="164" spans="1:72" x14ac:dyDescent="0.25">
      <c r="A164" s="325" t="s">
        <v>311</v>
      </c>
      <c r="B164" s="331" t="s">
        <v>451</v>
      </c>
      <c r="C164" s="531">
        <v>10</v>
      </c>
      <c r="D164" s="532">
        <v>9</v>
      </c>
      <c r="E164" s="537">
        <v>10</v>
      </c>
      <c r="F164" s="531">
        <v>10</v>
      </c>
      <c r="G164" s="532">
        <v>9</v>
      </c>
      <c r="H164" s="537">
        <v>10</v>
      </c>
      <c r="I164" s="531">
        <v>10</v>
      </c>
      <c r="J164" s="532">
        <v>9</v>
      </c>
      <c r="K164" s="537">
        <v>15</v>
      </c>
      <c r="L164" s="531">
        <v>10</v>
      </c>
      <c r="M164" s="532">
        <v>9</v>
      </c>
      <c r="N164" s="537">
        <v>15</v>
      </c>
      <c r="O164" s="531">
        <v>10</v>
      </c>
      <c r="P164" s="532">
        <v>8</v>
      </c>
      <c r="Q164" s="537">
        <v>15</v>
      </c>
      <c r="R164" s="531">
        <v>10</v>
      </c>
      <c r="S164" s="532">
        <v>9</v>
      </c>
      <c r="T164" s="537">
        <v>15</v>
      </c>
      <c r="U164" s="531">
        <v>10</v>
      </c>
      <c r="V164" s="532">
        <v>8</v>
      </c>
      <c r="W164" s="537">
        <v>15</v>
      </c>
      <c r="X164" s="531">
        <v>10</v>
      </c>
      <c r="Y164" s="532">
        <v>9</v>
      </c>
      <c r="Z164" s="537">
        <v>10</v>
      </c>
      <c r="AA164" s="531">
        <v>10</v>
      </c>
      <c r="AB164" s="532">
        <v>6</v>
      </c>
      <c r="AC164" s="537">
        <v>15</v>
      </c>
      <c r="AD164" s="531">
        <v>10</v>
      </c>
      <c r="AE164" s="532">
        <v>10</v>
      </c>
      <c r="AF164" s="537">
        <v>15</v>
      </c>
      <c r="AG164" s="531">
        <v>10</v>
      </c>
      <c r="AH164" s="532">
        <v>9</v>
      </c>
      <c r="AI164" s="537">
        <v>10</v>
      </c>
      <c r="AJ164" s="531">
        <v>0</v>
      </c>
      <c r="AK164" s="532">
        <v>0</v>
      </c>
      <c r="AL164" s="538">
        <v>10</v>
      </c>
      <c r="AM164" s="539"/>
      <c r="AN164" s="540"/>
      <c r="AO164" s="540"/>
      <c r="AP164" s="539"/>
      <c r="AQ164" s="539"/>
      <c r="AR164" s="539"/>
      <c r="AS164" s="539"/>
      <c r="AT164" s="539"/>
      <c r="AU164" s="539"/>
      <c r="AV164" s="539"/>
      <c r="AW164" s="539"/>
      <c r="AX164" s="539"/>
      <c r="AY164" s="539"/>
      <c r="AZ164" s="539"/>
      <c r="BA164" s="539"/>
      <c r="BB164" s="539"/>
      <c r="BC164" s="539"/>
      <c r="BD164" s="539"/>
      <c r="BE164" s="541"/>
      <c r="BF164" s="541"/>
      <c r="BG164" s="541"/>
      <c r="BH164" s="541"/>
      <c r="BI164" s="541"/>
      <c r="BJ164" s="541"/>
      <c r="BK164" s="541"/>
      <c r="BL164" s="541"/>
      <c r="BM164" s="541"/>
      <c r="BN164" s="541"/>
      <c r="BO164" s="541"/>
      <c r="BP164" s="541"/>
      <c r="BQ164" s="541"/>
      <c r="BR164" s="541"/>
      <c r="BS164" s="541"/>
      <c r="BT164" s="541"/>
    </row>
    <row r="165" spans="1:72" x14ac:dyDescent="0.25">
      <c r="A165" s="325" t="s">
        <v>332</v>
      </c>
      <c r="B165" s="331" t="s">
        <v>472</v>
      </c>
      <c r="C165" s="531">
        <v>19</v>
      </c>
      <c r="D165" s="532">
        <v>16</v>
      </c>
      <c r="E165" s="537">
        <v>40</v>
      </c>
      <c r="F165" s="531">
        <v>19</v>
      </c>
      <c r="G165" s="532">
        <v>15</v>
      </c>
      <c r="H165" s="537">
        <v>35</v>
      </c>
      <c r="I165" s="531">
        <v>19</v>
      </c>
      <c r="J165" s="532">
        <v>18</v>
      </c>
      <c r="K165" s="537">
        <v>40</v>
      </c>
      <c r="L165" s="531">
        <v>19</v>
      </c>
      <c r="M165" s="532">
        <v>16</v>
      </c>
      <c r="N165" s="537">
        <v>35</v>
      </c>
      <c r="O165" s="531">
        <v>19</v>
      </c>
      <c r="P165" s="532">
        <v>19</v>
      </c>
      <c r="Q165" s="537">
        <v>40</v>
      </c>
      <c r="R165" s="531">
        <v>19</v>
      </c>
      <c r="S165" s="532">
        <v>17</v>
      </c>
      <c r="T165" s="537">
        <v>40</v>
      </c>
      <c r="U165" s="531">
        <v>19</v>
      </c>
      <c r="V165" s="532">
        <v>13</v>
      </c>
      <c r="W165" s="537">
        <v>35</v>
      </c>
      <c r="X165" s="531">
        <v>19</v>
      </c>
      <c r="Y165" s="532">
        <v>18</v>
      </c>
      <c r="Z165" s="537">
        <v>35</v>
      </c>
      <c r="AA165" s="531">
        <v>19</v>
      </c>
      <c r="AB165" s="532">
        <v>16</v>
      </c>
      <c r="AC165" s="537">
        <v>30</v>
      </c>
      <c r="AD165" s="531">
        <v>19</v>
      </c>
      <c r="AE165" s="532">
        <v>17</v>
      </c>
      <c r="AF165" s="537">
        <v>40</v>
      </c>
      <c r="AG165" s="531">
        <v>19</v>
      </c>
      <c r="AH165" s="532">
        <v>17</v>
      </c>
      <c r="AI165" s="537">
        <v>30</v>
      </c>
      <c r="AJ165" s="531">
        <v>0</v>
      </c>
      <c r="AK165" s="532">
        <v>0</v>
      </c>
      <c r="AL165" s="538" t="s">
        <v>636</v>
      </c>
      <c r="AM165" s="539"/>
      <c r="AN165" s="540"/>
      <c r="AO165" s="540"/>
      <c r="AP165" s="539"/>
      <c r="AQ165" s="539"/>
      <c r="AR165" s="539"/>
      <c r="AS165" s="539"/>
      <c r="AT165" s="539"/>
      <c r="AU165" s="539"/>
      <c r="AV165" s="539"/>
      <c r="AW165" s="539"/>
      <c r="AX165" s="539"/>
      <c r="AY165" s="539"/>
      <c r="AZ165" s="539"/>
      <c r="BA165" s="539"/>
      <c r="BB165" s="539"/>
      <c r="BC165" s="539"/>
      <c r="BD165" s="539"/>
      <c r="BE165" s="541"/>
      <c r="BF165" s="541"/>
      <c r="BG165" s="541"/>
      <c r="BH165" s="541"/>
      <c r="BI165" s="541"/>
      <c r="BJ165" s="541"/>
      <c r="BK165" s="541"/>
      <c r="BL165" s="541"/>
      <c r="BM165" s="541"/>
      <c r="BN165" s="541"/>
      <c r="BO165" s="541"/>
      <c r="BP165" s="541"/>
      <c r="BQ165" s="541"/>
      <c r="BR165" s="541"/>
      <c r="BS165" s="541"/>
      <c r="BT165" s="541"/>
    </row>
    <row r="166" spans="1:72" s="476" customFormat="1" x14ac:dyDescent="0.25">
      <c r="A166" s="327"/>
      <c r="B166" s="332"/>
      <c r="C166" s="516"/>
      <c r="D166" s="517"/>
      <c r="E166" s="515"/>
      <c r="F166" s="516"/>
      <c r="G166" s="517"/>
      <c r="H166" s="515"/>
      <c r="I166" s="516"/>
      <c r="J166" s="517"/>
      <c r="K166" s="515"/>
      <c r="L166" s="516"/>
      <c r="M166" s="517"/>
      <c r="N166" s="515"/>
      <c r="O166" s="516"/>
      <c r="P166" s="517"/>
      <c r="Q166" s="515"/>
      <c r="R166" s="516"/>
      <c r="S166" s="517"/>
      <c r="T166" s="515"/>
      <c r="U166" s="516"/>
      <c r="V166" s="517"/>
      <c r="W166" s="515"/>
      <c r="X166" s="516"/>
      <c r="Y166" s="517"/>
      <c r="Z166" s="515"/>
      <c r="AA166" s="516"/>
      <c r="AB166" s="517"/>
      <c r="AC166" s="515"/>
      <c r="AD166" s="516"/>
      <c r="AE166" s="517"/>
      <c r="AF166" s="515"/>
      <c r="AG166" s="516"/>
      <c r="AH166" s="517"/>
      <c r="AI166" s="515"/>
      <c r="AJ166" s="516"/>
      <c r="AK166" s="517"/>
      <c r="AL166" s="515"/>
      <c r="AM166" s="475"/>
      <c r="AN166" s="475"/>
      <c r="AO166" s="475"/>
      <c r="AP166" s="475"/>
      <c r="AQ166" s="475"/>
      <c r="AR166" s="475"/>
      <c r="AS166" s="475"/>
      <c r="AT166" s="475"/>
      <c r="AU166" s="475"/>
      <c r="AV166" s="475"/>
      <c r="AW166" s="475"/>
      <c r="AX166" s="475"/>
      <c r="AY166" s="475"/>
      <c r="AZ166" s="475"/>
      <c r="BA166" s="475"/>
    </row>
    <row r="167" spans="1:72" x14ac:dyDescent="0.25">
      <c r="A167" s="65"/>
      <c r="B167" s="271"/>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c r="AN167"/>
      <c r="AO167"/>
      <c r="AP167" s="16"/>
      <c r="AQ167" s="16"/>
      <c r="AR167" s="16"/>
      <c r="AS167" s="16"/>
      <c r="AT167" s="16"/>
      <c r="AU167" s="16"/>
      <c r="AV167" s="16"/>
      <c r="AW167" s="16"/>
      <c r="AX167" s="16"/>
      <c r="AY167" s="16"/>
      <c r="AZ167" s="16"/>
      <c r="BA167" s="16"/>
    </row>
    <row r="168" spans="1:72" s="118" customFormat="1" x14ac:dyDescent="0.25">
      <c r="A168" s="119" t="s">
        <v>262</v>
      </c>
      <c r="B168" s="272"/>
      <c r="C168" s="120"/>
      <c r="D168" s="120"/>
      <c r="E168" s="120"/>
      <c r="F168" s="120"/>
      <c r="AM168"/>
      <c r="AN168"/>
      <c r="AO168" s="16"/>
    </row>
    <row r="169" spans="1:72" s="1" customFormat="1" ht="12.75" x14ac:dyDescent="0.2">
      <c r="A169" s="19"/>
      <c r="B169" s="273"/>
      <c r="C169" s="6"/>
      <c r="D169" s="7"/>
      <c r="E169" s="6"/>
      <c r="F169" s="109"/>
      <c r="AM169" s="16"/>
      <c r="AN169" s="16"/>
      <c r="AO169" s="118"/>
    </row>
    <row r="170" spans="1:72" s="16" customFormat="1" ht="12.75" x14ac:dyDescent="0.2">
      <c r="A170" s="77" t="s">
        <v>590</v>
      </c>
      <c r="B170" s="274"/>
      <c r="C170" s="77"/>
      <c r="D170" s="77"/>
      <c r="E170" s="77"/>
      <c r="F170" s="77"/>
      <c r="G170" s="78"/>
      <c r="H170" s="15"/>
      <c r="I170" s="15"/>
      <c r="J170" s="15"/>
      <c r="K170" s="15"/>
      <c r="L170" s="15"/>
      <c r="M170" s="15"/>
      <c r="N170" s="15"/>
      <c r="O170" s="15"/>
      <c r="AM170" s="118"/>
      <c r="AN170" s="118"/>
      <c r="AO170" s="1"/>
    </row>
    <row r="171" spans="1:72" s="16" customFormat="1" ht="120.75" customHeight="1" x14ac:dyDescent="0.25">
      <c r="A171" s="566" t="s">
        <v>288</v>
      </c>
      <c r="B171" s="566"/>
      <c r="C171" s="566"/>
      <c r="D171" s="566"/>
      <c r="E171" s="566"/>
      <c r="F171" s="566"/>
      <c r="G171" s="566"/>
      <c r="H171" s="566"/>
      <c r="I171" s="566"/>
      <c r="J171" s="566"/>
      <c r="K171" s="566"/>
      <c r="L171" s="566"/>
      <c r="M171" s="566"/>
      <c r="N171" s="566"/>
      <c r="O171" s="566"/>
      <c r="P171" s="566"/>
      <c r="AM171" s="1"/>
      <c r="AN171" s="1"/>
      <c r="AP171" s="68"/>
      <c r="AQ171" s="71"/>
      <c r="AR171" s="71"/>
      <c r="AS171" s="71"/>
      <c r="AT171" s="71"/>
      <c r="AU171" s="71"/>
      <c r="AV171" s="41"/>
      <c r="AW171" s="41"/>
      <c r="AX171" s="41"/>
      <c r="AY171" s="41"/>
      <c r="AZ171" s="41"/>
      <c r="BA171" s="41"/>
    </row>
    <row r="172" spans="1:72" s="1" customFormat="1" ht="12.75" x14ac:dyDescent="0.2">
      <c r="A172" s="19"/>
      <c r="B172" s="273"/>
      <c r="C172" s="6"/>
      <c r="D172" s="7"/>
      <c r="E172" s="6"/>
      <c r="F172" s="109"/>
      <c r="AM172" s="16"/>
      <c r="AN172" s="16"/>
      <c r="AO172" s="69"/>
    </row>
    <row r="173" spans="1:72" s="1" customFormat="1" ht="12.75" x14ac:dyDescent="0.2">
      <c r="A173" s="2" t="s">
        <v>232</v>
      </c>
      <c r="B173" s="275"/>
      <c r="C173" s="109"/>
      <c r="D173" s="109"/>
      <c r="E173" s="109"/>
      <c r="F173" s="109"/>
      <c r="AM173" s="69"/>
      <c r="AN173" s="69"/>
    </row>
    <row r="174" spans="1:72" ht="15" customHeight="1" x14ac:dyDescent="0.25">
      <c r="A174" s="215" t="s">
        <v>223</v>
      </c>
      <c r="B174" s="271"/>
      <c r="C174" s="44"/>
      <c r="D174" s="44"/>
      <c r="E174" s="44"/>
      <c r="F174" s="44"/>
      <c r="G174" s="67"/>
      <c r="H174" s="67"/>
      <c r="I174" s="67"/>
      <c r="J174" s="67"/>
      <c r="K174" s="67"/>
      <c r="L174" s="67"/>
      <c r="M174" s="67"/>
      <c r="N174" s="67"/>
      <c r="O174" s="67"/>
      <c r="P174" s="67"/>
      <c r="Q174" s="67"/>
      <c r="R174" s="67"/>
      <c r="S174" s="67"/>
      <c r="T174" s="67"/>
      <c r="U174" s="67"/>
      <c r="V174" s="67"/>
      <c r="W174" s="67"/>
      <c r="X174" s="67"/>
      <c r="Y174" s="67"/>
      <c r="Z174" s="67"/>
      <c r="AA174" s="67"/>
      <c r="AB174" s="67"/>
      <c r="AC174" s="67"/>
      <c r="AD174" s="67"/>
      <c r="AE174" s="67"/>
      <c r="AF174" s="67"/>
      <c r="AG174" s="67"/>
      <c r="AH174" s="67"/>
      <c r="AI174" s="67"/>
      <c r="AJ174" s="67"/>
      <c r="AK174" s="67"/>
      <c r="AL174" s="67"/>
      <c r="AM174" s="1"/>
      <c r="AN174" s="1"/>
      <c r="AO174" s="1"/>
      <c r="AP174" s="68"/>
      <c r="AQ174" s="71"/>
      <c r="AR174" s="71"/>
      <c r="AS174" s="71"/>
      <c r="AT174" s="71"/>
      <c r="AU174" s="71"/>
    </row>
    <row r="175" spans="1:72" ht="15" customHeight="1" x14ac:dyDescent="0.25">
      <c r="A175" s="322" t="s">
        <v>224</v>
      </c>
      <c r="B175" s="322"/>
      <c r="C175" s="322"/>
      <c r="D175" s="322"/>
      <c r="E175" s="322"/>
      <c r="F175" s="322"/>
      <c r="G175" s="67"/>
      <c r="H175" s="67"/>
      <c r="I175" s="67"/>
      <c r="J175" s="67"/>
      <c r="K175" s="67"/>
      <c r="L175" s="67"/>
      <c r="M175" s="67"/>
      <c r="N175" s="67"/>
      <c r="O175" s="67"/>
      <c r="P175" s="67"/>
      <c r="Q175" s="67"/>
      <c r="R175" s="67"/>
      <c r="S175" s="67"/>
      <c r="T175" s="67"/>
      <c r="U175" s="67"/>
      <c r="V175" s="67"/>
      <c r="W175" s="67"/>
      <c r="X175" s="67"/>
      <c r="Y175" s="67"/>
      <c r="Z175" s="67"/>
      <c r="AA175" s="67"/>
      <c r="AB175" s="67"/>
      <c r="AC175" s="67"/>
      <c r="AD175" s="67"/>
      <c r="AE175" s="67"/>
      <c r="AF175" s="67"/>
      <c r="AG175" s="67"/>
      <c r="AH175" s="67"/>
      <c r="AI175" s="67"/>
      <c r="AJ175" s="67"/>
      <c r="AK175" s="67"/>
      <c r="AL175" s="67"/>
      <c r="AM175" s="1"/>
      <c r="AN175" s="1"/>
      <c r="AO175" s="69"/>
      <c r="AP175" s="68"/>
      <c r="AQ175" s="71"/>
      <c r="AR175" s="71"/>
      <c r="AS175" s="71"/>
      <c r="AT175" s="71"/>
      <c r="AU175" s="71"/>
    </row>
    <row r="176" spans="1:72" ht="15" customHeight="1" x14ac:dyDescent="0.25">
      <c r="A176" s="216" t="s">
        <v>287</v>
      </c>
      <c r="B176" s="276"/>
      <c r="C176" s="44"/>
      <c r="D176" s="44"/>
      <c r="E176" s="44"/>
      <c r="F176" s="44"/>
      <c r="G176" s="67"/>
      <c r="H176" s="67"/>
      <c r="I176" s="67"/>
      <c r="J176" s="67"/>
      <c r="K176" s="67"/>
      <c r="L176" s="67"/>
      <c r="M176" s="67"/>
      <c r="N176" s="67"/>
      <c r="O176" s="67"/>
      <c r="P176" s="67"/>
      <c r="Q176" s="67"/>
      <c r="R176" s="67"/>
      <c r="S176" s="67"/>
      <c r="T176" s="67"/>
      <c r="U176" s="67"/>
      <c r="V176" s="67"/>
      <c r="W176" s="67"/>
      <c r="X176" s="67"/>
      <c r="Y176" s="67"/>
      <c r="Z176" s="67"/>
      <c r="AA176" s="67"/>
      <c r="AB176" s="67"/>
      <c r="AC176" s="67"/>
      <c r="AD176" s="67"/>
      <c r="AE176" s="67"/>
      <c r="AF176" s="67"/>
      <c r="AG176" s="67"/>
      <c r="AH176" s="67"/>
      <c r="AI176" s="67"/>
      <c r="AJ176" s="67"/>
      <c r="AK176" s="67"/>
      <c r="AL176" s="67"/>
      <c r="AM176" s="69"/>
      <c r="AN176" s="69"/>
      <c r="AO176" s="70"/>
      <c r="AP176" s="68"/>
      <c r="AQ176" s="71"/>
      <c r="AR176" s="71"/>
      <c r="AS176" s="71"/>
      <c r="AT176" s="71"/>
      <c r="AU176" s="71"/>
    </row>
    <row r="177" spans="1:47" ht="27.75" customHeight="1" x14ac:dyDescent="0.25">
      <c r="A177" s="605" t="s">
        <v>620</v>
      </c>
      <c r="B177" s="605"/>
      <c r="C177" s="605"/>
      <c r="D177" s="605"/>
      <c r="E177" s="605"/>
      <c r="F177" s="605"/>
      <c r="G177" s="605"/>
      <c r="H177" s="605"/>
      <c r="I177" s="605"/>
      <c r="J177" s="605"/>
      <c r="K177" s="605"/>
      <c r="L177" s="605"/>
      <c r="M177" s="605"/>
      <c r="N177" s="605"/>
      <c r="O177" s="605"/>
      <c r="P177" s="605"/>
      <c r="Q177" s="605"/>
      <c r="R177" s="605"/>
      <c r="S177" s="605"/>
      <c r="T177" s="67"/>
      <c r="U177" s="67"/>
      <c r="V177" s="67"/>
      <c r="W177" s="67"/>
      <c r="X177" s="67"/>
      <c r="Y177" s="67"/>
      <c r="Z177" s="67"/>
      <c r="AA177" s="67"/>
      <c r="AB177" s="67"/>
      <c r="AC177" s="67"/>
      <c r="AD177" s="67"/>
      <c r="AE177" s="67"/>
      <c r="AF177" s="67"/>
      <c r="AG177" s="67"/>
      <c r="AH177" s="67"/>
      <c r="AI177" s="67"/>
      <c r="AJ177" s="67"/>
      <c r="AK177" s="67"/>
      <c r="AL177" s="67"/>
      <c r="AM177" s="66"/>
      <c r="AN177" s="66"/>
      <c r="AO177" s="66"/>
      <c r="AP177" s="68"/>
      <c r="AQ177" s="71"/>
      <c r="AR177" s="71"/>
      <c r="AS177" s="71"/>
      <c r="AT177" s="71"/>
      <c r="AU177" s="71"/>
    </row>
    <row r="178" spans="1:47" ht="15" customHeight="1" x14ac:dyDescent="0.25">
      <c r="A178" s="324" t="s">
        <v>634</v>
      </c>
      <c r="B178" s="324"/>
      <c r="C178" s="324"/>
      <c r="D178" s="324"/>
      <c r="E178" s="324"/>
      <c r="F178" s="324"/>
      <c r="G178" s="324"/>
      <c r="H178" s="324"/>
      <c r="I178" s="324"/>
      <c r="J178" s="324"/>
      <c r="K178" s="324"/>
      <c r="L178" s="324"/>
      <c r="M178" s="67"/>
      <c r="N178" s="67"/>
      <c r="O178" s="67"/>
      <c r="P178" s="67"/>
      <c r="Q178" s="67"/>
      <c r="R178" s="67"/>
      <c r="S178" s="67"/>
      <c r="T178" s="67"/>
      <c r="U178" s="67"/>
      <c r="V178" s="67"/>
      <c r="W178" s="67"/>
      <c r="X178" s="67"/>
      <c r="Y178" s="67"/>
      <c r="Z178" s="67"/>
      <c r="AA178" s="67"/>
      <c r="AB178" s="67"/>
      <c r="AC178" s="67"/>
      <c r="AD178" s="67"/>
      <c r="AE178" s="67"/>
      <c r="AF178" s="67"/>
      <c r="AG178" s="67"/>
      <c r="AH178" s="67"/>
      <c r="AI178" s="67"/>
      <c r="AJ178" s="67"/>
      <c r="AK178" s="67"/>
      <c r="AL178" s="67"/>
      <c r="AM178" s="66"/>
      <c r="AN178" s="66"/>
      <c r="AO178" s="66"/>
      <c r="AP178" s="68"/>
      <c r="AQ178" s="71"/>
      <c r="AR178" s="71"/>
      <c r="AS178" s="71"/>
      <c r="AT178" s="71"/>
      <c r="AU178" s="71"/>
    </row>
    <row r="179" spans="1:47" s="109" customFormat="1" ht="15" customHeight="1" x14ac:dyDescent="0.2">
      <c r="A179" s="322" t="s">
        <v>277</v>
      </c>
      <c r="B179" s="322"/>
      <c r="C179" s="322"/>
      <c r="D179" s="322"/>
      <c r="E179" s="322"/>
      <c r="AM179" s="66"/>
      <c r="AN179" s="66"/>
      <c r="AO179" s="66"/>
    </row>
    <row r="180" spans="1:47" s="1" customFormat="1" ht="12.75" x14ac:dyDescent="0.2">
      <c r="A180" s="323" t="s">
        <v>278</v>
      </c>
      <c r="B180" s="323"/>
      <c r="C180" s="323"/>
      <c r="D180" s="323"/>
      <c r="E180" s="323"/>
      <c r="F180" s="109"/>
      <c r="AM180" s="66"/>
      <c r="AN180" s="66"/>
      <c r="AO180" s="109"/>
    </row>
    <row r="181" spans="1:47" x14ac:dyDescent="0.25">
      <c r="A181" s="71"/>
      <c r="B181" s="27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c r="AB181" s="67"/>
      <c r="AC181" s="67"/>
      <c r="AD181" s="67"/>
      <c r="AE181" s="67"/>
      <c r="AF181" s="67"/>
      <c r="AG181" s="67"/>
      <c r="AH181" s="67"/>
      <c r="AI181" s="67"/>
      <c r="AJ181" s="67"/>
      <c r="AK181" s="67"/>
      <c r="AL181" s="67"/>
      <c r="AM181" s="109"/>
      <c r="AN181" s="109"/>
      <c r="AO181" s="1"/>
      <c r="AP181" s="71"/>
      <c r="AQ181" s="71"/>
      <c r="AR181" s="71"/>
      <c r="AS181" s="71"/>
      <c r="AT181" s="71"/>
      <c r="AU181" s="71"/>
    </row>
    <row r="182" spans="1:47" x14ac:dyDescent="0.25">
      <c r="AM182" s="1"/>
      <c r="AN182" s="1"/>
      <c r="AO182" s="71"/>
    </row>
    <row r="183" spans="1:47" x14ac:dyDescent="0.25">
      <c r="AM183" s="71"/>
      <c r="AN183" s="71"/>
    </row>
  </sheetData>
  <sortState xmlns:xlrd2="http://schemas.microsoft.com/office/spreadsheetml/2017/richdata2" ref="A16:AL165">
    <sortCondition ref="B16:B165"/>
  </sortState>
  <mergeCells count="39">
    <mergeCell ref="AG12:AI12"/>
    <mergeCell ref="A8:B8"/>
    <mergeCell ref="C12:E12"/>
    <mergeCell ref="F12:H12"/>
    <mergeCell ref="I12:K12"/>
    <mergeCell ref="L12:N12"/>
    <mergeCell ref="O12:Q12"/>
    <mergeCell ref="X13:Y13"/>
    <mergeCell ref="AJ12:AL12"/>
    <mergeCell ref="C13:D13"/>
    <mergeCell ref="E13:E14"/>
    <mergeCell ref="F13:G13"/>
    <mergeCell ref="H13:H14"/>
    <mergeCell ref="I13:J13"/>
    <mergeCell ref="K13:K14"/>
    <mergeCell ref="L13:M13"/>
    <mergeCell ref="N13:N14"/>
    <mergeCell ref="O13:P13"/>
    <mergeCell ref="R12:T12"/>
    <mergeCell ref="U12:W12"/>
    <mergeCell ref="X12:Z12"/>
    <mergeCell ref="AA12:AC12"/>
    <mergeCell ref="AD12:AF12"/>
    <mergeCell ref="AI13:AI14"/>
    <mergeCell ref="AJ13:AK13"/>
    <mergeCell ref="AL13:AL14"/>
    <mergeCell ref="A171:P171"/>
    <mergeCell ref="A177:S177"/>
    <mergeCell ref="Z13:Z14"/>
    <mergeCell ref="AA13:AB13"/>
    <mergeCell ref="AC13:AC14"/>
    <mergeCell ref="AD13:AE13"/>
    <mergeCell ref="AF13:AF14"/>
    <mergeCell ref="AG13:AH13"/>
    <mergeCell ref="Q13:Q14"/>
    <mergeCell ref="R13:S13"/>
    <mergeCell ref="T13:T14"/>
    <mergeCell ref="U13:V13"/>
    <mergeCell ref="W13:W14"/>
  </mergeCells>
  <conditionalFormatting sqref="B19">
    <cfRule type="duplicateValues" dxfId="0" priority="1"/>
  </conditionalFormatting>
  <hyperlinks>
    <hyperlink ref="A8" location="Contents!A1" display="Return to Contents" xr:uid="{84273C27-1259-447A-AACC-AE066F4E514A}"/>
  </hyperlinks>
  <pageMargins left="0.7" right="0.7" top="0.75" bottom="0.75" header="0.3" footer="0.3"/>
  <pageSetup paperSize="9" scale="2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NHSD-2119-1251272291-859</_dlc_DocId>
    <_dlc_DocIdUrl xmlns="2c0b3723-ae66-45ac-94fb-aaf049c45b50">
      <Url>https://hscic365.sharepoint.com/sites/Teams%202/SUSprogramme/sushesanalysis/criticalcare/_layouts/15/DocIdRedir.aspx?ID=NHSD-2119-1251272291-859</Url>
      <Description>NHSD-2119-1251272291-859</Description>
    </_dlc_DocIdUrl>
    <InformationStatus xmlns="5668c8bc-6c30-45e9-80ca-5109d4270dfd">Draft</InformationStatus>
    <AuthoredDate xmlns="5668c8bc-6c30-45e9-80ca-5109d4270dfd">2018-09-18T11:39:42+00:00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2018-10-21T15:30:37+00:00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ExpireDateSaved xmlns="http://schemas.microsoft.com/sharepoint/v3" xsi:nil="true"/>
    <_dlc_ExpireDate xmlns="http://schemas.microsoft.com/sharepoint/v3">2026-09-18T11:39:42+00:00</_dlc_ExpireDate>
  </documentManagement>
</p:properties>
</file>

<file path=customXml/item2.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4.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6D2A3ED82F0632468A60C134A51A4DF3" ma:contentTypeVersion="1954" ma:contentTypeDescription="" ma:contentTypeScope="" ma:versionID="0de3859a6511e1fb7d2f6c65a9dabaf1">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cb4ff6c3eecdcfc3e009a9e113ba3b05"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bb72b7f4-c981-47a4-a26e-043e4b78ebf3" ContentTypeId="0x010100CE61D9DC7AFC6844B595FD0A55B75DF702" PreviousValue="false"/>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16FDA5-E3F6-4319-8B98-12C2706BE28C}">
  <ds:schemaRefs>
    <ds:schemaRef ds:uri="http://purl.org/dc/elements/1.1/"/>
    <ds:schemaRef ds:uri="http://purl.org/dc/terms/"/>
    <ds:schemaRef ds:uri="http://schemas.microsoft.com/office/infopath/2007/PartnerControls"/>
    <ds:schemaRef ds:uri="http://schemas.microsoft.com/office/2006/documentManagement/types"/>
    <ds:schemaRef ds:uri="http://schemas.microsoft.com/office/2006/metadata/properties"/>
    <ds:schemaRef ds:uri="2c0b3723-ae66-45ac-94fb-aaf049c45b50"/>
    <ds:schemaRef ds:uri="5668c8bc-6c30-45e9-80ca-5109d4270dfd"/>
    <ds:schemaRef ds:uri="http://www.w3.org/XML/1998/namespace"/>
    <ds:schemaRef ds:uri="http://schemas.microsoft.com/sharepoint/v3"/>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E4740567-8885-4B17-A8A7-E62A25F65390}">
  <ds:schemaRefs>
    <ds:schemaRef ds:uri="http://schemas.microsoft.com/sharepoint/events"/>
  </ds:schemaRefs>
</ds:datastoreItem>
</file>

<file path=customXml/itemProps3.xml><?xml version="1.0" encoding="utf-8"?>
<ds:datastoreItem xmlns:ds="http://schemas.openxmlformats.org/officeDocument/2006/customXml" ds:itemID="{E52797A5-794F-4B73-85C5-A3513E4F623E}">
  <ds:schemaRefs>
    <ds:schemaRef ds:uri="office.server.policy"/>
  </ds:schemaRefs>
</ds:datastoreItem>
</file>

<file path=customXml/itemProps4.xml><?xml version="1.0" encoding="utf-8"?>
<ds:datastoreItem xmlns:ds="http://schemas.openxmlformats.org/officeDocument/2006/customXml" ds:itemID="{E4EA6027-E106-4287-BC63-8E82BF8710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C01E20A4-4A01-4B48-AEDE-080DEE7CD167}">
  <ds:schemaRefs>
    <ds:schemaRef ds:uri="Microsoft.SharePoint.Taxonomy.ContentTypeSync"/>
  </ds:schemaRefs>
</ds:datastoreItem>
</file>

<file path=customXml/itemProps6.xml><?xml version="1.0" encoding="utf-8"?>
<ds:datastoreItem xmlns:ds="http://schemas.openxmlformats.org/officeDocument/2006/customXml" ds:itemID="{80021FE9-9325-4168-87E5-FF78166AE4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21</vt:i4>
      </vt:variant>
    </vt:vector>
  </HeadingPairs>
  <TitlesOfParts>
    <vt:vector size="41" baseType="lpstr">
      <vt:lpstr>Title Sheet</vt: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HRG</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18'!Print_Area</vt:lpstr>
      <vt:lpstr>'Table 2'!Print_Area</vt:lpstr>
      <vt:lpstr>'Table 3'!Print_Area</vt:lpstr>
      <vt:lpstr>'Table 4'!Print_Area</vt:lpstr>
      <vt:lpstr>'Table 5'!Print_Area</vt:lpstr>
      <vt:lpstr>'Table 6'!Print_Area</vt:lpstr>
      <vt:lpstr>'Table 7'!Print_Area</vt:lpstr>
      <vt:lpstr>'Table 8'!Print_Area</vt:lpstr>
      <vt:lpstr>'Table 9'!Print_Area</vt:lpstr>
      <vt:lpstr>'Title Sheet'!Print_Area</vt:lpstr>
      <vt:lpstr>'Table 3'!Print_Titles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Hospital Adult Critical Care Activity</dc:title>
  <dc:creator>NPhiri</dc:creator>
  <cp:lastModifiedBy>Michael Barnes</cp:lastModifiedBy>
  <cp:lastPrinted>2017-01-19T14:24:29Z</cp:lastPrinted>
  <dcterms:created xsi:type="dcterms:W3CDTF">2014-02-03T15:33:27Z</dcterms:created>
  <dcterms:modified xsi:type="dcterms:W3CDTF">2020-09-14T16:27:12Z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0x010100CE61D9DC7AFC6844B595FD0A55B75DF702006D2A3ED82F0632468A60C134A51A4DF3</vt:lpwstr>
  </property>
  <property fmtid="{D5CDD505-2E9C-101B-9397-08002B2CF9AE}" pid="3" name="Order">
    <vt:r8>207500</vt:r8>
  </property>
  <property fmtid="{D5CDD505-2E9C-101B-9397-08002B2CF9AE}" pid="4" name="_dlc_DocIdItemGuid">
    <vt:lpwstr>9abe445b-410a-4483-b9f4-a5fc7662db3d</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7" name="InformationType">
    <vt:lpwstr>14;#Document|6113f30c-7b54-4978-b917-a373efb61b62</vt:lpwstr>
  </property>
  <property fmtid="{D5CDD505-2E9C-101B-9397-08002B2CF9AE}" pid="8" name="PortfolioCode">
    <vt:lpwstr/>
  </property>
</Properties>
</file>