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filterPrivacy="1" codeName="ThisWorkbook" defaultThemeVersion="124226"/>
  <xr:revisionPtr revIDLastSave="0" documentId="13_ncr:1_{4B6156D9-F3CC-48B7-89A0-272FEB51945C}" xr6:coauthVersionLast="36" xr6:coauthVersionMax="36" xr10:uidLastSave="{00000000-0000-0000-0000-000000000000}"/>
  <bookViews>
    <workbookView xWindow="13956" yWindow="60" windowWidth="7620" windowHeight="5532" tabRatio="818" xr2:uid="{00000000-000D-0000-FFFF-FFFF00000000}"/>
  </bookViews>
  <sheets>
    <sheet name="Title sheet" sheetId="111" r:id="rId1"/>
    <sheet name="Contents" sheetId="71" r:id="rId2"/>
    <sheet name="Summary report 1" sheetId="148" r:id="rId3"/>
    <sheet name="Summary report 2" sheetId="149" r:id="rId4"/>
    <sheet name="Summary report 3" sheetId="150" r:id="rId5"/>
    <sheet name="Summary report 4" sheetId="152" r:id="rId6"/>
    <sheet name="Summary report 5" sheetId="183" r:id="rId7"/>
    <sheet name="Summary report 6" sheetId="185" r:id="rId8"/>
    <sheet name="Summary report 7" sheetId="155" r:id="rId9"/>
    <sheet name="Summary report 8" sheetId="157" r:id="rId10"/>
    <sheet name="Summary report 9-10" sheetId="159" r:id="rId11"/>
    <sheet name="Summary report 11" sheetId="161" r:id="rId12"/>
    <sheet name="Summary report 12" sheetId="163" r:id="rId13"/>
    <sheet name="Summary report 13" sheetId="165" r:id="rId14"/>
    <sheet name="Summary report 14" sheetId="166" r:id="rId15"/>
    <sheet name="Summary report 15" sheetId="168" r:id="rId16"/>
    <sheet name="Summary report 16" sheetId="170" r:id="rId17"/>
    <sheet name="Summary report 17" sheetId="172" r:id="rId18"/>
    <sheet name="Summary report 18" sheetId="176" r:id="rId19"/>
    <sheet name="Summary report 19" sheetId="202" r:id="rId20"/>
    <sheet name="Summary report 20 full" sheetId="203" state="hidden" r:id="rId21"/>
    <sheet name="Summary report 20" sheetId="204" r:id="rId22"/>
  </sheets>
  <definedNames>
    <definedName name="_xlnm.Print_Area" localSheetId="1">Contents!$A$1:$I$106</definedName>
    <definedName name="_xlnm.Print_Area" localSheetId="2">'Summary report 1'!$A$1:$L$22</definedName>
    <definedName name="_xlnm.Print_Area" localSheetId="11">'Summary report 11'!$A$1:$Z$21</definedName>
    <definedName name="_xlnm.Print_Area" localSheetId="12">'Summary report 12'!$A$1:$Z$17</definedName>
    <definedName name="_xlnm.Print_Area" localSheetId="13">'Summary report 13'!$A$1:$J$26</definedName>
    <definedName name="_xlnm.Print_Area" localSheetId="14">'Summary report 14'!$A$1:$K$27</definedName>
    <definedName name="_xlnm.Print_Area" localSheetId="15">'Summary report 15'!$A$1:$L$17</definedName>
    <definedName name="_xlnm.Print_Area" localSheetId="16">'Summary report 16'!$A$1:$H$24</definedName>
    <definedName name="_xlnm.Print_Area" localSheetId="17">'Summary report 17'!$A$1:$I$21</definedName>
    <definedName name="_xlnm.Print_Area" localSheetId="18">'Summary report 18'!$A$1:$I$25</definedName>
    <definedName name="_xlnm.Print_Area" localSheetId="19">'Summary report 19'!$A$1:$I$30</definedName>
    <definedName name="_xlnm.Print_Area" localSheetId="3">'Summary report 2'!$A$1:$L$16</definedName>
    <definedName name="_xlnm.Print_Area" localSheetId="21">'Summary report 20'!$A$1:$H$23</definedName>
    <definedName name="_xlnm.Print_Area" localSheetId="20">'Summary report 20 full'!$A$1:$H$31</definedName>
    <definedName name="_xlnm.Print_Area" localSheetId="4">'Summary report 3'!$A$1:$L$29</definedName>
    <definedName name="_xlnm.Print_Area" localSheetId="5">'Summary report 4'!$A$1:$L$18</definedName>
    <definedName name="_xlnm.Print_Area" localSheetId="6">'Summary report 5'!$A$1:$H$99</definedName>
    <definedName name="_xlnm.Print_Area" localSheetId="7">'Summary report 6'!$A$1:$H$99</definedName>
    <definedName name="_xlnm.Print_Area" localSheetId="8">'Summary report 7'!$A$1:$G$153</definedName>
    <definedName name="_xlnm.Print_Area" localSheetId="9">'Summary report 8'!$A$1:$Z$27</definedName>
    <definedName name="_xlnm.Print_Area" localSheetId="10">'Summary report 9-10'!$A$1:$L$24</definedName>
    <definedName name="_xlnm.Print_Area" localSheetId="0">'Title sheet'!$A$1:$I$25</definedName>
  </definedNames>
  <calcPr calcId="179021" calcMode="manual"/>
  <fileRecoveryPr autoRecover="0"/>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21" i="203" l="1"/>
  <c r="D20" i="203"/>
  <c r="D19" i="203"/>
  <c r="D18" i="203"/>
  <c r="D17" i="203"/>
  <c r="D16" i="203"/>
  <c r="D15" i="203"/>
  <c r="D14" i="203"/>
  <c r="D13" i="203"/>
  <c r="D12" i="203"/>
  <c r="D11" i="203"/>
  <c r="D10" i="203"/>
  <c r="D9" i="203"/>
  <c r="D8" i="203"/>
  <c r="D7" i="203"/>
  <c r="D6" i="203"/>
</calcChain>
</file>

<file path=xl/sharedStrings.xml><?xml version="1.0" encoding="utf-8"?>
<sst xmlns="http://schemas.openxmlformats.org/spreadsheetml/2006/main" count="864" uniqueCount="530">
  <si>
    <t>2014-15</t>
  </si>
  <si>
    <t>Responsible statistician:</t>
  </si>
  <si>
    <t>% of total attendances</t>
  </si>
  <si>
    <t>Male</t>
  </si>
  <si>
    <t>Female</t>
  </si>
  <si>
    <t>Total</t>
  </si>
  <si>
    <t>90+</t>
  </si>
  <si>
    <t>April</t>
  </si>
  <si>
    <t>May</t>
  </si>
  <si>
    <t>June</t>
  </si>
  <si>
    <t>July</t>
  </si>
  <si>
    <t>August</t>
  </si>
  <si>
    <t>September</t>
  </si>
  <si>
    <t>October</t>
  </si>
  <si>
    <t>November</t>
  </si>
  <si>
    <t>December</t>
  </si>
  <si>
    <t>January</t>
  </si>
  <si>
    <t>February</t>
  </si>
  <si>
    <t>March</t>
  </si>
  <si>
    <t>Monday</t>
  </si>
  <si>
    <t>Tuesday</t>
  </si>
  <si>
    <t>Wednesday</t>
  </si>
  <si>
    <t>Thursday</t>
  </si>
  <si>
    <t>Friday</t>
  </si>
  <si>
    <t>Saturday</t>
  </si>
  <si>
    <t>Sunday</t>
  </si>
  <si>
    <t>00:00</t>
  </si>
  <si>
    <t>01:00</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</si>
  <si>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</si>
  <si>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</si>
  <si>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</si>
  <si>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</si>
  <si>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</si>
  <si>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</si>
  <si>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</si>
  <si>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</si>
  <si>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</si>
  <si>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</si>
  <si>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</si>
  <si>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</si>
  <si>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</si>
  <si>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</si>
  <si>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</si>
  <si>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</si>
  <si>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</si>
  <si>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</si>
  <si>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</si>
  <si>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</si>
  <si>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</si>
  <si>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</si>
  <si>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Aintree University Hospital NHS Foundation Trust</t>
  </si>
  <si>
    <t>REM</t>
  </si>
  <si>
    <t>Airedale NHS Foundation Trust</t>
  </si>
  <si>
    <t>RCF</t>
  </si>
  <si>
    <t>Alder Hey Children's NHS Foundation Trust</t>
  </si>
  <si>
    <t>RBS</t>
  </si>
  <si>
    <t>RTK</t>
  </si>
  <si>
    <t>RF4</t>
  </si>
  <si>
    <t>Barnsley Hospital NHS Foundation Trust</t>
  </si>
  <si>
    <t>RFF</t>
  </si>
  <si>
    <t>Barts Health NHS Trust</t>
  </si>
  <si>
    <t>R1H</t>
  </si>
  <si>
    <t>RDD</t>
  </si>
  <si>
    <t>Bedford Hospital NHS Trust</t>
  </si>
  <si>
    <t>RC1</t>
  </si>
  <si>
    <t>RQ3</t>
  </si>
  <si>
    <t>Blackpool Teaching Hospitals NHS Foundation Trust</t>
  </si>
  <si>
    <t>RXL</t>
  </si>
  <si>
    <t>Bolton NHS Foundation Trust</t>
  </si>
  <si>
    <t>RMC</t>
  </si>
  <si>
    <t>Bradford Teaching Hospitals NHS Foundation Trust</t>
  </si>
  <si>
    <t>RAE</t>
  </si>
  <si>
    <t>RXH</t>
  </si>
  <si>
    <t>Buckinghamshire Healthcare NHS Trust</t>
  </si>
  <si>
    <t>RXQ</t>
  </si>
  <si>
    <t>Burton Hospitals NHS Foundation Trust</t>
  </si>
  <si>
    <t>RJF</t>
  </si>
  <si>
    <t>RWY</t>
  </si>
  <si>
    <t>Cambridge University Hospitals NHS Foundation Trust</t>
  </si>
  <si>
    <t>RGT</t>
  </si>
  <si>
    <t>Central Manchester University Hospitals NHS Foundation Trust</t>
  </si>
  <si>
    <t>RQM</t>
  </si>
  <si>
    <t>Chesterfield Royal Hospital NHS Foundation Trust</t>
  </si>
  <si>
    <t>RFS</t>
  </si>
  <si>
    <t>City Hospitals Sunderland NHS Foundation Trust</t>
  </si>
  <si>
    <t>RLN</t>
  </si>
  <si>
    <t>Colchester Hospital University NHS Foundation Trust</t>
  </si>
  <si>
    <t>RDE</t>
  </si>
  <si>
    <t>Countess Of Chester Hospital NHS Foundation Trust</t>
  </si>
  <si>
    <t>RJR</t>
  </si>
  <si>
    <t>RXP</t>
  </si>
  <si>
    <t>Croydon Health Services NHS Trust</t>
  </si>
  <si>
    <t>RJ6</t>
  </si>
  <si>
    <t>RTG</t>
  </si>
  <si>
    <t>RP5</t>
  </si>
  <si>
    <t>Dorset County Hospital NHS Foundation Trust</t>
  </si>
  <si>
    <t>RBD</t>
  </si>
  <si>
    <t>RWH</t>
  </si>
  <si>
    <t>East Cheshire NHS Trust</t>
  </si>
  <si>
    <t>RJN</t>
  </si>
  <si>
    <t>East Kent Hospitals University NHS Foundation Trust</t>
  </si>
  <si>
    <t>RVV</t>
  </si>
  <si>
    <t>East Lancashire Hospitals NHS Trust</t>
  </si>
  <si>
    <t>RXR</t>
  </si>
  <si>
    <t>East Sussex Healthcare NHS Trust</t>
  </si>
  <si>
    <t>RXC</t>
  </si>
  <si>
    <t>Frimley Health NHS Foundation Trust</t>
  </si>
  <si>
    <t>RDU</t>
  </si>
  <si>
    <t>Gateshead Health NHS Foundation Trust</t>
  </si>
  <si>
    <t>George Eliot Hospital NHS Trust</t>
  </si>
  <si>
    <t>RLT</t>
  </si>
  <si>
    <t>Gloucestershire Hospitals NHS Foundation Trust</t>
  </si>
  <si>
    <t>RTE</t>
  </si>
  <si>
    <t>Great Western Hospitals NHS Foundation Trust</t>
  </si>
  <si>
    <t>RN3</t>
  </si>
  <si>
    <t>Hampshire Hospitals NHS Foundation Trust</t>
  </si>
  <si>
    <t>RCD</t>
  </si>
  <si>
    <t>Heart Of England NHS Foundation Trust</t>
  </si>
  <si>
    <t>Homerton University Hospital NHS Foundation Trust</t>
  </si>
  <si>
    <t>RQX</t>
  </si>
  <si>
    <t>RWA</t>
  </si>
  <si>
    <t>Imperial College Healthcare NHS Trust</t>
  </si>
  <si>
    <t>RYJ</t>
  </si>
  <si>
    <t>Ipswich Hospital NHS Trust</t>
  </si>
  <si>
    <t>RGQ</t>
  </si>
  <si>
    <t>Isle Of Wight NHS Trust</t>
  </si>
  <si>
    <t>James Paget University Hospitals NHS Foundation Trust</t>
  </si>
  <si>
    <t>RGP</t>
  </si>
  <si>
    <t>Kettering General Hospital NHS Foundation Trust</t>
  </si>
  <si>
    <t>RNQ</t>
  </si>
  <si>
    <t>King's College Hospital NHS Foundation Trust</t>
  </si>
  <si>
    <t>RJZ</t>
  </si>
  <si>
    <t>Kingston Hospital NHS Foundation Trust</t>
  </si>
  <si>
    <t>RAX</t>
  </si>
  <si>
    <t>Lancashire Teaching Hospitals NHS Foundation Trust</t>
  </si>
  <si>
    <t>RXN</t>
  </si>
  <si>
    <t>Leeds Teaching Hospitals NHS Trust</t>
  </si>
  <si>
    <t>RR8</t>
  </si>
  <si>
    <t>RJ2</t>
  </si>
  <si>
    <t>R1K</t>
  </si>
  <si>
    <t>RC9</t>
  </si>
  <si>
    <t>RWF</t>
  </si>
  <si>
    <t>Medway NHS Foundation Trust</t>
  </si>
  <si>
    <t>RPA</t>
  </si>
  <si>
    <t>Mid Cheshire Hospitals NHS Foundation Trust</t>
  </si>
  <si>
    <t>RBT</t>
  </si>
  <si>
    <t>Mid Essex Hospital Services NHS Trust</t>
  </si>
  <si>
    <t>RQ8</t>
  </si>
  <si>
    <t>Mid Yorkshire Hospitals NHS Trust</t>
  </si>
  <si>
    <t>RD8</t>
  </si>
  <si>
    <t>RM1</t>
  </si>
  <si>
    <t>North Bristol NHS Trust</t>
  </si>
  <si>
    <t>North Cumbria University Hospitals NHS Trust</t>
  </si>
  <si>
    <t>RNL</t>
  </si>
  <si>
    <t>North Middlesex University Hospital NHS Trust</t>
  </si>
  <si>
    <t>RAP</t>
  </si>
  <si>
    <t>RVW</t>
  </si>
  <si>
    <t>Northampton General Hospital NHS Trust</t>
  </si>
  <si>
    <t>RNS</t>
  </si>
  <si>
    <t>Northern Devon Healthcare NHS Trust</t>
  </si>
  <si>
    <t>RBZ</t>
  </si>
  <si>
    <t>Northumbria Healthcare NHS Foundation Trust</t>
  </si>
  <si>
    <t>RTF</t>
  </si>
  <si>
    <t>Nottingham University Hospitals NHS Trust</t>
  </si>
  <si>
    <t>RX1</t>
  </si>
  <si>
    <t>RTH</t>
  </si>
  <si>
    <t>Pennine Acute Hospitals NHS Trust</t>
  </si>
  <si>
    <t>RW6</t>
  </si>
  <si>
    <t>RGN</t>
  </si>
  <si>
    <t>Plymouth Hospitals NHS Trust</t>
  </si>
  <si>
    <t>RK9</t>
  </si>
  <si>
    <t>Poole Hospital NHS Foundation Trust</t>
  </si>
  <si>
    <t>RD3</t>
  </si>
  <si>
    <t>Portsmouth Hospitals NHS Trust</t>
  </si>
  <si>
    <t>RHU</t>
  </si>
  <si>
    <t>Royal Berkshire NHS Foundation Trust</t>
  </si>
  <si>
    <t>RHW</t>
  </si>
  <si>
    <t>Royal Cornwall Hospitals NHS Trust</t>
  </si>
  <si>
    <t>RH8</t>
  </si>
  <si>
    <t>Royal Free London NHS Foundation Trust</t>
  </si>
  <si>
    <t>RAL</t>
  </si>
  <si>
    <t>RQ6</t>
  </si>
  <si>
    <t>Royal Surrey County Hospital NHS Foundation Trust</t>
  </si>
  <si>
    <t>RA2</t>
  </si>
  <si>
    <t>Royal United Hospitals Bath NHS Foundation Trust</t>
  </si>
  <si>
    <t>RD1</t>
  </si>
  <si>
    <t>Salford Royal NHS Foundation Trust</t>
  </si>
  <si>
    <t>RM3</t>
  </si>
  <si>
    <t>Salisbury NHS Foundation Trust</t>
  </si>
  <si>
    <t>RNZ</t>
  </si>
  <si>
    <t>Sheffield Children's NHS Foundation Trust</t>
  </si>
  <si>
    <t>RCU</t>
  </si>
  <si>
    <t>Sheffield Teaching Hospitals NHS Foundation Trust</t>
  </si>
  <si>
    <t>RHQ</t>
  </si>
  <si>
    <t>Sherwood Forest Hospitals NHS Foundation Trust</t>
  </si>
  <si>
    <t>RK5</t>
  </si>
  <si>
    <t>RXW</t>
  </si>
  <si>
    <t>RA9</t>
  </si>
  <si>
    <t>South Tees Hospitals NHS Foundation Trust</t>
  </si>
  <si>
    <t>RTR</t>
  </si>
  <si>
    <t>South Tyneside NHS Foundation Trust</t>
  </si>
  <si>
    <t>RE9</t>
  </si>
  <si>
    <t>South Warwickshire NHS Foundation Trust</t>
  </si>
  <si>
    <t>RJC</t>
  </si>
  <si>
    <t>Southend University Hospital NHS Foundation Trust</t>
  </si>
  <si>
    <t>RAJ</t>
  </si>
  <si>
    <t>RVY</t>
  </si>
  <si>
    <t>RJ7</t>
  </si>
  <si>
    <t>RBN</t>
  </si>
  <si>
    <t>Stockport NHS Foundation Trust</t>
  </si>
  <si>
    <t>RWJ</t>
  </si>
  <si>
    <t>RTP</t>
  </si>
  <si>
    <t>RMP</t>
  </si>
  <si>
    <t>RBA</t>
  </si>
  <si>
    <t>The Dudley Group NHS Foundation Trust</t>
  </si>
  <si>
    <t>RNA</t>
  </si>
  <si>
    <t>The Hillingdon Hospitals NHS Foundation Trust</t>
  </si>
  <si>
    <t>RAS</t>
  </si>
  <si>
    <t>The Newcastle Upon Tyne Hospitals NHS Foundation Trust</t>
  </si>
  <si>
    <t>RTD</t>
  </si>
  <si>
    <t>The Princess Alexandra Hospital NHS Trust</t>
  </si>
  <si>
    <t>RQW</t>
  </si>
  <si>
    <t>The Queen Elizabeth Hospital, King's Lynn, NHS Foundation Trust</t>
  </si>
  <si>
    <t>RCX</t>
  </si>
  <si>
    <t>The Rotherham NHS Foundation Trust</t>
  </si>
  <si>
    <t>RFR</t>
  </si>
  <si>
    <t>RDZ</t>
  </si>
  <si>
    <t>The Royal Wolverhampton NHS Trust</t>
  </si>
  <si>
    <t>RL4</t>
  </si>
  <si>
    <t>RKE</t>
  </si>
  <si>
    <t>United Lincolnshire Hospitals NHS Trust</t>
  </si>
  <si>
    <t>RWD</t>
  </si>
  <si>
    <t>University College London Hospitals NHS Foundation Trust</t>
  </si>
  <si>
    <t>RRV</t>
  </si>
  <si>
    <t>RM2</t>
  </si>
  <si>
    <t>University Hospital Southampton NHS Foundation Trust</t>
  </si>
  <si>
    <t>RHM</t>
  </si>
  <si>
    <t>University Hospitals Birmingham NHS Foundation Trust</t>
  </si>
  <si>
    <t>University Hospitals Bristol NHS Foundation Trust</t>
  </si>
  <si>
    <t>RA7</t>
  </si>
  <si>
    <t>RKB</t>
  </si>
  <si>
    <t>University Hospitals Of Leicester NHS Trust</t>
  </si>
  <si>
    <t>RWE</t>
  </si>
  <si>
    <t>University Hospitals Of Morecambe Bay NHS Foundation Trust</t>
  </si>
  <si>
    <t>RTX</t>
  </si>
  <si>
    <t>University Hospitals Of North Midlands NHS Trust</t>
  </si>
  <si>
    <t>RJE</t>
  </si>
  <si>
    <t>Walsall Healthcare NHS Trust</t>
  </si>
  <si>
    <t>RBK</t>
  </si>
  <si>
    <t>RWW</t>
  </si>
  <si>
    <t>West Hertfordshire Hospitals NHS Trust</t>
  </si>
  <si>
    <t>RWG</t>
  </si>
  <si>
    <t>West Suffolk NHS Foundation Trust</t>
  </si>
  <si>
    <t>RGR</t>
  </si>
  <si>
    <t>Western Sussex Hospitals NHS Foundation Trust</t>
  </si>
  <si>
    <t>Weston Area Health NHS Trust</t>
  </si>
  <si>
    <t>RA3</t>
  </si>
  <si>
    <t>Wirral University Teaching Hospital NHS Foundation Trust</t>
  </si>
  <si>
    <t>RBL</t>
  </si>
  <si>
    <t>Worcestershire Acute Hospitals NHS Trust</t>
  </si>
  <si>
    <t>RRF</t>
  </si>
  <si>
    <t>Wye Valley NHS Trust</t>
  </si>
  <si>
    <t>RLQ</t>
  </si>
  <si>
    <t>Yeovil District Hospital NHS Foundation Trust</t>
  </si>
  <si>
    <t>RA4</t>
  </si>
  <si>
    <t>York Teaching Hospital NHS Foundation Trust</t>
  </si>
  <si>
    <t>RCB</t>
  </si>
  <si>
    <t>All data tables include information from Major A&amp;E departments, minor injuries units and walk in centres unless otherwise stated.</t>
  </si>
  <si>
    <t>2015-16</t>
  </si>
  <si>
    <t>Contact via enquiries@NHSDigital.nhs.uk or 0300 303 5678</t>
  </si>
  <si>
    <t>Derby Teaching Hospitals NHS Foundation Trust</t>
  </si>
  <si>
    <t>Milton Keynes University Hospital NHS Foundation Trust</t>
  </si>
  <si>
    <t>Oxford University Hospitals NHS Foundation Trust</t>
  </si>
  <si>
    <t>St George's University Hospitals NHS Foundation Trust</t>
  </si>
  <si>
    <t>Return to Contents</t>
  </si>
  <si>
    <t>2008-09</t>
  </si>
  <si>
    <t>2009-10</t>
  </si>
  <si>
    <t>2010-11</t>
  </si>
  <si>
    <t>2011-12</t>
  </si>
  <si>
    <t>2012-13</t>
  </si>
  <si>
    <t>2013-14</t>
  </si>
  <si>
    <t>Total attendances</t>
  </si>
  <si>
    <t>Published by NHS Digital part of the Government Statistical Service</t>
  </si>
  <si>
    <t>NHS Digital is the trading name of the Health and Social Care Information Centre</t>
  </si>
  <si>
    <t>Contact details</t>
  </si>
  <si>
    <t>Author: Secondary Care Analysis, NHS Digital</t>
  </si>
  <si>
    <t>Public enquiries: Telephone: 0300 303 5678</t>
  </si>
  <si>
    <t>Email: enquiries@nhsdigital.nhs.uk</t>
  </si>
  <si>
    <t>Press enquiries should be made to: Media Relations Manager: telephone 0300 303 3888</t>
  </si>
  <si>
    <t>The tables should be referenced alongside the Annual Summary Report.</t>
  </si>
  <si>
    <t>Introduction</t>
  </si>
  <si>
    <t>2016-17</t>
  </si>
  <si>
    <t>North West Anglia NHS Foundation Trust</t>
  </si>
  <si>
    <t>Major A&amp;E Departments</t>
  </si>
  <si>
    <t>Minor injuries and Walk In Centres</t>
  </si>
  <si>
    <t>MSitAE</t>
  </si>
  <si>
    <t>Provider code</t>
  </si>
  <si>
    <t>Provider name</t>
  </si>
  <si>
    <t>A&amp;E Attendances</t>
  </si>
  <si>
    <t>RW3</t>
  </si>
  <si>
    <t>RN7</t>
  </si>
  <si>
    <t>RVR</t>
  </si>
  <si>
    <t>RR7</t>
  </si>
  <si>
    <t>RJ1</t>
  </si>
  <si>
    <t>RN5</t>
  </si>
  <si>
    <t>RR1</t>
  </si>
  <si>
    <t>R1F</t>
  </si>
  <si>
    <t>RXF</t>
  </si>
  <si>
    <t>RVJ</t>
  </si>
  <si>
    <t>RJL</t>
  </si>
  <si>
    <t>REF</t>
  </si>
  <si>
    <t>RXK</t>
  </si>
  <si>
    <t>RRK</t>
  </si>
  <si>
    <t>RYR</t>
  </si>
  <si>
    <t>RWP</t>
  </si>
  <si>
    <t>Over 4 hours</t>
  </si>
  <si>
    <t>1 hour or less</t>
  </si>
  <si>
    <t>Over 1 hour to 2 hours</t>
  </si>
  <si>
    <t>Over 2 hours to 3 hours</t>
  </si>
  <si>
    <t>Over 3 hours to 4 hours</t>
  </si>
  <si>
    <t>00-09</t>
  </si>
  <si>
    <t>10-19</t>
  </si>
  <si>
    <t>20-29</t>
  </si>
  <si>
    <t>30-39</t>
  </si>
  <si>
    <t>40-49</t>
  </si>
  <si>
    <t>50-59</t>
  </si>
  <si>
    <t>60-69</t>
  </si>
  <si>
    <t>70-79</t>
  </si>
  <si>
    <t>80-89</t>
  </si>
  <si>
    <t>Summary of A&amp;E Attendances</t>
  </si>
  <si>
    <t>Performance Times and Waits for Admission</t>
  </si>
  <si>
    <t>Time of Day / Calendar Distribution</t>
  </si>
  <si>
    <t>Re-attendances Within 7 Days to A&amp;E:</t>
  </si>
  <si>
    <t>MSitAE data published by NHS England</t>
  </si>
  <si>
    <t>Summary report 1</t>
  </si>
  <si>
    <t>Summary report 2</t>
  </si>
  <si>
    <t>Summary report 3</t>
  </si>
  <si>
    <t>Summary report 5</t>
  </si>
  <si>
    <t>Summary report 6</t>
  </si>
  <si>
    <t>Summary report 7</t>
  </si>
  <si>
    <t>Summary report 8</t>
  </si>
  <si>
    <t>Summary report 9</t>
  </si>
  <si>
    <t>Summary report 10</t>
  </si>
  <si>
    <t>Summary report 11</t>
  </si>
  <si>
    <t>Summary report 12</t>
  </si>
  <si>
    <t>Summary report 13</t>
  </si>
  <si>
    <t>Summary report 14</t>
  </si>
  <si>
    <t>Summary report 15</t>
  </si>
  <si>
    <t>Summary report 16</t>
  </si>
  <si>
    <t>Summary report 4</t>
  </si>
  <si>
    <t>Over 12 hours wait</t>
  </si>
  <si>
    <t>Summary report 17</t>
  </si>
  <si>
    <t>Summary report 18</t>
  </si>
  <si>
    <t>This is a joint publication between NHS Digital and NHS England</t>
  </si>
  <si>
    <t>Total unplanned attendances</t>
  </si>
  <si>
    <t>Total Attendances</t>
  </si>
  <si>
    <t>Percentage Admitted</t>
  </si>
  <si>
    <t>Emergency Admissions via A&amp;E</t>
  </si>
  <si>
    <t>Percentage attendances via A&amp;E</t>
  </si>
  <si>
    <t>Activity in English NHS Hospitals and English NHS commissioned activity in the independent sector. </t>
  </si>
  <si>
    <t>Month</t>
  </si>
  <si>
    <t>Percentage waiting 4 hours or less</t>
  </si>
  <si>
    <t>Attendances waiting 4 hours or less</t>
  </si>
  <si>
    <t>Contains public sector information licensed under the Open Government Licence v3.0</t>
  </si>
  <si>
    <t xml:space="preserve">These counts are the mid-year population estimates for England taken from Office for National Statistics (ONS) </t>
  </si>
  <si>
    <t xml:space="preserve">This is a joint publication between NHS Digital and NHS England providing a collective and coherent release between the two organisations.  This enables a wider set of breakdowns and measures in the detailed reports.  
The data sources for this publication are:
• Hospital Episode Statistics (HES)
• A&amp;E Attendances and Emergency Admissions Monthly Situation Reports (MSitAE) 
</t>
  </si>
  <si>
    <t>Population estimates</t>
  </si>
  <si>
    <t>Publication date: 13th September 2018</t>
  </si>
  <si>
    <t xml:space="preserve">Link to publication: </t>
  </si>
  <si>
    <r>
      <t>Hospital Accident and Emergency Activity - 2017-18</t>
    </r>
    <r>
      <rPr>
        <sz val="27"/>
        <color rgb="FF005EB8"/>
        <rFont val="Arial"/>
        <family val="2"/>
      </rPr>
      <t xml:space="preserve">
</t>
    </r>
  </si>
  <si>
    <t>This file provides some high level analyses of both HES and MSitAE data relating to A&amp;E attendances in NHS hospitals, minor injury units and walk-in centres. This document provides data tables to support the summary report and to provide additional analysis. The annual publication covers the financial year ending March 2018 as well as earlier time periods.</t>
  </si>
  <si>
    <t>Copyright © 2018</t>
  </si>
  <si>
    <t>Accident and Emergency Annual Report 2017-18: Table of contents</t>
  </si>
  <si>
    <t>2017-18</t>
  </si>
  <si>
    <t>Copyright © 2018, NHS Digital. All Rights Reserved.</t>
  </si>
  <si>
    <t>R0A</t>
  </si>
  <si>
    <t>Dominic Gair, Secondary Care Analysis Section Head</t>
  </si>
  <si>
    <t>Responsible Statistician: Dominic Gair, Secondary Care Analysis Section Head</t>
  </si>
  <si>
    <t>Manchester University NHS Foundation Trust</t>
  </si>
  <si>
    <t>Contact via enquiries@NHSDigital.NHS.uk or 0300 303 5678</t>
  </si>
  <si>
    <t>London North West University Healthcare NHS Trust</t>
  </si>
  <si>
    <t>Whittington Health NHS Trust</t>
  </si>
  <si>
    <r>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t>
    </r>
    <r>
      <rPr>
        <u/>
        <sz val="10"/>
        <color rgb="FF005EB8"/>
        <rFont val="Arial"/>
        <family val="2"/>
      </rPr>
      <t>psi.nationalarchives.gsi.gov.uk</t>
    </r>
    <r>
      <rPr>
        <sz val="10"/>
        <color indexed="8"/>
        <rFont val="Arial"/>
        <family val="2"/>
      </rPr>
      <t xml:space="preserve">
</t>
    </r>
  </si>
  <si>
    <t>https://www.england.nhs.uk/statistics/statistical-work-areas/ae-waiting-times-and-activity/ae-attendances-and-emergency-admissions-2017-18/</t>
  </si>
  <si>
    <t>https://www.ons.gov.uk/peoplepopulationandcommunity/populationandmigration/populationestimates/datasets/populationestimatesforukenglandandwalesscotlandandnorthernireland</t>
  </si>
  <si>
    <t>Least deprived 10%</t>
  </si>
  <si>
    <t>Less deprived 10-20%</t>
  </si>
  <si>
    <t>Less deprived 20-30%</t>
  </si>
  <si>
    <t>Less deprived 30-40%</t>
  </si>
  <si>
    <t>Less deprived 40-50%</t>
  </si>
  <si>
    <t>More deprived 10-20%</t>
  </si>
  <si>
    <t>More deprived 20-30%</t>
  </si>
  <si>
    <t>More deprived 30-40%</t>
  </si>
  <si>
    <t>More deprived 40-50%</t>
  </si>
  <si>
    <t>Most deprived 10%</t>
  </si>
  <si>
    <t>Any other ethnic group</t>
  </si>
  <si>
    <t>Chinese (other ethnic group)</t>
  </si>
  <si>
    <t>Any other Black background</t>
  </si>
  <si>
    <t>African (Black or Black British)</t>
  </si>
  <si>
    <t>Caribbean (Black or Black British)</t>
  </si>
  <si>
    <t>Any other Asian background</t>
  </si>
  <si>
    <t>Bangladeshi (Asian or Asian British)</t>
  </si>
  <si>
    <t>Pakistani (Asian or Asian British)</t>
  </si>
  <si>
    <t>Indian (Asian or Asian British)</t>
  </si>
  <si>
    <t>Any other Mixed background</t>
  </si>
  <si>
    <t>White and Asian (Mixed)</t>
  </si>
  <si>
    <t>White and Black African (Mixed)</t>
  </si>
  <si>
    <t>White and Black Caribbean (Mixed)</t>
  </si>
  <si>
    <t>Any other White background</t>
  </si>
  <si>
    <t>Irish (White)</t>
  </si>
  <si>
    <t>British (White)</t>
  </si>
  <si>
    <t>Activity in English NHS Hospitals and English NHS commissioned activity in the independent sector. 
Major A&amp;E Departments only (Type 1)</t>
  </si>
  <si>
    <t>Attendance by IMD and Ethnicity</t>
  </si>
  <si>
    <t>Torbay And South Devon NHS Foundation Trust</t>
  </si>
  <si>
    <t>Taunton And Somerset NHS Foundation Trust</t>
  </si>
  <si>
    <t>St Helens And Knowsley Hospital Services NHS Trust</t>
  </si>
  <si>
    <t>Luton And Dunstable University Hospital NHS Foundation Trust</t>
  </si>
  <si>
    <t>Harrogate And District NHS Foundation Trust</t>
  </si>
  <si>
    <t>Basildon And Thurrock University Hospitals NHS Foundation Trust</t>
  </si>
  <si>
    <t>The Royal Bournemouth And Christchurch Hospitals NHS Foundation Trust</t>
  </si>
  <si>
    <t>Barking, Havering And Redbridge University Hospitals NHS Trust</t>
  </si>
  <si>
    <t>Royal Devon And Exeter NHS Foundation Trust</t>
  </si>
  <si>
    <t>Guy's And St Thomas' NHS Foundation Trust</t>
  </si>
  <si>
    <t>Lewisham And Greenwich NHS Trust</t>
  </si>
  <si>
    <t>Northern Lincolnshire And Goole NHS Foundation Trust</t>
  </si>
  <si>
    <t>University Hospitals Coventry And Warwickshire NHS Trust</t>
  </si>
  <si>
    <t>Norfolk And Norwich University Hospitals NHS Foundation Trust</t>
  </si>
  <si>
    <t>Tameside And Glossop Integrated Care NHS Foundation Trust</t>
  </si>
  <si>
    <t>Dartford And Gravesham NHS Trust</t>
  </si>
  <si>
    <t>Doncaster And Bassetlaw Teaching Hospitals NHS Foundation Trust</t>
  </si>
  <si>
    <t>Birmingham Women's And Children's NHS Foundation Trust</t>
  </si>
  <si>
    <t>Royal Liverpool And Broadgreen University Hospitals NHS Trust</t>
  </si>
  <si>
    <t>Chelsea And Westminster Hospital NHS Foundation Trust</t>
  </si>
  <si>
    <t>Wrightington, Wigan And Leigh NHS Foundation Trust</t>
  </si>
  <si>
    <t>Ashford And St Peter's Hospitals NHS Foundation Trust</t>
  </si>
  <si>
    <t>Surrey And Sussex Healthcare NHS Trust</t>
  </si>
  <si>
    <t>Epsom And St Helier University Hospitals NHS Trust</t>
  </si>
  <si>
    <t>North Tees And Hartlepool NHS Foundation Trust</t>
  </si>
  <si>
    <t>Southport And Ormskirk Hospital NHS Trust</t>
  </si>
  <si>
    <t>Hull And East Yorkshire Hospitals NHS Trust</t>
  </si>
  <si>
    <t>Maidstone And Tunbridge Wells NHS Trust</t>
  </si>
  <si>
    <t>East And North Hertfordshire NHS Trust</t>
  </si>
  <si>
    <t>Warrington And Halton Hospitals NHS Foundation Trust</t>
  </si>
  <si>
    <t>Calderdale And Huddersfield NHS Foundation Trust</t>
  </si>
  <si>
    <t>Brighton And Sussex University Hospitals NHS Trust</t>
  </si>
  <si>
    <t>Sandwell And West Birmingham Hospitals NHS Trust</t>
  </si>
  <si>
    <t>County Durham And Darlington NHS Foundation Trust</t>
  </si>
  <si>
    <t>Shrewsbury And Telford Hospital NHS Trust</t>
  </si>
  <si>
    <t>University Hospital of South Manchester NHS Foundation Trust</t>
  </si>
  <si>
    <t>Ethnicity</t>
  </si>
  <si>
    <t>A&amp;E attendances</t>
  </si>
  <si>
    <t>Population</t>
  </si>
  <si>
    <t>Summary report 19</t>
  </si>
  <si>
    <t>Summary report 20</t>
  </si>
  <si>
    <t>Summary Report Excel tables</t>
  </si>
  <si>
    <t>*Population rates are calculated using Office for National (ONS) data. The ONS data is the population estimate for 2017. ONS contains additional ethnic categories that are not defined in HES, therefore it was necessary to merge certain groupings to match those in HES. This affects the following categories:
‘Gypsy or Irish Traveller’ merged with ‘Any other white’
‘Arab merged’ with ‘Any other ethnic group’</t>
  </si>
  <si>
    <t>Rate per 100,000 population*</t>
  </si>
  <si>
    <t>https://www.ons.gov.uk/peoplepopulationandcommunity/populationandmigration/populationestimates/adhocs/008780populationdenominatorsbyethnicgroupregionsandcountriesenglandandwales2011to2017</t>
  </si>
  <si>
    <t>*Population rates are calculated using Office for National (ONS) data using population estimates for Lower Layer Super Output Areas (LSOA) comined with the Index of Multiple Deprivation (IMD). The population esitmates are for 2016 and IMD is using the 2015 version.</t>
  </si>
  <si>
    <t>IMD data published by ONS;</t>
  </si>
  <si>
    <t>population data publshed by ONS;</t>
  </si>
  <si>
    <t>https://www.gov.uk/government/statistics/english-indices-of-deprivation-2015</t>
  </si>
  <si>
    <t>https://www.ons.gov.uk/peoplepopulationandcommunity/populationandmigration/populationestimates/datasets/lowersuperoutputareamidyearpopulationestimates</t>
  </si>
  <si>
    <t>population data published by ONS;</t>
  </si>
  <si>
    <t>00 to 04 years</t>
  </si>
  <si>
    <t>05 to 14 years</t>
  </si>
  <si>
    <t>15 to 34 years</t>
  </si>
  <si>
    <t>35 to 64 years</t>
  </si>
  <si>
    <t>65 to 79 years</t>
  </si>
  <si>
    <t>80+ years</t>
  </si>
  <si>
    <t>Attendances 4 Hours or less</t>
  </si>
  <si>
    <t>% 4 Hours or Less</t>
  </si>
  <si>
    <t>% Standard</t>
  </si>
  <si>
    <t>Attendances per day with a duration under 4 hours</t>
  </si>
  <si>
    <t>Monthly Average</t>
  </si>
  <si>
    <t>12 Month Rolling Average</t>
  </si>
  <si>
    <t>Attendances per day with a duration over 4 hours</t>
  </si>
  <si>
    <t xml:space="preserve">Summary report 8: Total Time in A&amp;E from Hour of Arrival to Transfer, Admission or Discharge, 2017-18 (HES) </t>
  </si>
  <si>
    <t>Total Time in A&amp;E from Hour of Arrival to Transfer, Admission or Discharge, 2017-18</t>
  </si>
  <si>
    <t xml:space="preserve">Summary report 11: A&amp;E Attendances by Time of Arrival and Day of Week, 2017-18 (HES) </t>
  </si>
  <si>
    <t>A&amp;E Attendances by Time of Arrival and Day of Week, 2017-18</t>
  </si>
  <si>
    <t xml:space="preserve">Summary report 12: A&amp;E Attendances Where Patient Arrived by Ambulance, by Hour of Arrival, 2017-18 (HES) </t>
  </si>
  <si>
    <t>A&amp;E Attendances Where Patient Arrived by Ambulance, by Hour of Arrival, 2017-18</t>
  </si>
  <si>
    <t>Number of A&amp;E attendances where patient arrived by ambulance</t>
  </si>
  <si>
    <t>Reattendances</t>
  </si>
  <si>
    <t xml:space="preserve">Summary report 17: Percentage of Reattendances by Day of Week of First Attendance, 2017-18 (HES) </t>
  </si>
  <si>
    <t>Percentage of Reattendances by Day of Week of First Attendance, 2017-18</t>
  </si>
  <si>
    <t>Percentage of Reattendances by Age and Sex, 2017-18</t>
  </si>
  <si>
    <t xml:space="preserve">Summary report 18: Percentage of Reattendances by Age and Sex, 2017-18 (HES) </t>
  </si>
  <si>
    <t>% of attendances that are reattendances</t>
  </si>
  <si>
    <t xml:space="preserve">Summary report 20: A&amp;E attendances by Ethnicity and rate per 100,000 population, 2017-18 (HES, ONS)						</t>
  </si>
  <si>
    <t>A&amp;E Attendances by Index of Multiple Deprivation and Rate per 100,000 Population, 2017-18</t>
  </si>
  <si>
    <t>A&amp;E Attendances by Ethnicity and Rate per 100,000 Population, 2017-18</t>
  </si>
  <si>
    <t>Summary of A&amp;E Attendances, 2008-09 to 2017-18</t>
  </si>
  <si>
    <t>A&amp;E Attendances by Department Type, 2008-09 to 2017-18</t>
  </si>
  <si>
    <t>A&amp;E Attendances by Age Band, 2008-09 to 2017-18</t>
  </si>
  <si>
    <t>Summary report 1: Summary of A&amp;E Attendances, 2008-09 to 2017-18 (MSitAE)</t>
  </si>
  <si>
    <t>Summary report 2: A&amp;E Attendances by Department Type, 2008-09 to 2017-18 (MSitAE)</t>
  </si>
  <si>
    <t>Summary report 3: A&amp;E Attendances by Age Band, 2008-09 to 2017-18 (HES)</t>
  </si>
  <si>
    <t>Patients Spending Over 12 Hours in A&amp;E From Arrival, 2011-12 to 2017-18</t>
  </si>
  <si>
    <t>Patients Waiting Over 12 Hours From Decision to Admit to Admission to a Ward, 2011-12 to 2017-18</t>
  </si>
  <si>
    <t>Average Number of Attendances of 4 Hours or Less, 2011-12 to 2017-18</t>
  </si>
  <si>
    <t>Average Number of Attendances Over 4 Hours, 2011-12 to 2017-18</t>
  </si>
  <si>
    <t>Percentage of Attendances Admitted from A&amp;E by Month, 2015-16 to 2017-18</t>
  </si>
  <si>
    <t>Average Number of Attendances per Day by Month, 2015-16 to 2017-18</t>
  </si>
  <si>
    <t>Percentage of Attendances Admitted from A&amp;E by Year, 2008-09 to 2017-18</t>
  </si>
  <si>
    <t>Number and Percentage of A&amp;E Reattendances, 2008-09 to 2017-18</t>
  </si>
  <si>
    <t>Percentage of Patient Attendances Spending 4 Hours or Less in A&amp;E by Provider, 2017-18</t>
  </si>
  <si>
    <t xml:space="preserve">Summary report 7: Percentage of Patient Attendances Spending 4 Hours or Less in A&amp;E by Provider, 2017-18 (MSitAE) </t>
  </si>
  <si>
    <t>Percentage of Patient Attendances Spending 4 Hours or Less in A&amp;E, 2008-09 to 2017-18</t>
  </si>
  <si>
    <t>Summary report 4: Percentage of Patient Attendances Spending 4 Hours or Less in A&amp;E, 2008-09 to 2017-18 (MSitAE)</t>
  </si>
  <si>
    <t xml:space="preserve">Summary report 5: Average Number of Attendances of 4 Hours or Less, 2011-12 to 2017-18 (MSitAE) </t>
  </si>
  <si>
    <t xml:space="preserve">Summary report 6: Average Number of Attendances Over 4 Hours, 2011-12 to 2017-18 (MSitAE) 
</t>
  </si>
  <si>
    <t xml:space="preserve">Summary report 10: Attendances for Patients Waiting Over 12 Hours From Decision to Admit to Admission to a Ward, 2011-12 to 2017-18 (MSitAE) </t>
  </si>
  <si>
    <t xml:space="preserve">Summary report 13: Average Number of Attendances per Day by Month, 2015-16 to 2017-18 (MSitAE) </t>
  </si>
  <si>
    <t xml:space="preserve">Summary report 14: Percentage of Attendances Admitted from A&amp;E by Month, 2015-16 to 2017-18 (MSitAE) </t>
  </si>
  <si>
    <t xml:space="preserve">Summary report 15: Percentage of Attendances Admitted from A&amp;E by Year, 2008-09 to 2017-18 (MSitAE) </t>
  </si>
  <si>
    <t xml:space="preserve">Summary report 16: Number and Percentage of A&amp;E 
Reattendances, 2008-09 to 2017-18 (HES) </t>
  </si>
  <si>
    <t xml:space="preserve">Summary report 9: Attendances for Patients Spending Over 12 Hours in A&amp;E From Arrival, 2011-12 to 2017-18 (HES) </t>
  </si>
  <si>
    <t>White</t>
  </si>
  <si>
    <t>Mixed</t>
  </si>
  <si>
    <t>Asian or Asian British</t>
  </si>
  <si>
    <t>Black or Black British</t>
  </si>
  <si>
    <t>Other Ethnic Groups</t>
  </si>
  <si>
    <t>English Indices of Deprivation decile</t>
  </si>
  <si>
    <t xml:space="preserve">Summary report 19: A&amp;E attendances by Index of Multiple Deprivation decile and rate per 100,000 population, 2017-18 (HES, ONS)								</t>
  </si>
  <si>
    <t>https://digital.nhs.uk/data-and-information/publications/statistical/hospital-accident--emergency-activity/2017-18</t>
  </si>
  <si>
    <t>NHS Digital, Hospital Episode Statistics for England.  Accident &amp; Emergency Statistics, 2017-18</t>
  </si>
  <si>
    <t>For more information on data quality please see the data quality note accompanying this publication.</t>
  </si>
  <si>
    <t>*Population rates are calculated using Office for National (ONS) data. The ONS data is the population estimate for 2017. ONS contains additional ethnic categories that are not defined in HES, therefore it was necessary to merge certain groupings to match those in HES. This affects the following categories:
‘Gypsy or Irish Traveller’ merged with ‘Any other white’
‘Arab' merged with ‘Any other ethnic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</si>
</sst>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10409]#,##0;\(#,##0\)"/>
    <numFmt numFmtId="166" formatCode="0.0%"/>
    <numFmt numFmtId="167" formatCode="_(* #,##0_);_(* \(#,##0\);_(* &quot;-&quot;??_);_(@_)"/>
    <numFmt numFmtId="168" formatCode="_-* #,##0_-;\-* #,##0_-;_-* &quot;-&quot;??_-;_-@_-"/>
    <numFmt numFmtId="169" formatCode="0.00000000%"/>
    <numFmt numFmtId="170" formatCode="#,##0_ ;\-#,##0\ "/>
    <numFmt numFmtId="171" formatCode="#,##0.0"/>
  </numFmts>
  <fonts count="54" x14ac:knownFonts="1">
    <font>
      <sz val="10"/>
      <name val="Arial"/>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0"/>
      <name val="Arial"/>
      <family val="2"/>
    </font>
    <font>
      <sz val="10"/>
      <color indexed="8"/>
      <name val="Arial"/>
      <family val="2"/>
    </font>
    <font>
      <b/>
      <sz val="10"/>
      <color indexed="8"/>
      <name val="Arial"/>
      <family val="2"/>
    </font>
    <font>
      <sz val="10"/>
      <name val="Arial"/>
      <family val="2"/>
    </font>
    <font>
      <sz val="10"/>
      <name val="Arial"/>
      <family val="2"/>
    </font>
    <font>
      <i/>
      <sz val="10"/>
      <name val="Arial"/>
      <family val="2"/>
    </font>
    <font>
      <b/>
      <sz val="10"/>
      <name val="Arial"/>
      <family val="2"/>
    </font>
    <font>
      <u/>
      <sz val="10"/>
      <color indexed="12"/>
      <name val="Arial"/>
      <family val="2"/>
    </font>
    <font>
      <sz val="11"/>
      <color theme="1"/>
      <name val="Calibri"/>
      <family val="2"/>
      <scheme val="minor"/>
    </font>
    <font>
      <u/>
      <sz val="10"/>
      <color theme="10"/>
      <name val="Arial"/>
      <family val="2"/>
    </font>
    <font>
      <u/>
      <sz val="10"/>
      <color theme="10"/>
      <name val="Arial"/>
      <family val="2"/>
    </font>
    <font>
      <b/>
      <sz val="18"/>
      <color rgb="FF005EB8"/>
      <name val="Arial"/>
      <family val="2"/>
    </font>
    <font>
      <sz val="10"/>
      <color rgb="FFFF0000"/>
      <name val="Arial"/>
      <family val="2"/>
    </font>
    <font>
      <sz val="11"/>
      <color theme="1"/>
      <name val="Arial"/>
      <family val="2"/>
    </font>
    <font>
      <sz val="10"/>
      <color theme="1"/>
      <name val="Arial"/>
      <family val="2"/>
    </font>
    <font>
      <b/>
      <sz val="10"/>
      <color theme="1"/>
      <name val="Arial"/>
      <family val="2"/>
    </font>
    <font>
      <b/>
      <sz val="11.95"/>
      <color indexed="8"/>
      <name val="Arial"/>
      <family val="2"/>
    </font>
    <font>
      <b/>
      <sz val="20"/>
      <color theme="1" tint="0.34998626667073579"/>
      <name val="Arial"/>
      <family val="2"/>
    </font>
    <font>
      <u/>
      <sz val="11"/>
      <color theme="10"/>
      <name val="Calibri"/>
      <family val="2"/>
    </font>
    <font>
      <u/>
      <sz val="12"/>
      <color rgb="FF004488"/>
      <name val="Arial"/>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indexed="3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2"/>
      <color indexed="8"/>
      <name val="Arial"/>
      <family val="2"/>
    </font>
    <font>
      <b/>
      <sz val="11"/>
      <color rgb="FF3F3F3F"/>
      <name val="Calibri"/>
      <family val="2"/>
      <scheme val="minor"/>
    </font>
    <font>
      <sz val="11"/>
      <color theme="1"/>
      <name val="Calibri"/>
      <family val="2"/>
    </font>
    <font>
      <b/>
      <sz val="11"/>
      <color theme="1"/>
      <name val="Calibri"/>
      <family val="2"/>
      <scheme val="minor"/>
    </font>
    <font>
      <sz val="11"/>
      <color rgb="FFFF0000"/>
      <name val="Calibri"/>
      <family val="2"/>
      <scheme val="minor"/>
    </font>
    <font>
      <b/>
      <sz val="18"/>
      <color theme="3"/>
      <name val="Cambria"/>
      <family val="2"/>
      <scheme val="major"/>
    </font>
    <font>
      <sz val="11"/>
      <name val="Arial"/>
      <family val="2"/>
    </font>
    <font>
      <sz val="8"/>
      <color theme="1"/>
      <name val="Arial"/>
      <family val="2"/>
    </font>
    <font>
      <b/>
      <sz val="27"/>
      <color rgb="FF005EB8"/>
      <name val="Arial"/>
      <family val="2"/>
    </font>
    <font>
      <sz val="27"/>
      <color rgb="FF005EB8"/>
      <name val="Arial"/>
      <family val="2"/>
    </font>
    <font>
      <sz val="12"/>
      <color theme="1"/>
      <name val="Arial"/>
      <family val="2"/>
    </font>
    <font>
      <u/>
      <sz val="10"/>
      <color rgb="FF005EB8"/>
      <name val="Arial"/>
      <family val="2"/>
    </font>
  </fonts>
  <fills count="36">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patternFill>
    </fill>
    <fill>
      <patternFill patternType="solid">
        <fgColor indexed="9"/>
        <bgColor indexed="64"/>
      </patternFill>
    </fill>
  </fills>
  <borders count="83">
    <border>
      <left/>
      <right/>
      <top/>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top style="medium">
        <color indexed="64"/>
      </top>
      <bottom style="medium">
        <color indexed="64"/>
      </bottom>
      <diagonal/>
    </border>
    <border>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medium">
        <color indexed="64"/>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right style="dotted">
        <color indexed="64"/>
      </right>
      <top style="medium">
        <color indexed="64"/>
      </top>
      <bottom style="dotted">
        <color indexed="64"/>
      </bottom>
      <diagonal/>
    </border>
    <border>
      <left style="medium">
        <color indexed="64"/>
      </left>
      <right style="medium">
        <color indexed="64"/>
      </right>
      <top style="dotted">
        <color indexed="64"/>
      </top>
      <bottom/>
      <diagonal/>
    </border>
    <border>
      <left style="medium">
        <color indexed="64"/>
      </left>
      <right style="dotted">
        <color indexed="64"/>
      </right>
      <top style="medium">
        <color indexed="64"/>
      </top>
      <bottom style="medium">
        <color indexed="64"/>
      </bottom>
      <diagonal/>
    </border>
    <border>
      <left/>
      <right style="medium">
        <color indexed="64"/>
      </right>
      <top style="dotted">
        <color indexed="64"/>
      </top>
      <bottom style="dotted">
        <color indexed="64"/>
      </bottom>
      <diagonal/>
    </border>
    <border>
      <left/>
      <right style="medium">
        <color indexed="64"/>
      </right>
      <top style="dotted">
        <color indexed="64"/>
      </top>
      <bottom style="medium">
        <color indexed="64"/>
      </bottom>
      <diagonal/>
    </border>
    <border>
      <left style="dotted">
        <color indexed="64"/>
      </left>
      <right/>
      <top style="medium">
        <color indexed="64"/>
      </top>
      <bottom style="medium">
        <color indexed="64"/>
      </bottom>
      <diagonal/>
    </border>
    <border>
      <left/>
      <right style="medium">
        <color indexed="64"/>
      </right>
      <top style="medium">
        <color indexed="64"/>
      </top>
      <bottom/>
      <diagonal/>
    </border>
    <border>
      <left style="dashed">
        <color indexed="64"/>
      </left>
      <right style="medium">
        <color indexed="64"/>
      </right>
      <top style="dashed">
        <color indexed="64"/>
      </top>
      <bottom style="medium">
        <color indexed="64"/>
      </bottom>
      <diagonal/>
    </border>
    <border>
      <left style="medium">
        <color indexed="64"/>
      </left>
      <right style="dashed">
        <color indexed="64"/>
      </right>
      <top style="dashed">
        <color indexed="64"/>
      </top>
      <bottom style="medium">
        <color indexed="64"/>
      </bottom>
      <diagonal/>
    </border>
    <border>
      <left style="medium">
        <color indexed="64"/>
      </left>
      <right style="medium">
        <color indexed="64"/>
      </right>
      <top style="dashed">
        <color indexed="64"/>
      </top>
      <bottom style="medium">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style="medium">
        <color indexed="64"/>
      </right>
      <top style="dashed">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style="medium">
        <color indexed="64"/>
      </left>
      <right style="medium">
        <color indexed="64"/>
      </right>
      <top style="medium">
        <color indexed="64"/>
      </top>
      <bottom style="dashed">
        <color indexed="64"/>
      </bottom>
      <diagonal/>
    </border>
    <border>
      <left style="dotted">
        <color indexed="64"/>
      </left>
      <right style="dotted">
        <color indexed="64"/>
      </right>
      <top/>
      <bottom/>
      <diagonal/>
    </border>
    <border>
      <left style="dotted">
        <color indexed="64"/>
      </left>
      <right style="medium">
        <color indexed="64"/>
      </right>
      <top/>
      <bottom/>
      <diagonal/>
    </border>
    <border>
      <left/>
      <right/>
      <top style="medium">
        <color indexed="64"/>
      </top>
      <bottom style="dotted">
        <color indexed="64"/>
      </bottom>
      <diagonal/>
    </border>
    <border>
      <left style="medium">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dotted">
        <color indexed="64"/>
      </left>
      <right/>
      <top style="medium">
        <color indexed="64"/>
      </top>
      <bottom style="dotted">
        <color indexed="64"/>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right/>
      <top/>
      <bottom style="dotted">
        <color indexed="64"/>
      </bottom>
      <diagonal/>
    </border>
    <border>
      <left style="dotted">
        <color indexed="64"/>
      </left>
      <right/>
      <top/>
      <bottom style="dotted">
        <color indexed="64"/>
      </bottom>
      <diagonal/>
    </border>
    <border>
      <left style="medium">
        <color indexed="64"/>
      </left>
      <right style="dotted">
        <color indexed="64"/>
      </right>
      <top style="dotted">
        <color indexed="64"/>
      </top>
      <bottom/>
      <diagonal/>
    </border>
    <border>
      <left style="dotted">
        <color indexed="64"/>
      </left>
      <right style="dotted">
        <color indexed="64"/>
      </right>
      <top style="dotted">
        <color indexed="64"/>
      </top>
      <bottom/>
      <diagonal/>
    </border>
    <border>
      <left/>
      <right/>
      <top/>
      <bottom style="medium">
        <color auto="1"/>
      </bottom>
      <diagonal/>
    </border>
    <border>
      <left/>
      <right style="medium">
        <color indexed="64"/>
      </right>
      <top/>
      <bottom style="medium">
        <color indexed="64"/>
      </bottom>
      <diagonal/>
    </border>
    <border>
      <left style="dotted">
        <color indexed="64"/>
      </left>
      <right style="medium">
        <color indexed="64"/>
      </right>
      <top style="medium">
        <color indexed="64"/>
      </top>
      <bottom/>
      <diagonal/>
    </border>
    <border>
      <left/>
      <right style="medium">
        <color indexed="64"/>
      </right>
      <top/>
      <bottom/>
      <diagonal/>
    </border>
    <border>
      <left style="dotted">
        <color indexed="64"/>
      </left>
      <right/>
      <top style="medium">
        <color indexed="64"/>
      </top>
      <bottom/>
      <diagonal/>
    </border>
    <border>
      <left style="medium">
        <color indexed="64"/>
      </left>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style="medium">
        <color indexed="64"/>
      </left>
      <right style="dotted">
        <color indexed="64"/>
      </right>
      <top/>
      <bottom/>
      <diagonal/>
    </border>
    <border>
      <left style="medium">
        <color indexed="64"/>
      </left>
      <right style="medium">
        <color indexed="64"/>
      </right>
      <top style="dashed">
        <color indexed="64"/>
      </top>
      <bottom/>
      <diagonal/>
    </border>
    <border>
      <left/>
      <right style="medium">
        <color indexed="64"/>
      </right>
      <top style="medium">
        <color indexed="64"/>
      </top>
      <bottom style="dotted">
        <color indexed="64"/>
      </bottom>
      <diagonal/>
    </border>
    <border>
      <left style="dashed">
        <color auto="1"/>
      </left>
      <right style="dashed">
        <color auto="1"/>
      </right>
      <top style="dashed">
        <color auto="1"/>
      </top>
      <bottom style="dashed">
        <color auto="1"/>
      </bottom>
      <diagonal/>
    </border>
    <border>
      <left style="dashed">
        <color auto="1"/>
      </left>
      <right style="dashed">
        <color auto="1"/>
      </right>
      <top style="medium">
        <color indexed="64"/>
      </top>
      <bottom style="dashed">
        <color auto="1"/>
      </bottom>
      <diagonal/>
    </border>
    <border>
      <left style="dashed">
        <color auto="1"/>
      </left>
      <right style="dashed">
        <color auto="1"/>
      </right>
      <top style="dashed">
        <color auto="1"/>
      </top>
      <bottom style="medium">
        <color indexed="64"/>
      </bottom>
      <diagonal/>
    </border>
  </borders>
  <cellStyleXfs count="202">
    <xf numFmtId="0" fontId="0" fillId="0" borderId="0"/>
    <xf numFmtId="164" fontId="9" fillId="0" borderId="0" applyFont="0" applyFill="0" applyBorder="0" applyAlignment="0" applyProtection="0"/>
    <xf numFmtId="164" fontId="12" fillId="0" borderId="0" applyFont="0" applyFill="0" applyBorder="0" applyAlignment="0" applyProtection="0"/>
    <xf numFmtId="0" fontId="18" fillId="0" borderId="0" applyNumberFormat="0" applyFill="0" applyBorder="0" applyAlignment="0" applyProtection="0"/>
    <xf numFmtId="0" fontId="13" fillId="0" borderId="0"/>
    <xf numFmtId="0" fontId="12" fillId="0" borderId="0"/>
    <xf numFmtId="0" fontId="17" fillId="0" borderId="0"/>
    <xf numFmtId="9" fontId="9" fillId="0" borderId="0" applyFont="0" applyFill="0" applyBorder="0" applyAlignment="0" applyProtection="0"/>
    <xf numFmtId="9" fontId="13" fillId="0" borderId="0" applyFont="0" applyFill="0" applyBorder="0" applyAlignment="0" applyProtection="0"/>
    <xf numFmtId="0" fontId="19" fillId="0" borderId="0" applyNumberFormat="0" applyFill="0" applyBorder="0" applyAlignment="0" applyProtection="0"/>
    <xf numFmtId="164" fontId="13" fillId="0" borderId="0" applyFont="0" applyFill="0" applyBorder="0" applyAlignment="0" applyProtection="0"/>
    <xf numFmtId="0" fontId="22" fillId="0" borderId="0"/>
    <xf numFmtId="43"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164" fontId="13" fillId="0" borderId="0" applyFont="0" applyFill="0" applyBorder="0" applyAlignment="0" applyProtection="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9" fillId="0" borderId="0" applyNumberFormat="0" applyFill="0" applyBorder="0" applyAlignment="0" applyProtection="0"/>
    <xf numFmtId="0" fontId="16" fillId="0" borderId="0" applyNumberFormat="0" applyFill="0" applyBorder="0" applyAlignment="0" applyProtection="0">
      <alignment vertical="top"/>
      <protection locked="0"/>
    </xf>
    <xf numFmtId="0" fontId="19" fillId="0" borderId="0" applyNumberFormat="0" applyFill="0" applyBorder="0" applyAlignment="0" applyProtection="0"/>
    <xf numFmtId="0" fontId="13" fillId="0" borderId="0"/>
    <xf numFmtId="0" fontId="13" fillId="0" borderId="0"/>
    <xf numFmtId="0" fontId="8" fillId="0" borderId="0"/>
    <xf numFmtId="0" fontId="13" fillId="0" borderId="0"/>
    <xf numFmtId="0" fontId="13" fillId="0" borderId="0"/>
    <xf numFmtId="0" fontId="8" fillId="0" borderId="0"/>
    <xf numFmtId="0" fontId="8" fillId="0" borderId="0"/>
    <xf numFmtId="0" fontId="13" fillId="0" borderId="0"/>
    <xf numFmtId="0" fontId="8" fillId="0" borderId="0"/>
    <xf numFmtId="0" fontId="8" fillId="0" borderId="0"/>
    <xf numFmtId="0" fontId="13" fillId="0" borderId="0"/>
    <xf numFmtId="9" fontId="1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8"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13"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8" fillId="0" borderId="0"/>
    <xf numFmtId="0" fontId="8" fillId="0" borderId="0"/>
    <xf numFmtId="0" fontId="8" fillId="0" borderId="0"/>
    <xf numFmtId="0" fontId="9" fillId="0" borderId="0"/>
    <xf numFmtId="0" fontId="8" fillId="0" borderId="0"/>
    <xf numFmtId="0" fontId="27" fillId="0" borderId="0" applyNumberFormat="0" applyFill="0" applyBorder="0" applyAlignment="0" applyProtection="0"/>
    <xf numFmtId="0" fontId="18" fillId="0" borderId="0" applyNumberFormat="0" applyFill="0" applyBorder="0" applyAlignment="0" applyProtection="0"/>
    <xf numFmtId="0" fontId="28" fillId="0" borderId="0" applyNumberFormat="0" applyFill="0" applyBorder="0" applyAlignment="0" applyProtection="0"/>
    <xf numFmtId="0" fontId="8" fillId="11" borderId="0" applyNumberFormat="0" applyBorder="0" applyAlignment="0" applyProtection="0"/>
    <xf numFmtId="0" fontId="8" fillId="15" borderId="0" applyNumberFormat="0" applyBorder="0" applyAlignment="0" applyProtection="0"/>
    <xf numFmtId="0" fontId="8" fillId="19" borderId="0" applyNumberFormat="0" applyBorder="0" applyAlignment="0" applyProtection="0"/>
    <xf numFmtId="0" fontId="8" fillId="23"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12" borderId="0" applyNumberFormat="0" applyBorder="0" applyAlignment="0" applyProtection="0"/>
    <xf numFmtId="0" fontId="8" fillId="16" borderId="0" applyNumberFormat="0" applyBorder="0" applyAlignment="0" applyProtection="0"/>
    <xf numFmtId="0" fontId="8" fillId="20"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29" fillId="13"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29" fillId="25" borderId="0" applyNumberFormat="0" applyBorder="0" applyAlignment="0" applyProtection="0"/>
    <xf numFmtId="0" fontId="29" fillId="29" borderId="0" applyNumberFormat="0" applyBorder="0" applyAlignment="0" applyProtection="0"/>
    <xf numFmtId="0" fontId="29" fillId="33" borderId="0" applyNumberFormat="0" applyBorder="0" applyAlignment="0" applyProtection="0"/>
    <xf numFmtId="0" fontId="29" fillId="10" borderId="0" applyNumberFormat="0" applyBorder="0" applyAlignment="0" applyProtection="0"/>
    <xf numFmtId="0" fontId="29" fillId="14" borderId="0" applyNumberFormat="0" applyBorder="0" applyAlignment="0" applyProtection="0"/>
    <xf numFmtId="0" fontId="29" fillId="18" borderId="0" applyNumberFormat="0" applyBorder="0" applyAlignment="0" applyProtection="0"/>
    <xf numFmtId="0" fontId="29" fillId="22" borderId="0" applyNumberFormat="0" applyBorder="0" applyAlignment="0" applyProtection="0"/>
    <xf numFmtId="0" fontId="29" fillId="26" borderId="0" applyNumberFormat="0" applyBorder="0" applyAlignment="0" applyProtection="0"/>
    <xf numFmtId="0" fontId="29" fillId="30" borderId="0" applyNumberFormat="0" applyBorder="0" applyAlignment="0" applyProtection="0"/>
    <xf numFmtId="0" fontId="30" fillId="4" borderId="0" applyNumberFormat="0" applyBorder="0" applyAlignment="0" applyProtection="0"/>
    <xf numFmtId="0" fontId="31" fillId="7" borderId="34" applyNumberFormat="0" applyAlignment="0" applyProtection="0"/>
    <xf numFmtId="0" fontId="32" fillId="8" borderId="37" applyNumberForma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3" fillId="0" borderId="0" applyNumberFormat="0" applyFill="0" applyBorder="0" applyAlignment="0" applyProtection="0"/>
    <xf numFmtId="0" fontId="34" fillId="3" borderId="0" applyNumberFormat="0" applyBorder="0" applyAlignment="0" applyProtection="0"/>
    <xf numFmtId="0" fontId="35" fillId="0" borderId="31" applyNumberFormat="0" applyFill="0" applyAlignment="0" applyProtection="0"/>
    <xf numFmtId="0" fontId="36" fillId="0" borderId="32" applyNumberFormat="0" applyFill="0" applyAlignment="0" applyProtection="0"/>
    <xf numFmtId="0" fontId="37" fillId="0" borderId="33" applyNumberFormat="0" applyFill="0" applyAlignment="0" applyProtection="0"/>
    <xf numFmtId="0" fontId="37" fillId="0" borderId="0" applyNumberFormat="0" applyFill="0" applyBorder="0" applyAlignment="0" applyProtection="0"/>
    <xf numFmtId="0" fontId="38" fillId="0" borderId="0" applyNumberFormat="0" applyFill="0" applyBorder="0" applyAlignment="0" applyProtection="0">
      <alignment vertical="top"/>
      <protection locked="0"/>
    </xf>
    <xf numFmtId="0" fontId="39" fillId="6" borderId="34" applyNumberFormat="0" applyAlignment="0" applyProtection="0"/>
    <xf numFmtId="0" fontId="40" fillId="0" borderId="36" applyNumberFormat="0" applyFill="0" applyAlignment="0" applyProtection="0"/>
    <xf numFmtId="0" fontId="41" fillId="5" borderId="0" applyNumberFormat="0" applyBorder="0" applyAlignment="0" applyProtection="0"/>
    <xf numFmtId="0" fontId="6" fillId="0" borderId="0"/>
    <xf numFmtId="0" fontId="9" fillId="0" borderId="0"/>
    <xf numFmtId="0" fontId="8" fillId="9" borderId="38" applyNumberFormat="0" applyFont="0" applyAlignment="0" applyProtection="0"/>
    <xf numFmtId="0" fontId="42" fillId="9" borderId="38" applyNumberFormat="0" applyFont="0" applyAlignment="0" applyProtection="0"/>
    <xf numFmtId="0" fontId="42" fillId="34" borderId="40" applyNumberFormat="0" applyFont="0" applyAlignment="0" applyProtection="0"/>
    <xf numFmtId="0" fontId="43" fillId="7" borderId="35" applyNumberFormat="0" applyAlignment="0" applyProtection="0"/>
    <xf numFmtId="9" fontId="9"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4" fillId="0" borderId="0" applyFont="0" applyFill="0" applyBorder="0" applyAlignment="0" applyProtection="0"/>
    <xf numFmtId="0" fontId="45" fillId="0" borderId="39" applyNumberFormat="0" applyFill="0" applyAlignment="0" applyProtection="0"/>
    <xf numFmtId="0" fontId="46" fillId="0" borderId="0" applyNumberForma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8" fillId="0" borderId="0"/>
    <xf numFmtId="164" fontId="9" fillId="0" borderId="0" applyFont="0" applyFill="0" applyBorder="0" applyAlignment="0" applyProtection="0"/>
    <xf numFmtId="0" fontId="6" fillId="0" borderId="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8" fillId="0" borderId="0" applyNumberFormat="0" applyFill="0" applyBorder="0" applyAlignment="0" applyProtection="0"/>
    <xf numFmtId="0" fontId="18" fillId="0" borderId="0" applyNumberFormat="0" applyFill="0" applyBorder="0" applyAlignment="0" applyProtection="0"/>
    <xf numFmtId="0" fontId="9" fillId="0" borderId="0"/>
    <xf numFmtId="0" fontId="9" fillId="0" borderId="0"/>
    <xf numFmtId="0" fontId="8" fillId="0" borderId="0"/>
    <xf numFmtId="0" fontId="8" fillId="0" borderId="0"/>
    <xf numFmtId="9" fontId="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9"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47" fillId="0" borderId="0" applyNumberForma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0" fontId="4" fillId="0" borderId="0"/>
    <xf numFmtId="164" fontId="9"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9" fillId="0" borderId="0"/>
    <xf numFmtId="0" fontId="2" fillId="0" borderId="0"/>
    <xf numFmtId="0" fontId="2" fillId="0" borderId="0"/>
    <xf numFmtId="9" fontId="2" fillId="0" borderId="0" applyFont="0" applyFill="0" applyBorder="0" applyAlignment="0" applyProtection="0"/>
  </cellStyleXfs>
  <cellXfs count="387">
    <xf numFmtId="0" fontId="0" fillId="0" borderId="0" xfId="0"/>
    <xf numFmtId="0" fontId="21" fillId="0" borderId="0" xfId="0" applyFont="1" applyAlignment="1"/>
    <xf numFmtId="0" fontId="21" fillId="0" borderId="0" xfId="0" applyFont="1"/>
    <xf numFmtId="0" fontId="15" fillId="0" borderId="0" xfId="0" applyFont="1"/>
    <xf numFmtId="0" fontId="15" fillId="0" borderId="0" xfId="0" applyFont="1" applyAlignment="1">
      <alignment horizontal="left"/>
    </xf>
    <xf numFmtId="0" fontId="18" fillId="0" borderId="0" xfId="9" applyFont="1" applyAlignment="1" applyProtection="1">
      <alignment vertical="top" wrapText="1" readingOrder="1"/>
      <protection locked="0"/>
    </xf>
    <xf numFmtId="0" fontId="18" fillId="0" borderId="0" xfId="9" applyFont="1" applyAlignment="1" applyProtection="1">
      <alignment vertical="top" readingOrder="1"/>
      <protection locked="0"/>
    </xf>
    <xf numFmtId="0" fontId="9" fillId="2" borderId="0" xfId="0" applyFont="1" applyFill="1"/>
    <xf numFmtId="0" fontId="11" fillId="2" borderId="17" xfId="70" applyFont="1" applyFill="1" applyBorder="1" applyAlignment="1" applyProtection="1">
      <alignment horizontal="center" vertical="center" wrapText="1" readingOrder="1"/>
      <protection locked="0"/>
    </xf>
    <xf numFmtId="0" fontId="11" fillId="2" borderId="18" xfId="70" applyFont="1" applyFill="1" applyBorder="1" applyAlignment="1" applyProtection="1">
      <alignment horizontal="center" vertical="center" wrapText="1" readingOrder="1"/>
      <protection locked="0"/>
    </xf>
    <xf numFmtId="0" fontId="11" fillId="2" borderId="19" xfId="70" applyFont="1" applyFill="1" applyBorder="1" applyAlignment="1" applyProtection="1">
      <alignment horizontal="center" vertical="center" wrapText="1" readingOrder="1"/>
      <protection locked="0"/>
    </xf>
    <xf numFmtId="0" fontId="10" fillId="2" borderId="0" xfId="70" applyFont="1" applyFill="1" applyBorder="1" applyAlignment="1" applyProtection="1">
      <alignment vertical="top" wrapText="1" readingOrder="1"/>
      <protection locked="0"/>
    </xf>
    <xf numFmtId="165" fontId="10" fillId="2" borderId="0" xfId="70" applyNumberFormat="1" applyFont="1" applyFill="1" applyBorder="1" applyAlignment="1" applyProtection="1">
      <alignment vertical="top" wrapText="1" readingOrder="1"/>
      <protection locked="0"/>
    </xf>
    <xf numFmtId="0" fontId="11" fillId="2" borderId="43" xfId="70" applyFont="1" applyFill="1" applyBorder="1" applyAlignment="1" applyProtection="1">
      <alignment horizontal="left" vertical="center" wrapText="1" readingOrder="1"/>
      <protection locked="0"/>
    </xf>
    <xf numFmtId="0" fontId="11" fillId="2" borderId="23" xfId="70" applyFont="1" applyFill="1" applyBorder="1" applyAlignment="1" applyProtection="1">
      <alignment horizontal="center" vertical="center" wrapText="1" readingOrder="1"/>
      <protection locked="0"/>
    </xf>
    <xf numFmtId="0" fontId="10" fillId="2" borderId="0" xfId="70" applyFont="1" applyFill="1" applyAlignment="1" applyProtection="1">
      <alignment vertical="top" wrapText="1" readingOrder="1"/>
      <protection locked="0"/>
    </xf>
    <xf numFmtId="10" fontId="10" fillId="2" borderId="0" xfId="195" applyNumberFormat="1" applyFont="1" applyFill="1" applyBorder="1" applyAlignment="1" applyProtection="1">
      <alignment horizontal="right" vertical="top" readingOrder="1"/>
      <protection locked="0"/>
    </xf>
    <xf numFmtId="10" fontId="10" fillId="2" borderId="0" xfId="195" applyNumberFormat="1" applyFont="1" applyFill="1" applyBorder="1" applyAlignment="1" applyProtection="1">
      <alignment horizontal="right" vertical="top" wrapText="1" readingOrder="1"/>
      <protection locked="0"/>
    </xf>
    <xf numFmtId="1" fontId="10" fillId="2" borderId="0" xfId="70" applyNumberFormat="1" applyFont="1" applyFill="1" applyBorder="1" applyAlignment="1" applyProtection="1">
      <alignment vertical="top" wrapText="1" readingOrder="1"/>
      <protection locked="0"/>
    </xf>
    <xf numFmtId="1" fontId="49" fillId="2" borderId="0" xfId="193" applyNumberFormat="1" applyFont="1" applyFill="1"/>
    <xf numFmtId="0" fontId="10" fillId="2" borderId="0" xfId="70" applyNumberFormat="1" applyFont="1" applyFill="1" applyBorder="1" applyAlignment="1" applyProtection="1">
      <alignment vertical="top" wrapText="1" readingOrder="1"/>
      <protection locked="0"/>
    </xf>
    <xf numFmtId="0" fontId="49" fillId="2" borderId="0" xfId="193" applyNumberFormat="1" applyFont="1" applyFill="1"/>
    <xf numFmtId="0" fontId="9" fillId="0" borderId="0" xfId="0" applyFont="1" applyAlignment="1">
      <alignment horizontal="left"/>
    </xf>
    <xf numFmtId="0" fontId="25" fillId="0" borderId="0" xfId="0" applyFont="1" applyAlignment="1" applyProtection="1">
      <alignment vertical="top" wrapText="1" readingOrder="1"/>
      <protection locked="0"/>
    </xf>
    <xf numFmtId="0" fontId="10" fillId="0" borderId="0" xfId="0" applyFont="1" applyAlignment="1" applyProtection="1">
      <alignment vertical="top" wrapText="1" readingOrder="1"/>
      <protection locked="0"/>
    </xf>
    <xf numFmtId="0" fontId="18" fillId="0" borderId="0" xfId="3" applyAlignment="1" applyProtection="1">
      <alignment vertical="top" wrapText="1" readingOrder="1"/>
      <protection locked="0"/>
    </xf>
    <xf numFmtId="0" fontId="18" fillId="0" borderId="0" xfId="3"/>
    <xf numFmtId="0" fontId="14" fillId="2" borderId="0" xfId="70" applyFont="1" applyFill="1" applyAlignment="1" applyProtection="1">
      <alignment horizontal="left" vertical="top" wrapText="1" readingOrder="1"/>
      <protection locked="0"/>
    </xf>
    <xf numFmtId="0" fontId="2" fillId="2" borderId="0" xfId="193" applyFont="1" applyFill="1"/>
    <xf numFmtId="0" fontId="2" fillId="2" borderId="0" xfId="196" applyFont="1" applyFill="1" applyBorder="1"/>
    <xf numFmtId="165" fontId="2" fillId="2" borderId="0" xfId="196" applyNumberFormat="1" applyFont="1" applyFill="1"/>
    <xf numFmtId="166" fontId="9" fillId="2" borderId="0" xfId="197" applyNumberFormat="1" applyFont="1" applyFill="1"/>
    <xf numFmtId="0" fontId="9" fillId="0" borderId="0" xfId="0" applyFont="1" applyAlignment="1"/>
    <xf numFmtId="0" fontId="9" fillId="0" borderId="0" xfId="0" applyFont="1"/>
    <xf numFmtId="0" fontId="18" fillId="0" borderId="0" xfId="3" applyFont="1" applyAlignment="1" applyProtection="1">
      <alignment vertical="top" wrapText="1" readingOrder="1"/>
      <protection locked="0"/>
    </xf>
    <xf numFmtId="0" fontId="18" fillId="0" borderId="0" xfId="3" applyFont="1"/>
    <xf numFmtId="0" fontId="10" fillId="0" borderId="0" xfId="0" applyFont="1" applyAlignment="1" applyProtection="1">
      <alignment vertical="top" readingOrder="1"/>
      <protection locked="0"/>
    </xf>
    <xf numFmtId="1" fontId="2" fillId="2" borderId="0" xfId="193" applyNumberFormat="1" applyFont="1" applyFill="1"/>
    <xf numFmtId="1" fontId="9" fillId="2" borderId="0" xfId="197" applyNumberFormat="1" applyFont="1" applyFill="1"/>
    <xf numFmtId="0" fontId="2" fillId="2" borderId="0" xfId="199" applyFont="1" applyFill="1"/>
    <xf numFmtId="0" fontId="2" fillId="2" borderId="0" xfId="200" applyFont="1" applyFill="1" applyBorder="1"/>
    <xf numFmtId="165" fontId="2" fillId="2" borderId="0" xfId="200" applyNumberFormat="1" applyFont="1" applyFill="1"/>
    <xf numFmtId="166" fontId="9" fillId="2" borderId="0" xfId="201" applyNumberFormat="1" applyFont="1" applyFill="1"/>
    <xf numFmtId="0" fontId="2" fillId="2" borderId="0" xfId="193" applyFont="1" applyFill="1" applyAlignment="1">
      <alignment horizontal="center"/>
    </xf>
    <xf numFmtId="0" fontId="2" fillId="2" borderId="0" xfId="193" applyNumberFormat="1" applyFont="1" applyFill="1"/>
    <xf numFmtId="20" fontId="2" fillId="2" borderId="0" xfId="193" applyNumberFormat="1" applyFont="1" applyFill="1"/>
    <xf numFmtId="0" fontId="2" fillId="2" borderId="0" xfId="196" applyNumberFormat="1" applyFont="1" applyFill="1" applyBorder="1"/>
    <xf numFmtId="0" fontId="9" fillId="2" borderId="0" xfId="197" applyNumberFormat="1" applyFont="1" applyFill="1"/>
    <xf numFmtId="0" fontId="9" fillId="2" borderId="0" xfId="0" applyNumberFormat="1" applyFont="1" applyFill="1" applyBorder="1"/>
    <xf numFmtId="0" fontId="2" fillId="2" borderId="0" xfId="7" applyNumberFormat="1" applyFont="1" applyFill="1"/>
    <xf numFmtId="0" fontId="9" fillId="35" borderId="0" xfId="7" applyNumberFormat="1" applyFont="1" applyFill="1" applyBorder="1"/>
    <xf numFmtId="0" fontId="2" fillId="2" borderId="0" xfId="196" applyFont="1" applyFill="1" applyBorder="1" applyAlignment="1">
      <alignment horizontal="center"/>
    </xf>
    <xf numFmtId="0" fontId="9" fillId="2" borderId="0" xfId="196" applyFont="1" applyFill="1" applyBorder="1"/>
    <xf numFmtId="167" fontId="10" fillId="2" borderId="14" xfId="185" applyNumberFormat="1" applyFont="1" applyFill="1" applyBorder="1" applyAlignment="1" applyProtection="1">
      <alignment horizontal="right" vertical="center" wrapText="1" readingOrder="1"/>
      <protection locked="0"/>
    </xf>
    <xf numFmtId="0" fontId="10" fillId="2" borderId="12" xfId="70" applyFont="1" applyFill="1" applyBorder="1" applyAlignment="1" applyProtection="1">
      <alignment horizontal="left" vertical="center" wrapText="1" readingOrder="1"/>
      <protection locked="0"/>
    </xf>
    <xf numFmtId="0" fontId="10" fillId="2" borderId="5" xfId="70" applyFont="1" applyFill="1" applyBorder="1" applyAlignment="1" applyProtection="1">
      <alignment horizontal="left" vertical="center" wrapText="1" readingOrder="1"/>
      <protection locked="0"/>
    </xf>
    <xf numFmtId="167" fontId="10" fillId="2" borderId="6" xfId="185" applyNumberFormat="1" applyFont="1" applyFill="1" applyBorder="1" applyAlignment="1" applyProtection="1">
      <alignment horizontal="right" vertical="center" wrapText="1" readingOrder="1"/>
      <protection locked="0"/>
    </xf>
    <xf numFmtId="0" fontId="2" fillId="2" borderId="0" xfId="193" applyFont="1" applyFill="1" applyAlignment="1">
      <alignment horizontal="right"/>
    </xf>
    <xf numFmtId="166" fontId="10" fillId="2" borderId="6" xfId="195" applyNumberFormat="1" applyFont="1" applyFill="1" applyBorder="1" applyAlignment="1" applyProtection="1">
      <alignment horizontal="right" vertical="center" wrapText="1" readingOrder="1"/>
      <protection locked="0"/>
    </xf>
    <xf numFmtId="166" fontId="10" fillId="2" borderId="7" xfId="195" applyNumberFormat="1" applyFont="1" applyFill="1" applyBorder="1" applyAlignment="1" applyProtection="1">
      <alignment horizontal="right" vertical="center" wrapText="1" readingOrder="1"/>
      <protection locked="0"/>
    </xf>
    <xf numFmtId="166" fontId="10" fillId="2" borderId="10" xfId="195" applyNumberFormat="1" applyFont="1" applyFill="1" applyBorder="1" applyAlignment="1" applyProtection="1">
      <alignment horizontal="right" vertical="center" wrapText="1" readingOrder="1"/>
      <protection locked="0"/>
    </xf>
    <xf numFmtId="166" fontId="10" fillId="2" borderId="11" xfId="195" applyNumberFormat="1" applyFont="1" applyFill="1" applyBorder="1" applyAlignment="1" applyProtection="1">
      <alignment horizontal="right" vertical="center" wrapText="1" readingOrder="1"/>
      <protection locked="0"/>
    </xf>
    <xf numFmtId="166" fontId="10" fillId="2" borderId="14" xfId="195" applyNumberFormat="1" applyFont="1" applyFill="1" applyBorder="1" applyAlignment="1" applyProtection="1">
      <alignment horizontal="right" vertical="center" wrapText="1" readingOrder="1"/>
      <protection locked="0"/>
    </xf>
    <xf numFmtId="166" fontId="10" fillId="2" borderId="15" xfId="195" applyNumberFormat="1" applyFont="1" applyFill="1" applyBorder="1" applyAlignment="1" applyProtection="1">
      <alignment horizontal="right" vertical="center" wrapText="1" readingOrder="1"/>
      <protection locked="0"/>
    </xf>
    <xf numFmtId="0" fontId="10" fillId="2" borderId="8" xfId="70" applyFont="1" applyFill="1" applyBorder="1" applyAlignment="1" applyProtection="1">
      <alignment horizontal="left" vertical="center" wrapText="1" readingOrder="1"/>
      <protection locked="0"/>
    </xf>
    <xf numFmtId="0" fontId="10" fillId="2" borderId="4" xfId="70" applyFont="1" applyFill="1" applyBorder="1" applyAlignment="1" applyProtection="1">
      <alignment vertical="center" wrapText="1" readingOrder="1"/>
      <protection locked="0"/>
    </xf>
    <xf numFmtId="0" fontId="10" fillId="2" borderId="4" xfId="70" applyFont="1" applyFill="1" applyBorder="1" applyAlignment="1" applyProtection="1">
      <alignment horizontal="left" vertical="center" wrapText="1" readingOrder="1"/>
      <protection locked="0"/>
    </xf>
    <xf numFmtId="168" fontId="10" fillId="2" borderId="18" xfId="194" applyNumberFormat="1" applyFont="1" applyFill="1" applyBorder="1" applyAlignment="1" applyProtection="1">
      <alignment horizontal="right" vertical="center" wrapText="1" readingOrder="1"/>
      <protection locked="0"/>
    </xf>
    <xf numFmtId="168" fontId="10" fillId="2" borderId="19" xfId="194" applyNumberFormat="1" applyFont="1" applyFill="1" applyBorder="1" applyAlignment="1" applyProtection="1">
      <alignment horizontal="right" vertical="center" wrapText="1" readingOrder="1"/>
      <protection locked="0"/>
    </xf>
    <xf numFmtId="0" fontId="10" fillId="2" borderId="8" xfId="194" applyNumberFormat="1" applyFont="1" applyFill="1" applyBorder="1" applyAlignment="1" applyProtection="1">
      <alignment horizontal="left" vertical="center" wrapText="1" readingOrder="1"/>
      <protection locked="0"/>
    </xf>
    <xf numFmtId="0" fontId="10" fillId="2" borderId="12" xfId="194" applyNumberFormat="1" applyFont="1" applyFill="1" applyBorder="1" applyAlignment="1" applyProtection="1">
      <alignment horizontal="left" vertical="center" wrapText="1" readingOrder="1"/>
      <protection locked="0"/>
    </xf>
    <xf numFmtId="0" fontId="10" fillId="2" borderId="5" xfId="194" applyNumberFormat="1" applyFont="1" applyFill="1" applyBorder="1" applyAlignment="1" applyProtection="1">
      <alignment vertical="center" wrapText="1" readingOrder="1"/>
      <protection locked="0"/>
    </xf>
    <xf numFmtId="0" fontId="10" fillId="2" borderId="8" xfId="194" applyNumberFormat="1" applyFont="1" applyFill="1" applyBorder="1" applyAlignment="1" applyProtection="1">
      <alignment vertical="center" wrapText="1" readingOrder="1"/>
      <protection locked="0"/>
    </xf>
    <xf numFmtId="0" fontId="10" fillId="2" borderId="12" xfId="194" applyNumberFormat="1" applyFont="1" applyFill="1" applyBorder="1" applyAlignment="1" applyProtection="1">
      <alignment vertical="center" wrapText="1" readingOrder="1"/>
      <protection locked="0"/>
    </xf>
    <xf numFmtId="3" fontId="10" fillId="2" borderId="6" xfId="1" applyNumberFormat="1" applyFont="1" applyFill="1" applyBorder="1" applyAlignment="1" applyProtection="1">
      <alignment horizontal="right" vertical="center" wrapText="1" readingOrder="1"/>
      <protection locked="0"/>
    </xf>
    <xf numFmtId="3" fontId="10" fillId="2" borderId="7" xfId="1" applyNumberFormat="1" applyFont="1" applyFill="1" applyBorder="1" applyAlignment="1" applyProtection="1">
      <alignment horizontal="right" vertical="center" wrapText="1" readingOrder="1"/>
      <protection locked="0"/>
    </xf>
    <xf numFmtId="0" fontId="10" fillId="2" borderId="30" xfId="194" applyNumberFormat="1" applyFont="1" applyFill="1" applyBorder="1" applyAlignment="1" applyProtection="1">
      <alignment horizontal="left" vertical="center" wrapText="1" readingOrder="1"/>
      <protection locked="0"/>
    </xf>
    <xf numFmtId="0" fontId="10" fillId="2" borderId="42" xfId="194" applyNumberFormat="1" applyFont="1" applyFill="1" applyBorder="1" applyAlignment="1" applyProtection="1">
      <alignment horizontal="left" vertical="center" wrapText="1" readingOrder="1"/>
      <protection locked="0"/>
    </xf>
    <xf numFmtId="0" fontId="10" fillId="2" borderId="25" xfId="194" applyNumberFormat="1" applyFont="1" applyFill="1" applyBorder="1" applyAlignment="1" applyProtection="1">
      <alignment horizontal="left" vertical="center" wrapText="1" readingOrder="1"/>
      <protection locked="0"/>
    </xf>
    <xf numFmtId="170" fontId="10" fillId="2" borderId="41" xfId="194" applyNumberFormat="1" applyFont="1" applyFill="1" applyBorder="1" applyAlignment="1" applyProtection="1">
      <alignment horizontal="right" vertical="center" readingOrder="1"/>
      <protection locked="0"/>
    </xf>
    <xf numFmtId="170" fontId="10" fillId="2" borderId="9" xfId="194" applyNumberFormat="1" applyFont="1" applyFill="1" applyBorder="1" applyAlignment="1" applyProtection="1">
      <alignment horizontal="right" vertical="center" readingOrder="1"/>
      <protection locked="0"/>
    </xf>
    <xf numFmtId="170" fontId="10" fillId="2" borderId="13" xfId="194" applyNumberFormat="1" applyFont="1" applyFill="1" applyBorder="1" applyAlignment="1" applyProtection="1">
      <alignment horizontal="right" vertical="center" readingOrder="1"/>
      <protection locked="0"/>
    </xf>
    <xf numFmtId="17" fontId="23" fillId="2" borderId="56" xfId="81" applyNumberFormat="1" applyFont="1" applyFill="1" applyBorder="1" applyAlignment="1">
      <alignment horizontal="left" vertical="center"/>
    </xf>
    <xf numFmtId="17" fontId="23" fillId="2" borderId="53" xfId="81" applyNumberFormat="1" applyFont="1" applyFill="1" applyBorder="1" applyAlignment="1">
      <alignment horizontal="left" vertical="center"/>
    </xf>
    <xf numFmtId="17" fontId="9" fillId="2" borderId="53" xfId="81" applyNumberFormat="1" applyFont="1" applyFill="1" applyBorder="1" applyAlignment="1">
      <alignment horizontal="left" vertical="center"/>
    </xf>
    <xf numFmtId="17" fontId="23" fillId="2" borderId="50" xfId="81" applyNumberFormat="1" applyFont="1" applyFill="1" applyBorder="1" applyAlignment="1">
      <alignment horizontal="left" vertical="center"/>
    </xf>
    <xf numFmtId="20" fontId="15" fillId="2" borderId="43" xfId="194" applyNumberFormat="1" applyFont="1" applyFill="1" applyBorder="1" applyAlignment="1">
      <alignment horizontal="center" vertical="center"/>
    </xf>
    <xf numFmtId="20" fontId="15" fillId="2" borderId="2" xfId="194" applyNumberFormat="1" applyFont="1" applyFill="1" applyBorder="1" applyAlignment="1">
      <alignment horizontal="center" vertical="center"/>
    </xf>
    <xf numFmtId="20" fontId="15" fillId="2" borderId="46" xfId="194" applyNumberFormat="1" applyFont="1" applyFill="1" applyBorder="1" applyAlignment="1">
      <alignment horizontal="center" vertical="center"/>
    </xf>
    <xf numFmtId="20" fontId="15" fillId="2" borderId="18" xfId="194" applyNumberFormat="1" applyFont="1" applyFill="1" applyBorder="1" applyAlignment="1">
      <alignment horizontal="center" vertical="center"/>
    </xf>
    <xf numFmtId="20" fontId="15" fillId="2" borderId="19" xfId="194" applyNumberFormat="1" applyFont="1" applyFill="1" applyBorder="1" applyAlignment="1">
      <alignment horizontal="center" vertical="center"/>
    </xf>
    <xf numFmtId="3" fontId="10" fillId="2" borderId="14" xfId="194" applyNumberFormat="1" applyFont="1" applyFill="1" applyBorder="1" applyAlignment="1" applyProtection="1">
      <alignment horizontal="right" vertical="center" wrapText="1" readingOrder="1"/>
      <protection locked="0"/>
    </xf>
    <xf numFmtId="171" fontId="23" fillId="2" borderId="55" xfId="1" applyNumberFormat="1" applyFont="1" applyFill="1" applyBorder="1" applyAlignment="1">
      <alignment horizontal="right" vertical="center"/>
    </xf>
    <xf numFmtId="171" fontId="23" fillId="2" borderId="54" xfId="1" applyNumberFormat="1" applyFont="1" applyFill="1" applyBorder="1" applyAlignment="1">
      <alignment horizontal="right" vertical="center"/>
    </xf>
    <xf numFmtId="171" fontId="23" fillId="2" borderId="52" xfId="1" applyNumberFormat="1" applyFont="1" applyFill="1" applyBorder="1" applyAlignment="1">
      <alignment horizontal="right" vertical="center"/>
    </xf>
    <xf numFmtId="171" fontId="23" fillId="2" borderId="51" xfId="1" applyNumberFormat="1" applyFont="1" applyFill="1" applyBorder="1" applyAlignment="1">
      <alignment horizontal="right" vertical="center"/>
    </xf>
    <xf numFmtId="171" fontId="23" fillId="2" borderId="49" xfId="1" applyNumberFormat="1" applyFont="1" applyFill="1" applyBorder="1" applyAlignment="1">
      <alignment horizontal="right" vertical="center"/>
    </xf>
    <xf numFmtId="171" fontId="23" fillId="2" borderId="48" xfId="1" applyNumberFormat="1" applyFont="1" applyFill="1" applyBorder="1" applyAlignment="1">
      <alignment horizontal="right" vertical="center"/>
    </xf>
    <xf numFmtId="0" fontId="18" fillId="2" borderId="0" xfId="3" applyFont="1" applyFill="1" applyBorder="1" applyAlignment="1" applyProtection="1">
      <alignment horizontal="left" vertical="top" wrapText="1" readingOrder="1"/>
      <protection locked="0"/>
    </xf>
    <xf numFmtId="0" fontId="18" fillId="2" borderId="0" xfId="3" applyFont="1" applyFill="1" applyAlignment="1" applyProtection="1">
      <alignment vertical="top" wrapText="1" readingOrder="1"/>
      <protection locked="0"/>
    </xf>
    <xf numFmtId="0" fontId="2" fillId="2" borderId="0" xfId="199" applyFont="1" applyFill="1" applyBorder="1"/>
    <xf numFmtId="10" fontId="2" fillId="2" borderId="0" xfId="7" applyNumberFormat="1" applyFont="1" applyFill="1"/>
    <xf numFmtId="0" fontId="10" fillId="2" borderId="0" xfId="195" applyNumberFormat="1" applyFont="1" applyFill="1" applyBorder="1" applyAlignment="1" applyProtection="1">
      <alignment horizontal="right" vertical="top" readingOrder="1"/>
      <protection locked="0"/>
    </xf>
    <xf numFmtId="0" fontId="10" fillId="2" borderId="0" xfId="195" applyNumberFormat="1" applyFont="1" applyFill="1" applyBorder="1" applyAlignment="1" applyProtection="1">
      <alignment horizontal="right" vertical="top" wrapText="1" readingOrder="1"/>
      <protection locked="0"/>
    </xf>
    <xf numFmtId="1" fontId="23" fillId="2" borderId="0" xfId="196" applyNumberFormat="1" applyFont="1" applyFill="1"/>
    <xf numFmtId="1" fontId="23" fillId="2" borderId="0" xfId="193" applyNumberFormat="1" applyFont="1" applyFill="1"/>
    <xf numFmtId="17" fontId="2" fillId="2" borderId="0" xfId="193" applyNumberFormat="1" applyFont="1" applyFill="1"/>
    <xf numFmtId="0" fontId="20" fillId="2" borderId="0" xfId="70" applyFont="1" applyFill="1" applyAlignment="1" applyProtection="1">
      <alignment vertical="top" wrapText="1" readingOrder="1"/>
      <protection locked="0"/>
    </xf>
    <xf numFmtId="0" fontId="2" fillId="2" borderId="0" xfId="193" applyFont="1" applyFill="1" applyBorder="1"/>
    <xf numFmtId="0" fontId="18" fillId="0" borderId="0" xfId="3"/>
    <xf numFmtId="0" fontId="9" fillId="0" borderId="0" xfId="0" applyFont="1"/>
    <xf numFmtId="0" fontId="9" fillId="0" borderId="0" xfId="0" applyFont="1" applyAlignment="1"/>
    <xf numFmtId="0" fontId="14" fillId="2" borderId="0" xfId="70" applyFont="1" applyFill="1" applyBorder="1" applyAlignment="1" applyProtection="1">
      <alignment horizontal="left" vertical="top" wrapText="1" readingOrder="1"/>
      <protection locked="0"/>
    </xf>
    <xf numFmtId="0" fontId="10" fillId="0" borderId="0" xfId="0" applyFont="1" applyAlignment="1" applyProtection="1">
      <alignment vertical="top" wrapText="1" readingOrder="1"/>
      <protection locked="0"/>
    </xf>
    <xf numFmtId="0" fontId="18" fillId="0" borderId="0" xfId="3" applyAlignment="1" applyProtection="1">
      <alignment vertical="top" wrapText="1" readingOrder="1"/>
      <protection locked="0"/>
    </xf>
    <xf numFmtId="0" fontId="18" fillId="0" borderId="0" xfId="3"/>
    <xf numFmtId="169" fontId="24" fillId="2" borderId="16" xfId="81" applyNumberFormat="1" applyFont="1" applyFill="1" applyBorder="1" applyAlignment="1">
      <alignment horizontal="center" vertical="center" wrapText="1"/>
    </xf>
    <xf numFmtId="169" fontId="24" fillId="2" borderId="19" xfId="81" applyNumberFormat="1" applyFont="1" applyFill="1" applyBorder="1" applyAlignment="1">
      <alignment horizontal="center" vertical="center" wrapText="1"/>
    </xf>
    <xf numFmtId="171" fontId="10" fillId="2" borderId="41" xfId="194" applyNumberFormat="1" applyFont="1" applyFill="1" applyBorder="1" applyAlignment="1" applyProtection="1">
      <alignment horizontal="right" vertical="center" readingOrder="1"/>
      <protection locked="0"/>
    </xf>
    <xf numFmtId="171" fontId="10" fillId="2" borderId="7" xfId="194" applyNumberFormat="1" applyFont="1" applyFill="1" applyBorder="1" applyAlignment="1" applyProtection="1">
      <alignment horizontal="right" vertical="center" readingOrder="1"/>
      <protection locked="0"/>
    </xf>
    <xf numFmtId="171" fontId="10" fillId="2" borderId="9" xfId="194" applyNumberFormat="1" applyFont="1" applyFill="1" applyBorder="1" applyAlignment="1" applyProtection="1">
      <alignment horizontal="right" vertical="center" readingOrder="1"/>
      <protection locked="0"/>
    </xf>
    <xf numFmtId="171" fontId="10" fillId="2" borderId="11" xfId="194" applyNumberFormat="1" applyFont="1" applyFill="1" applyBorder="1" applyAlignment="1" applyProtection="1">
      <alignment horizontal="right" vertical="center" readingOrder="1"/>
      <protection locked="0"/>
    </xf>
    <xf numFmtId="171" fontId="10" fillId="2" borderId="13" xfId="194" applyNumberFormat="1" applyFont="1" applyFill="1" applyBorder="1" applyAlignment="1" applyProtection="1">
      <alignment horizontal="right" vertical="center" readingOrder="1"/>
      <protection locked="0"/>
    </xf>
    <xf numFmtId="171" fontId="10" fillId="2" borderId="15" xfId="194" applyNumberFormat="1" applyFont="1" applyFill="1" applyBorder="1" applyAlignment="1" applyProtection="1">
      <alignment horizontal="right" vertical="center" readingOrder="1"/>
      <protection locked="0"/>
    </xf>
    <xf numFmtId="0" fontId="21" fillId="0" borderId="0" xfId="0" applyFont="1" applyAlignment="1">
      <alignment horizontal="left"/>
    </xf>
    <xf numFmtId="0" fontId="1" fillId="2" borderId="0" xfId="193" applyFont="1" applyFill="1"/>
    <xf numFmtId="168" fontId="2" fillId="2" borderId="0" xfId="196" applyNumberFormat="1" applyFont="1" applyFill="1" applyBorder="1"/>
    <xf numFmtId="166" fontId="2" fillId="2" borderId="0" xfId="7" applyNumberFormat="1" applyFont="1" applyFill="1" applyBorder="1"/>
    <xf numFmtId="3" fontId="10" fillId="2" borderId="57" xfId="1" applyNumberFormat="1" applyFont="1" applyFill="1" applyBorder="1" applyAlignment="1" applyProtection="1">
      <alignment horizontal="right" vertical="center" wrapText="1" readingOrder="1"/>
      <protection locked="0"/>
    </xf>
    <xf numFmtId="3" fontId="10" fillId="2" borderId="58" xfId="1" applyNumberFormat="1" applyFont="1" applyFill="1" applyBorder="1" applyAlignment="1" applyProtection="1">
      <alignment horizontal="right" vertical="center" wrapText="1" readingOrder="1"/>
      <protection locked="0"/>
    </xf>
    <xf numFmtId="0" fontId="10" fillId="2" borderId="2" xfId="70" applyFont="1" applyFill="1" applyBorder="1" applyAlignment="1" applyProtection="1">
      <alignment vertical="top" wrapText="1" readingOrder="1"/>
      <protection locked="0"/>
    </xf>
    <xf numFmtId="165" fontId="10" fillId="2" borderId="2" xfId="70" applyNumberFormat="1" applyFont="1" applyFill="1" applyBorder="1" applyAlignment="1" applyProtection="1">
      <alignment vertical="top" wrapText="1" readingOrder="1"/>
      <protection locked="0"/>
    </xf>
    <xf numFmtId="0" fontId="2" fillId="2" borderId="2" xfId="196" applyFont="1" applyFill="1" applyBorder="1"/>
    <xf numFmtId="3" fontId="10" fillId="2" borderId="6" xfId="195" applyNumberFormat="1" applyFont="1" applyFill="1" applyBorder="1" applyAlignment="1" applyProtection="1">
      <alignment horizontal="right" vertical="center" wrapText="1" readingOrder="1"/>
      <protection locked="0"/>
    </xf>
    <xf numFmtId="3" fontId="10" fillId="2" borderId="7" xfId="195" applyNumberFormat="1" applyFont="1" applyFill="1" applyBorder="1" applyAlignment="1" applyProtection="1">
      <alignment horizontal="right" vertical="center" wrapText="1" readingOrder="1"/>
      <protection locked="0"/>
    </xf>
    <xf numFmtId="3" fontId="10" fillId="2" borderId="10" xfId="195" applyNumberFormat="1" applyFont="1" applyFill="1" applyBorder="1" applyAlignment="1" applyProtection="1">
      <alignment horizontal="right" vertical="center" wrapText="1" readingOrder="1"/>
      <protection locked="0"/>
    </xf>
    <xf numFmtId="3" fontId="10" fillId="2" borderId="11" xfId="195" applyNumberFormat="1" applyFont="1" applyFill="1" applyBorder="1" applyAlignment="1" applyProtection="1">
      <alignment horizontal="right" vertical="center" wrapText="1" readingOrder="1"/>
      <protection locked="0"/>
    </xf>
    <xf numFmtId="3" fontId="10" fillId="2" borderId="14" xfId="195" applyNumberFormat="1" applyFont="1" applyFill="1" applyBorder="1" applyAlignment="1" applyProtection="1">
      <alignment horizontal="right" vertical="center" wrapText="1" readingOrder="1"/>
      <protection locked="0"/>
    </xf>
    <xf numFmtId="3" fontId="10" fillId="2" borderId="15" xfId="195" applyNumberFormat="1" applyFont="1" applyFill="1" applyBorder="1" applyAlignment="1" applyProtection="1">
      <alignment horizontal="right" vertical="center" wrapText="1" readingOrder="1"/>
      <protection locked="0"/>
    </xf>
    <xf numFmtId="3" fontId="10" fillId="2" borderId="6" xfId="195" applyNumberFormat="1" applyFont="1" applyFill="1" applyBorder="1" applyAlignment="1" applyProtection="1">
      <alignment horizontal="right" vertical="top" wrapText="1" readingOrder="1"/>
      <protection locked="0"/>
    </xf>
    <xf numFmtId="3" fontId="10" fillId="2" borderId="7" xfId="195" applyNumberFormat="1" applyFont="1" applyFill="1" applyBorder="1" applyAlignment="1" applyProtection="1">
      <alignment horizontal="right" vertical="top" wrapText="1" readingOrder="1"/>
      <protection locked="0"/>
    </xf>
    <xf numFmtId="3" fontId="10" fillId="2" borderId="10" xfId="195" applyNumberFormat="1" applyFont="1" applyFill="1" applyBorder="1" applyAlignment="1" applyProtection="1">
      <alignment horizontal="right" vertical="top" wrapText="1" readingOrder="1"/>
      <protection locked="0"/>
    </xf>
    <xf numFmtId="3" fontId="10" fillId="2" borderId="11" xfId="195" applyNumberFormat="1" applyFont="1" applyFill="1" applyBorder="1" applyAlignment="1" applyProtection="1">
      <alignment horizontal="right" vertical="top" wrapText="1" readingOrder="1"/>
      <protection locked="0"/>
    </xf>
    <xf numFmtId="3" fontId="10" fillId="2" borderId="13" xfId="195" applyNumberFormat="1" applyFont="1" applyFill="1" applyBorder="1" applyAlignment="1" applyProtection="1">
      <alignment horizontal="right" vertical="top" readingOrder="1"/>
      <protection locked="0"/>
    </xf>
    <xf numFmtId="3" fontId="10" fillId="2" borderId="14" xfId="195" applyNumberFormat="1" applyFont="1" applyFill="1" applyBorder="1" applyAlignment="1" applyProtection="1">
      <alignment horizontal="right" vertical="top" wrapText="1" readingOrder="1"/>
      <protection locked="0"/>
    </xf>
    <xf numFmtId="3" fontId="10" fillId="2" borderId="15" xfId="195" applyNumberFormat="1" applyFont="1" applyFill="1" applyBorder="1" applyAlignment="1" applyProtection="1">
      <alignment horizontal="right" vertical="top" wrapText="1" readingOrder="1"/>
      <protection locked="0"/>
    </xf>
    <xf numFmtId="20" fontId="15" fillId="2" borderId="47" xfId="194" applyNumberFormat="1" applyFont="1" applyFill="1" applyBorder="1" applyAlignment="1">
      <alignment horizontal="center" vertical="center" wrapText="1"/>
    </xf>
    <xf numFmtId="20" fontId="15" fillId="2" borderId="18" xfId="194" applyNumberFormat="1" applyFont="1" applyFill="1" applyBorder="1" applyAlignment="1">
      <alignment horizontal="center" vertical="center" wrapText="1"/>
    </xf>
    <xf numFmtId="0" fontId="10" fillId="2" borderId="27" xfId="70" applyFont="1" applyFill="1" applyBorder="1" applyAlignment="1" applyProtection="1">
      <alignment horizontal="left" vertical="center" wrapText="1" readingOrder="1"/>
      <protection locked="0"/>
    </xf>
    <xf numFmtId="166" fontId="10" fillId="2" borderId="28" xfId="195" applyNumberFormat="1" applyFont="1" applyFill="1" applyBorder="1" applyAlignment="1" applyProtection="1">
      <alignment horizontal="right" vertical="center" wrapText="1" readingOrder="1"/>
      <protection locked="0"/>
    </xf>
    <xf numFmtId="166" fontId="10" fillId="2" borderId="29" xfId="195" applyNumberFormat="1" applyFont="1" applyFill="1" applyBorder="1" applyAlignment="1" applyProtection="1">
      <alignment horizontal="right" vertical="center" wrapText="1" readingOrder="1"/>
      <protection locked="0"/>
    </xf>
    <xf numFmtId="3" fontId="10" fillId="2" borderId="6" xfId="70" applyNumberFormat="1" applyFont="1" applyFill="1" applyBorder="1" applyAlignment="1" applyProtection="1">
      <alignment horizontal="center" vertical="center" wrapText="1" readingOrder="1"/>
      <protection locked="0"/>
    </xf>
    <xf numFmtId="3" fontId="10" fillId="2" borderId="7" xfId="70" applyNumberFormat="1" applyFont="1" applyFill="1" applyBorder="1" applyAlignment="1" applyProtection="1">
      <alignment horizontal="center" vertical="center" wrapText="1" readingOrder="1"/>
      <protection locked="0"/>
    </xf>
    <xf numFmtId="3" fontId="10" fillId="2" borderId="28" xfId="70" applyNumberFormat="1" applyFont="1" applyFill="1" applyBorder="1" applyAlignment="1" applyProtection="1">
      <alignment horizontal="center" vertical="center" wrapText="1" readingOrder="1"/>
      <protection locked="0"/>
    </xf>
    <xf numFmtId="3" fontId="10" fillId="2" borderId="29" xfId="70" applyNumberFormat="1" applyFont="1" applyFill="1" applyBorder="1" applyAlignment="1" applyProtection="1">
      <alignment horizontal="center" vertical="center" wrapText="1" readingOrder="1"/>
      <protection locked="0"/>
    </xf>
    <xf numFmtId="3" fontId="0" fillId="0" borderId="10" xfId="0" applyNumberFormat="1" applyBorder="1"/>
    <xf numFmtId="3" fontId="0" fillId="0" borderId="6" xfId="0" applyNumberFormat="1" applyBorder="1"/>
    <xf numFmtId="166" fontId="0" fillId="0" borderId="7" xfId="0" applyNumberFormat="1" applyBorder="1"/>
    <xf numFmtId="166" fontId="0" fillId="0" borderId="11" xfId="0" applyNumberFormat="1" applyBorder="1"/>
    <xf numFmtId="3" fontId="0" fillId="0" borderId="14" xfId="0" applyNumberFormat="1" applyBorder="1"/>
    <xf numFmtId="166" fontId="0" fillId="0" borderId="15" xfId="0" applyNumberFormat="1" applyBorder="1"/>
    <xf numFmtId="0" fontId="24" fillId="2" borderId="16" xfId="193" applyFont="1" applyFill="1" applyBorder="1" applyAlignment="1">
      <alignment horizontal="center" vertical="center" wrapText="1"/>
    </xf>
    <xf numFmtId="0" fontId="24" fillId="2" borderId="23" xfId="193" applyFont="1" applyFill="1" applyBorder="1" applyAlignment="1">
      <alignment horizontal="center" vertical="center" wrapText="1"/>
    </xf>
    <xf numFmtId="0" fontId="24" fillId="2" borderId="17" xfId="193" applyFont="1" applyFill="1" applyBorder="1" applyAlignment="1">
      <alignment horizontal="center" vertical="center" wrapText="1"/>
    </xf>
    <xf numFmtId="0" fontId="24" fillId="2" borderId="18" xfId="193" applyFont="1" applyFill="1" applyBorder="1" applyAlignment="1">
      <alignment horizontal="center" vertical="center" wrapText="1"/>
    </xf>
    <xf numFmtId="0" fontId="24" fillId="2" borderId="19" xfId="193" applyFont="1" applyFill="1" applyBorder="1" applyAlignment="1">
      <alignment horizontal="center" vertical="center" wrapText="1"/>
    </xf>
    <xf numFmtId="3" fontId="0" fillId="0" borderId="41" xfId="0" applyNumberFormat="1" applyBorder="1"/>
    <xf numFmtId="3" fontId="0" fillId="0" borderId="9" xfId="0" applyNumberFormat="1" applyBorder="1"/>
    <xf numFmtId="3" fontId="0" fillId="0" borderId="13" xfId="0" applyNumberFormat="1" applyBorder="1"/>
    <xf numFmtId="3" fontId="0" fillId="0" borderId="22" xfId="0" applyNumberFormat="1" applyBorder="1"/>
    <xf numFmtId="166" fontId="10" fillId="2" borderId="63" xfId="195" applyNumberFormat="1" applyFont="1" applyFill="1" applyBorder="1" applyAlignment="1" applyProtection="1">
      <alignment horizontal="right" vertical="center" wrapText="1" readingOrder="1"/>
      <protection locked="0"/>
    </xf>
    <xf numFmtId="166" fontId="10" fillId="2" borderId="64" xfId="195" applyNumberFormat="1" applyFont="1" applyFill="1" applyBorder="1" applyAlignment="1" applyProtection="1">
      <alignment horizontal="right" vertical="center" wrapText="1" readingOrder="1"/>
      <protection locked="0"/>
    </xf>
    <xf numFmtId="3" fontId="9" fillId="2" borderId="59" xfId="194" applyNumberFormat="1" applyFont="1" applyFill="1" applyBorder="1" applyAlignment="1">
      <alignment horizontal="right" vertical="center"/>
    </xf>
    <xf numFmtId="3" fontId="9" fillId="2" borderId="62" xfId="194" applyNumberFormat="1" applyFont="1" applyFill="1" applyBorder="1" applyAlignment="1">
      <alignment horizontal="right" vertical="center"/>
    </xf>
    <xf numFmtId="3" fontId="9" fillId="2" borderId="6" xfId="194" applyNumberFormat="1" applyFont="1" applyFill="1" applyBorder="1" applyAlignment="1">
      <alignment horizontal="right" vertical="center"/>
    </xf>
    <xf numFmtId="3" fontId="9" fillId="2" borderId="7" xfId="194" applyNumberFormat="1" applyFont="1" applyFill="1" applyBorder="1" applyAlignment="1">
      <alignment horizontal="right" vertical="center"/>
    </xf>
    <xf numFmtId="3" fontId="9" fillId="2" borderId="65" xfId="194" applyNumberFormat="1" applyFont="1" applyFill="1" applyBorder="1" applyAlignment="1">
      <alignment horizontal="right" vertical="center"/>
    </xf>
    <xf numFmtId="3" fontId="9" fillId="2" borderId="66" xfId="194" applyNumberFormat="1" applyFont="1" applyFill="1" applyBorder="1" applyAlignment="1">
      <alignment horizontal="right" vertical="center"/>
    </xf>
    <xf numFmtId="3" fontId="9" fillId="2" borderId="28" xfId="194" applyNumberFormat="1" applyFont="1" applyFill="1" applyBorder="1" applyAlignment="1">
      <alignment horizontal="right" vertical="center"/>
    </xf>
    <xf numFmtId="3" fontId="9" fillId="2" borderId="29" xfId="194" applyNumberFormat="1" applyFont="1" applyFill="1" applyBorder="1" applyAlignment="1">
      <alignment horizontal="right" vertical="center"/>
    </xf>
    <xf numFmtId="20" fontId="15" fillId="2" borderId="16" xfId="194" applyNumberFormat="1" applyFont="1" applyFill="1" applyBorder="1" applyAlignment="1">
      <alignment horizontal="center" vertical="center"/>
    </xf>
    <xf numFmtId="0" fontId="9" fillId="2" borderId="5" xfId="193" applyFont="1" applyFill="1" applyBorder="1" applyAlignment="1">
      <alignment vertical="center"/>
    </xf>
    <xf numFmtId="0" fontId="9" fillId="2" borderId="27" xfId="193" applyFont="1" applyFill="1" applyBorder="1" applyAlignment="1">
      <alignment vertical="center"/>
    </xf>
    <xf numFmtId="0" fontId="10" fillId="2" borderId="25" xfId="194" applyNumberFormat="1" applyFont="1" applyFill="1" applyBorder="1" applyAlignment="1" applyProtection="1">
      <alignment vertical="center" wrapText="1" readingOrder="1"/>
      <protection locked="0"/>
    </xf>
    <xf numFmtId="3" fontId="10" fillId="2" borderId="21" xfId="70" applyNumberFormat="1" applyFont="1" applyFill="1" applyBorder="1" applyAlignment="1" applyProtection="1">
      <alignment vertical="top" wrapText="1" readingOrder="1"/>
      <protection locked="0"/>
    </xf>
    <xf numFmtId="3" fontId="10" fillId="2" borderId="10" xfId="70" applyNumberFormat="1" applyFont="1" applyFill="1" applyBorder="1" applyAlignment="1" applyProtection="1">
      <alignment vertical="top" wrapText="1" readingOrder="1"/>
      <protection locked="0"/>
    </xf>
    <xf numFmtId="3" fontId="10" fillId="2" borderId="22" xfId="70" applyNumberFormat="1" applyFont="1" applyFill="1" applyBorder="1" applyAlignment="1" applyProtection="1">
      <alignment vertical="top" wrapText="1" readingOrder="1"/>
      <protection locked="0"/>
    </xf>
    <xf numFmtId="3" fontId="10" fillId="2" borderId="14" xfId="70" applyNumberFormat="1" applyFont="1" applyFill="1" applyBorder="1" applyAlignment="1" applyProtection="1">
      <alignment vertical="top" wrapText="1" readingOrder="1"/>
      <protection locked="0"/>
    </xf>
    <xf numFmtId="0" fontId="9" fillId="2" borderId="5" xfId="194" applyNumberFormat="1" applyFont="1" applyFill="1" applyBorder="1" applyAlignment="1" applyProtection="1">
      <alignment horizontal="left" vertical="top" wrapText="1" readingOrder="1"/>
      <protection locked="0"/>
    </xf>
    <xf numFmtId="0" fontId="9" fillId="2" borderId="24" xfId="194" applyNumberFormat="1" applyFont="1" applyFill="1" applyBorder="1" applyAlignment="1" applyProtection="1">
      <alignment horizontal="left" vertical="top" wrapText="1" readingOrder="1"/>
      <protection locked="0"/>
    </xf>
    <xf numFmtId="0" fontId="9" fillId="2" borderId="12" xfId="194" applyNumberFormat="1" applyFont="1" applyFill="1" applyBorder="1" applyAlignment="1" applyProtection="1">
      <alignment horizontal="left" vertical="top" wrapText="1" readingOrder="1"/>
      <protection locked="0"/>
    </xf>
    <xf numFmtId="0" fontId="52" fillId="0" borderId="0" xfId="0" applyFont="1"/>
    <xf numFmtId="0" fontId="18" fillId="0" borderId="0" xfId="3" applyAlignment="1"/>
    <xf numFmtId="0" fontId="18" fillId="0" borderId="0" xfId="3" applyAlignment="1" applyProtection="1">
      <alignment vertical="top" readingOrder="1"/>
      <protection locked="0"/>
    </xf>
    <xf numFmtId="0" fontId="10" fillId="0" borderId="0" xfId="0" applyFont="1" applyAlignment="1" applyProtection="1">
      <alignment vertical="top" wrapText="1" readingOrder="1"/>
      <protection locked="0"/>
    </xf>
    <xf numFmtId="3" fontId="10" fillId="2" borderId="60" xfId="194" applyNumberFormat="1" applyFont="1" applyFill="1" applyBorder="1" applyAlignment="1" applyProtection="1">
      <alignment horizontal="right" vertical="center" wrapText="1" readingOrder="1"/>
      <protection locked="0"/>
    </xf>
    <xf numFmtId="3" fontId="10" fillId="2" borderId="61" xfId="194" applyNumberFormat="1" applyFont="1" applyFill="1" applyBorder="1" applyAlignment="1" applyProtection="1">
      <alignment horizontal="right" vertical="center" wrapText="1" readingOrder="1"/>
      <protection locked="0"/>
    </xf>
    <xf numFmtId="3" fontId="10" fillId="2" borderId="67" xfId="194" applyNumberFormat="1" applyFont="1" applyFill="1" applyBorder="1" applyAlignment="1" applyProtection="1">
      <alignment horizontal="right" vertical="center" wrapText="1" readingOrder="1"/>
      <protection locked="0"/>
    </xf>
    <xf numFmtId="3" fontId="10" fillId="2" borderId="68" xfId="194" applyNumberFormat="1" applyFont="1" applyFill="1" applyBorder="1" applyAlignment="1" applyProtection="1">
      <alignment horizontal="right" vertical="center" wrapText="1" readingOrder="1"/>
      <protection locked="0"/>
    </xf>
    <xf numFmtId="3" fontId="10" fillId="2" borderId="22" xfId="194" applyNumberFormat="1" applyFont="1" applyFill="1" applyBorder="1" applyAlignment="1" applyProtection="1">
      <alignment horizontal="right" vertical="center" wrapText="1" readingOrder="1"/>
      <protection locked="0"/>
    </xf>
    <xf numFmtId="0" fontId="9" fillId="2" borderId="0" xfId="70" applyFont="1" applyFill="1" applyBorder="1" applyAlignment="1" applyProtection="1">
      <alignment vertical="top" wrapText="1" readingOrder="1"/>
      <protection locked="0"/>
    </xf>
    <xf numFmtId="0" fontId="18" fillId="2" borderId="0" xfId="83" applyFont="1" applyFill="1" applyBorder="1" applyAlignment="1" applyProtection="1">
      <alignment vertical="top" wrapText="1" readingOrder="1"/>
      <protection locked="0"/>
    </xf>
    <xf numFmtId="0" fontId="18" fillId="2" borderId="0" xfId="3" applyFont="1" applyFill="1" applyBorder="1" applyAlignment="1" applyProtection="1">
      <alignment vertical="top" wrapText="1" readingOrder="1"/>
      <protection locked="0"/>
    </xf>
    <xf numFmtId="0" fontId="15" fillId="2" borderId="0" xfId="70" applyFont="1" applyFill="1" applyBorder="1" applyAlignment="1" applyProtection="1">
      <alignment vertical="top" wrapText="1" readingOrder="1"/>
      <protection locked="0"/>
    </xf>
    <xf numFmtId="0" fontId="10" fillId="2" borderId="0" xfId="0" applyFont="1" applyFill="1" applyAlignment="1" applyProtection="1">
      <alignment vertical="top" wrapText="1" readingOrder="1"/>
      <protection locked="0"/>
    </xf>
    <xf numFmtId="0" fontId="2" fillId="2" borderId="2" xfId="193" applyFont="1" applyFill="1" applyBorder="1"/>
    <xf numFmtId="0" fontId="2" fillId="2" borderId="69" xfId="193" applyFont="1" applyFill="1" applyBorder="1"/>
    <xf numFmtId="1" fontId="2" fillId="2" borderId="69" xfId="193" applyNumberFormat="1" applyFont="1" applyFill="1" applyBorder="1"/>
    <xf numFmtId="0" fontId="11" fillId="2" borderId="70" xfId="70" applyFont="1" applyFill="1" applyBorder="1" applyAlignment="1" applyProtection="1">
      <alignment horizontal="left" vertical="center" wrapText="1" readingOrder="1"/>
      <protection locked="0"/>
    </xf>
    <xf numFmtId="0" fontId="9" fillId="2" borderId="70" xfId="0" applyFont="1" applyFill="1" applyBorder="1" applyAlignment="1">
      <alignment vertical="center"/>
    </xf>
    <xf numFmtId="0" fontId="9" fillId="2" borderId="70" xfId="0" applyFont="1" applyFill="1" applyBorder="1"/>
    <xf numFmtId="0" fontId="9" fillId="2" borderId="70" xfId="193" applyFont="1" applyFill="1" applyBorder="1" applyAlignment="1">
      <alignment horizontal="center"/>
    </xf>
    <xf numFmtId="0" fontId="15" fillId="2" borderId="70" xfId="193" applyFont="1" applyFill="1" applyBorder="1" applyAlignment="1">
      <alignment horizontal="center"/>
    </xf>
    <xf numFmtId="0" fontId="9" fillId="2" borderId="70" xfId="193" applyFont="1" applyFill="1" applyBorder="1"/>
    <xf numFmtId="0" fontId="15" fillId="2" borderId="30" xfId="193" applyFont="1" applyFill="1" applyBorder="1" applyAlignment="1">
      <alignment vertical="center"/>
    </xf>
    <xf numFmtId="0" fontId="15" fillId="2" borderId="70" xfId="193" applyFont="1" applyFill="1" applyBorder="1" applyAlignment="1">
      <alignment horizontal="center" wrapText="1"/>
    </xf>
    <xf numFmtId="0" fontId="48" fillId="2" borderId="70" xfId="193" applyFont="1" applyFill="1" applyBorder="1" applyAlignment="1">
      <alignment horizontal="center"/>
    </xf>
    <xf numFmtId="0" fontId="9" fillId="0" borderId="0" xfId="0" applyFont="1"/>
    <xf numFmtId="0" fontId="18" fillId="2" borderId="0" xfId="3" applyFill="1" applyBorder="1" applyAlignment="1" applyProtection="1">
      <alignment horizontal="left" vertical="top" wrapText="1" readingOrder="1"/>
      <protection locked="0"/>
    </xf>
    <xf numFmtId="0" fontId="18" fillId="2" borderId="0" xfId="3" applyFont="1" applyFill="1" applyBorder="1" applyAlignment="1" applyProtection="1">
      <alignment horizontal="left" vertical="top" wrapText="1" readingOrder="1"/>
      <protection locked="0"/>
    </xf>
    <xf numFmtId="170" fontId="10" fillId="2" borderId="6" xfId="194" applyNumberFormat="1" applyFont="1" applyFill="1" applyBorder="1" applyAlignment="1" applyProtection="1">
      <alignment horizontal="right" vertical="center" wrapText="1" readingOrder="1"/>
      <protection locked="0"/>
    </xf>
    <xf numFmtId="170" fontId="10" fillId="2" borderId="7" xfId="194" applyNumberFormat="1" applyFont="1" applyFill="1" applyBorder="1" applyAlignment="1" applyProtection="1">
      <alignment horizontal="right" vertical="center" wrapText="1" readingOrder="1"/>
      <protection locked="0"/>
    </xf>
    <xf numFmtId="170" fontId="10" fillId="2" borderId="10" xfId="194" applyNumberFormat="1" applyFont="1" applyFill="1" applyBorder="1" applyAlignment="1" applyProtection="1">
      <alignment horizontal="right" vertical="center" wrapText="1" readingOrder="1"/>
      <protection locked="0"/>
    </xf>
    <xf numFmtId="170" fontId="10" fillId="2" borderId="11" xfId="194" applyNumberFormat="1" applyFont="1" applyFill="1" applyBorder="1" applyAlignment="1" applyProtection="1">
      <alignment horizontal="right" vertical="center" wrapText="1" readingOrder="1"/>
      <protection locked="0"/>
    </xf>
    <xf numFmtId="170" fontId="10" fillId="2" borderId="14" xfId="194" applyNumberFormat="1" applyFont="1" applyFill="1" applyBorder="1" applyAlignment="1" applyProtection="1">
      <alignment horizontal="right" vertical="center" wrapText="1" readingOrder="1"/>
      <protection locked="0"/>
    </xf>
    <xf numFmtId="170" fontId="10" fillId="2" borderId="15" xfId="194" applyNumberFormat="1" applyFont="1" applyFill="1" applyBorder="1" applyAlignment="1" applyProtection="1">
      <alignment horizontal="right" vertical="center" wrapText="1" readingOrder="1"/>
      <protection locked="0"/>
    </xf>
    <xf numFmtId="167" fontId="9" fillId="2" borderId="15" xfId="185" applyNumberFormat="1" applyFont="1" applyFill="1" applyBorder="1" applyAlignment="1" applyProtection="1">
      <alignment horizontal="right" vertical="center" wrapText="1" readingOrder="1"/>
      <protection locked="0"/>
    </xf>
    <xf numFmtId="167" fontId="9" fillId="2" borderId="7" xfId="185" applyNumberFormat="1" applyFont="1" applyFill="1" applyBorder="1" applyAlignment="1" applyProtection="1">
      <alignment horizontal="right" vertical="center" wrapText="1" readingOrder="1"/>
      <protection locked="0"/>
    </xf>
    <xf numFmtId="3" fontId="2" fillId="2" borderId="0" xfId="193" applyNumberFormat="1" applyFont="1" applyFill="1"/>
    <xf numFmtId="0" fontId="10" fillId="2" borderId="0" xfId="70" applyFont="1" applyFill="1" applyBorder="1" applyAlignment="1" applyProtection="1">
      <alignment horizontal="left" vertical="center" wrapText="1" readingOrder="1"/>
      <protection locked="0"/>
    </xf>
    <xf numFmtId="167" fontId="10" fillId="2" borderId="0" xfId="185" applyNumberFormat="1" applyFont="1" applyFill="1" applyBorder="1" applyAlignment="1" applyProtection="1">
      <alignment horizontal="right" vertical="center" wrapText="1" readingOrder="1"/>
      <protection locked="0"/>
    </xf>
    <xf numFmtId="167" fontId="9" fillId="2" borderId="0" xfId="185" applyNumberFormat="1" applyFont="1" applyFill="1" applyBorder="1" applyAlignment="1" applyProtection="1">
      <alignment horizontal="right" vertical="center" wrapText="1" readingOrder="1"/>
      <protection locked="0"/>
    </xf>
    <xf numFmtId="167" fontId="10" fillId="2" borderId="63" xfId="185" applyNumberFormat="1" applyFont="1" applyFill="1" applyBorder="1" applyAlignment="1" applyProtection="1">
      <alignment horizontal="right" vertical="center" wrapText="1" readingOrder="1"/>
      <protection locked="0"/>
    </xf>
    <xf numFmtId="0" fontId="2" fillId="2" borderId="0" xfId="7" applyNumberFormat="1" applyFont="1" applyFill="1" applyBorder="1"/>
    <xf numFmtId="166" fontId="10" fillId="2" borderId="7" xfId="195" applyNumberFormat="1" applyFont="1" applyFill="1" applyBorder="1" applyAlignment="1" applyProtection="1">
      <alignment horizontal="right" vertical="center" readingOrder="1"/>
      <protection locked="0"/>
    </xf>
    <xf numFmtId="166" fontId="10" fillId="2" borderId="11" xfId="195" applyNumberFormat="1" applyFont="1" applyFill="1" applyBorder="1" applyAlignment="1" applyProtection="1">
      <alignment horizontal="right" vertical="center" readingOrder="1"/>
      <protection locked="0"/>
    </xf>
    <xf numFmtId="166" fontId="10" fillId="2" borderId="15" xfId="195" applyNumberFormat="1" applyFont="1" applyFill="1" applyBorder="1" applyAlignment="1" applyProtection="1">
      <alignment horizontal="right" vertical="center" readingOrder="1"/>
      <protection locked="0"/>
    </xf>
    <xf numFmtId="0" fontId="10" fillId="2" borderId="24" xfId="70" applyFont="1" applyFill="1" applyBorder="1" applyAlignment="1" applyProtection="1">
      <alignment horizontal="left" vertical="center" wrapText="1" readingOrder="1"/>
      <protection locked="0"/>
    </xf>
    <xf numFmtId="167" fontId="10" fillId="2" borderId="18" xfId="185" applyNumberFormat="1" applyFont="1" applyFill="1" applyBorder="1" applyAlignment="1" applyProtection="1">
      <alignment horizontal="right" vertical="center" wrapText="1" readingOrder="1"/>
      <protection locked="0"/>
    </xf>
    <xf numFmtId="167" fontId="9" fillId="2" borderId="19" xfId="185" applyNumberFormat="1" applyFont="1" applyFill="1" applyBorder="1" applyAlignment="1" applyProtection="1">
      <alignment horizontal="right" vertical="center" wrapText="1" readingOrder="1"/>
      <protection locked="0"/>
    </xf>
    <xf numFmtId="0" fontId="11" fillId="2" borderId="72" xfId="70" applyFont="1" applyFill="1" applyBorder="1" applyAlignment="1" applyProtection="1">
      <alignment horizontal="left" vertical="center" wrapText="1" readingOrder="1"/>
      <protection locked="0"/>
    </xf>
    <xf numFmtId="0" fontId="11" fillId="2" borderId="61" xfId="70" applyFont="1" applyFill="1" applyBorder="1" applyAlignment="1" applyProtection="1">
      <alignment horizontal="center" vertical="center" wrapText="1" readingOrder="1"/>
      <protection locked="0"/>
    </xf>
    <xf numFmtId="0" fontId="11" fillId="2" borderId="71" xfId="70" applyFont="1" applyFill="1" applyBorder="1" applyAlignment="1" applyProtection="1">
      <alignment horizontal="center" vertical="center" wrapText="1" readingOrder="1"/>
      <protection locked="0"/>
    </xf>
    <xf numFmtId="1" fontId="11" fillId="2" borderId="17" xfId="185" applyNumberFormat="1" applyFont="1" applyFill="1" applyBorder="1" applyAlignment="1" applyProtection="1">
      <alignment horizontal="center" vertical="center" wrapText="1" readingOrder="1"/>
      <protection locked="0"/>
    </xf>
    <xf numFmtId="0" fontId="20" fillId="2" borderId="0" xfId="70" applyFont="1" applyFill="1" applyAlignment="1" applyProtection="1">
      <alignment horizontal="left" vertical="top" wrapText="1" readingOrder="1"/>
      <protection locked="0"/>
    </xf>
    <xf numFmtId="0" fontId="9" fillId="2" borderId="0" xfId="70" applyFont="1" applyFill="1" applyAlignment="1" applyProtection="1">
      <alignment horizontal="left" vertical="top" wrapText="1" readingOrder="1"/>
      <protection locked="0"/>
    </xf>
    <xf numFmtId="0" fontId="10" fillId="2" borderId="0" xfId="70" applyFont="1" applyFill="1" applyAlignment="1" applyProtection="1">
      <alignment horizontal="left" vertical="top" wrapText="1" readingOrder="1"/>
      <protection locked="0"/>
    </xf>
    <xf numFmtId="20" fontId="15" fillId="2" borderId="73" xfId="194" applyNumberFormat="1" applyFont="1" applyFill="1" applyBorder="1" applyAlignment="1">
      <alignment horizontal="center" vertical="center"/>
    </xf>
    <xf numFmtId="166" fontId="10" fillId="2" borderId="10" xfId="195" applyNumberFormat="1" applyFont="1" applyFill="1" applyBorder="1" applyAlignment="1" applyProtection="1">
      <alignment horizontal="right" vertical="top" readingOrder="1"/>
      <protection locked="0"/>
    </xf>
    <xf numFmtId="166" fontId="10" fillId="2" borderId="6" xfId="195" applyNumberFormat="1" applyFont="1" applyFill="1" applyBorder="1" applyAlignment="1" applyProtection="1">
      <alignment horizontal="right" vertical="top" readingOrder="1"/>
      <protection locked="0"/>
    </xf>
    <xf numFmtId="0" fontId="10" fillId="2" borderId="74" xfId="70" applyFont="1" applyFill="1" applyBorder="1" applyAlignment="1" applyProtection="1">
      <alignment horizontal="left" vertical="center" wrapText="1" readingOrder="1"/>
      <protection locked="0"/>
    </xf>
    <xf numFmtId="0" fontId="10" fillId="2" borderId="75" xfId="70" applyFont="1" applyFill="1" applyBorder="1" applyAlignment="1" applyProtection="1">
      <alignment horizontal="left" vertical="center" wrapText="1" readingOrder="1"/>
      <protection locked="0"/>
    </xf>
    <xf numFmtId="0" fontId="10" fillId="2" borderId="76" xfId="70" applyFont="1" applyFill="1" applyBorder="1" applyAlignment="1" applyProtection="1">
      <alignment horizontal="left" vertical="center" wrapText="1" readingOrder="1"/>
      <protection locked="0"/>
    </xf>
    <xf numFmtId="20" fontId="15" fillId="2" borderId="60" xfId="194" applyNumberFormat="1" applyFont="1" applyFill="1" applyBorder="1" applyAlignment="1">
      <alignment horizontal="center" vertical="center"/>
    </xf>
    <xf numFmtId="20" fontId="15" fillId="2" borderId="61" xfId="194" applyNumberFormat="1" applyFont="1" applyFill="1" applyBorder="1" applyAlignment="1">
      <alignment horizontal="center" vertical="center"/>
    </xf>
    <xf numFmtId="20" fontId="15" fillId="2" borderId="71" xfId="194" applyNumberFormat="1" applyFont="1" applyFill="1" applyBorder="1" applyAlignment="1">
      <alignment horizontal="center" vertical="center"/>
    </xf>
    <xf numFmtId="3" fontId="10" fillId="2" borderId="20" xfId="195" applyNumberFormat="1" applyFont="1" applyFill="1" applyBorder="1" applyAlignment="1" applyProtection="1">
      <alignment horizontal="right" vertical="top" readingOrder="1"/>
      <protection locked="0"/>
    </xf>
    <xf numFmtId="166" fontId="10" fillId="2" borderId="7" xfId="195" applyNumberFormat="1" applyFont="1" applyFill="1" applyBorder="1" applyAlignment="1" applyProtection="1">
      <alignment horizontal="right" vertical="top" readingOrder="1"/>
      <protection locked="0"/>
    </xf>
    <xf numFmtId="166" fontId="10" fillId="2" borderId="21" xfId="195" applyNumberFormat="1" applyFont="1" applyFill="1" applyBorder="1" applyAlignment="1" applyProtection="1">
      <alignment horizontal="right" vertical="top" readingOrder="1"/>
      <protection locked="0"/>
    </xf>
    <xf numFmtId="166" fontId="10" fillId="2" borderId="11" xfId="195" applyNumberFormat="1" applyFont="1" applyFill="1" applyBorder="1" applyAlignment="1" applyProtection="1">
      <alignment horizontal="right" vertical="top" readingOrder="1"/>
      <protection locked="0"/>
    </xf>
    <xf numFmtId="166" fontId="10" fillId="2" borderId="22" xfId="195" applyNumberFormat="1" applyFont="1" applyFill="1" applyBorder="1" applyAlignment="1" applyProtection="1">
      <alignment horizontal="right" vertical="top" readingOrder="1"/>
      <protection locked="0"/>
    </xf>
    <xf numFmtId="166" fontId="10" fillId="2" borderId="14" xfId="195" applyNumberFormat="1" applyFont="1" applyFill="1" applyBorder="1" applyAlignment="1" applyProtection="1">
      <alignment horizontal="right" vertical="top" readingOrder="1"/>
      <protection locked="0"/>
    </xf>
    <xf numFmtId="166" fontId="10" fillId="2" borderId="15" xfId="195" applyNumberFormat="1" applyFont="1" applyFill="1" applyBorder="1" applyAlignment="1" applyProtection="1">
      <alignment horizontal="right" vertical="top" readingOrder="1"/>
      <protection locked="0"/>
    </xf>
    <xf numFmtId="166" fontId="10" fillId="2" borderId="20" xfId="7" applyNumberFormat="1" applyFont="1" applyFill="1" applyBorder="1" applyAlignment="1" applyProtection="1">
      <alignment horizontal="right" vertical="top" readingOrder="1"/>
      <protection locked="0"/>
    </xf>
    <xf numFmtId="170" fontId="10" fillId="2" borderId="5" xfId="194" applyNumberFormat="1" applyFont="1" applyFill="1" applyBorder="1" applyAlignment="1" applyProtection="1">
      <alignment horizontal="right" vertical="center" wrapText="1" readingOrder="1"/>
      <protection locked="0"/>
    </xf>
    <xf numFmtId="170" fontId="10" fillId="2" borderId="8" xfId="194" applyNumberFormat="1" applyFont="1" applyFill="1" applyBorder="1" applyAlignment="1" applyProtection="1">
      <alignment horizontal="right" vertical="center" wrapText="1" readingOrder="1"/>
      <protection locked="0"/>
    </xf>
    <xf numFmtId="170" fontId="10" fillId="2" borderId="12" xfId="194" applyNumberFormat="1" applyFont="1" applyFill="1" applyBorder="1" applyAlignment="1" applyProtection="1">
      <alignment horizontal="right" vertical="center" wrapText="1" readingOrder="1"/>
      <protection locked="0"/>
    </xf>
    <xf numFmtId="3" fontId="10" fillId="2" borderId="20" xfId="1" applyNumberFormat="1" applyFont="1" applyFill="1" applyBorder="1" applyAlignment="1" applyProtection="1">
      <alignment horizontal="right" vertical="center" readingOrder="1"/>
      <protection locked="0"/>
    </xf>
    <xf numFmtId="3" fontId="10" fillId="2" borderId="77" xfId="1" applyNumberFormat="1" applyFont="1" applyFill="1" applyBorder="1" applyAlignment="1" applyProtection="1">
      <alignment horizontal="right" vertical="center" readingOrder="1"/>
      <protection locked="0"/>
    </xf>
    <xf numFmtId="166" fontId="10" fillId="2" borderId="22" xfId="195" applyNumberFormat="1" applyFont="1" applyFill="1" applyBorder="1" applyAlignment="1" applyProtection="1">
      <alignment horizontal="right" vertical="center" wrapText="1" readingOrder="1"/>
      <protection locked="0"/>
    </xf>
    <xf numFmtId="20" fontId="15" fillId="2" borderId="1" xfId="194" applyNumberFormat="1" applyFont="1" applyFill="1" applyBorder="1" applyAlignment="1">
      <alignment horizontal="center" vertical="center" wrapText="1"/>
    </xf>
    <xf numFmtId="20" fontId="15" fillId="2" borderId="61" xfId="194" applyNumberFormat="1" applyFont="1" applyFill="1" applyBorder="1" applyAlignment="1">
      <alignment horizontal="center" vertical="center" wrapText="1"/>
    </xf>
    <xf numFmtId="0" fontId="10" fillId="2" borderId="74" xfId="70" applyFont="1" applyFill="1" applyBorder="1" applyAlignment="1" applyProtection="1">
      <alignment vertical="top" wrapText="1" readingOrder="1"/>
      <protection locked="0"/>
    </xf>
    <xf numFmtId="0" fontId="10" fillId="2" borderId="75" xfId="70" applyFont="1" applyFill="1" applyBorder="1" applyAlignment="1" applyProtection="1">
      <alignment vertical="top" wrapText="1" readingOrder="1"/>
      <protection locked="0"/>
    </xf>
    <xf numFmtId="0" fontId="10" fillId="2" borderId="76" xfId="70" applyFont="1" applyFill="1" applyBorder="1" applyAlignment="1" applyProtection="1">
      <alignment vertical="top" wrapText="1" readingOrder="1"/>
      <protection locked="0"/>
    </xf>
    <xf numFmtId="3" fontId="10" fillId="2" borderId="20" xfId="70" applyNumberFormat="1" applyFont="1" applyFill="1" applyBorder="1" applyAlignment="1" applyProtection="1">
      <alignment vertical="top" wrapText="1" readingOrder="1"/>
      <protection locked="0"/>
    </xf>
    <xf numFmtId="3" fontId="10" fillId="2" borderId="6" xfId="70" applyNumberFormat="1" applyFont="1" applyFill="1" applyBorder="1" applyAlignment="1" applyProtection="1">
      <alignment vertical="top" wrapText="1" readingOrder="1"/>
      <protection locked="0"/>
    </xf>
    <xf numFmtId="3" fontId="10" fillId="2" borderId="21" xfId="195" applyNumberFormat="1" applyFont="1" applyFill="1" applyBorder="1" applyAlignment="1" applyProtection="1">
      <alignment horizontal="right" vertical="top" readingOrder="1"/>
      <protection locked="0"/>
    </xf>
    <xf numFmtId="3" fontId="10" fillId="2" borderId="22" xfId="195" applyNumberFormat="1" applyFont="1" applyFill="1" applyBorder="1" applyAlignment="1" applyProtection="1">
      <alignment horizontal="right" vertical="top" readingOrder="1"/>
      <protection locked="0"/>
    </xf>
    <xf numFmtId="3" fontId="10" fillId="2" borderId="45" xfId="195" applyNumberFormat="1" applyFont="1" applyFill="1" applyBorder="1" applyAlignment="1" applyProtection="1">
      <alignment horizontal="right" vertical="top" readingOrder="1"/>
      <protection locked="0"/>
    </xf>
    <xf numFmtId="17" fontId="23" fillId="2" borderId="78" xfId="81" applyNumberFormat="1" applyFont="1" applyFill="1" applyBorder="1" applyAlignment="1">
      <alignment horizontal="left" vertical="center"/>
    </xf>
    <xf numFmtId="0" fontId="9" fillId="2" borderId="2" xfId="0" applyFont="1" applyFill="1" applyBorder="1"/>
    <xf numFmtId="166" fontId="10" fillId="2" borderId="7" xfId="70" applyNumberFormat="1" applyFont="1" applyFill="1" applyBorder="1" applyAlignment="1" applyProtection="1">
      <alignment vertical="top" wrapText="1" readingOrder="1"/>
      <protection locked="0"/>
    </xf>
    <xf numFmtId="166" fontId="10" fillId="2" borderId="11" xfId="70" applyNumberFormat="1" applyFont="1" applyFill="1" applyBorder="1" applyAlignment="1" applyProtection="1">
      <alignment vertical="top" wrapText="1" readingOrder="1"/>
      <protection locked="0"/>
    </xf>
    <xf numFmtId="166" fontId="10" fillId="2" borderId="15" xfId="70" applyNumberFormat="1" applyFont="1" applyFill="1" applyBorder="1" applyAlignment="1" applyProtection="1">
      <alignment vertical="top" wrapText="1" readingOrder="1"/>
      <protection locked="0"/>
    </xf>
    <xf numFmtId="0" fontId="18" fillId="0" borderId="0" xfId="3" applyAlignment="1">
      <alignment horizontal="left"/>
    </xf>
    <xf numFmtId="170" fontId="10" fillId="2" borderId="20" xfId="194" applyNumberFormat="1" applyFont="1" applyFill="1" applyBorder="1" applyAlignment="1" applyProtection="1">
      <alignment horizontal="right" vertical="center" readingOrder="1"/>
      <protection locked="0"/>
    </xf>
    <xf numFmtId="170" fontId="10" fillId="2" borderId="21" xfId="194" applyNumberFormat="1" applyFont="1" applyFill="1" applyBorder="1" applyAlignment="1" applyProtection="1">
      <alignment horizontal="right" vertical="center" readingOrder="1"/>
      <protection locked="0"/>
    </xf>
    <xf numFmtId="170" fontId="10" fillId="2" borderId="22" xfId="194" applyNumberFormat="1" applyFont="1" applyFill="1" applyBorder="1" applyAlignment="1" applyProtection="1">
      <alignment horizontal="right" vertical="center" readingOrder="1"/>
      <protection locked="0"/>
    </xf>
    <xf numFmtId="0" fontId="18" fillId="0" borderId="0" xfId="3"/>
    <xf numFmtId="0" fontId="25" fillId="0" borderId="0" xfId="0" applyFont="1" applyAlignment="1" applyProtection="1">
      <alignment vertical="top" wrapText="1" readingOrder="1"/>
      <protection locked="0"/>
    </xf>
    <xf numFmtId="0" fontId="9" fillId="0" borderId="0" xfId="0" applyFont="1"/>
    <xf numFmtId="0" fontId="18" fillId="0" borderId="0" xfId="3"/>
    <xf numFmtId="0" fontId="9" fillId="0" borderId="0" xfId="0" applyFont="1" applyFill="1"/>
    <xf numFmtId="0" fontId="25" fillId="0" borderId="0" xfId="0" applyFont="1" applyAlignment="1" applyProtection="1">
      <alignment vertical="top" wrapText="1" readingOrder="1"/>
      <protection locked="0"/>
    </xf>
    <xf numFmtId="0" fontId="9" fillId="0" borderId="0" xfId="0" applyFont="1"/>
    <xf numFmtId="0" fontId="18" fillId="0" borderId="0" xfId="3"/>
    <xf numFmtId="0" fontId="23" fillId="0" borderId="20" xfId="70" applyFont="1" applyFill="1" applyBorder="1" applyAlignment="1" applyProtection="1">
      <alignment horizontal="left" vertical="center" wrapText="1" readingOrder="1"/>
      <protection locked="0"/>
    </xf>
    <xf numFmtId="166" fontId="23" fillId="0" borderId="79" xfId="195" applyNumberFormat="1" applyFont="1" applyFill="1" applyBorder="1" applyAlignment="1" applyProtection="1">
      <alignment horizontal="left" vertical="center" readingOrder="1"/>
      <protection locked="0"/>
    </xf>
    <xf numFmtId="3" fontId="23" fillId="0" borderId="41" xfId="194" applyNumberFormat="1" applyFont="1" applyFill="1" applyBorder="1" applyAlignment="1" applyProtection="1">
      <alignment horizontal="right" vertical="center" wrapText="1" readingOrder="1"/>
      <protection locked="0"/>
    </xf>
    <xf numFmtId="3" fontId="23" fillId="0" borderId="6" xfId="194" applyNumberFormat="1" applyFont="1" applyFill="1" applyBorder="1" applyAlignment="1" applyProtection="1">
      <alignment horizontal="right" vertical="center" wrapText="1" readingOrder="1"/>
      <protection locked="0"/>
    </xf>
    <xf numFmtId="166" fontId="23" fillId="0" borderId="7" xfId="195" applyNumberFormat="1" applyFont="1" applyFill="1" applyBorder="1" applyAlignment="1" applyProtection="1">
      <alignment horizontal="right" vertical="center" wrapText="1" readingOrder="1"/>
      <protection locked="0"/>
    </xf>
    <xf numFmtId="0" fontId="23" fillId="0" borderId="21" xfId="70" applyFont="1" applyFill="1" applyBorder="1" applyAlignment="1" applyProtection="1">
      <alignment horizontal="left" vertical="center" wrapText="1" readingOrder="1"/>
      <protection locked="0"/>
    </xf>
    <xf numFmtId="166" fontId="23" fillId="0" borderId="44" xfId="195" applyNumberFormat="1" applyFont="1" applyFill="1" applyBorder="1" applyAlignment="1" applyProtection="1">
      <alignment horizontal="left" vertical="center" readingOrder="1"/>
      <protection locked="0"/>
    </xf>
    <xf numFmtId="3" fontId="23" fillId="0" borderId="9" xfId="194" applyNumberFormat="1" applyFont="1" applyFill="1" applyBorder="1" applyAlignment="1" applyProtection="1">
      <alignment horizontal="right" vertical="center" wrapText="1" readingOrder="1"/>
      <protection locked="0"/>
    </xf>
    <xf numFmtId="3" fontId="23" fillId="0" borderId="10" xfId="194" applyNumberFormat="1" applyFont="1" applyFill="1" applyBorder="1" applyAlignment="1" applyProtection="1">
      <alignment horizontal="right" vertical="center" wrapText="1" readingOrder="1"/>
      <protection locked="0"/>
    </xf>
    <xf numFmtId="166" fontId="23" fillId="0" borderId="11" xfId="195" applyNumberFormat="1" applyFont="1" applyFill="1" applyBorder="1" applyAlignment="1" applyProtection="1">
      <alignment horizontal="right" vertical="center" wrapText="1" readingOrder="1"/>
      <protection locked="0"/>
    </xf>
    <xf numFmtId="0" fontId="23" fillId="0" borderId="22" xfId="70" applyFont="1" applyFill="1" applyBorder="1" applyAlignment="1" applyProtection="1">
      <alignment horizontal="left" vertical="center" wrapText="1" readingOrder="1"/>
      <protection locked="0"/>
    </xf>
    <xf numFmtId="166" fontId="23" fillId="0" borderId="45" xfId="195" applyNumberFormat="1" applyFont="1" applyFill="1" applyBorder="1" applyAlignment="1" applyProtection="1">
      <alignment horizontal="left" vertical="center" readingOrder="1"/>
      <protection locked="0"/>
    </xf>
    <xf numFmtId="3" fontId="23" fillId="0" borderId="13" xfId="194" applyNumberFormat="1" applyFont="1" applyFill="1" applyBorder="1" applyAlignment="1" applyProtection="1">
      <alignment horizontal="right" vertical="center" wrapText="1" readingOrder="1"/>
      <protection locked="0"/>
    </xf>
    <xf numFmtId="3" fontId="23" fillId="0" borderId="14" xfId="194" applyNumberFormat="1" applyFont="1" applyFill="1" applyBorder="1" applyAlignment="1" applyProtection="1">
      <alignment horizontal="right" vertical="center" wrapText="1" readingOrder="1"/>
      <protection locked="0"/>
    </xf>
    <xf numFmtId="166" fontId="23" fillId="0" borderId="15" xfId="195" applyNumberFormat="1" applyFont="1" applyFill="1" applyBorder="1" applyAlignment="1" applyProtection="1">
      <alignment horizontal="right" vertical="center" wrapText="1" readingOrder="1"/>
      <protection locked="0"/>
    </xf>
    <xf numFmtId="0" fontId="10" fillId="2" borderId="0" xfId="194" applyNumberFormat="1" applyFont="1" applyFill="1" applyBorder="1" applyAlignment="1" applyProtection="1">
      <alignment horizontal="left" vertical="center" wrapText="1" readingOrder="1"/>
      <protection locked="0"/>
    </xf>
    <xf numFmtId="3" fontId="0" fillId="0" borderId="80" xfId="0" applyNumberFormat="1" applyBorder="1"/>
    <xf numFmtId="20" fontId="15" fillId="2" borderId="30" xfId="194" applyNumberFormat="1" applyFont="1" applyFill="1" applyBorder="1" applyAlignment="1">
      <alignment horizontal="center" vertical="center" wrapText="1"/>
    </xf>
    <xf numFmtId="0" fontId="0" fillId="0" borderId="8" xfId="0" applyBorder="1"/>
    <xf numFmtId="0" fontId="0" fillId="0" borderId="5" xfId="0" applyBorder="1"/>
    <xf numFmtId="20" fontId="15" fillId="2" borderId="43" xfId="194" applyNumberFormat="1" applyFont="1" applyFill="1" applyBorder="1" applyAlignment="1">
      <alignment horizontal="center" vertical="center" wrapText="1"/>
    </xf>
    <xf numFmtId="20" fontId="15" fillId="2" borderId="19" xfId="194" applyNumberFormat="1" applyFont="1" applyFill="1" applyBorder="1" applyAlignment="1">
      <alignment horizontal="center" vertical="center" wrapText="1"/>
    </xf>
    <xf numFmtId="0" fontId="0" fillId="0" borderId="53" xfId="0" applyBorder="1"/>
    <xf numFmtId="20" fontId="15" fillId="2" borderId="4" xfId="194" applyNumberFormat="1" applyFont="1" applyFill="1" applyBorder="1" applyAlignment="1">
      <alignment horizontal="center" vertical="center" wrapText="1"/>
    </xf>
    <xf numFmtId="3" fontId="0" fillId="0" borderId="55" xfId="0" applyNumberFormat="1" applyBorder="1"/>
    <xf numFmtId="3" fontId="0" fillId="0" borderId="81" xfId="0" applyNumberFormat="1" applyBorder="1"/>
    <xf numFmtId="3" fontId="0" fillId="0" borderId="54" xfId="0" applyNumberFormat="1" applyBorder="1"/>
    <xf numFmtId="3" fontId="0" fillId="0" borderId="52" xfId="0" applyNumberFormat="1" applyBorder="1"/>
    <xf numFmtId="3" fontId="0" fillId="0" borderId="51" xfId="0" applyNumberFormat="1" applyBorder="1"/>
    <xf numFmtId="3" fontId="0" fillId="0" borderId="49" xfId="0" applyNumberFormat="1" applyBorder="1"/>
    <xf numFmtId="3" fontId="10" fillId="2" borderId="7" xfId="195" applyNumberFormat="1" applyFont="1" applyFill="1" applyBorder="1" applyAlignment="1" applyProtection="1">
      <alignment horizontal="right" vertical="center" readingOrder="1"/>
      <protection locked="0"/>
    </xf>
    <xf numFmtId="3" fontId="10" fillId="2" borderId="11" xfId="195" applyNumberFormat="1" applyFont="1" applyFill="1" applyBorder="1" applyAlignment="1" applyProtection="1">
      <alignment horizontal="right" vertical="center" readingOrder="1"/>
      <protection locked="0"/>
    </xf>
    <xf numFmtId="0" fontId="0" fillId="0" borderId="50" xfId="0" applyBorder="1"/>
    <xf numFmtId="0" fontId="0" fillId="0" borderId="56" xfId="0" applyBorder="1"/>
    <xf numFmtId="3" fontId="0" fillId="0" borderId="82" xfId="0" applyNumberFormat="1" applyBorder="1"/>
    <xf numFmtId="3" fontId="0" fillId="0" borderId="48" xfId="0" applyNumberFormat="1" applyBorder="1"/>
    <xf numFmtId="0" fontId="0" fillId="0" borderId="12" xfId="0" applyBorder="1"/>
    <xf numFmtId="3" fontId="10" fillId="2" borderId="15" xfId="195" applyNumberFormat="1" applyFont="1" applyFill="1" applyBorder="1" applyAlignment="1" applyProtection="1">
      <alignment horizontal="right" vertical="center" readingOrder="1"/>
      <protection locked="0"/>
    </xf>
    <xf numFmtId="0" fontId="18" fillId="2" borderId="0" xfId="3" applyNumberFormat="1" applyFill="1" applyBorder="1" applyAlignment="1" applyProtection="1">
      <alignment horizontal="left" vertical="center" readingOrder="1"/>
      <protection locked="0"/>
    </xf>
    <xf numFmtId="0" fontId="23" fillId="2" borderId="0" xfId="193" applyFont="1" applyFill="1"/>
    <xf numFmtId="0" fontId="10" fillId="2" borderId="0" xfId="70" applyFont="1" applyFill="1" applyBorder="1" applyAlignment="1" applyProtection="1">
      <alignment horizontal="left" vertical="top" wrapText="1" readingOrder="1"/>
      <protection locked="0"/>
    </xf>
    <xf numFmtId="0" fontId="0" fillId="0" borderId="0" xfId="0" applyFill="1" applyAlignment="1"/>
    <xf numFmtId="0" fontId="9" fillId="0" borderId="0" xfId="0" applyFont="1" applyAlignment="1">
      <alignment horizontal="left"/>
    </xf>
    <xf numFmtId="0" fontId="10" fillId="0" borderId="0" xfId="0" applyFont="1" applyAlignment="1" applyProtection="1">
      <alignment horizontal="left" vertical="top" wrapText="1" readingOrder="1"/>
      <protection locked="0"/>
    </xf>
    <xf numFmtId="0" fontId="9" fillId="0" borderId="0" xfId="0" applyFont="1" applyAlignment="1">
      <alignment horizontal="left" vertical="top" wrapText="1"/>
    </xf>
    <xf numFmtId="0" fontId="50" fillId="0" borderId="0" xfId="0" applyFont="1" applyAlignment="1" applyProtection="1">
      <alignment horizontal="left" vertical="top" wrapText="1" readingOrder="1"/>
      <protection locked="0"/>
    </xf>
    <xf numFmtId="0" fontId="9" fillId="0" borderId="0" xfId="0" applyFont="1" applyAlignment="1">
      <alignment horizontal="center"/>
    </xf>
    <xf numFmtId="0" fontId="26" fillId="0" borderId="0" xfId="0" applyFont="1" applyAlignment="1">
      <alignment horizontal="left"/>
    </xf>
    <xf numFmtId="0" fontId="25" fillId="0" borderId="0" xfId="0" applyFont="1" applyAlignment="1" applyProtection="1">
      <alignment vertical="top" wrapText="1" readingOrder="1"/>
      <protection locked="0"/>
    </xf>
    <xf numFmtId="0" fontId="9" fillId="0" borderId="0" xfId="0" applyFont="1"/>
    <xf numFmtId="0" fontId="20" fillId="0" borderId="0" xfId="0" applyFont="1" applyAlignment="1" applyProtection="1">
      <alignment vertical="top" wrapText="1" readingOrder="1"/>
      <protection locked="0"/>
    </xf>
    <xf numFmtId="0" fontId="20" fillId="0" borderId="0" xfId="0" applyFont="1"/>
    <xf numFmtId="0" fontId="18" fillId="2" borderId="0" xfId="83" applyFont="1" applyFill="1" applyBorder="1" applyAlignment="1" applyProtection="1">
      <alignment horizontal="left" vertical="top" wrapText="1" readingOrder="1"/>
      <protection locked="0"/>
    </xf>
    <xf numFmtId="0" fontId="10" fillId="2" borderId="3" xfId="70" applyFont="1" applyFill="1" applyBorder="1" applyAlignment="1" applyProtection="1">
      <alignment horizontal="left" vertical="top" wrapText="1" readingOrder="1"/>
      <protection locked="0"/>
    </xf>
    <xf numFmtId="0" fontId="18" fillId="2" borderId="0" xfId="83" applyFont="1" applyFill="1" applyAlignment="1">
      <alignment horizontal="left"/>
    </xf>
    <xf numFmtId="0" fontId="15" fillId="2" borderId="0" xfId="70" applyFont="1" applyFill="1" applyBorder="1" applyAlignment="1" applyProtection="1">
      <alignment horizontal="left" vertical="top" wrapText="1" readingOrder="1"/>
      <protection locked="0"/>
    </xf>
    <xf numFmtId="0" fontId="9" fillId="2" borderId="0" xfId="70" applyFont="1" applyFill="1" applyBorder="1" applyAlignment="1" applyProtection="1">
      <alignment horizontal="left" vertical="top" wrapText="1" readingOrder="1"/>
      <protection locked="0"/>
    </xf>
    <xf numFmtId="0" fontId="10" fillId="2" borderId="0" xfId="0" applyFont="1" applyFill="1" applyAlignment="1" applyProtection="1">
      <alignment horizontal="left" vertical="top" wrapText="1" readingOrder="1"/>
      <protection locked="0"/>
    </xf>
    <xf numFmtId="0" fontId="20" fillId="2" borderId="0" xfId="70" applyFont="1" applyFill="1" applyAlignment="1" applyProtection="1">
      <alignment horizontal="left" vertical="top" wrapText="1" readingOrder="1"/>
      <protection locked="0"/>
    </xf>
    <xf numFmtId="0" fontId="9" fillId="2" borderId="0" xfId="70" applyFont="1" applyFill="1" applyAlignment="1" applyProtection="1">
      <alignment horizontal="left" vertical="top" wrapText="1" readingOrder="1"/>
      <protection locked="0"/>
    </xf>
    <xf numFmtId="0" fontId="18" fillId="2" borderId="0" xfId="3" applyFill="1" applyBorder="1" applyAlignment="1" applyProtection="1">
      <alignment horizontal="left" vertical="top" wrapText="1" readingOrder="1"/>
      <protection locked="0"/>
    </xf>
    <xf numFmtId="0" fontId="18" fillId="2" borderId="0" xfId="3" applyFont="1" applyFill="1" applyBorder="1" applyAlignment="1" applyProtection="1">
      <alignment horizontal="left" vertical="top" wrapText="1" readingOrder="1"/>
      <protection locked="0"/>
    </xf>
    <xf numFmtId="0" fontId="9" fillId="2" borderId="2" xfId="70" applyFont="1" applyFill="1" applyBorder="1" applyAlignment="1" applyProtection="1">
      <alignment horizontal="left" vertical="top" wrapText="1" readingOrder="1"/>
      <protection locked="0"/>
    </xf>
    <xf numFmtId="0" fontId="18" fillId="2" borderId="0" xfId="3" applyFill="1" applyAlignment="1" applyProtection="1">
      <alignment horizontal="left" vertical="top" wrapText="1" readingOrder="1"/>
      <protection locked="0"/>
    </xf>
    <xf numFmtId="0" fontId="10" fillId="2" borderId="0" xfId="70" applyFont="1" applyFill="1" applyAlignment="1" applyProtection="1">
      <alignment horizontal="left" vertical="top" wrapText="1" readingOrder="1"/>
      <protection locked="0"/>
    </xf>
    <xf numFmtId="0" fontId="18" fillId="2" borderId="0" xfId="3" applyFont="1" applyFill="1" applyAlignment="1" applyProtection="1">
      <alignment horizontal="left" vertical="top" wrapText="1" readingOrder="1"/>
      <protection locked="0"/>
    </xf>
    <xf numFmtId="0" fontId="10" fillId="2" borderId="0" xfId="70" applyFont="1" applyFill="1" applyBorder="1" applyAlignment="1" applyProtection="1">
      <alignment horizontal="left" vertical="top" wrapText="1" readingOrder="1"/>
      <protection locked="0"/>
    </xf>
    <xf numFmtId="0" fontId="9" fillId="2" borderId="0" xfId="0" applyFont="1" applyFill="1" applyAlignment="1" applyProtection="1">
      <alignment horizontal="left" vertical="top" wrapText="1" readingOrder="1"/>
      <protection locked="0"/>
    </xf>
    <xf numFmtId="0" fontId="15" fillId="2" borderId="3" xfId="70" applyFont="1" applyFill="1" applyBorder="1" applyAlignment="1" applyProtection="1">
      <alignment horizontal="left" vertical="top" wrapText="1" readingOrder="1"/>
      <protection locked="0"/>
    </xf>
    <xf numFmtId="169" fontId="24" fillId="2" borderId="26" xfId="81" applyNumberFormat="1" applyFont="1" applyFill="1" applyBorder="1" applyAlignment="1">
      <alignment horizontal="center" vertical="center" wrapText="1"/>
    </xf>
    <xf numFmtId="169" fontId="24" fillId="2" borderId="23" xfId="81" applyNumberFormat="1" applyFont="1" applyFill="1" applyBorder="1" applyAlignment="1">
      <alignment horizontal="center" vertical="center" wrapText="1"/>
    </xf>
    <xf numFmtId="0" fontId="18" fillId="2" borderId="0" xfId="83" applyFont="1" applyFill="1" applyBorder="1" applyAlignment="1" applyProtection="1">
      <alignment vertical="top" wrapText="1" readingOrder="1"/>
      <protection locked="0"/>
    </xf>
    <xf numFmtId="0" fontId="10" fillId="2" borderId="3" xfId="70" applyFont="1" applyFill="1" applyBorder="1" applyAlignment="1" applyProtection="1">
      <alignment vertical="top" wrapText="1" readingOrder="1"/>
      <protection locked="0"/>
    </xf>
    <xf numFmtId="0" fontId="9" fillId="2" borderId="0" xfId="70" applyFont="1" applyFill="1" applyBorder="1" applyAlignment="1" applyProtection="1">
      <alignment vertical="top" wrapText="1" readingOrder="1"/>
      <protection locked="0"/>
    </xf>
    <xf numFmtId="0" fontId="15" fillId="2" borderId="3" xfId="70" applyFont="1" applyFill="1" applyBorder="1" applyAlignment="1" applyProtection="1">
      <alignment vertical="top" wrapText="1" readingOrder="1"/>
      <protection locked="0"/>
    </xf>
    <xf numFmtId="0" fontId="9" fillId="2" borderId="2" xfId="70" applyFont="1" applyFill="1" applyBorder="1" applyAlignment="1" applyProtection="1">
      <alignment vertical="top" wrapText="1" readingOrder="1"/>
      <protection locked="0"/>
    </xf>
    <xf numFmtId="0" fontId="15" fillId="2" borderId="26" xfId="0" applyFont="1" applyFill="1" applyBorder="1" applyAlignment="1">
      <alignment horizontal="center" vertical="center" wrapText="1"/>
    </xf>
    <xf numFmtId="0" fontId="15" fillId="2" borderId="23" xfId="0" applyFont="1" applyFill="1" applyBorder="1" applyAlignment="1">
      <alignment horizontal="center" vertical="center" wrapText="1"/>
    </xf>
    <xf numFmtId="0" fontId="10" fillId="2" borderId="0" xfId="0" applyFont="1" applyFill="1" applyBorder="1" applyAlignment="1" applyProtection="1">
      <alignment horizontal="left" vertical="top" wrapText="1" readingOrder="1"/>
      <protection locked="0"/>
    </xf>
    <xf numFmtId="0" fontId="24" fillId="2" borderId="26" xfId="193" applyFont="1" applyFill="1" applyBorder="1" applyAlignment="1">
      <alignment horizontal="center"/>
    </xf>
    <xf numFmtId="0" fontId="24" fillId="2" borderId="16" xfId="193" applyFont="1" applyFill="1" applyBorder="1" applyAlignment="1">
      <alignment horizontal="center"/>
    </xf>
    <xf numFmtId="0" fontId="24" fillId="2" borderId="23" xfId="193" applyFont="1" applyFill="1" applyBorder="1" applyAlignment="1">
      <alignment horizontal="center"/>
    </xf>
    <xf numFmtId="165" fontId="11" fillId="2" borderId="26" xfId="70" applyNumberFormat="1" applyFont="1" applyFill="1" applyBorder="1" applyAlignment="1" applyProtection="1">
      <alignment horizontal="center" vertical="top" wrapText="1" readingOrder="1"/>
      <protection locked="0"/>
    </xf>
    <xf numFmtId="165" fontId="11" fillId="2" borderId="16" xfId="70" applyNumberFormat="1" applyFont="1" applyFill="1" applyBorder="1" applyAlignment="1" applyProtection="1">
      <alignment horizontal="center" vertical="top" wrapText="1" readingOrder="1"/>
      <protection locked="0"/>
    </xf>
    <xf numFmtId="165" fontId="11" fillId="2" borderId="23" xfId="70" applyNumberFormat="1" applyFont="1" applyFill="1" applyBorder="1" applyAlignment="1" applyProtection="1">
      <alignment horizontal="center" vertical="top" wrapText="1" readingOrder="1"/>
      <protection locked="0"/>
    </xf>
    <xf numFmtId="165" fontId="11" fillId="2" borderId="1" xfId="70" applyNumberFormat="1" applyFont="1" applyFill="1" applyBorder="1" applyAlignment="1" applyProtection="1">
      <alignment horizontal="center" vertical="top" wrapText="1" readingOrder="1"/>
      <protection locked="0"/>
    </xf>
    <xf numFmtId="165" fontId="11" fillId="2" borderId="2" xfId="70" applyNumberFormat="1" applyFont="1" applyFill="1" applyBorder="1" applyAlignment="1" applyProtection="1">
      <alignment horizontal="center" vertical="top" wrapText="1" readingOrder="1"/>
      <protection locked="0"/>
    </xf>
    <xf numFmtId="165" fontId="11" fillId="2" borderId="47" xfId="70" applyNumberFormat="1" applyFont="1" applyFill="1" applyBorder="1" applyAlignment="1" applyProtection="1">
      <alignment horizontal="center" vertical="top" wrapText="1" readingOrder="1"/>
      <protection locked="0"/>
    </xf>
    <xf numFmtId="0" fontId="10" fillId="2" borderId="0" xfId="194" applyNumberFormat="1" applyFont="1" applyFill="1" applyBorder="1" applyAlignment="1" applyProtection="1">
      <alignment horizontal="left" vertical="center" wrapText="1" readingOrder="1"/>
      <protection locked="0"/>
    </xf>
    <xf numFmtId="0" fontId="18" fillId="2" borderId="0" xfId="3" applyNumberFormat="1" applyFill="1" applyBorder="1" applyAlignment="1" applyProtection="1">
      <alignment horizontal="left" vertical="center" wrapText="1" readingOrder="1"/>
      <protection locked="0"/>
    </xf>
  </cellXfs>
  <cellStyles count="202">
    <cellStyle name="20% - Accent1 2" xfId="85" xr:uid="{00000000-0005-0000-0000-000000000000}"/>
    <cellStyle name="20% - Accent2 2" xfId="86" xr:uid="{00000000-0005-0000-0000-000001000000}"/>
    <cellStyle name="20% - Accent3 2" xfId="87" xr:uid="{00000000-0005-0000-0000-000002000000}"/>
    <cellStyle name="20% - Accent4 2" xfId="88" xr:uid="{00000000-0005-0000-0000-000003000000}"/>
    <cellStyle name="20% - Accent5 2" xfId="89" xr:uid="{00000000-0005-0000-0000-000004000000}"/>
    <cellStyle name="20% - Accent6 2" xfId="90" xr:uid="{00000000-0005-0000-0000-000005000000}"/>
    <cellStyle name="40% - Accent1 2" xfId="91" xr:uid="{00000000-0005-0000-0000-000006000000}"/>
    <cellStyle name="40% - Accent2 2" xfId="92" xr:uid="{00000000-0005-0000-0000-000007000000}"/>
    <cellStyle name="40% - Accent3 2" xfId="93" xr:uid="{00000000-0005-0000-0000-000008000000}"/>
    <cellStyle name="40% - Accent4 2" xfId="94" xr:uid="{00000000-0005-0000-0000-000009000000}"/>
    <cellStyle name="40% - Accent5 2" xfId="95" xr:uid="{00000000-0005-0000-0000-00000A000000}"/>
    <cellStyle name="40% - Accent6 2" xfId="96" xr:uid="{00000000-0005-0000-0000-00000B000000}"/>
    <cellStyle name="60% - Accent1 2" xfId="97" xr:uid="{00000000-0005-0000-0000-00000C000000}"/>
    <cellStyle name="60% - Accent2 2" xfId="98" xr:uid="{00000000-0005-0000-0000-00000D000000}"/>
    <cellStyle name="60% - Accent3 2" xfId="99" xr:uid="{00000000-0005-0000-0000-00000E000000}"/>
    <cellStyle name="60% - Accent4 2" xfId="100" xr:uid="{00000000-0005-0000-0000-00000F000000}"/>
    <cellStyle name="60% - Accent5 2" xfId="101" xr:uid="{00000000-0005-0000-0000-000010000000}"/>
    <cellStyle name="60% - Accent6 2" xfId="102" xr:uid="{00000000-0005-0000-0000-000011000000}"/>
    <cellStyle name="Accent1 2" xfId="103" xr:uid="{00000000-0005-0000-0000-000012000000}"/>
    <cellStyle name="Accent2 2" xfId="104" xr:uid="{00000000-0005-0000-0000-000013000000}"/>
    <cellStyle name="Accent3 2" xfId="105" xr:uid="{00000000-0005-0000-0000-000014000000}"/>
    <cellStyle name="Accent4 2" xfId="106" xr:uid="{00000000-0005-0000-0000-000015000000}"/>
    <cellStyle name="Accent5 2" xfId="107" xr:uid="{00000000-0005-0000-0000-000016000000}"/>
    <cellStyle name="Accent6 2" xfId="108" xr:uid="{00000000-0005-0000-0000-000017000000}"/>
    <cellStyle name="Bad 2" xfId="109" xr:uid="{00000000-0005-0000-0000-000018000000}"/>
    <cellStyle name="Calculation 2" xfId="110" xr:uid="{00000000-0005-0000-0000-000019000000}"/>
    <cellStyle name="Check Cell 2" xfId="111" xr:uid="{00000000-0005-0000-0000-00001A000000}"/>
    <cellStyle name="Comma" xfId="1" builtinId="3"/>
    <cellStyle name="Comma 10" xfId="75" xr:uid="{00000000-0005-0000-0000-00001C000000}"/>
    <cellStyle name="Comma 11" xfId="185" xr:uid="{00000000-0005-0000-0000-00001D000000}"/>
    <cellStyle name="Comma 12" xfId="188" xr:uid="{00000000-0005-0000-0000-00001E000000}"/>
    <cellStyle name="Comma 13" xfId="194" xr:uid="{00000000-0005-0000-0000-00001F000000}"/>
    <cellStyle name="Comma 2" xfId="2" xr:uid="{00000000-0005-0000-0000-000020000000}"/>
    <cellStyle name="Comma 2 2" xfId="12" xr:uid="{00000000-0005-0000-0000-000021000000}"/>
    <cellStyle name="Comma 2 2 2" xfId="112" xr:uid="{00000000-0005-0000-0000-000022000000}"/>
    <cellStyle name="Comma 2 2 3" xfId="65" xr:uid="{00000000-0005-0000-0000-000023000000}"/>
    <cellStyle name="Comma 2 3" xfId="13" xr:uid="{00000000-0005-0000-0000-000024000000}"/>
    <cellStyle name="Comma 2 3 2" xfId="14" xr:uid="{00000000-0005-0000-0000-000025000000}"/>
    <cellStyle name="Comma 2 3 2 2" xfId="149" xr:uid="{00000000-0005-0000-0000-000026000000}"/>
    <cellStyle name="Comma 2 3 3" xfId="148" xr:uid="{00000000-0005-0000-0000-000027000000}"/>
    <cellStyle name="Comma 2 3 4" xfId="63" xr:uid="{00000000-0005-0000-0000-000028000000}"/>
    <cellStyle name="Comma 2 4" xfId="15" xr:uid="{00000000-0005-0000-0000-000029000000}"/>
    <cellStyle name="Comma 2 4 2" xfId="150" xr:uid="{00000000-0005-0000-0000-00002A000000}"/>
    <cellStyle name="Comma 2 5" xfId="144" xr:uid="{00000000-0005-0000-0000-00002B000000}"/>
    <cellStyle name="Comma 2 6" xfId="64" xr:uid="{00000000-0005-0000-0000-00002C000000}"/>
    <cellStyle name="Comma 3" xfId="10" xr:uid="{00000000-0005-0000-0000-00002D000000}"/>
    <cellStyle name="Comma 3 2" xfId="16" xr:uid="{00000000-0005-0000-0000-00002E000000}"/>
    <cellStyle name="Comma 3 2 2" xfId="17" xr:uid="{00000000-0005-0000-0000-00002F000000}"/>
    <cellStyle name="Comma 3 2 3" xfId="67" xr:uid="{00000000-0005-0000-0000-000030000000}"/>
    <cellStyle name="Comma 3 3" xfId="18" xr:uid="{00000000-0005-0000-0000-000031000000}"/>
    <cellStyle name="Comma 3 3 2" xfId="19" xr:uid="{00000000-0005-0000-0000-000032000000}"/>
    <cellStyle name="Comma 3 3 2 2" xfId="152" xr:uid="{00000000-0005-0000-0000-000033000000}"/>
    <cellStyle name="Comma 3 3 3" xfId="151" xr:uid="{00000000-0005-0000-0000-000034000000}"/>
    <cellStyle name="Comma 3 3 4" xfId="68" xr:uid="{00000000-0005-0000-0000-000035000000}"/>
    <cellStyle name="Comma 3 4" xfId="146" xr:uid="{00000000-0005-0000-0000-000036000000}"/>
    <cellStyle name="Comma 3 5" xfId="66" xr:uid="{00000000-0005-0000-0000-000037000000}"/>
    <cellStyle name="Comma 4" xfId="20" xr:uid="{00000000-0005-0000-0000-000038000000}"/>
    <cellStyle name="Comma 4 2" xfId="21" xr:uid="{00000000-0005-0000-0000-000039000000}"/>
    <cellStyle name="Comma 4 2 2" xfId="113" xr:uid="{00000000-0005-0000-0000-00003A000000}"/>
    <cellStyle name="Comma 4 3" xfId="69" xr:uid="{00000000-0005-0000-0000-00003B000000}"/>
    <cellStyle name="Comma 5" xfId="22" xr:uid="{00000000-0005-0000-0000-00003C000000}"/>
    <cellStyle name="Comma 5 2" xfId="114" xr:uid="{00000000-0005-0000-0000-00003D000000}"/>
    <cellStyle name="Comma 6" xfId="23" xr:uid="{00000000-0005-0000-0000-00003E000000}"/>
    <cellStyle name="Comma 6 2" xfId="24" xr:uid="{00000000-0005-0000-0000-00003F000000}"/>
    <cellStyle name="Comma 6 2 2" xfId="154" xr:uid="{00000000-0005-0000-0000-000040000000}"/>
    <cellStyle name="Comma 6 3" xfId="153" xr:uid="{00000000-0005-0000-0000-000041000000}"/>
    <cellStyle name="Comma 7" xfId="25" xr:uid="{00000000-0005-0000-0000-000042000000}"/>
    <cellStyle name="Comma 7 2" xfId="155" xr:uid="{00000000-0005-0000-0000-000043000000}"/>
    <cellStyle name="Comma 8" xfId="56" xr:uid="{00000000-0005-0000-0000-000044000000}"/>
    <cellStyle name="Comma 8 2" xfId="60" xr:uid="{00000000-0005-0000-0000-000045000000}"/>
    <cellStyle name="Comma 8 2 2" xfId="176" xr:uid="{00000000-0005-0000-0000-000046000000}"/>
    <cellStyle name="Comma 8 2 3" xfId="183" xr:uid="{00000000-0005-0000-0000-000047000000}"/>
    <cellStyle name="Comma 8 3" xfId="172" xr:uid="{00000000-0005-0000-0000-000048000000}"/>
    <cellStyle name="Comma 8 4" xfId="180" xr:uid="{00000000-0005-0000-0000-000049000000}"/>
    <cellStyle name="Comma 9" xfId="143" xr:uid="{00000000-0005-0000-0000-00004A000000}"/>
    <cellStyle name="Explanatory Text 2" xfId="115" xr:uid="{00000000-0005-0000-0000-00004B000000}"/>
    <cellStyle name="Followed Hyperlink 2" xfId="84" xr:uid="{00000000-0005-0000-0000-00004C000000}"/>
    <cellStyle name="Good 2" xfId="116" xr:uid="{00000000-0005-0000-0000-00004D000000}"/>
    <cellStyle name="Heading 1 2" xfId="117" xr:uid="{00000000-0005-0000-0000-00004E000000}"/>
    <cellStyle name="Heading 2 2" xfId="118" xr:uid="{00000000-0005-0000-0000-00004F000000}"/>
    <cellStyle name="Heading 3 2" xfId="119" xr:uid="{00000000-0005-0000-0000-000050000000}"/>
    <cellStyle name="Heading 4 2" xfId="120" xr:uid="{00000000-0005-0000-0000-000051000000}"/>
    <cellStyle name="Hyperlink" xfId="3" builtinId="8"/>
    <cellStyle name="Hyperlink 2" xfId="9" xr:uid="{00000000-0005-0000-0000-000053000000}"/>
    <cellStyle name="Hyperlink 2 2" xfId="26" xr:uid="{00000000-0005-0000-0000-000054000000}"/>
    <cellStyle name="Hyperlink 2 2 2" xfId="156" xr:uid="{00000000-0005-0000-0000-000055000000}"/>
    <cellStyle name="Hyperlink 2 2 3" xfId="83" xr:uid="{00000000-0005-0000-0000-000056000000}"/>
    <cellStyle name="Hyperlink 3" xfId="27" xr:uid="{00000000-0005-0000-0000-000057000000}"/>
    <cellStyle name="Hyperlink 3 2" xfId="28" xr:uid="{00000000-0005-0000-0000-000058000000}"/>
    <cellStyle name="Hyperlink 3 3" xfId="157" xr:uid="{00000000-0005-0000-0000-000059000000}"/>
    <cellStyle name="Hyperlink 3 4" xfId="121" xr:uid="{00000000-0005-0000-0000-00005A000000}"/>
    <cellStyle name="Hyperlink 4" xfId="29" xr:uid="{00000000-0005-0000-0000-00005B000000}"/>
    <cellStyle name="Hyperlink 4 2" xfId="30" xr:uid="{00000000-0005-0000-0000-00005C000000}"/>
    <cellStyle name="Hyperlink 4 3" xfId="158" xr:uid="{00000000-0005-0000-0000-00005D000000}"/>
    <cellStyle name="Hyperlink 4 4" xfId="82" xr:uid="{00000000-0005-0000-0000-00005E000000}"/>
    <cellStyle name="Hyperlink 5" xfId="31" xr:uid="{00000000-0005-0000-0000-00005F000000}"/>
    <cellStyle name="Hyperlink 5 2" xfId="159" xr:uid="{00000000-0005-0000-0000-000060000000}"/>
    <cellStyle name="Input 2" xfId="122" xr:uid="{00000000-0005-0000-0000-000061000000}"/>
    <cellStyle name="Linked Cell 2" xfId="123" xr:uid="{00000000-0005-0000-0000-000062000000}"/>
    <cellStyle name="Neutral 2" xfId="124" xr:uid="{00000000-0005-0000-0000-000063000000}"/>
    <cellStyle name="Normal" xfId="0" builtinId="0"/>
    <cellStyle name="Normal 10" xfId="61" xr:uid="{00000000-0005-0000-0000-000065000000}"/>
    <cellStyle name="Normal 11" xfId="142" xr:uid="{00000000-0005-0000-0000-000066000000}"/>
    <cellStyle name="Normal 12" xfId="184" xr:uid="{00000000-0005-0000-0000-000067000000}"/>
    <cellStyle name="Normal 12 2" xfId="198" xr:uid="{00000000-0005-0000-0000-000068000000}"/>
    <cellStyle name="Normal 13" xfId="189" xr:uid="{00000000-0005-0000-0000-000069000000}"/>
    <cellStyle name="Normal 14" xfId="193" xr:uid="{00000000-0005-0000-0000-00006A000000}"/>
    <cellStyle name="Normal 14 2" xfId="199" xr:uid="{00000000-0005-0000-0000-00006B000000}"/>
    <cellStyle name="Normal 2" xfId="4" xr:uid="{00000000-0005-0000-0000-00006C000000}"/>
    <cellStyle name="Normal 2 2" xfId="32" xr:uid="{00000000-0005-0000-0000-00006D000000}"/>
    <cellStyle name="Normal 2 2 2" xfId="70" xr:uid="{00000000-0005-0000-0000-00006E000000}"/>
    <cellStyle name="Normal 2 3" xfId="62" xr:uid="{00000000-0005-0000-0000-00006F000000}"/>
    <cellStyle name="Normal 2 4" xfId="125" xr:uid="{00000000-0005-0000-0000-000070000000}"/>
    <cellStyle name="Normal 2 5" xfId="81" xr:uid="{00000000-0005-0000-0000-000071000000}"/>
    <cellStyle name="Normal 3" xfId="5" xr:uid="{00000000-0005-0000-0000-000072000000}"/>
    <cellStyle name="Normal 3 2" xfId="33" xr:uid="{00000000-0005-0000-0000-000073000000}"/>
    <cellStyle name="Normal 3 2 2" xfId="34" xr:uid="{00000000-0005-0000-0000-000074000000}"/>
    <cellStyle name="Normal 3 2 3" xfId="160" xr:uid="{00000000-0005-0000-0000-000075000000}"/>
    <cellStyle name="Normal 3 3" xfId="35" xr:uid="{00000000-0005-0000-0000-000076000000}"/>
    <cellStyle name="Normal 3 3 2" xfId="71" xr:uid="{00000000-0005-0000-0000-000077000000}"/>
    <cellStyle name="Normal 3 4" xfId="36" xr:uid="{00000000-0005-0000-0000-000078000000}"/>
    <cellStyle name="Normal 3 4 2" xfId="161" xr:uid="{00000000-0005-0000-0000-000079000000}"/>
    <cellStyle name="Normal 3 4 3" xfId="78" xr:uid="{00000000-0005-0000-0000-00007A000000}"/>
    <cellStyle name="Normal 4" xfId="6" xr:uid="{00000000-0005-0000-0000-00007B000000}"/>
    <cellStyle name="Normal 4 2" xfId="37" xr:uid="{00000000-0005-0000-0000-00007C000000}"/>
    <cellStyle name="Normal 4 3" xfId="38" xr:uid="{00000000-0005-0000-0000-00007D000000}"/>
    <cellStyle name="Normal 4 4" xfId="145" xr:uid="{00000000-0005-0000-0000-00007E000000}"/>
    <cellStyle name="Normal 4 5" xfId="190" xr:uid="{00000000-0005-0000-0000-00007F000000}"/>
    <cellStyle name="Normal 5" xfId="11" xr:uid="{00000000-0005-0000-0000-000080000000}"/>
    <cellStyle name="Normal 5 2" xfId="39" xr:uid="{00000000-0005-0000-0000-000081000000}"/>
    <cellStyle name="Normal 5 2 2" xfId="126" xr:uid="{00000000-0005-0000-0000-000082000000}"/>
    <cellStyle name="Normal 5 3" xfId="58" xr:uid="{00000000-0005-0000-0000-000083000000}"/>
    <cellStyle name="Normal 5 3 2" xfId="174" xr:uid="{00000000-0005-0000-0000-000084000000}"/>
    <cellStyle name="Normal 5 3 3" xfId="181" xr:uid="{00000000-0005-0000-0000-000085000000}"/>
    <cellStyle name="Normal 5 3 4" xfId="186" xr:uid="{00000000-0005-0000-0000-000086000000}"/>
    <cellStyle name="Normal 5 3 5" xfId="196" xr:uid="{00000000-0005-0000-0000-000087000000}"/>
    <cellStyle name="Normal 5 3 5 2" xfId="200" xr:uid="{00000000-0005-0000-0000-000088000000}"/>
    <cellStyle name="Normal 5 4" xfId="147" xr:uid="{00000000-0005-0000-0000-000089000000}"/>
    <cellStyle name="Normal 5 5" xfId="72" xr:uid="{00000000-0005-0000-0000-00008A000000}"/>
    <cellStyle name="Normal 5 6" xfId="178" xr:uid="{00000000-0005-0000-0000-00008B000000}"/>
    <cellStyle name="Normal 6" xfId="40" xr:uid="{00000000-0005-0000-0000-00008C000000}"/>
    <cellStyle name="Normal 6 2" xfId="162" xr:uid="{00000000-0005-0000-0000-00008D000000}"/>
    <cellStyle name="Normal 7" xfId="41" xr:uid="{00000000-0005-0000-0000-00008E000000}"/>
    <cellStyle name="Normal 7 2" xfId="77" xr:uid="{00000000-0005-0000-0000-00008F000000}"/>
    <cellStyle name="Normal 7 3" xfId="163" xr:uid="{00000000-0005-0000-0000-000090000000}"/>
    <cellStyle name="Normal 8" xfId="42" xr:uid="{00000000-0005-0000-0000-000091000000}"/>
    <cellStyle name="Normal 8 2" xfId="80" xr:uid="{00000000-0005-0000-0000-000092000000}"/>
    <cellStyle name="Normal 8 3" xfId="76" xr:uid="{00000000-0005-0000-0000-000093000000}"/>
    <cellStyle name="Normal 9" xfId="57" xr:uid="{00000000-0005-0000-0000-000094000000}"/>
    <cellStyle name="Normal 9 2" xfId="173" xr:uid="{00000000-0005-0000-0000-000095000000}"/>
    <cellStyle name="Normal 9 3" xfId="79" xr:uid="{00000000-0005-0000-0000-000096000000}"/>
    <cellStyle name="Note 2" xfId="127" xr:uid="{00000000-0005-0000-0000-000097000000}"/>
    <cellStyle name="Note 2 2" xfId="128" xr:uid="{00000000-0005-0000-0000-000098000000}"/>
    <cellStyle name="Note 3" xfId="129" xr:uid="{00000000-0005-0000-0000-000099000000}"/>
    <cellStyle name="Output 2" xfId="130" xr:uid="{00000000-0005-0000-0000-00009A000000}"/>
    <cellStyle name="Percent" xfId="7" builtinId="5"/>
    <cellStyle name="Percent 10" xfId="191" xr:uid="{00000000-0005-0000-0000-00009C000000}"/>
    <cellStyle name="Percent 11" xfId="195" xr:uid="{00000000-0005-0000-0000-00009D000000}"/>
    <cellStyle name="Percent 2" xfId="8" xr:uid="{00000000-0005-0000-0000-00009E000000}"/>
    <cellStyle name="Percent 2 2" xfId="43" xr:uid="{00000000-0005-0000-0000-00009F000000}"/>
    <cellStyle name="Percent 2 2 2" xfId="44" xr:uid="{00000000-0005-0000-0000-0000A0000000}"/>
    <cellStyle name="Percent 2 2 3" xfId="74" xr:uid="{00000000-0005-0000-0000-0000A1000000}"/>
    <cellStyle name="Percent 2 3" xfId="45" xr:uid="{00000000-0005-0000-0000-0000A2000000}"/>
    <cellStyle name="Percent 2 3 2" xfId="46" xr:uid="{00000000-0005-0000-0000-0000A3000000}"/>
    <cellStyle name="Percent 2 3 2 2" xfId="165" xr:uid="{00000000-0005-0000-0000-0000A4000000}"/>
    <cellStyle name="Percent 2 3 3" xfId="164" xr:uid="{00000000-0005-0000-0000-0000A5000000}"/>
    <cellStyle name="Percent 2 3 4" xfId="131" xr:uid="{00000000-0005-0000-0000-0000A6000000}"/>
    <cellStyle name="Percent 2 4" xfId="73" xr:uid="{00000000-0005-0000-0000-0000A7000000}"/>
    <cellStyle name="Percent 3" xfId="47" xr:uid="{00000000-0005-0000-0000-0000A8000000}"/>
    <cellStyle name="Percent 3 2" xfId="48" xr:uid="{00000000-0005-0000-0000-0000A9000000}"/>
    <cellStyle name="Percent 3 2 2" xfId="134" xr:uid="{00000000-0005-0000-0000-0000AA000000}"/>
    <cellStyle name="Percent 3 2 3" xfId="166" xr:uid="{00000000-0005-0000-0000-0000AB000000}"/>
    <cellStyle name="Percent 3 2 4" xfId="133" xr:uid="{00000000-0005-0000-0000-0000AC000000}"/>
    <cellStyle name="Percent 3 3" xfId="135" xr:uid="{00000000-0005-0000-0000-0000AD000000}"/>
    <cellStyle name="Percent 3 4" xfId="132" xr:uid="{00000000-0005-0000-0000-0000AE000000}"/>
    <cellStyle name="Percent 4" xfId="49" xr:uid="{00000000-0005-0000-0000-0000AF000000}"/>
    <cellStyle name="Percent 4 2" xfId="50" xr:uid="{00000000-0005-0000-0000-0000B0000000}"/>
    <cellStyle name="Percent 4 2 2" xfId="137" xr:uid="{00000000-0005-0000-0000-0000B1000000}"/>
    <cellStyle name="Percent 4 3" xfId="136" xr:uid="{00000000-0005-0000-0000-0000B2000000}"/>
    <cellStyle name="Percent 5" xfId="51" xr:uid="{00000000-0005-0000-0000-0000B3000000}"/>
    <cellStyle name="Percent 5 2" xfId="52" xr:uid="{00000000-0005-0000-0000-0000B4000000}"/>
    <cellStyle name="Percent 5 2 2" xfId="168" xr:uid="{00000000-0005-0000-0000-0000B5000000}"/>
    <cellStyle name="Percent 5 2 3" xfId="139" xr:uid="{00000000-0005-0000-0000-0000B6000000}"/>
    <cellStyle name="Percent 5 3" xfId="167" xr:uid="{00000000-0005-0000-0000-0000B7000000}"/>
    <cellStyle name="Percent 5 4" xfId="138" xr:uid="{00000000-0005-0000-0000-0000B8000000}"/>
    <cellStyle name="Percent 6" xfId="53" xr:uid="{00000000-0005-0000-0000-0000B9000000}"/>
    <cellStyle name="Percent 6 2" xfId="169" xr:uid="{00000000-0005-0000-0000-0000BA000000}"/>
    <cellStyle name="Percent 7" xfId="54" xr:uid="{00000000-0005-0000-0000-0000BB000000}"/>
    <cellStyle name="Percent 7 2" xfId="170" xr:uid="{00000000-0005-0000-0000-0000BC000000}"/>
    <cellStyle name="Percent 8" xfId="55" xr:uid="{00000000-0005-0000-0000-0000BD000000}"/>
    <cellStyle name="Percent 8 2" xfId="59" xr:uid="{00000000-0005-0000-0000-0000BE000000}"/>
    <cellStyle name="Percent 8 2 2" xfId="175" xr:uid="{00000000-0005-0000-0000-0000BF000000}"/>
    <cellStyle name="Percent 8 2 3" xfId="182" xr:uid="{00000000-0005-0000-0000-0000C0000000}"/>
    <cellStyle name="Percent 8 2 4" xfId="187" xr:uid="{00000000-0005-0000-0000-0000C1000000}"/>
    <cellStyle name="Percent 8 2 5" xfId="197" xr:uid="{00000000-0005-0000-0000-0000C2000000}"/>
    <cellStyle name="Percent 8 2 5 2" xfId="201" xr:uid="{00000000-0005-0000-0000-0000C3000000}"/>
    <cellStyle name="Percent 8 3" xfId="171" xr:uid="{00000000-0005-0000-0000-0000C4000000}"/>
    <cellStyle name="Percent 8 4" xfId="179" xr:uid="{00000000-0005-0000-0000-0000C5000000}"/>
    <cellStyle name="Percent 9" xfId="192" xr:uid="{00000000-0005-0000-0000-0000C6000000}"/>
    <cellStyle name="Title" xfId="177" builtinId="15" customBuiltin="1"/>
    <cellStyle name="Total 2" xfId="140" xr:uid="{00000000-0005-0000-0000-0000C8000000}"/>
    <cellStyle name="Warning Text 2" xfId="141" xr:uid="{00000000-0005-0000-0000-0000C9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3360"/>
      <rgbColor rgb="00D3D3D3"/>
      <rgbColor rgb="000000FF"/>
      <rgbColor rgb="000000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5EB8"/>
      <color rgb="FF003087"/>
      <color rgb="FF3F91C9"/>
      <color rgb="FFF8F8F8"/>
      <color rgb="FF84919C"/>
      <color rgb="FFD0D5D6"/>
      <color rgb="FF5EC1EA"/>
      <color rgb="FFD6DB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9524</xdr:colOff>
      <xdr:row>23</xdr:row>
      <xdr:rowOff>76199</xdr:rowOff>
    </xdr:from>
    <xdr:to>
      <xdr:col>1</xdr:col>
      <xdr:colOff>41033</xdr:colOff>
      <xdr:row>23</xdr:row>
      <xdr:rowOff>504265</xdr:rowOff>
    </xdr:to>
    <xdr:pic>
      <xdr:nvPicPr>
        <xdr:cNvPr id="2" name="Picture 1" descr="48bf4cd158a94aebada082d9c5a61d4a">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 y="6138581"/>
          <a:ext cx="636627"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704850</xdr:colOff>
      <xdr:row>0</xdr:row>
      <xdr:rowOff>9525</xdr:rowOff>
    </xdr:from>
    <xdr:to>
      <xdr:col>8</xdr:col>
      <xdr:colOff>677227</xdr:colOff>
      <xdr:row>0</xdr:row>
      <xdr:rowOff>410527</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2350" y="9525"/>
          <a:ext cx="923925" cy="40005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publications/statistical/hospital-accident--emergency-activity/2017-18" TargetMode="External"/><Relationship Id="rId1" Type="http://schemas.openxmlformats.org/officeDocument/2006/relationships/hyperlink" Target="mailto:enquiries@nhsdigital.nhs.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england.nhs.uk/statistics/statistical-work-areas/ae-waiting-times-and-activity/ae-attendances-and-emergency-admissions-2017-18/" TargetMode="External"/><Relationship Id="rId2" Type="http://schemas.openxmlformats.org/officeDocument/2006/relationships/hyperlink" Target="https://www.ons.gov.uk/peoplepopulationandcommunity/populationandmigration/populationestimates/datasets/populationestimatesforukenglandandwalesscotlandandnorthernireland" TargetMode="External"/><Relationship Id="rId1" Type="http://schemas.openxmlformats.org/officeDocument/2006/relationships/hyperlink" Target="mailto:enquiries@nhsdigital.nhs.uk"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england.nhs.uk/statistics/statistical-work-areas/ae-waiting-times-and-activity/ae-attendances-and-emergency-admissions-2017-18/" TargetMode="External"/><Relationship Id="rId1" Type="http://schemas.openxmlformats.org/officeDocument/2006/relationships/hyperlink" Target="mailto:enquiries@nhsdigital.nhs.uk"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enquiries@nhsdigital.nhs.uk"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england.nhs.uk/statistics/statistical-work-areas/ae-waiting-times-and-activity/ae-attendances-and-emergency-admissions-2017-18/" TargetMode="External"/><Relationship Id="rId1" Type="http://schemas.openxmlformats.org/officeDocument/2006/relationships/hyperlink" Target="mailto:enquiries@nhsdigital.nhs.uk"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england.nhs.uk/statistics/statistical-work-areas/ae-waiting-times-and-activity/ae-attendances-and-emergency-admissions-2017-18/" TargetMode="External"/><Relationship Id="rId1" Type="http://schemas.openxmlformats.org/officeDocument/2006/relationships/hyperlink" Target="mailto:enquiries@nhsdigital.nhs.uk"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england.nhs.uk/statistics/statistical-work-areas/ae-waiting-times-and-activity/ae-attendances-and-emergency-admissions-2017-18/" TargetMode="External"/><Relationship Id="rId1" Type="http://schemas.openxmlformats.org/officeDocument/2006/relationships/hyperlink" Target="mailto:enquiries@nhsdigital.nhs.uk"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england.nhs.uk/statistics/statistical-work-areas/ae-waiting-times-and-activity/ae-attendances-and-emergency-admissions-2017-18/" TargetMode="External"/><Relationship Id="rId1" Type="http://schemas.openxmlformats.org/officeDocument/2006/relationships/hyperlink" Target="mailto:enquiries@nhsdigital.nhs.uk"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enquiries@nhsdigital.nhs.uk"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england.nhs.uk/statistics/statistical-work-areas/ae-waiting-times-and-activity/ae-attendances-and-emergency-admissions-2017-18/" TargetMode="External"/><Relationship Id="rId1" Type="http://schemas.openxmlformats.org/officeDocument/2006/relationships/hyperlink" Target="mailto:enquiries@nhsdigital.nhs.uk"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enquiries@nhsdigital.nhs.uk"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enquiries@nhsdigital.nhs.uk"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www.england.nhs.uk/statistics/statistical-work-areas/ae-waiting-times-and-activity/ae-attendances-and-emergency-admissions-2017-18/" TargetMode="External"/><Relationship Id="rId1" Type="http://schemas.openxmlformats.org/officeDocument/2006/relationships/hyperlink" Target="mailto:enquiries@nhsdigital.nhs.uk"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www.england.nhs.uk/statistics/statistical-work-areas/ae-waiting-times-and-activity/ae-attendances-and-emergency-admissions-2017-18/" TargetMode="External"/><Relationship Id="rId1" Type="http://schemas.openxmlformats.org/officeDocument/2006/relationships/hyperlink" Target="mailto:enquiries@nhsdigital.nhs.uk"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www.england.nhs.uk/statistics/statistical-work-areas/ae-waiting-times-and-activity/ae-attendances-and-emergency-admissions-2017-18/" TargetMode="External"/><Relationship Id="rId1" Type="http://schemas.openxmlformats.org/officeDocument/2006/relationships/hyperlink" Target="mailto:enquiries@nhsdigital.nhs.uk"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mailto:enquiries@nhsdigital.nhs.uk"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mailto:enquiries@nhsdigital.nhs.uk"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mailto:enquiries@nhsdigital.nhs.uk"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datasets/lowersuperoutputareamidyearpopulationestimates" TargetMode="External"/><Relationship Id="rId2" Type="http://schemas.openxmlformats.org/officeDocument/2006/relationships/hyperlink" Target="https://www.gov.uk/government/statistics/english-indices-of-deprivation-2015" TargetMode="External"/><Relationship Id="rId1" Type="http://schemas.openxmlformats.org/officeDocument/2006/relationships/hyperlink" Target="mailto:enquiries@nhsdigital.nhs.uk" TargetMode="External"/><Relationship Id="rId4"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www.ons.gov.uk/peoplepopulationandcommunity/populationandmigration/populationestimates/adhocs/008780populationdenominatorsbyethnicgroupregionsandcountriesenglandandwales2011to2017" TargetMode="External"/><Relationship Id="rId1" Type="http://schemas.openxmlformats.org/officeDocument/2006/relationships/hyperlink" Target="mailto:enquiries@nhsdigital.nhs.uk"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www.ons.gov.uk/peoplepopulationandcommunity/populationandmigration/populationestimates/adhocs/008780populationdenominatorsbyethnicgroupregionsandcountriesenglandandwales2011to2017" TargetMode="External"/><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showGridLines="0" tabSelected="1" zoomScaleNormal="100" workbookViewId="0">
      <selection sqref="A1:I1"/>
    </sheetView>
  </sheetViews>
  <sheetFormatPr defaultRowHeight="12.3" x14ac:dyDescent="0.4"/>
  <cols>
    <col min="1" max="1" width="15.109375" style="33" customWidth="1"/>
    <col min="2" max="9" width="14.21875" style="33" customWidth="1"/>
    <col min="10" max="256" width="9.109375" style="33"/>
    <col min="257" max="257" width="12.77734375" style="33" customWidth="1"/>
    <col min="258" max="258" width="69.5546875" style="33" customWidth="1"/>
    <col min="259" max="259" width="26" style="33" customWidth="1"/>
    <col min="260" max="260" width="18.109375" style="33" customWidth="1"/>
    <col min="261" max="512" width="9.109375" style="33"/>
    <col min="513" max="513" width="12.77734375" style="33" customWidth="1"/>
    <col min="514" max="514" width="69.5546875" style="33" customWidth="1"/>
    <col min="515" max="515" width="26" style="33" customWidth="1"/>
    <col min="516" max="516" width="18.109375" style="33" customWidth="1"/>
    <col min="517" max="768" width="9.109375" style="33"/>
    <col min="769" max="769" width="12.77734375" style="33" customWidth="1"/>
    <col min="770" max="770" width="69.5546875" style="33" customWidth="1"/>
    <col min="771" max="771" width="26" style="33" customWidth="1"/>
    <col min="772" max="772" width="18.109375" style="33" customWidth="1"/>
    <col min="773" max="1024" width="9.109375" style="33"/>
    <col min="1025" max="1025" width="12.77734375" style="33" customWidth="1"/>
    <col min="1026" max="1026" width="69.5546875" style="33" customWidth="1"/>
    <col min="1027" max="1027" width="26" style="33" customWidth="1"/>
    <col min="1028" max="1028" width="18.109375" style="33" customWidth="1"/>
    <col min="1029" max="1280" width="9.109375" style="33"/>
    <col min="1281" max="1281" width="12.77734375" style="33" customWidth="1"/>
    <col min="1282" max="1282" width="69.5546875" style="33" customWidth="1"/>
    <col min="1283" max="1283" width="26" style="33" customWidth="1"/>
    <col min="1284" max="1284" width="18.109375" style="33" customWidth="1"/>
    <col min="1285" max="1536" width="9.109375" style="33"/>
    <col min="1537" max="1537" width="12.77734375" style="33" customWidth="1"/>
    <col min="1538" max="1538" width="69.5546875" style="33" customWidth="1"/>
    <col min="1539" max="1539" width="26" style="33" customWidth="1"/>
    <col min="1540" max="1540" width="18.109375" style="33" customWidth="1"/>
    <col min="1541" max="1792" width="9.109375" style="33"/>
    <col min="1793" max="1793" width="12.77734375" style="33" customWidth="1"/>
    <col min="1794" max="1794" width="69.5546875" style="33" customWidth="1"/>
    <col min="1795" max="1795" width="26" style="33" customWidth="1"/>
    <col min="1796" max="1796" width="18.109375" style="33" customWidth="1"/>
    <col min="1797" max="2048" width="9.109375" style="33"/>
    <col min="2049" max="2049" width="12.77734375" style="33" customWidth="1"/>
    <col min="2050" max="2050" width="69.5546875" style="33" customWidth="1"/>
    <col min="2051" max="2051" width="26" style="33" customWidth="1"/>
    <col min="2052" max="2052" width="18.109375" style="33" customWidth="1"/>
    <col min="2053" max="2304" width="9.109375" style="33"/>
    <col min="2305" max="2305" width="12.77734375" style="33" customWidth="1"/>
    <col min="2306" max="2306" width="69.5546875" style="33" customWidth="1"/>
    <col min="2307" max="2307" width="26" style="33" customWidth="1"/>
    <col min="2308" max="2308" width="18.109375" style="33" customWidth="1"/>
    <col min="2309" max="2560" width="9.109375" style="33"/>
    <col min="2561" max="2561" width="12.77734375" style="33" customWidth="1"/>
    <col min="2562" max="2562" width="69.5546875" style="33" customWidth="1"/>
    <col min="2563" max="2563" width="26" style="33" customWidth="1"/>
    <col min="2564" max="2564" width="18.109375" style="33" customWidth="1"/>
    <col min="2565" max="2816" width="9.109375" style="33"/>
    <col min="2817" max="2817" width="12.77734375" style="33" customWidth="1"/>
    <col min="2818" max="2818" width="69.5546875" style="33" customWidth="1"/>
    <col min="2819" max="2819" width="26" style="33" customWidth="1"/>
    <col min="2820" max="2820" width="18.109375" style="33" customWidth="1"/>
    <col min="2821" max="3072" width="9.109375" style="33"/>
    <col min="3073" max="3073" width="12.77734375" style="33" customWidth="1"/>
    <col min="3074" max="3074" width="69.5546875" style="33" customWidth="1"/>
    <col min="3075" max="3075" width="26" style="33" customWidth="1"/>
    <col min="3076" max="3076" width="18.109375" style="33" customWidth="1"/>
    <col min="3077" max="3328" width="9.109375" style="33"/>
    <col min="3329" max="3329" width="12.77734375" style="33" customWidth="1"/>
    <col min="3330" max="3330" width="69.5546875" style="33" customWidth="1"/>
    <col min="3331" max="3331" width="26" style="33" customWidth="1"/>
    <col min="3332" max="3332" width="18.109375" style="33" customWidth="1"/>
    <col min="3333" max="3584" width="9.109375" style="33"/>
    <col min="3585" max="3585" width="12.77734375" style="33" customWidth="1"/>
    <col min="3586" max="3586" width="69.5546875" style="33" customWidth="1"/>
    <col min="3587" max="3587" width="26" style="33" customWidth="1"/>
    <col min="3588" max="3588" width="18.109375" style="33" customWidth="1"/>
    <col min="3589" max="3840" width="9.109375" style="33"/>
    <col min="3841" max="3841" width="12.77734375" style="33" customWidth="1"/>
    <col min="3842" max="3842" width="69.5546875" style="33" customWidth="1"/>
    <col min="3843" max="3843" width="26" style="33" customWidth="1"/>
    <col min="3844" max="3844" width="18.109375" style="33" customWidth="1"/>
    <col min="3845" max="4096" width="9.109375" style="33"/>
    <col min="4097" max="4097" width="12.77734375" style="33" customWidth="1"/>
    <col min="4098" max="4098" width="69.5546875" style="33" customWidth="1"/>
    <col min="4099" max="4099" width="26" style="33" customWidth="1"/>
    <col min="4100" max="4100" width="18.109375" style="33" customWidth="1"/>
    <col min="4101" max="4352" width="9.109375" style="33"/>
    <col min="4353" max="4353" width="12.77734375" style="33" customWidth="1"/>
    <col min="4354" max="4354" width="69.5546875" style="33" customWidth="1"/>
    <col min="4355" max="4355" width="26" style="33" customWidth="1"/>
    <col min="4356" max="4356" width="18.109375" style="33" customWidth="1"/>
    <col min="4357" max="4608" width="9.109375" style="33"/>
    <col min="4609" max="4609" width="12.77734375" style="33" customWidth="1"/>
    <col min="4610" max="4610" width="69.5546875" style="33" customWidth="1"/>
    <col min="4611" max="4611" width="26" style="33" customWidth="1"/>
    <col min="4612" max="4612" width="18.109375" style="33" customWidth="1"/>
    <col min="4613" max="4864" width="9.109375" style="33"/>
    <col min="4865" max="4865" width="12.77734375" style="33" customWidth="1"/>
    <col min="4866" max="4866" width="69.5546875" style="33" customWidth="1"/>
    <col min="4867" max="4867" width="26" style="33" customWidth="1"/>
    <col min="4868" max="4868" width="18.109375" style="33" customWidth="1"/>
    <col min="4869" max="5120" width="9.109375" style="33"/>
    <col min="5121" max="5121" width="12.77734375" style="33" customWidth="1"/>
    <col min="5122" max="5122" width="69.5546875" style="33" customWidth="1"/>
    <col min="5123" max="5123" width="26" style="33" customWidth="1"/>
    <col min="5124" max="5124" width="18.109375" style="33" customWidth="1"/>
    <col min="5125" max="5376" width="9.109375" style="33"/>
    <col min="5377" max="5377" width="12.77734375" style="33" customWidth="1"/>
    <col min="5378" max="5378" width="69.5546875" style="33" customWidth="1"/>
    <col min="5379" max="5379" width="26" style="33" customWidth="1"/>
    <col min="5380" max="5380" width="18.109375" style="33" customWidth="1"/>
    <col min="5381" max="5632" width="9.109375" style="33"/>
    <col min="5633" max="5633" width="12.77734375" style="33" customWidth="1"/>
    <col min="5634" max="5634" width="69.5546875" style="33" customWidth="1"/>
    <col min="5635" max="5635" width="26" style="33" customWidth="1"/>
    <col min="5636" max="5636" width="18.109375" style="33" customWidth="1"/>
    <col min="5637" max="5888" width="9.109375" style="33"/>
    <col min="5889" max="5889" width="12.77734375" style="33" customWidth="1"/>
    <col min="5890" max="5890" width="69.5546875" style="33" customWidth="1"/>
    <col min="5891" max="5891" width="26" style="33" customWidth="1"/>
    <col min="5892" max="5892" width="18.109375" style="33" customWidth="1"/>
    <col min="5893" max="6144" width="9.109375" style="33"/>
    <col min="6145" max="6145" width="12.77734375" style="33" customWidth="1"/>
    <col min="6146" max="6146" width="69.5546875" style="33" customWidth="1"/>
    <col min="6147" max="6147" width="26" style="33" customWidth="1"/>
    <col min="6148" max="6148" width="18.109375" style="33" customWidth="1"/>
    <col min="6149" max="6400" width="9.109375" style="33"/>
    <col min="6401" max="6401" width="12.77734375" style="33" customWidth="1"/>
    <col min="6402" max="6402" width="69.5546875" style="33" customWidth="1"/>
    <col min="6403" max="6403" width="26" style="33" customWidth="1"/>
    <col min="6404" max="6404" width="18.109375" style="33" customWidth="1"/>
    <col min="6405" max="6656" width="9.109375" style="33"/>
    <col min="6657" max="6657" width="12.77734375" style="33" customWidth="1"/>
    <col min="6658" max="6658" width="69.5546875" style="33" customWidth="1"/>
    <col min="6659" max="6659" width="26" style="33" customWidth="1"/>
    <col min="6660" max="6660" width="18.109375" style="33" customWidth="1"/>
    <col min="6661" max="6912" width="9.109375" style="33"/>
    <col min="6913" max="6913" width="12.77734375" style="33" customWidth="1"/>
    <col min="6914" max="6914" width="69.5546875" style="33" customWidth="1"/>
    <col min="6915" max="6915" width="26" style="33" customWidth="1"/>
    <col min="6916" max="6916" width="18.109375" style="33" customWidth="1"/>
    <col min="6917" max="7168" width="9.109375" style="33"/>
    <col min="7169" max="7169" width="12.77734375" style="33" customWidth="1"/>
    <col min="7170" max="7170" width="69.5546875" style="33" customWidth="1"/>
    <col min="7171" max="7171" width="26" style="33" customWidth="1"/>
    <col min="7172" max="7172" width="18.109375" style="33" customWidth="1"/>
    <col min="7173" max="7424" width="9.109375" style="33"/>
    <col min="7425" max="7425" width="12.77734375" style="33" customWidth="1"/>
    <col min="7426" max="7426" width="69.5546875" style="33" customWidth="1"/>
    <col min="7427" max="7427" width="26" style="33" customWidth="1"/>
    <col min="7428" max="7428" width="18.109375" style="33" customWidth="1"/>
    <col min="7429" max="7680" width="9.109375" style="33"/>
    <col min="7681" max="7681" width="12.77734375" style="33" customWidth="1"/>
    <col min="7682" max="7682" width="69.5546875" style="33" customWidth="1"/>
    <col min="7683" max="7683" width="26" style="33" customWidth="1"/>
    <col min="7684" max="7684" width="18.109375" style="33" customWidth="1"/>
    <col min="7685" max="7936" width="9.109375" style="33"/>
    <col min="7937" max="7937" width="12.77734375" style="33" customWidth="1"/>
    <col min="7938" max="7938" width="69.5546875" style="33" customWidth="1"/>
    <col min="7939" max="7939" width="26" style="33" customWidth="1"/>
    <col min="7940" max="7940" width="18.109375" style="33" customWidth="1"/>
    <col min="7941" max="8192" width="9.109375" style="33"/>
    <col min="8193" max="8193" width="12.77734375" style="33" customWidth="1"/>
    <col min="8194" max="8194" width="69.5546875" style="33" customWidth="1"/>
    <col min="8195" max="8195" width="26" style="33" customWidth="1"/>
    <col min="8196" max="8196" width="18.109375" style="33" customWidth="1"/>
    <col min="8197" max="8448" width="9.109375" style="33"/>
    <col min="8449" max="8449" width="12.77734375" style="33" customWidth="1"/>
    <col min="8450" max="8450" width="69.5546875" style="33" customWidth="1"/>
    <col min="8451" max="8451" width="26" style="33" customWidth="1"/>
    <col min="8452" max="8452" width="18.109375" style="33" customWidth="1"/>
    <col min="8453" max="8704" width="9.109375" style="33"/>
    <col min="8705" max="8705" width="12.77734375" style="33" customWidth="1"/>
    <col min="8706" max="8706" width="69.5546875" style="33" customWidth="1"/>
    <col min="8707" max="8707" width="26" style="33" customWidth="1"/>
    <col min="8708" max="8708" width="18.109375" style="33" customWidth="1"/>
    <col min="8709" max="8960" width="9.109375" style="33"/>
    <col min="8961" max="8961" width="12.77734375" style="33" customWidth="1"/>
    <col min="8962" max="8962" width="69.5546875" style="33" customWidth="1"/>
    <col min="8963" max="8963" width="26" style="33" customWidth="1"/>
    <col min="8964" max="8964" width="18.109375" style="33" customWidth="1"/>
    <col min="8965" max="9216" width="9.109375" style="33"/>
    <col min="9217" max="9217" width="12.77734375" style="33" customWidth="1"/>
    <col min="9218" max="9218" width="69.5546875" style="33" customWidth="1"/>
    <col min="9219" max="9219" width="26" style="33" customWidth="1"/>
    <col min="9220" max="9220" width="18.109375" style="33" customWidth="1"/>
    <col min="9221" max="9472" width="9.109375" style="33"/>
    <col min="9473" max="9473" width="12.77734375" style="33" customWidth="1"/>
    <col min="9474" max="9474" width="69.5546875" style="33" customWidth="1"/>
    <col min="9475" max="9475" width="26" style="33" customWidth="1"/>
    <col min="9476" max="9476" width="18.109375" style="33" customWidth="1"/>
    <col min="9477" max="9728" width="9.109375" style="33"/>
    <col min="9729" max="9729" width="12.77734375" style="33" customWidth="1"/>
    <col min="9730" max="9730" width="69.5546875" style="33" customWidth="1"/>
    <col min="9731" max="9731" width="26" style="33" customWidth="1"/>
    <col min="9732" max="9732" width="18.109375" style="33" customWidth="1"/>
    <col min="9733" max="9984" width="9.109375" style="33"/>
    <col min="9985" max="9985" width="12.77734375" style="33" customWidth="1"/>
    <col min="9986" max="9986" width="69.5546875" style="33" customWidth="1"/>
    <col min="9987" max="9987" width="26" style="33" customWidth="1"/>
    <col min="9988" max="9988" width="18.109375" style="33" customWidth="1"/>
    <col min="9989" max="10240" width="9.109375" style="33"/>
    <col min="10241" max="10241" width="12.77734375" style="33" customWidth="1"/>
    <col min="10242" max="10242" width="69.5546875" style="33" customWidth="1"/>
    <col min="10243" max="10243" width="26" style="33" customWidth="1"/>
    <col min="10244" max="10244" width="18.109375" style="33" customWidth="1"/>
    <col min="10245" max="10496" width="9.109375" style="33"/>
    <col min="10497" max="10497" width="12.77734375" style="33" customWidth="1"/>
    <col min="10498" max="10498" width="69.5546875" style="33" customWidth="1"/>
    <col min="10499" max="10499" width="26" style="33" customWidth="1"/>
    <col min="10500" max="10500" width="18.109375" style="33" customWidth="1"/>
    <col min="10501" max="10752" width="9.109375" style="33"/>
    <col min="10753" max="10753" width="12.77734375" style="33" customWidth="1"/>
    <col min="10754" max="10754" width="69.5546875" style="33" customWidth="1"/>
    <col min="10755" max="10755" width="26" style="33" customWidth="1"/>
    <col min="10756" max="10756" width="18.109375" style="33" customWidth="1"/>
    <col min="10757" max="11008" width="9.109375" style="33"/>
    <col min="11009" max="11009" width="12.77734375" style="33" customWidth="1"/>
    <col min="11010" max="11010" width="69.5546875" style="33" customWidth="1"/>
    <col min="11011" max="11011" width="26" style="33" customWidth="1"/>
    <col min="11012" max="11012" width="18.109375" style="33" customWidth="1"/>
    <col min="11013" max="11264" width="9.109375" style="33"/>
    <col min="11265" max="11265" width="12.77734375" style="33" customWidth="1"/>
    <col min="11266" max="11266" width="69.5546875" style="33" customWidth="1"/>
    <col min="11267" max="11267" width="26" style="33" customWidth="1"/>
    <col min="11268" max="11268" width="18.109375" style="33" customWidth="1"/>
    <col min="11269" max="11520" width="9.109375" style="33"/>
    <col min="11521" max="11521" width="12.77734375" style="33" customWidth="1"/>
    <col min="11522" max="11522" width="69.5546875" style="33" customWidth="1"/>
    <col min="11523" max="11523" width="26" style="33" customWidth="1"/>
    <col min="11524" max="11524" width="18.109375" style="33" customWidth="1"/>
    <col min="11525" max="11776" width="9.109375" style="33"/>
    <col min="11777" max="11777" width="12.77734375" style="33" customWidth="1"/>
    <col min="11778" max="11778" width="69.5546875" style="33" customWidth="1"/>
    <col min="11779" max="11779" width="26" style="33" customWidth="1"/>
    <col min="11780" max="11780" width="18.109375" style="33" customWidth="1"/>
    <col min="11781" max="12032" width="9.109375" style="33"/>
    <col min="12033" max="12033" width="12.77734375" style="33" customWidth="1"/>
    <col min="12034" max="12034" width="69.5546875" style="33" customWidth="1"/>
    <col min="12035" max="12035" width="26" style="33" customWidth="1"/>
    <col min="12036" max="12036" width="18.109375" style="33" customWidth="1"/>
    <col min="12037" max="12288" width="9.109375" style="33"/>
    <col min="12289" max="12289" width="12.77734375" style="33" customWidth="1"/>
    <col min="12290" max="12290" width="69.5546875" style="33" customWidth="1"/>
    <col min="12291" max="12291" width="26" style="33" customWidth="1"/>
    <col min="12292" max="12292" width="18.109375" style="33" customWidth="1"/>
    <col min="12293" max="12544" width="9.109375" style="33"/>
    <col min="12545" max="12545" width="12.77734375" style="33" customWidth="1"/>
    <col min="12546" max="12546" width="69.5546875" style="33" customWidth="1"/>
    <col min="12547" max="12547" width="26" style="33" customWidth="1"/>
    <col min="12548" max="12548" width="18.109375" style="33" customWidth="1"/>
    <col min="12549" max="12800" width="9.109375" style="33"/>
    <col min="12801" max="12801" width="12.77734375" style="33" customWidth="1"/>
    <col min="12802" max="12802" width="69.5546875" style="33" customWidth="1"/>
    <col min="12803" max="12803" width="26" style="33" customWidth="1"/>
    <col min="12804" max="12804" width="18.109375" style="33" customWidth="1"/>
    <col min="12805" max="13056" width="9.109375" style="33"/>
    <col min="13057" max="13057" width="12.77734375" style="33" customWidth="1"/>
    <col min="13058" max="13058" width="69.5546875" style="33" customWidth="1"/>
    <col min="13059" max="13059" width="26" style="33" customWidth="1"/>
    <col min="13060" max="13060" width="18.109375" style="33" customWidth="1"/>
    <col min="13061" max="13312" width="9.109375" style="33"/>
    <col min="13313" max="13313" width="12.77734375" style="33" customWidth="1"/>
    <col min="13314" max="13314" width="69.5546875" style="33" customWidth="1"/>
    <col min="13315" max="13315" width="26" style="33" customWidth="1"/>
    <col min="13316" max="13316" width="18.109375" style="33" customWidth="1"/>
    <col min="13317" max="13568" width="9.109375" style="33"/>
    <col min="13569" max="13569" width="12.77734375" style="33" customWidth="1"/>
    <col min="13570" max="13570" width="69.5546875" style="33" customWidth="1"/>
    <col min="13571" max="13571" width="26" style="33" customWidth="1"/>
    <col min="13572" max="13572" width="18.109375" style="33" customWidth="1"/>
    <col min="13573" max="13824" width="9.109375" style="33"/>
    <col min="13825" max="13825" width="12.77734375" style="33" customWidth="1"/>
    <col min="13826" max="13826" width="69.5546875" style="33" customWidth="1"/>
    <col min="13827" max="13827" width="26" style="33" customWidth="1"/>
    <col min="13828" max="13828" width="18.109375" style="33" customWidth="1"/>
    <col min="13829" max="14080" width="9.109375" style="33"/>
    <col min="14081" max="14081" width="12.77734375" style="33" customWidth="1"/>
    <col min="14082" max="14082" width="69.5546875" style="33" customWidth="1"/>
    <col min="14083" max="14083" width="26" style="33" customWidth="1"/>
    <col min="14084" max="14084" width="18.109375" style="33" customWidth="1"/>
    <col min="14085" max="14336" width="9.109375" style="33"/>
    <col min="14337" max="14337" width="12.77734375" style="33" customWidth="1"/>
    <col min="14338" max="14338" width="69.5546875" style="33" customWidth="1"/>
    <col min="14339" max="14339" width="26" style="33" customWidth="1"/>
    <col min="14340" max="14340" width="18.109375" style="33" customWidth="1"/>
    <col min="14341" max="14592" width="9.109375" style="33"/>
    <col min="14593" max="14593" width="12.77734375" style="33" customWidth="1"/>
    <col min="14594" max="14594" width="69.5546875" style="33" customWidth="1"/>
    <col min="14595" max="14595" width="26" style="33" customWidth="1"/>
    <col min="14596" max="14596" width="18.109375" style="33" customWidth="1"/>
    <col min="14597" max="14848" width="9.109375" style="33"/>
    <col min="14849" max="14849" width="12.77734375" style="33" customWidth="1"/>
    <col min="14850" max="14850" width="69.5546875" style="33" customWidth="1"/>
    <col min="14851" max="14851" width="26" style="33" customWidth="1"/>
    <col min="14852" max="14852" width="18.109375" style="33" customWidth="1"/>
    <col min="14853" max="15104" width="9.109375" style="33"/>
    <col min="15105" max="15105" width="12.77734375" style="33" customWidth="1"/>
    <col min="15106" max="15106" width="69.5546875" style="33" customWidth="1"/>
    <col min="15107" max="15107" width="26" style="33" customWidth="1"/>
    <col min="15108" max="15108" width="18.109375" style="33" customWidth="1"/>
    <col min="15109" max="15360" width="9.109375" style="33"/>
    <col min="15361" max="15361" width="12.77734375" style="33" customWidth="1"/>
    <col min="15362" max="15362" width="69.5546875" style="33" customWidth="1"/>
    <col min="15363" max="15363" width="26" style="33" customWidth="1"/>
    <col min="15364" max="15364" width="18.109375" style="33" customWidth="1"/>
    <col min="15365" max="15616" width="9.109375" style="33"/>
    <col min="15617" max="15617" width="12.77734375" style="33" customWidth="1"/>
    <col min="15618" max="15618" width="69.5546875" style="33" customWidth="1"/>
    <col min="15619" max="15619" width="26" style="33" customWidth="1"/>
    <col min="15620" max="15620" width="18.109375" style="33" customWidth="1"/>
    <col min="15621" max="15872" width="9.109375" style="33"/>
    <col min="15873" max="15873" width="12.77734375" style="33" customWidth="1"/>
    <col min="15874" max="15874" width="69.5546875" style="33" customWidth="1"/>
    <col min="15875" max="15875" width="26" style="33" customWidth="1"/>
    <col min="15876" max="15876" width="18.109375" style="33" customWidth="1"/>
    <col min="15877" max="16128" width="9.109375" style="33"/>
    <col min="16129" max="16129" width="12.77734375" style="33" customWidth="1"/>
    <col min="16130" max="16130" width="69.5546875" style="33" customWidth="1"/>
    <col min="16131" max="16131" width="26" style="33" customWidth="1"/>
    <col min="16132" max="16132" width="18.109375" style="33" customWidth="1"/>
    <col min="16133" max="16384" width="9.109375" style="33"/>
  </cols>
  <sheetData>
    <row r="1" spans="1:14" ht="33.75" customHeight="1" x14ac:dyDescent="0.4">
      <c r="A1" s="343"/>
      <c r="B1" s="343"/>
      <c r="C1" s="343"/>
      <c r="D1" s="343"/>
      <c r="E1" s="343"/>
      <c r="F1" s="343"/>
      <c r="G1" s="343"/>
      <c r="H1" s="343"/>
      <c r="I1" s="343"/>
      <c r="J1" s="32"/>
      <c r="K1" s="32"/>
      <c r="L1" s="32"/>
      <c r="M1" s="32"/>
      <c r="N1" s="32"/>
    </row>
    <row r="2" spans="1:14" ht="56.25" customHeight="1" x14ac:dyDescent="0.4">
      <c r="A2" s="342" t="s">
        <v>369</v>
      </c>
      <c r="B2" s="342"/>
      <c r="C2" s="342"/>
      <c r="D2" s="342"/>
      <c r="E2" s="342"/>
      <c r="F2" s="342"/>
      <c r="G2" s="342"/>
      <c r="H2" s="342"/>
      <c r="I2" s="342"/>
    </row>
    <row r="3" spans="1:14" ht="24" customHeight="1" x14ac:dyDescent="0.85">
      <c r="A3" s="344" t="s">
        <v>454</v>
      </c>
      <c r="B3" s="344"/>
      <c r="C3" s="344"/>
      <c r="D3" s="344"/>
    </row>
    <row r="4" spans="1:14" ht="14.25" customHeight="1" x14ac:dyDescent="0.4">
      <c r="A4" s="339" t="s">
        <v>367</v>
      </c>
      <c r="B4" s="339"/>
      <c r="C4" s="339"/>
      <c r="D4" s="339"/>
    </row>
    <row r="5" spans="1:14" x14ac:dyDescent="0.4">
      <c r="A5" s="338" t="s">
        <v>368</v>
      </c>
      <c r="B5" s="296" t="s">
        <v>526</v>
      </c>
      <c r="C5" s="338"/>
      <c r="D5" s="296"/>
    </row>
    <row r="7" spans="1:14" x14ac:dyDescent="0.4">
      <c r="A7" s="3" t="s">
        <v>290</v>
      </c>
    </row>
    <row r="8" spans="1:14" s="110" customFormat="1" x14ac:dyDescent="0.4">
      <c r="A8" s="3"/>
    </row>
    <row r="9" spans="1:14" s="110" customFormat="1" ht="82.5" customHeight="1" x14ac:dyDescent="0.4">
      <c r="A9" s="341" t="s">
        <v>365</v>
      </c>
      <c r="B9" s="341"/>
      <c r="C9" s="341"/>
      <c r="D9" s="341"/>
      <c r="E9" s="341"/>
      <c r="F9" s="341"/>
      <c r="G9" s="341"/>
      <c r="H9" s="341"/>
      <c r="I9" s="341"/>
    </row>
    <row r="10" spans="1:14" ht="45" customHeight="1" x14ac:dyDescent="0.4">
      <c r="A10" s="341" t="s">
        <v>370</v>
      </c>
      <c r="B10" s="341"/>
      <c r="C10" s="341"/>
      <c r="D10" s="341"/>
      <c r="E10" s="341"/>
      <c r="F10" s="341"/>
      <c r="G10" s="341"/>
      <c r="H10" s="341"/>
      <c r="I10" s="341"/>
    </row>
    <row r="11" spans="1:14" x14ac:dyDescent="0.4">
      <c r="A11" s="22"/>
      <c r="B11" s="22"/>
      <c r="C11" s="22"/>
      <c r="D11" s="22"/>
      <c r="E11" s="22"/>
      <c r="F11" s="22"/>
      <c r="G11" s="22"/>
      <c r="H11" s="22"/>
      <c r="I11" s="22"/>
    </row>
    <row r="12" spans="1:14" x14ac:dyDescent="0.4">
      <c r="A12" s="22" t="s">
        <v>289</v>
      </c>
      <c r="B12" s="22"/>
      <c r="C12" s="22"/>
      <c r="D12" s="22"/>
      <c r="E12" s="22"/>
      <c r="F12" s="22"/>
      <c r="G12" s="22"/>
      <c r="H12" s="22"/>
      <c r="I12" s="22"/>
    </row>
    <row r="13" spans="1:14" s="2" customFormat="1" x14ac:dyDescent="0.4">
      <c r="A13" s="124"/>
      <c r="B13" s="124"/>
      <c r="C13" s="124"/>
      <c r="D13" s="124"/>
      <c r="E13" s="124"/>
      <c r="F13" s="124"/>
      <c r="G13" s="124"/>
      <c r="H13" s="124"/>
      <c r="I13" s="124"/>
    </row>
    <row r="14" spans="1:14" x14ac:dyDescent="0.4">
      <c r="A14" s="4" t="s">
        <v>284</v>
      </c>
      <c r="B14" s="22"/>
      <c r="C14" s="22"/>
      <c r="D14" s="22"/>
      <c r="E14" s="22"/>
      <c r="F14" s="22"/>
      <c r="G14" s="22"/>
      <c r="H14" s="22"/>
      <c r="I14" s="22"/>
    </row>
    <row r="15" spans="1:14" x14ac:dyDescent="0.4">
      <c r="A15" s="22" t="s">
        <v>285</v>
      </c>
      <c r="B15" s="22"/>
      <c r="C15" s="22"/>
      <c r="D15" s="22"/>
      <c r="E15" s="22"/>
      <c r="F15" s="22"/>
      <c r="G15" s="22"/>
      <c r="H15" s="22"/>
      <c r="I15" s="22"/>
    </row>
    <row r="16" spans="1:14" x14ac:dyDescent="0.4">
      <c r="A16" s="22" t="s">
        <v>377</v>
      </c>
      <c r="B16" s="22"/>
      <c r="C16" s="22"/>
      <c r="D16" s="22"/>
      <c r="E16" s="22"/>
      <c r="F16" s="22"/>
      <c r="G16" s="22"/>
      <c r="H16" s="22"/>
      <c r="I16" s="22"/>
    </row>
    <row r="17" spans="1:9" x14ac:dyDescent="0.4">
      <c r="A17" s="22" t="s">
        <v>286</v>
      </c>
      <c r="B17" s="22"/>
      <c r="C17" s="22"/>
      <c r="D17" s="22"/>
      <c r="E17" s="22"/>
      <c r="F17" s="22"/>
      <c r="G17" s="22"/>
      <c r="H17" s="22"/>
      <c r="I17" s="22"/>
    </row>
    <row r="18" spans="1:9" x14ac:dyDescent="0.4">
      <c r="A18" s="285" t="s">
        <v>287</v>
      </c>
      <c r="B18" s="22"/>
      <c r="C18" s="22"/>
      <c r="D18" s="22"/>
      <c r="E18" s="22"/>
      <c r="F18" s="22"/>
      <c r="G18" s="22"/>
      <c r="H18" s="22"/>
      <c r="I18" s="22"/>
    </row>
    <row r="19" spans="1:9" x14ac:dyDescent="0.4">
      <c r="A19" s="22" t="s">
        <v>288</v>
      </c>
      <c r="B19" s="22"/>
      <c r="C19" s="22"/>
      <c r="D19" s="22"/>
      <c r="E19" s="22"/>
      <c r="F19" s="22"/>
      <c r="G19" s="22"/>
      <c r="H19" s="22"/>
      <c r="I19" s="22"/>
    </row>
    <row r="20" spans="1:9" x14ac:dyDescent="0.4">
      <c r="A20" s="22"/>
      <c r="B20" s="22"/>
      <c r="C20" s="22"/>
      <c r="D20" s="22"/>
      <c r="E20" s="22"/>
      <c r="F20" s="22"/>
      <c r="G20" s="22"/>
      <c r="H20" s="22"/>
      <c r="I20" s="22"/>
    </row>
    <row r="21" spans="1:9" x14ac:dyDescent="0.4">
      <c r="A21" s="22" t="s">
        <v>282</v>
      </c>
      <c r="B21" s="22"/>
      <c r="C21" s="22"/>
      <c r="D21" s="22"/>
      <c r="E21" s="22"/>
      <c r="F21" s="22"/>
      <c r="G21" s="22"/>
      <c r="H21" s="22"/>
      <c r="I21" s="22"/>
    </row>
    <row r="22" spans="1:9" x14ac:dyDescent="0.4">
      <c r="A22" s="22" t="s">
        <v>283</v>
      </c>
      <c r="B22" s="22"/>
      <c r="C22" s="22"/>
      <c r="D22" s="22"/>
      <c r="E22" s="22"/>
      <c r="F22" s="22"/>
      <c r="G22" s="22"/>
      <c r="H22" s="22"/>
      <c r="I22" s="22"/>
    </row>
    <row r="23" spans="1:9" x14ac:dyDescent="0.4">
      <c r="A23" s="22" t="s">
        <v>371</v>
      </c>
      <c r="B23" s="22"/>
      <c r="C23" s="22"/>
      <c r="D23" s="22"/>
      <c r="E23" s="22"/>
      <c r="F23" s="22"/>
      <c r="G23" s="22"/>
      <c r="H23" s="22"/>
      <c r="I23" s="22"/>
    </row>
    <row r="24" spans="1:9" ht="47.25" customHeight="1" x14ac:dyDescent="0.4">
      <c r="A24" s="339"/>
      <c r="B24" s="339"/>
      <c r="C24" s="22"/>
      <c r="D24" s="22"/>
      <c r="E24" s="22"/>
      <c r="F24" s="22"/>
      <c r="G24" s="22"/>
      <c r="H24" s="22"/>
      <c r="I24" s="22"/>
    </row>
    <row r="25" spans="1:9" ht="87.75" customHeight="1" x14ac:dyDescent="0.4">
      <c r="A25" s="340" t="s">
        <v>382</v>
      </c>
      <c r="B25" s="340"/>
      <c r="C25" s="340"/>
      <c r="D25" s="340"/>
      <c r="E25" s="340"/>
      <c r="F25" s="340"/>
      <c r="G25" s="340"/>
      <c r="H25" s="340"/>
      <c r="I25" s="340"/>
    </row>
  </sheetData>
  <mergeCells count="8">
    <mergeCell ref="A24:B24"/>
    <mergeCell ref="A25:I25"/>
    <mergeCell ref="A10:I10"/>
    <mergeCell ref="A2:I2"/>
    <mergeCell ref="A1:I1"/>
    <mergeCell ref="A3:D3"/>
    <mergeCell ref="A9:I9"/>
    <mergeCell ref="A4:D4"/>
  </mergeCells>
  <hyperlinks>
    <hyperlink ref="A18" r:id="rId1" xr:uid="{E1C9BA30-52C5-4DEE-87C9-B6D8DFEC858F}"/>
    <hyperlink ref="B5" r:id="rId2" xr:uid="{8039318B-FACE-4ADE-81D8-DB5F8A9C6B42}"/>
  </hyperlinks>
  <pageMargins left="0.78740157480314965" right="0.78740157480314965" top="0.78740157480314965" bottom="0.78740157480314965" header="0.78740157480314965" footer="0.78740157480314965"/>
  <pageSetup paperSize="9" scale="67" fitToHeight="0" orientation="portrait" r:id="rId3"/>
  <headerFooter alignWithMargins="0">
    <oddFooter>&amp;L&amp;C&amp;R</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L112"/>
  <sheetViews>
    <sheetView showGridLines="0" zoomScaleNormal="100" workbookViewId="0">
      <selection sqref="A1:C1"/>
    </sheetView>
  </sheetViews>
  <sheetFormatPr defaultColWidth="9.109375" defaultRowHeight="12.3" x14ac:dyDescent="0.4"/>
  <cols>
    <col min="1" max="1" width="5.21875" style="33" customWidth="1"/>
    <col min="2" max="2" width="23.21875" style="33" customWidth="1"/>
    <col min="3" max="3" width="83.5546875" style="33" customWidth="1"/>
    <col min="4" max="16384" width="9.109375" style="33"/>
  </cols>
  <sheetData>
    <row r="1" spans="1:8" ht="33.75" customHeight="1" x14ac:dyDescent="0.4">
      <c r="A1" s="346"/>
      <c r="B1" s="346"/>
      <c r="C1" s="346"/>
    </row>
    <row r="2" spans="1:8" ht="30" customHeight="1" x14ac:dyDescent="0.75">
      <c r="A2" s="347" t="s">
        <v>372</v>
      </c>
      <c r="B2" s="348"/>
      <c r="C2" s="348"/>
      <c r="D2" s="348"/>
      <c r="E2" s="348"/>
      <c r="F2" s="348"/>
      <c r="G2" s="348"/>
      <c r="H2" s="348"/>
    </row>
    <row r="3" spans="1:8" ht="18.75" customHeight="1" x14ac:dyDescent="0.4">
      <c r="A3" s="340" t="s">
        <v>267</v>
      </c>
      <c r="B3" s="340"/>
      <c r="C3" s="340"/>
    </row>
    <row r="4" spans="1:8" ht="11.25" customHeight="1" x14ac:dyDescent="0.4">
      <c r="A4" s="24"/>
      <c r="B4" s="24"/>
      <c r="C4" s="24"/>
    </row>
    <row r="5" spans="1:8" ht="16.5" customHeight="1" x14ac:dyDescent="0.4">
      <c r="A5" s="345" t="s">
        <v>329</v>
      </c>
      <c r="B5" s="346"/>
      <c r="C5" s="346"/>
    </row>
    <row r="6" spans="1:8" ht="11.25" customHeight="1" x14ac:dyDescent="0.4">
      <c r="A6" s="23"/>
    </row>
    <row r="7" spans="1:8" ht="13.5" customHeight="1" x14ac:dyDescent="0.4">
      <c r="A7" s="24"/>
      <c r="B7" s="34" t="s">
        <v>334</v>
      </c>
      <c r="C7" s="193" t="s">
        <v>493</v>
      </c>
      <c r="D7" s="217"/>
      <c r="E7" s="110"/>
    </row>
    <row r="8" spans="1:8" ht="13.5" customHeight="1" x14ac:dyDescent="0.4">
      <c r="A8" s="24"/>
      <c r="B8" s="34" t="s">
        <v>335</v>
      </c>
      <c r="C8" s="193" t="s">
        <v>494</v>
      </c>
      <c r="D8" s="217"/>
      <c r="E8" s="110"/>
      <c r="G8" s="217"/>
    </row>
    <row r="9" spans="1:8" ht="13.5" customHeight="1" x14ac:dyDescent="0.4">
      <c r="A9" s="24"/>
      <c r="B9" s="34" t="s">
        <v>336</v>
      </c>
      <c r="C9" s="193" t="s">
        <v>495</v>
      </c>
      <c r="D9" s="217"/>
      <c r="E9" s="110"/>
      <c r="G9" s="217"/>
    </row>
    <row r="10" spans="1:8" ht="11.25" customHeight="1" x14ac:dyDescent="0.4">
      <c r="A10" s="24"/>
      <c r="B10" s="24"/>
      <c r="C10" s="24"/>
      <c r="G10" s="217"/>
    </row>
    <row r="11" spans="1:8" ht="16.5" customHeight="1" x14ac:dyDescent="0.4">
      <c r="A11" s="345" t="s">
        <v>330</v>
      </c>
      <c r="B11" s="346"/>
      <c r="C11" s="346"/>
      <c r="G11" s="217"/>
    </row>
    <row r="12" spans="1:8" ht="11.25" customHeight="1" x14ac:dyDescent="0.4">
      <c r="A12" s="24"/>
      <c r="B12" s="24"/>
      <c r="C12" s="24"/>
      <c r="G12" s="217"/>
    </row>
    <row r="13" spans="1:8" ht="13.5" customHeight="1" x14ac:dyDescent="0.4">
      <c r="A13" s="24"/>
      <c r="B13" s="26" t="s">
        <v>349</v>
      </c>
      <c r="C13" s="296" t="s">
        <v>509</v>
      </c>
      <c r="D13" s="217"/>
      <c r="E13" s="110"/>
      <c r="G13" s="217"/>
    </row>
    <row r="14" spans="1:8" ht="13.5" customHeight="1" x14ac:dyDescent="0.4">
      <c r="A14" s="24"/>
      <c r="B14" s="25" t="s">
        <v>337</v>
      </c>
      <c r="C14" s="296" t="s">
        <v>501</v>
      </c>
      <c r="D14" s="217"/>
      <c r="E14" s="110"/>
      <c r="G14" s="217"/>
    </row>
    <row r="15" spans="1:8" ht="13.5" customHeight="1" x14ac:dyDescent="0.4">
      <c r="A15" s="24"/>
      <c r="B15" s="25" t="s">
        <v>338</v>
      </c>
      <c r="C15" s="296" t="s">
        <v>502</v>
      </c>
      <c r="D15" s="217"/>
      <c r="G15" s="217"/>
    </row>
    <row r="16" spans="1:8" ht="13.5" customHeight="1" x14ac:dyDescent="0.4">
      <c r="A16" s="24"/>
      <c r="B16" s="26" t="s">
        <v>339</v>
      </c>
      <c r="C16" s="296" t="s">
        <v>507</v>
      </c>
      <c r="D16" s="217"/>
      <c r="E16" s="110"/>
      <c r="G16" s="217"/>
    </row>
    <row r="17" spans="1:7" ht="13.5" customHeight="1" x14ac:dyDescent="0.4">
      <c r="A17" s="24"/>
      <c r="B17" s="26" t="s">
        <v>340</v>
      </c>
      <c r="C17" s="296" t="s">
        <v>478</v>
      </c>
      <c r="D17" s="217"/>
      <c r="E17" s="110"/>
      <c r="G17" s="217"/>
    </row>
    <row r="18" spans="1:7" ht="13.5" customHeight="1" x14ac:dyDescent="0.4">
      <c r="A18" s="24"/>
      <c r="B18" s="26" t="s">
        <v>341</v>
      </c>
      <c r="C18" s="296" t="s">
        <v>499</v>
      </c>
      <c r="D18" s="217"/>
      <c r="E18" s="110"/>
      <c r="G18" s="217"/>
    </row>
    <row r="19" spans="1:7" ht="13.5" customHeight="1" x14ac:dyDescent="0.4">
      <c r="A19" s="24"/>
      <c r="B19" s="26" t="s">
        <v>342</v>
      </c>
      <c r="C19" s="296" t="s">
        <v>500</v>
      </c>
      <c r="D19" s="217"/>
      <c r="E19" s="110"/>
      <c r="G19" s="217"/>
    </row>
    <row r="20" spans="1:7" ht="11.25" customHeight="1" x14ac:dyDescent="0.4">
      <c r="A20" s="24"/>
      <c r="B20" s="24"/>
      <c r="C20" s="24"/>
      <c r="G20" s="217"/>
    </row>
    <row r="21" spans="1:7" ht="16.5" customHeight="1" x14ac:dyDescent="0.4">
      <c r="A21" s="345" t="s">
        <v>331</v>
      </c>
      <c r="B21" s="346"/>
      <c r="C21" s="346"/>
      <c r="G21" s="217"/>
    </row>
    <row r="22" spans="1:7" ht="11.25" customHeight="1" x14ac:dyDescent="0.4">
      <c r="A22" s="24"/>
      <c r="B22" s="24"/>
      <c r="C22" s="24"/>
      <c r="G22" s="217"/>
    </row>
    <row r="23" spans="1:7" ht="13.5" customHeight="1" x14ac:dyDescent="0.4">
      <c r="A23" s="24"/>
      <c r="B23" s="109" t="s">
        <v>343</v>
      </c>
      <c r="C23" s="296" t="s">
        <v>480</v>
      </c>
      <c r="D23" s="217"/>
      <c r="G23" s="217"/>
    </row>
    <row r="24" spans="1:7" ht="13.5" customHeight="1" x14ac:dyDescent="0.4">
      <c r="A24" s="24"/>
      <c r="B24" s="109" t="s">
        <v>344</v>
      </c>
      <c r="C24" s="296" t="s">
        <v>482</v>
      </c>
      <c r="D24" s="217"/>
      <c r="G24" s="217"/>
    </row>
    <row r="25" spans="1:7" ht="13.5" customHeight="1" x14ac:dyDescent="0.4">
      <c r="A25" s="24"/>
      <c r="B25" s="26" t="s">
        <v>345</v>
      </c>
      <c r="C25" s="296" t="s">
        <v>504</v>
      </c>
      <c r="D25" s="217"/>
      <c r="G25" s="217"/>
    </row>
    <row r="26" spans="1:7" ht="13.5" customHeight="1" x14ac:dyDescent="0.4">
      <c r="A26" s="24"/>
      <c r="B26" s="26" t="s">
        <v>346</v>
      </c>
      <c r="C26" s="296" t="s">
        <v>503</v>
      </c>
      <c r="D26" s="217"/>
      <c r="E26" s="110"/>
      <c r="G26" s="217"/>
    </row>
    <row r="27" spans="1:7" ht="13.5" customHeight="1" x14ac:dyDescent="0.4">
      <c r="A27" s="24"/>
      <c r="B27" s="26" t="s">
        <v>347</v>
      </c>
      <c r="C27" s="296" t="s">
        <v>505</v>
      </c>
      <c r="D27" s="217"/>
      <c r="E27" s="110"/>
      <c r="G27" s="217"/>
    </row>
    <row r="28" spans="1:7" ht="11.25" customHeight="1" x14ac:dyDescent="0.4">
      <c r="A28" s="24"/>
      <c r="B28" s="24"/>
      <c r="C28" s="24"/>
      <c r="G28" s="217"/>
    </row>
    <row r="29" spans="1:7" ht="16.5" customHeight="1" x14ac:dyDescent="0.4">
      <c r="A29" s="345" t="s">
        <v>332</v>
      </c>
      <c r="B29" s="346"/>
      <c r="C29" s="346"/>
      <c r="G29" s="217"/>
    </row>
    <row r="30" spans="1:7" ht="11.25" customHeight="1" x14ac:dyDescent="0.4">
      <c r="A30" s="24"/>
      <c r="B30" s="24"/>
      <c r="C30" s="24"/>
      <c r="G30" s="217"/>
    </row>
    <row r="31" spans="1:7" ht="13.5" customHeight="1" x14ac:dyDescent="0.4">
      <c r="A31" s="24"/>
      <c r="B31" s="26" t="s">
        <v>348</v>
      </c>
      <c r="C31" s="296" t="s">
        <v>506</v>
      </c>
      <c r="D31" s="217"/>
      <c r="G31" s="217"/>
    </row>
    <row r="32" spans="1:7" ht="13.5" customHeight="1" x14ac:dyDescent="0.4">
      <c r="A32" s="24"/>
      <c r="B32" s="26" t="s">
        <v>351</v>
      </c>
      <c r="C32" s="296" t="s">
        <v>486</v>
      </c>
      <c r="D32" s="217"/>
      <c r="G32" s="217"/>
    </row>
    <row r="33" spans="1:12" ht="13.5" customHeight="1" x14ac:dyDescent="0.4">
      <c r="A33" s="24"/>
      <c r="B33" s="26" t="s">
        <v>352</v>
      </c>
      <c r="C33" s="296" t="s">
        <v>487</v>
      </c>
      <c r="D33" s="217"/>
      <c r="G33" s="217"/>
    </row>
    <row r="34" spans="1:12" ht="11.25" customHeight="1" x14ac:dyDescent="0.4">
      <c r="A34" s="24"/>
      <c r="B34" s="24"/>
      <c r="C34" s="24"/>
    </row>
    <row r="35" spans="1:12" s="295" customFormat="1" ht="12.75" customHeight="1" x14ac:dyDescent="0.4">
      <c r="A35" s="345" t="s">
        <v>412</v>
      </c>
      <c r="B35" s="346"/>
      <c r="C35" s="346"/>
      <c r="D35" s="1"/>
      <c r="F35" s="2"/>
      <c r="G35" s="2"/>
      <c r="H35" s="2"/>
      <c r="I35" s="2"/>
      <c r="J35" s="2"/>
      <c r="K35" s="2"/>
      <c r="L35" s="2"/>
    </row>
    <row r="36" spans="1:12" s="295" customFormat="1" ht="12.75" customHeight="1" x14ac:dyDescent="0.4">
      <c r="A36" s="294"/>
      <c r="C36" s="293"/>
      <c r="D36" s="1"/>
      <c r="F36" s="2"/>
      <c r="G36" s="2"/>
      <c r="H36" s="2"/>
      <c r="I36" s="2"/>
      <c r="J36" s="2"/>
      <c r="K36" s="2"/>
      <c r="L36" s="2"/>
    </row>
    <row r="37" spans="1:12" s="295" customFormat="1" ht="12.75" customHeight="1" x14ac:dyDescent="0.4">
      <c r="B37" s="296" t="s">
        <v>452</v>
      </c>
      <c r="C37" s="296" t="s">
        <v>491</v>
      </c>
      <c r="D37" s="1"/>
      <c r="E37" s="2"/>
      <c r="F37" s="2"/>
      <c r="G37" s="2"/>
      <c r="H37" s="2"/>
      <c r="I37" s="2"/>
      <c r="J37" s="2"/>
      <c r="K37" s="2"/>
      <c r="L37" s="2"/>
    </row>
    <row r="38" spans="1:12" s="295" customFormat="1" ht="12.75" customHeight="1" x14ac:dyDescent="0.4">
      <c r="B38" s="296" t="s">
        <v>453</v>
      </c>
      <c r="C38" s="296" t="s">
        <v>492</v>
      </c>
      <c r="D38" s="1"/>
      <c r="E38" s="2"/>
      <c r="F38" s="2"/>
      <c r="G38" s="2"/>
      <c r="H38" s="2"/>
      <c r="I38" s="2"/>
      <c r="J38" s="2"/>
      <c r="K38" s="2"/>
      <c r="L38" s="2"/>
    </row>
    <row r="39" spans="1:12" s="295" customFormat="1" ht="12.75" customHeight="1" x14ac:dyDescent="0.4">
      <c r="B39" s="296"/>
      <c r="C39" s="296"/>
      <c r="D39" s="1"/>
      <c r="E39" s="2"/>
      <c r="F39" s="2"/>
      <c r="G39" s="2"/>
      <c r="H39" s="2"/>
      <c r="I39" s="2"/>
      <c r="J39" s="2"/>
      <c r="K39" s="2"/>
      <c r="L39" s="2"/>
    </row>
    <row r="40" spans="1:12" ht="16.5" customHeight="1" x14ac:dyDescent="0.4">
      <c r="A40" s="345"/>
      <c r="B40" s="346"/>
      <c r="C40" s="346"/>
    </row>
    <row r="41" spans="1:12" ht="11.25" customHeight="1" x14ac:dyDescent="0.4">
      <c r="A41" s="24"/>
      <c r="B41" s="24"/>
      <c r="C41" s="24"/>
    </row>
    <row r="42" spans="1:12" ht="13.5" customHeight="1" x14ac:dyDescent="0.4">
      <c r="A42" s="24"/>
      <c r="B42" s="5"/>
      <c r="C42" s="5"/>
      <c r="D42" s="217"/>
      <c r="E42" s="110"/>
    </row>
    <row r="43" spans="1:12" ht="13.5" customHeight="1" x14ac:dyDescent="0.4">
      <c r="A43" s="24"/>
      <c r="B43" s="35"/>
      <c r="C43" s="35"/>
      <c r="D43" s="217"/>
      <c r="E43" s="110"/>
      <c r="I43" s="217"/>
    </row>
    <row r="44" spans="1:12" ht="13.5" customHeight="1" x14ac:dyDescent="0.4">
      <c r="A44" s="24"/>
      <c r="B44" s="5"/>
      <c r="C44" s="6"/>
      <c r="D44" s="217"/>
      <c r="I44" s="217"/>
    </row>
    <row r="45" spans="1:12" ht="11.25" customHeight="1" x14ac:dyDescent="0.4">
      <c r="A45" s="24"/>
      <c r="B45" s="24"/>
      <c r="C45" s="24"/>
      <c r="E45" s="110"/>
      <c r="I45" s="217"/>
    </row>
    <row r="46" spans="1:12" ht="16.5" customHeight="1" x14ac:dyDescent="0.4">
      <c r="A46" s="345"/>
      <c r="B46" s="346"/>
      <c r="C46" s="346"/>
      <c r="I46" s="217"/>
    </row>
    <row r="47" spans="1:12" ht="11.25" customHeight="1" x14ac:dyDescent="0.4">
      <c r="A47" s="24"/>
      <c r="B47" s="24"/>
      <c r="C47" s="24"/>
      <c r="I47" s="217"/>
    </row>
    <row r="48" spans="1:12" ht="13.5" customHeight="1" x14ac:dyDescent="0.4">
      <c r="A48" s="24"/>
      <c r="B48" s="114"/>
      <c r="C48" s="115"/>
      <c r="D48" s="217"/>
      <c r="I48" s="217"/>
    </row>
    <row r="49" spans="1:9" ht="13.5" customHeight="1" x14ac:dyDescent="0.4">
      <c r="A49" s="24"/>
      <c r="B49" s="114"/>
      <c r="C49" s="115"/>
      <c r="D49" s="217"/>
      <c r="I49" s="217"/>
    </row>
    <row r="50" spans="1:9" ht="13.5" customHeight="1" x14ac:dyDescent="0.4">
      <c r="A50" s="24"/>
      <c r="B50" s="114"/>
      <c r="C50" s="115"/>
      <c r="I50" s="217"/>
    </row>
    <row r="51" spans="1:9" ht="13.5" customHeight="1" x14ac:dyDescent="0.4">
      <c r="A51" s="24"/>
      <c r="B51" s="114"/>
      <c r="C51" s="115"/>
      <c r="D51" s="217"/>
      <c r="I51" s="217"/>
    </row>
    <row r="52" spans="1:9" ht="13.5" customHeight="1" x14ac:dyDescent="0.4">
      <c r="A52" s="24"/>
      <c r="B52" s="114"/>
      <c r="C52" s="115"/>
      <c r="D52" s="217"/>
      <c r="I52" s="217"/>
    </row>
    <row r="53" spans="1:9" ht="13.5" customHeight="1" x14ac:dyDescent="0.4">
      <c r="A53" s="24"/>
      <c r="B53" s="114"/>
      <c r="C53" s="115"/>
      <c r="D53" s="217"/>
      <c r="I53" s="217"/>
    </row>
    <row r="54" spans="1:9" ht="13.5" customHeight="1" x14ac:dyDescent="0.4">
      <c r="A54" s="24"/>
      <c r="B54" s="114"/>
      <c r="C54" s="115"/>
      <c r="D54" s="217"/>
      <c r="I54" s="217"/>
    </row>
    <row r="55" spans="1:9" ht="13.5" customHeight="1" x14ac:dyDescent="0.4">
      <c r="A55" s="24"/>
      <c r="B55" s="114"/>
      <c r="C55" s="115"/>
      <c r="D55" s="217"/>
      <c r="I55" s="217"/>
    </row>
    <row r="56" spans="1:9" ht="13.5" customHeight="1" x14ac:dyDescent="0.4">
      <c r="A56" s="24"/>
      <c r="B56" s="114"/>
      <c r="C56" s="115"/>
      <c r="D56" s="217"/>
      <c r="I56" s="217"/>
    </row>
    <row r="57" spans="1:9" ht="13.5" customHeight="1" x14ac:dyDescent="0.4">
      <c r="A57" s="113"/>
      <c r="B57" s="114"/>
      <c r="C57" s="192"/>
      <c r="D57" s="217"/>
      <c r="I57" s="217"/>
    </row>
    <row r="58" spans="1:9" ht="13.5" customHeight="1" x14ac:dyDescent="0.4">
      <c r="A58" s="113"/>
      <c r="B58" s="114"/>
      <c r="C58" s="192"/>
      <c r="D58" s="217"/>
      <c r="I58" s="217"/>
    </row>
    <row r="59" spans="1:9" ht="13.5" customHeight="1" x14ac:dyDescent="0.4">
      <c r="A59" s="113"/>
      <c r="B59" s="114"/>
      <c r="C59" s="192"/>
      <c r="D59" s="217"/>
      <c r="I59" s="217"/>
    </row>
    <row r="60" spans="1:9" ht="13.5" customHeight="1" x14ac:dyDescent="0.4">
      <c r="A60" s="113"/>
      <c r="B60" s="114"/>
      <c r="C60" s="192"/>
      <c r="D60" s="217"/>
      <c r="I60" s="217"/>
    </row>
    <row r="61" spans="1:9" ht="11.25" customHeight="1" x14ac:dyDescent="0.4">
      <c r="A61" s="24"/>
      <c r="B61" s="24"/>
      <c r="C61" s="24"/>
      <c r="I61" s="217"/>
    </row>
    <row r="62" spans="1:9" ht="16.5" customHeight="1" x14ac:dyDescent="0.4">
      <c r="A62" s="345"/>
      <c r="B62" s="346"/>
      <c r="C62" s="346"/>
      <c r="I62" s="217"/>
    </row>
    <row r="63" spans="1:9" ht="11.25" customHeight="1" x14ac:dyDescent="0.4">
      <c r="A63" s="24"/>
      <c r="B63" s="24"/>
      <c r="C63" s="24"/>
      <c r="I63" s="217"/>
    </row>
    <row r="64" spans="1:9" ht="13.5" customHeight="1" x14ac:dyDescent="0.4">
      <c r="A64" s="24"/>
      <c r="B64" s="114"/>
      <c r="C64" s="115"/>
      <c r="D64" s="111"/>
      <c r="I64" s="217"/>
    </row>
    <row r="65" spans="1:12" ht="13.5" customHeight="1" x14ac:dyDescent="0.4">
      <c r="A65" s="24"/>
      <c r="B65" s="114"/>
      <c r="C65" s="115"/>
      <c r="D65" s="111"/>
      <c r="I65" s="217"/>
    </row>
    <row r="66" spans="1:12" ht="13.5" customHeight="1" x14ac:dyDescent="0.4">
      <c r="A66" s="24"/>
      <c r="B66" s="114"/>
      <c r="C66" s="115"/>
      <c r="D66" s="111"/>
      <c r="I66" s="217"/>
    </row>
    <row r="67" spans="1:12" ht="11.25" customHeight="1" x14ac:dyDescent="0.4">
      <c r="A67" s="24"/>
      <c r="B67" s="24"/>
      <c r="C67" s="24"/>
      <c r="I67" s="217"/>
    </row>
    <row r="68" spans="1:12" ht="16.5" customHeight="1" x14ac:dyDescent="0.4">
      <c r="A68" s="345"/>
      <c r="B68" s="346"/>
      <c r="C68" s="346"/>
      <c r="I68" s="217"/>
    </row>
    <row r="69" spans="1:12" ht="11.25" customHeight="1" x14ac:dyDescent="0.4">
      <c r="A69" s="36"/>
      <c r="B69" s="36"/>
      <c r="C69" s="36"/>
      <c r="D69" s="32"/>
      <c r="I69" s="217"/>
    </row>
    <row r="70" spans="1:12" ht="13.5" customHeight="1" x14ac:dyDescent="0.4">
      <c r="A70" s="36"/>
      <c r="B70" s="193"/>
      <c r="C70" s="115"/>
      <c r="D70" s="111"/>
      <c r="I70" s="217"/>
    </row>
    <row r="71" spans="1:12" ht="13.5" customHeight="1" x14ac:dyDescent="0.4">
      <c r="A71" s="36"/>
      <c r="B71" s="193"/>
      <c r="C71" s="115"/>
      <c r="D71" s="111"/>
      <c r="F71" s="2"/>
      <c r="G71" s="2"/>
      <c r="H71" s="2"/>
      <c r="I71" s="217"/>
      <c r="J71" s="2"/>
      <c r="K71" s="2"/>
      <c r="L71" s="2"/>
    </row>
    <row r="72" spans="1:12" ht="13.5" customHeight="1" x14ac:dyDescent="0.4">
      <c r="A72" s="36"/>
      <c r="B72" s="193"/>
      <c r="C72" s="115"/>
      <c r="D72" s="111"/>
      <c r="F72" s="2"/>
      <c r="G72" s="2"/>
      <c r="H72" s="2"/>
      <c r="I72" s="217"/>
      <c r="J72" s="2"/>
      <c r="K72" s="2"/>
      <c r="L72" s="2"/>
    </row>
    <row r="73" spans="1:12" ht="13.5" customHeight="1" x14ac:dyDescent="0.4">
      <c r="B73" s="115"/>
      <c r="C73" s="115"/>
      <c r="D73" s="111"/>
      <c r="F73" s="2"/>
      <c r="G73" s="2"/>
      <c r="H73" s="2"/>
      <c r="I73" s="217"/>
      <c r="J73" s="2"/>
      <c r="K73" s="2"/>
      <c r="L73" s="2"/>
    </row>
    <row r="74" spans="1:12" s="110" customFormat="1" ht="11.25" customHeight="1" x14ac:dyDescent="0.4">
      <c r="D74" s="111"/>
      <c r="F74" s="2"/>
      <c r="G74" s="2"/>
      <c r="H74" s="2"/>
      <c r="I74" s="217"/>
      <c r="J74" s="2"/>
      <c r="K74" s="2"/>
      <c r="L74" s="2"/>
    </row>
    <row r="75" spans="1:12" ht="16.5" customHeight="1" x14ac:dyDescent="0.4">
      <c r="A75" s="345"/>
      <c r="B75" s="346"/>
      <c r="C75" s="346"/>
      <c r="D75" s="111"/>
      <c r="E75" s="217"/>
      <c r="F75" s="217"/>
      <c r="G75" s="217"/>
      <c r="H75" s="217"/>
      <c r="I75" s="217"/>
      <c r="J75" s="217"/>
      <c r="K75" s="217"/>
      <c r="L75" s="2"/>
    </row>
    <row r="76" spans="1:12" ht="11.25" customHeight="1" x14ac:dyDescent="0.4">
      <c r="D76" s="111"/>
      <c r="E76" s="217"/>
      <c r="F76" s="217"/>
      <c r="G76" s="217"/>
      <c r="H76" s="217"/>
      <c r="I76" s="217"/>
      <c r="J76" s="217"/>
      <c r="K76" s="217"/>
      <c r="L76" s="2"/>
    </row>
    <row r="77" spans="1:12" ht="13.5" customHeight="1" x14ac:dyDescent="0.4">
      <c r="B77" s="115"/>
      <c r="C77" s="115"/>
      <c r="D77" s="111"/>
      <c r="E77" s="217"/>
      <c r="F77" s="217"/>
      <c r="G77" s="217"/>
      <c r="H77" s="217"/>
      <c r="I77" s="217"/>
      <c r="J77" s="217"/>
      <c r="K77" s="217"/>
      <c r="L77" s="2"/>
    </row>
    <row r="78" spans="1:12" s="110" customFormat="1" ht="11.25" customHeight="1" x14ac:dyDescent="0.4">
      <c r="D78" s="111"/>
      <c r="E78" s="217"/>
      <c r="F78" s="217"/>
      <c r="G78" s="217"/>
      <c r="H78" s="217"/>
      <c r="I78" s="217"/>
      <c r="J78" s="217"/>
      <c r="K78" s="217"/>
      <c r="L78" s="2"/>
    </row>
    <row r="79" spans="1:12" s="110" customFormat="1" ht="16.5" customHeight="1" x14ac:dyDescent="0.4">
      <c r="A79" s="345"/>
      <c r="B79" s="346"/>
      <c r="C79" s="346"/>
      <c r="D79" s="217"/>
      <c r="E79" s="217"/>
      <c r="F79" s="217"/>
      <c r="G79" s="217"/>
      <c r="H79" s="217"/>
      <c r="I79" s="217"/>
      <c r="J79" s="217"/>
      <c r="K79" s="217"/>
    </row>
    <row r="80" spans="1:12" ht="11.25" customHeight="1" x14ac:dyDescent="0.4">
      <c r="D80" s="111"/>
      <c r="E80" s="217"/>
      <c r="F80" s="217"/>
      <c r="G80" s="217"/>
      <c r="H80" s="217"/>
      <c r="I80" s="217"/>
      <c r="J80" s="217"/>
      <c r="K80" s="217"/>
      <c r="L80" s="2"/>
    </row>
    <row r="81" spans="1:12" ht="13.5" customHeight="1" x14ac:dyDescent="0.4">
      <c r="B81" s="115"/>
      <c r="C81" s="115"/>
      <c r="D81" s="111"/>
      <c r="E81" s="217"/>
      <c r="F81" s="217"/>
      <c r="G81" s="217"/>
      <c r="H81" s="217"/>
      <c r="I81" s="217"/>
      <c r="J81" s="217"/>
      <c r="K81" s="217"/>
      <c r="L81" s="2"/>
    </row>
    <row r="82" spans="1:12" ht="12.75" customHeight="1" x14ac:dyDescent="0.4">
      <c r="D82" s="111"/>
      <c r="E82" s="217"/>
      <c r="F82" s="217"/>
      <c r="G82" s="217"/>
      <c r="H82" s="217"/>
      <c r="I82" s="217"/>
      <c r="J82" s="217"/>
      <c r="K82" s="217"/>
      <c r="L82" s="2"/>
    </row>
    <row r="83" spans="1:12" ht="12.75" customHeight="1" x14ac:dyDescent="0.4">
      <c r="A83" s="345"/>
      <c r="B83" s="346"/>
      <c r="C83" s="346"/>
      <c r="D83" s="1"/>
      <c r="F83" s="2"/>
      <c r="G83" s="2"/>
      <c r="H83" s="2"/>
      <c r="I83" s="2"/>
      <c r="J83" s="2"/>
      <c r="K83" s="2"/>
      <c r="L83" s="2"/>
    </row>
    <row r="84" spans="1:12" s="291" customFormat="1" ht="12.75" customHeight="1" x14ac:dyDescent="0.4">
      <c r="A84" s="290"/>
      <c r="C84" s="293"/>
      <c r="D84" s="1"/>
      <c r="F84" s="2"/>
      <c r="G84" s="2"/>
      <c r="H84" s="2"/>
      <c r="I84" s="2"/>
      <c r="J84" s="2"/>
      <c r="K84" s="2"/>
      <c r="L84" s="2"/>
    </row>
    <row r="85" spans="1:12" ht="12.75" customHeight="1" x14ac:dyDescent="0.4">
      <c r="B85" s="289"/>
      <c r="C85" s="292"/>
      <c r="D85" s="1"/>
      <c r="E85" s="2"/>
      <c r="F85" s="2"/>
      <c r="G85" s="2"/>
      <c r="H85" s="2"/>
      <c r="I85" s="2"/>
      <c r="J85" s="2"/>
      <c r="K85" s="2"/>
      <c r="L85" s="2"/>
    </row>
    <row r="86" spans="1:12" ht="12.75" customHeight="1" x14ac:dyDescent="0.4">
      <c r="B86" s="289"/>
      <c r="C86" s="292"/>
      <c r="D86" s="1"/>
      <c r="E86" s="2"/>
      <c r="F86" s="2"/>
      <c r="G86" s="2"/>
      <c r="H86" s="2"/>
      <c r="I86" s="2"/>
      <c r="J86" s="2"/>
      <c r="K86" s="2"/>
      <c r="L86" s="2"/>
    </row>
    <row r="87" spans="1:12" ht="12.75" customHeight="1" x14ac:dyDescent="0.4">
      <c r="D87" s="1"/>
      <c r="E87" s="2"/>
      <c r="F87" s="2"/>
      <c r="G87" s="2"/>
      <c r="H87" s="2"/>
      <c r="I87" s="2"/>
      <c r="J87" s="2"/>
      <c r="K87" s="2"/>
      <c r="L87" s="2"/>
    </row>
    <row r="88" spans="1:12" ht="12.75" customHeight="1" x14ac:dyDescent="0.4">
      <c r="D88" s="1"/>
      <c r="E88" s="2"/>
      <c r="F88" s="2"/>
      <c r="G88" s="2"/>
      <c r="H88" s="2"/>
      <c r="I88" s="2"/>
      <c r="J88" s="2"/>
      <c r="K88" s="2"/>
      <c r="L88" s="2"/>
    </row>
    <row r="89" spans="1:12" ht="12.75" customHeight="1" x14ac:dyDescent="0.4">
      <c r="D89" s="1"/>
      <c r="E89" s="2"/>
      <c r="F89" s="2"/>
      <c r="G89" s="2"/>
      <c r="H89" s="2"/>
      <c r="I89" s="2"/>
      <c r="J89" s="2"/>
      <c r="K89" s="2"/>
      <c r="L89" s="2"/>
    </row>
    <row r="90" spans="1:12" ht="12.75" customHeight="1" x14ac:dyDescent="0.4">
      <c r="D90" s="1"/>
      <c r="E90" s="2"/>
      <c r="F90" s="2"/>
      <c r="G90" s="2"/>
      <c r="H90" s="2"/>
      <c r="I90" s="2"/>
      <c r="J90" s="2"/>
      <c r="K90" s="2"/>
      <c r="L90" s="2"/>
    </row>
    <row r="91" spans="1:12" ht="12.75" customHeight="1" x14ac:dyDescent="0.4">
      <c r="D91" s="1"/>
      <c r="E91" s="2"/>
      <c r="F91" s="2"/>
      <c r="G91" s="2"/>
      <c r="H91" s="2"/>
      <c r="I91" s="2"/>
      <c r="J91" s="2"/>
      <c r="K91" s="2"/>
      <c r="L91" s="2"/>
    </row>
    <row r="92" spans="1:12" ht="12.75" customHeight="1" x14ac:dyDescent="0.4">
      <c r="D92" s="1"/>
      <c r="E92" s="2"/>
      <c r="F92" s="2"/>
      <c r="G92" s="2"/>
      <c r="H92" s="2"/>
      <c r="I92" s="2"/>
      <c r="J92" s="2"/>
      <c r="K92" s="2"/>
      <c r="L92" s="2"/>
    </row>
    <row r="93" spans="1:12" ht="12.75" customHeight="1" x14ac:dyDescent="0.4">
      <c r="D93" s="1"/>
      <c r="E93" s="2"/>
      <c r="F93" s="2"/>
      <c r="G93" s="2"/>
      <c r="H93" s="2"/>
      <c r="I93" s="2"/>
      <c r="J93" s="2"/>
      <c r="K93" s="2"/>
      <c r="L93" s="2"/>
    </row>
    <row r="94" spans="1:12" ht="12.75" customHeight="1" x14ac:dyDescent="0.4">
      <c r="D94" s="1"/>
      <c r="E94" s="2"/>
      <c r="F94" s="2"/>
      <c r="G94" s="2"/>
      <c r="H94" s="2"/>
      <c r="I94" s="2"/>
      <c r="J94" s="2"/>
      <c r="K94" s="2"/>
      <c r="L94" s="2"/>
    </row>
    <row r="95" spans="1:12" ht="12.75" customHeight="1" x14ac:dyDescent="0.4">
      <c r="D95" s="1"/>
      <c r="E95" s="2"/>
      <c r="F95" s="2"/>
      <c r="G95" s="2"/>
      <c r="H95" s="2"/>
      <c r="I95" s="2"/>
      <c r="J95" s="2"/>
      <c r="K95" s="2"/>
      <c r="L95" s="2"/>
    </row>
    <row r="96" spans="1:12" ht="12.75" customHeight="1" x14ac:dyDescent="0.4">
      <c r="D96" s="1"/>
      <c r="E96" s="2"/>
      <c r="F96" s="2"/>
      <c r="G96" s="2"/>
      <c r="H96" s="2"/>
      <c r="I96" s="2"/>
      <c r="J96" s="2"/>
      <c r="K96" s="2"/>
      <c r="L96" s="2"/>
    </row>
    <row r="97" spans="4:12" ht="12.75" customHeight="1" x14ac:dyDescent="0.4">
      <c r="D97" s="1"/>
      <c r="E97" s="2"/>
      <c r="F97" s="2"/>
      <c r="G97" s="2"/>
      <c r="H97" s="2"/>
      <c r="I97" s="2"/>
      <c r="J97" s="2"/>
      <c r="K97" s="2"/>
      <c r="L97" s="2"/>
    </row>
    <row r="98" spans="4:12" ht="12.75" customHeight="1" x14ac:dyDescent="0.4">
      <c r="D98" s="1"/>
      <c r="E98" s="2"/>
      <c r="F98" s="2"/>
      <c r="G98" s="2"/>
      <c r="H98" s="2"/>
      <c r="I98" s="2"/>
      <c r="J98" s="2"/>
      <c r="K98" s="2"/>
      <c r="L98" s="2"/>
    </row>
    <row r="99" spans="4:12" ht="12.75" customHeight="1" x14ac:dyDescent="0.4">
      <c r="D99" s="1"/>
      <c r="E99" s="2"/>
      <c r="F99" s="2"/>
      <c r="G99" s="2"/>
      <c r="H99" s="2"/>
      <c r="I99" s="2"/>
      <c r="J99" s="2"/>
      <c r="K99" s="2"/>
      <c r="L99" s="2"/>
    </row>
    <row r="100" spans="4:12" ht="12.75" customHeight="1" x14ac:dyDescent="0.4">
      <c r="D100" s="1"/>
      <c r="E100" s="2"/>
      <c r="F100" s="2"/>
      <c r="G100" s="2"/>
      <c r="H100" s="2"/>
      <c r="I100" s="2"/>
      <c r="J100" s="2"/>
      <c r="K100" s="2"/>
      <c r="L100" s="2"/>
    </row>
    <row r="101" spans="4:12" ht="12.75" customHeight="1" x14ac:dyDescent="0.4">
      <c r="D101" s="1"/>
      <c r="E101" s="2"/>
      <c r="F101" s="2"/>
      <c r="G101" s="2"/>
      <c r="H101" s="2"/>
      <c r="I101" s="2"/>
      <c r="J101" s="2"/>
      <c r="K101" s="2"/>
      <c r="L101" s="2"/>
    </row>
    <row r="102" spans="4:12" ht="12.75" customHeight="1" x14ac:dyDescent="0.4">
      <c r="D102" s="1"/>
      <c r="E102" s="2"/>
      <c r="F102" s="2"/>
      <c r="G102" s="2"/>
      <c r="H102" s="2"/>
      <c r="I102" s="2"/>
      <c r="J102" s="2"/>
      <c r="K102" s="2"/>
      <c r="L102" s="2"/>
    </row>
    <row r="103" spans="4:12" ht="12.75" customHeight="1" x14ac:dyDescent="0.4">
      <c r="D103" s="1"/>
      <c r="E103" s="2"/>
      <c r="F103" s="2"/>
      <c r="G103" s="2"/>
      <c r="H103" s="2"/>
      <c r="I103" s="2"/>
      <c r="J103" s="2"/>
      <c r="K103" s="2"/>
      <c r="L103" s="2"/>
    </row>
    <row r="104" spans="4:12" ht="12.75" customHeight="1" x14ac:dyDescent="0.4">
      <c r="D104" s="1"/>
      <c r="E104" s="2"/>
      <c r="F104" s="2"/>
      <c r="G104" s="2"/>
      <c r="H104" s="2"/>
      <c r="I104" s="2"/>
      <c r="J104" s="2"/>
      <c r="K104" s="2"/>
      <c r="L104" s="2"/>
    </row>
    <row r="105" spans="4:12" ht="12.75" customHeight="1" x14ac:dyDescent="0.4">
      <c r="D105" s="1"/>
      <c r="E105" s="2"/>
      <c r="F105" s="2"/>
      <c r="G105" s="2"/>
      <c r="H105" s="2"/>
      <c r="I105" s="2"/>
      <c r="J105" s="2"/>
      <c r="K105" s="2"/>
      <c r="L105" s="2"/>
    </row>
    <row r="106" spans="4:12" ht="12.75" customHeight="1" x14ac:dyDescent="0.4">
      <c r="D106" s="1"/>
      <c r="E106" s="34"/>
      <c r="F106" s="34"/>
      <c r="G106" s="34"/>
      <c r="H106" s="34"/>
      <c r="I106" s="34"/>
    </row>
    <row r="107" spans="4:12" ht="11.25" customHeight="1" x14ac:dyDescent="0.4">
      <c r="D107" s="1"/>
    </row>
    <row r="108" spans="4:12" ht="15" customHeight="1" x14ac:dyDescent="0.4">
      <c r="D108" s="1"/>
    </row>
    <row r="109" spans="4:12" ht="11.25" customHeight="1" x14ac:dyDescent="0.4">
      <c r="D109" s="1"/>
    </row>
    <row r="110" spans="4:12" ht="12.75" customHeight="1" x14ac:dyDescent="0.4">
      <c r="D110" s="34"/>
    </row>
    <row r="111" spans="4:12" x14ac:dyDescent="0.4">
      <c r="D111" s="32"/>
    </row>
    <row r="112" spans="4:12" ht="12.75" customHeight="1" x14ac:dyDescent="0.4"/>
  </sheetData>
  <mergeCells count="15">
    <mergeCell ref="A83:C83"/>
    <mergeCell ref="A79:C79"/>
    <mergeCell ref="A75:C75"/>
    <mergeCell ref="A68:C68"/>
    <mergeCell ref="A1:C1"/>
    <mergeCell ref="A2:H2"/>
    <mergeCell ref="A3:C3"/>
    <mergeCell ref="A40:C40"/>
    <mergeCell ref="A46:C46"/>
    <mergeCell ref="A62:C62"/>
    <mergeCell ref="A5:C5"/>
    <mergeCell ref="A11:C11"/>
    <mergeCell ref="A21:C21"/>
    <mergeCell ref="A29:C29"/>
    <mergeCell ref="A35:C35"/>
  </mergeCells>
  <hyperlinks>
    <hyperlink ref="B7:C7" location="'Summary report 1'!A1" display="Summary report 1" xr:uid="{00000000-0004-0000-0100-000006000000}"/>
    <hyperlink ref="B8:C8" location="'Summary report 2'!A1" display="Summary report 2" xr:uid="{00000000-0004-0000-0100-000007000000}"/>
    <hyperlink ref="B9:C9" location="'Summary report 3'!A1" display="Summary report 3" xr:uid="{00000000-0004-0000-0100-000008000000}"/>
    <hyperlink ref="B14:C14" location="'Summary report 5'!A1" display="Summary report 5" xr:uid="{00000000-0004-0000-0100-000009000000}"/>
    <hyperlink ref="B15:C15" location="'Summary report 6'!A1" display="Summary report 6" xr:uid="{00000000-0004-0000-0100-00000A000000}"/>
    <hyperlink ref="B13:C13" location="'Summary report 4'!A1" display="Summary report 4" xr:uid="{00000000-0004-0000-0100-00000B000000}"/>
    <hyperlink ref="B16:C16" location="'Summary report 7'!A1" display="Summary report 7" xr:uid="{00000000-0004-0000-0100-00000C000000}"/>
    <hyperlink ref="B17:C17" location="'Summary report 8'!A1" display="Summary report 8" xr:uid="{00000000-0004-0000-0100-00000D000000}"/>
    <hyperlink ref="B18:C18" location="'Summary report 9-10'!A1" display="Summary report 9" xr:uid="{00000000-0004-0000-0100-00000E000000}"/>
    <hyperlink ref="B19:C19" location="'Summary report 9-10'!A9" display="Summary report 10" xr:uid="{00000000-0004-0000-0100-00000F000000}"/>
    <hyperlink ref="B23:C23" location="'Summary report 11'!A1" display="Summary report 11" xr:uid="{00000000-0004-0000-0100-000010000000}"/>
    <hyperlink ref="B24:C24" location="'Summary report 12'!A1" display="Summary report 12" xr:uid="{00000000-0004-0000-0100-000011000000}"/>
    <hyperlink ref="B25:C25" location="'Summary report 13'!A1" display="Summary report 13" xr:uid="{00000000-0004-0000-0100-000012000000}"/>
    <hyperlink ref="B26:C26" location="'Summary report 14'!A1" display="Summary report 14" xr:uid="{00000000-0004-0000-0100-000013000000}"/>
    <hyperlink ref="B27:C27" location="'Summary report 15'!A1" display="Summary report 15" xr:uid="{00000000-0004-0000-0100-000014000000}"/>
    <hyperlink ref="B31:C31" location="'Summary report 16'!A1" display="Summary report 16" xr:uid="{00000000-0004-0000-0100-000015000000}"/>
    <hyperlink ref="B32:C32" location="'Summary report 17'!A1" display="Summary report 17" xr:uid="{00000000-0004-0000-0100-000016000000}"/>
    <hyperlink ref="B33:C33" location="'Summary report 18'!A1" display="Summary report 18" xr:uid="{00000000-0004-0000-0100-000017000000}"/>
    <hyperlink ref="B37" location="'Summary report 19'!A1" display="Summary report 19" xr:uid="{BF61FA19-5F25-4718-9178-82C46EE70577}"/>
    <hyperlink ref="B38" location="'Summary report 20'!A1" display="Summary report 20" xr:uid="{72D46F14-F694-46ED-938A-9069A3A95958}"/>
    <hyperlink ref="C37" location="'Summary report 19'!A1" display="A&amp;E Attendances by Index of Multiple Deprivation and Rate per 100,000 Population, 2017-18" xr:uid="{A8E71D20-CD3D-4AFE-A02C-F2822A506167}"/>
    <hyperlink ref="C38" location="'Summary report 20'!A1" display="A&amp;E Attendances by Ethnicity and Rate per 100,000 Population, 2017-18" xr:uid="{2B187156-D8A7-4082-82DA-15D5AE5CCDFD}"/>
    <hyperlink ref="C16" location="'Summary report 7'!A1" display="Percentage of Patient Attendances Spending 4 Hours or Less in A&amp;E by Provider, 2017-18" xr:uid="{2E8583F6-5D17-43BA-BAB2-C90527A145F1}"/>
    <hyperlink ref="C17" location="'Summary report 8'!A1" display="Total Time in A&amp;E from Hour of Arrival to Transfer, Admission or Discharge, 2017-18" xr:uid="{5EFBB017-58D9-4B7B-AB1E-CAB4A13A106C}"/>
    <hyperlink ref="C23" location="'Summary report 11'!A1" display="A&amp;E Attendances by Time of Arrival and Day of Week, 2017-18" xr:uid="{8D6ADED5-4456-4ECA-9AA3-066F68C02A68}"/>
    <hyperlink ref="C24" location="'Summary report 12'!A1" display="A&amp;E Attendances Where Patient Arrived by Ambulance, by Hour of Arrival, 2017-18" xr:uid="{92000328-4F67-4433-836D-7A05F4CA8A0D}"/>
    <hyperlink ref="C32" location="'Summary report 17'!A1" display="Percentage of Reattendances by Day of Week of First Attendance, 2017-18" xr:uid="{9F134A64-E1DF-4754-AC2B-36AF3B9079F1}"/>
    <hyperlink ref="C33" location="'Summary report 18'!A1" display="Percentage of Reattendances by Age and Sex, 2017-18" xr:uid="{FD29DCC7-5138-42D5-91D4-20E599210053}"/>
    <hyperlink ref="C31" location="'Summary report 16'!A1" display="Number and Percentage of A&amp;E Reattendances, 2008-09 to 2017-18" xr:uid="{A7FA356C-92CD-4E9C-ADB7-308672FC5150}"/>
    <hyperlink ref="C7" location="'Summary report 1'!A1" display="Summary of A&amp;E Attendances, 2008-09 to 2017-18" xr:uid="{D6D19767-54C1-4B84-9CCE-902D9F778254}"/>
    <hyperlink ref="C8" location="'Summary report 2'!A1" display="A&amp;E Attendances by Department Type, 2008-09 to 2017-18" xr:uid="{346F513E-3CC9-4819-918B-C5E55D5FDD47}"/>
    <hyperlink ref="C9" location="'Summary report 3'!A1" display="A&amp;E Attendances by Age Band, 2008-09 to 2017-18" xr:uid="{53CBEB75-36DC-493A-A579-A220D04961C5}"/>
    <hyperlink ref="C13" location="'Summary report 4'!A1" display="Percentage of Patient Attendances Spending 4 Hours or Less in A&amp;E, 2008-09 to 2017-18" xr:uid="{BF52E33C-18DD-45EE-920F-6839EB332520}"/>
    <hyperlink ref="C14" location="'Summary report 5'!A1" display="Average Number of Attendances of 4 Hours or Less, 2011-12 to 2017-18" xr:uid="{48AC42BB-5409-4ED2-AF51-5E4DDCA58A32}"/>
    <hyperlink ref="C15" location="'Summary report 6'!A1" display="Average Number of Attendances Over 4 Hours, 2011-12 to 2017-18" xr:uid="{88897739-A359-4E37-B0B9-6B8EC9EF7D52}"/>
    <hyperlink ref="C18" location="'Summary report 9-10'!A1" display="Patients Spending Over 12 Hours in A&amp;E From Arrival, 2011-12 to 2017-18" xr:uid="{BBEDD8C2-8FA5-4253-8074-028E78682D16}"/>
    <hyperlink ref="C19" location="'Summary report 9-10'!A9" display="Patients Waiting Over 12 Hours From Decision to Admit to Admission to a Ward, 2011-12 to 2017-18" xr:uid="{384CA066-2B04-4BD3-870F-A61A0D228BF3}"/>
    <hyperlink ref="C26" location="'Summary report 14'!A1" display="Percentage of Attendances Admitted from A&amp;E by Month, 2015-16 to 2017-18" xr:uid="{58A70A69-885A-4B56-9E54-EE6EE8EB7CA0}"/>
    <hyperlink ref="C27" location="'Summary report 15'!A1" display="Percentage of Attendances Admitted from A&amp;E by Year, 2008-09 to 2017-18" xr:uid="{EA5A286A-C970-4F17-A6E9-AD99790C7164}"/>
    <hyperlink ref="C25" location="'Summary report 13'!A1" display="Average Number of Attendances per Day by Month, 2015-16 to 2017-18" xr:uid="{6D4E8358-C3DB-4819-B26A-C582097EE068}"/>
  </hyperlinks>
  <pageMargins left="0.78740157480314965" right="0.78740157480314965" top="0.78740157480314965" bottom="0.78740157480314965" header="0.78740157480314965" footer="0.78740157480314965"/>
  <pageSetup paperSize="9" scale="81" fitToHeight="0" orientation="landscape" r:id="rId1"/>
  <headerFooter alignWithMargins="0">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30"/>
  <sheetViews>
    <sheetView workbookViewId="0"/>
  </sheetViews>
  <sheetFormatPr defaultColWidth="9.109375" defaultRowHeight="13.8" x14ac:dyDescent="0.45"/>
  <cols>
    <col min="1" max="1" width="18.77734375" style="28" bestFit="1" customWidth="1"/>
    <col min="2" max="12" width="11.44140625" style="28" customWidth="1"/>
    <col min="13" max="16384" width="9.109375" style="28"/>
  </cols>
  <sheetData>
    <row r="1" spans="1:12" ht="15" customHeight="1" x14ac:dyDescent="0.45"/>
    <row r="2" spans="1:12" ht="30" customHeight="1" x14ac:dyDescent="0.45">
      <c r="A2" s="355" t="s">
        <v>496</v>
      </c>
      <c r="B2" s="355"/>
      <c r="C2" s="355"/>
      <c r="D2" s="355"/>
      <c r="E2" s="355"/>
      <c r="F2" s="355"/>
      <c r="G2" s="355"/>
      <c r="H2" s="355"/>
      <c r="I2" s="355"/>
      <c r="J2" s="355"/>
      <c r="K2" s="355"/>
      <c r="L2" s="244"/>
    </row>
    <row r="3" spans="1:12" ht="30" customHeight="1" x14ac:dyDescent="0.45">
      <c r="A3" s="356" t="s">
        <v>359</v>
      </c>
      <c r="B3" s="356"/>
      <c r="C3" s="356"/>
      <c r="D3" s="356"/>
      <c r="E3" s="356"/>
      <c r="F3" s="356"/>
      <c r="G3" s="356"/>
      <c r="H3" s="356"/>
      <c r="I3" s="356"/>
      <c r="J3" s="356"/>
      <c r="K3" s="356"/>
      <c r="L3" s="245"/>
    </row>
    <row r="4" spans="1:12" ht="14.1" thickBot="1" x14ac:dyDescent="0.5"/>
    <row r="5" spans="1:12" ht="16.5" customHeight="1" thickBot="1" x14ac:dyDescent="0.5">
      <c r="A5" s="240"/>
      <c r="B5" s="241" t="s">
        <v>275</v>
      </c>
      <c r="C5" s="241" t="s">
        <v>276</v>
      </c>
      <c r="D5" s="241" t="s">
        <v>277</v>
      </c>
      <c r="E5" s="241" t="s">
        <v>278</v>
      </c>
      <c r="F5" s="241" t="s">
        <v>279</v>
      </c>
      <c r="G5" s="241" t="s">
        <v>280</v>
      </c>
      <c r="H5" s="241" t="s">
        <v>0</v>
      </c>
      <c r="I5" s="241" t="s">
        <v>268</v>
      </c>
      <c r="J5" s="241" t="s">
        <v>291</v>
      </c>
      <c r="K5" s="242" t="s">
        <v>373</v>
      </c>
    </row>
    <row r="6" spans="1:12" ht="15" customHeight="1" thickBot="1" x14ac:dyDescent="0.5">
      <c r="A6" s="66" t="s">
        <v>295</v>
      </c>
      <c r="B6" s="238">
        <v>19588344</v>
      </c>
      <c r="C6" s="238">
        <v>20511908</v>
      </c>
      <c r="D6" s="238">
        <v>21380985</v>
      </c>
      <c r="E6" s="238">
        <v>21481402</v>
      </c>
      <c r="F6" s="238">
        <v>21738637</v>
      </c>
      <c r="G6" s="238">
        <v>21778657</v>
      </c>
      <c r="H6" s="238">
        <v>22354781</v>
      </c>
      <c r="I6" s="238">
        <v>22920435</v>
      </c>
      <c r="J6" s="238">
        <v>23362301</v>
      </c>
      <c r="K6" s="239">
        <v>23830120</v>
      </c>
    </row>
    <row r="7" spans="1:12" s="108" customFormat="1" ht="15" customHeight="1" thickBot="1" x14ac:dyDescent="0.5">
      <c r="A7" s="229"/>
      <c r="B7" s="230"/>
      <c r="C7" s="230"/>
      <c r="D7" s="230"/>
      <c r="E7" s="230"/>
      <c r="F7" s="230"/>
      <c r="G7" s="230"/>
      <c r="H7" s="230"/>
      <c r="I7" s="230"/>
      <c r="J7" s="231"/>
      <c r="K7" s="231"/>
    </row>
    <row r="8" spans="1:12" ht="15" customHeight="1" thickBot="1" x14ac:dyDescent="0.5">
      <c r="A8" s="237"/>
      <c r="B8" s="243">
        <v>2008</v>
      </c>
      <c r="C8" s="243">
        <v>2009</v>
      </c>
      <c r="D8" s="243">
        <v>2010</v>
      </c>
      <c r="E8" s="243">
        <v>2011</v>
      </c>
      <c r="F8" s="243">
        <v>2012</v>
      </c>
      <c r="G8" s="243">
        <v>2013</v>
      </c>
      <c r="H8" s="243">
        <v>2014</v>
      </c>
      <c r="I8" s="243">
        <v>2015</v>
      </c>
      <c r="J8" s="241">
        <v>2016</v>
      </c>
      <c r="K8" s="242">
        <v>2017</v>
      </c>
    </row>
    <row r="9" spans="1:12" ht="15" customHeight="1" thickBot="1" x14ac:dyDescent="0.5">
      <c r="A9" s="66" t="s">
        <v>366</v>
      </c>
      <c r="B9" s="232">
        <v>51815853</v>
      </c>
      <c r="C9" s="232">
        <v>52196381</v>
      </c>
      <c r="D9" s="232">
        <v>52642452</v>
      </c>
      <c r="E9" s="232">
        <v>53107169</v>
      </c>
      <c r="F9" s="232">
        <v>53493729</v>
      </c>
      <c r="G9" s="232">
        <v>53865817</v>
      </c>
      <c r="H9" s="232">
        <v>54316618</v>
      </c>
      <c r="I9" s="232">
        <v>54786327</v>
      </c>
      <c r="J9" s="238">
        <v>55268067</v>
      </c>
      <c r="K9" s="239">
        <v>55619430</v>
      </c>
    </row>
    <row r="10" spans="1:12" ht="15" customHeight="1" x14ac:dyDescent="0.45">
      <c r="A10" s="229"/>
      <c r="B10" s="230"/>
      <c r="C10" s="230"/>
      <c r="D10" s="230"/>
      <c r="E10" s="230"/>
      <c r="F10" s="230"/>
      <c r="G10" s="230"/>
      <c r="H10" s="230"/>
      <c r="I10" s="230"/>
      <c r="J10" s="230"/>
      <c r="K10" s="231"/>
      <c r="L10" s="231"/>
    </row>
    <row r="11" spans="1:12" x14ac:dyDescent="0.45">
      <c r="A11" s="354" t="s">
        <v>333</v>
      </c>
      <c r="B11" s="354"/>
      <c r="C11" s="354"/>
      <c r="D11" s="354"/>
      <c r="E11" s="354"/>
      <c r="F11" s="354"/>
      <c r="G11" s="354"/>
      <c r="H11" s="354"/>
    </row>
    <row r="12" spans="1:12" ht="28.5" customHeight="1" x14ac:dyDescent="0.45">
      <c r="A12" s="357" t="s">
        <v>383</v>
      </c>
      <c r="B12" s="358"/>
      <c r="C12" s="358"/>
      <c r="D12" s="358"/>
      <c r="E12" s="358"/>
      <c r="F12" s="358"/>
      <c r="G12" s="358"/>
      <c r="H12" s="358"/>
    </row>
    <row r="13" spans="1:12" x14ac:dyDescent="0.45">
      <c r="A13" s="218"/>
      <c r="B13" s="219"/>
      <c r="C13" s="219"/>
      <c r="D13" s="219"/>
      <c r="E13" s="219"/>
      <c r="F13" s="219"/>
      <c r="G13" s="219"/>
      <c r="H13" s="219"/>
    </row>
    <row r="14" spans="1:12" ht="14.25" customHeight="1" x14ac:dyDescent="0.45">
      <c r="A14" s="354" t="s">
        <v>364</v>
      </c>
      <c r="B14" s="354"/>
      <c r="C14" s="354"/>
      <c r="D14" s="354"/>
      <c r="E14" s="354"/>
      <c r="F14" s="354"/>
      <c r="G14" s="354"/>
      <c r="H14" s="354"/>
    </row>
    <row r="15" spans="1:12" ht="28.5" customHeight="1" x14ac:dyDescent="0.45">
      <c r="A15" s="360" t="s">
        <v>384</v>
      </c>
      <c r="B15" s="354"/>
      <c r="C15" s="354"/>
      <c r="D15" s="354"/>
      <c r="E15" s="354"/>
      <c r="F15" s="354"/>
      <c r="G15" s="354"/>
      <c r="H15" s="354"/>
    </row>
    <row r="16" spans="1:12" ht="14.25" customHeight="1" x14ac:dyDescent="0.45">
      <c r="A16" s="354" t="s">
        <v>363</v>
      </c>
      <c r="B16" s="354"/>
      <c r="C16" s="354"/>
      <c r="D16" s="354"/>
      <c r="E16" s="354"/>
      <c r="F16" s="354"/>
      <c r="G16" s="354"/>
      <c r="H16" s="354"/>
    </row>
    <row r="17" spans="1:12" ht="14.25" customHeight="1" x14ac:dyDescent="0.45">
      <c r="A17" s="98"/>
      <c r="B17" s="98"/>
      <c r="C17" s="98"/>
      <c r="D17" s="98"/>
      <c r="E17" s="98"/>
      <c r="F17" s="98"/>
      <c r="G17" s="98"/>
      <c r="H17" s="98"/>
    </row>
    <row r="18" spans="1:12" ht="14.1" thickBot="1" x14ac:dyDescent="0.5">
      <c r="A18" s="352" t="s">
        <v>1</v>
      </c>
      <c r="B18" s="352"/>
      <c r="C18" s="352"/>
      <c r="D18" s="352"/>
      <c r="E18" s="352"/>
      <c r="F18" s="352"/>
      <c r="G18" s="352"/>
    </row>
    <row r="19" spans="1:12" ht="14.25" customHeight="1" x14ac:dyDescent="0.45">
      <c r="A19" s="359" t="s">
        <v>376</v>
      </c>
      <c r="B19" s="359"/>
      <c r="C19" s="359"/>
      <c r="D19" s="359"/>
      <c r="E19" s="359"/>
      <c r="F19" s="359"/>
      <c r="G19" s="359"/>
      <c r="H19" s="205"/>
      <c r="I19" s="205"/>
      <c r="J19" s="205"/>
      <c r="K19" s="205"/>
      <c r="L19" s="205"/>
    </row>
    <row r="20" spans="1:12" x14ac:dyDescent="0.45">
      <c r="A20" s="353" t="s">
        <v>353</v>
      </c>
      <c r="B20" s="353"/>
      <c r="C20" s="353"/>
      <c r="D20" s="353"/>
      <c r="E20" s="353"/>
      <c r="F20" s="353"/>
      <c r="G20" s="353"/>
      <c r="H20" s="108"/>
      <c r="I20" s="108"/>
      <c r="J20" s="108"/>
      <c r="K20" s="108"/>
      <c r="L20" s="108"/>
    </row>
    <row r="21" spans="1:12" x14ac:dyDescent="0.45">
      <c r="A21" s="349" t="s">
        <v>269</v>
      </c>
      <c r="B21" s="349"/>
      <c r="C21" s="349"/>
      <c r="D21" s="349"/>
      <c r="E21" s="349"/>
      <c r="F21" s="349"/>
      <c r="G21" s="349"/>
      <c r="H21" s="108"/>
      <c r="I21" s="108"/>
      <c r="J21" s="108"/>
      <c r="K21" s="108"/>
      <c r="L21" s="108"/>
    </row>
    <row r="22" spans="1:12" ht="14.1" thickBot="1" x14ac:dyDescent="0.5">
      <c r="A22" s="350" t="s">
        <v>374</v>
      </c>
      <c r="B22" s="350"/>
      <c r="C22" s="350"/>
      <c r="D22" s="350"/>
      <c r="E22" s="350"/>
      <c r="F22" s="350"/>
      <c r="G22" s="350"/>
      <c r="H22" s="206"/>
      <c r="I22" s="206"/>
      <c r="J22" s="206"/>
      <c r="K22" s="206"/>
      <c r="L22" s="206"/>
    </row>
    <row r="23" spans="1:12" x14ac:dyDescent="0.45">
      <c r="A23" s="29"/>
      <c r="B23" s="30"/>
      <c r="C23" s="30"/>
      <c r="D23" s="30"/>
      <c r="E23" s="30"/>
      <c r="F23" s="30"/>
      <c r="G23" s="30"/>
    </row>
    <row r="24" spans="1:12" x14ac:dyDescent="0.45">
      <c r="A24" s="351" t="s">
        <v>274</v>
      </c>
      <c r="B24" s="351"/>
      <c r="C24" s="30"/>
      <c r="D24" s="30"/>
      <c r="E24" s="30"/>
      <c r="F24" s="30"/>
      <c r="G24" s="31"/>
    </row>
    <row r="25" spans="1:12" x14ac:dyDescent="0.45">
      <c r="A25" s="11"/>
      <c r="B25" s="30"/>
      <c r="C25" s="30"/>
      <c r="D25" s="30"/>
      <c r="E25" s="30"/>
      <c r="F25" s="30"/>
    </row>
    <row r="30" spans="1:12" x14ac:dyDescent="0.45">
      <c r="B30" s="228"/>
      <c r="C30" s="228"/>
      <c r="D30" s="228"/>
      <c r="E30" s="228"/>
      <c r="F30" s="228"/>
      <c r="G30" s="228"/>
      <c r="H30" s="228"/>
      <c r="I30" s="228"/>
      <c r="J30" s="228"/>
      <c r="K30" s="228"/>
      <c r="L30" s="228"/>
    </row>
  </sheetData>
  <mergeCells count="13">
    <mergeCell ref="A11:H11"/>
    <mergeCell ref="A2:K2"/>
    <mergeCell ref="A3:K3"/>
    <mergeCell ref="A12:H12"/>
    <mergeCell ref="A19:G19"/>
    <mergeCell ref="A14:H14"/>
    <mergeCell ref="A15:H15"/>
    <mergeCell ref="A16:H16"/>
    <mergeCell ref="A21:G21"/>
    <mergeCell ref="A22:G22"/>
    <mergeCell ref="A24:B24"/>
    <mergeCell ref="A18:G18"/>
    <mergeCell ref="A20:G20"/>
  </mergeCells>
  <hyperlinks>
    <hyperlink ref="A21:F21" r:id="rId1" display="Contact via enquiries@NHSDigital.nhs.uk or 0300 303 5678" xr:uid="{00000000-0004-0000-0200-000000000000}"/>
    <hyperlink ref="A24" location="Contents!A1" display="Return to Contents" xr:uid="{00000000-0004-0000-0200-000001000000}"/>
    <hyperlink ref="A15" r:id="rId2" xr:uid="{00000000-0004-0000-0200-000003000000}"/>
    <hyperlink ref="A12" r:id="rId3" xr:uid="{E0AB485B-3DB7-425C-90A8-2714BB8F6F15}"/>
  </hyperlinks>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S32"/>
  <sheetViews>
    <sheetView workbookViewId="0">
      <selection activeCell="A2" sqref="A2:K2"/>
    </sheetView>
  </sheetViews>
  <sheetFormatPr defaultColWidth="9.109375" defaultRowHeight="13.8" x14ac:dyDescent="0.45"/>
  <cols>
    <col min="1" max="1" width="16.44140625" style="28" customWidth="1"/>
    <col min="2" max="12" width="11.44140625" style="28" customWidth="1"/>
    <col min="13" max="16384" width="9.109375" style="28"/>
  </cols>
  <sheetData>
    <row r="1" spans="1:19" ht="15" customHeight="1" x14ac:dyDescent="0.45"/>
    <row r="2" spans="1:19" ht="52.95" customHeight="1" x14ac:dyDescent="0.45">
      <c r="A2" s="355" t="s">
        <v>497</v>
      </c>
      <c r="B2" s="355"/>
      <c r="C2" s="355"/>
      <c r="D2" s="355"/>
      <c r="E2" s="355"/>
      <c r="F2" s="355"/>
      <c r="G2" s="355"/>
      <c r="H2" s="355"/>
      <c r="I2" s="355"/>
      <c r="J2" s="355"/>
      <c r="K2" s="355"/>
      <c r="L2" s="244"/>
    </row>
    <row r="3" spans="1:19" ht="30" customHeight="1" x14ac:dyDescent="0.45">
      <c r="A3" s="361" t="s">
        <v>359</v>
      </c>
      <c r="B3" s="361"/>
      <c r="C3" s="361"/>
      <c r="D3" s="361"/>
      <c r="E3" s="361"/>
      <c r="F3" s="361"/>
      <c r="G3" s="361"/>
      <c r="H3" s="361"/>
      <c r="I3" s="361"/>
      <c r="J3" s="361"/>
      <c r="K3" s="361"/>
      <c r="L3" s="246"/>
    </row>
    <row r="4" spans="1:19" ht="14.1" thickBot="1" x14ac:dyDescent="0.5"/>
    <row r="5" spans="1:19" ht="16.5" customHeight="1" thickBot="1" x14ac:dyDescent="0.5">
      <c r="A5" s="208"/>
      <c r="B5" s="9" t="s">
        <v>275</v>
      </c>
      <c r="C5" s="9" t="s">
        <v>276</v>
      </c>
      <c r="D5" s="9" t="s">
        <v>277</v>
      </c>
      <c r="E5" s="9" t="s">
        <v>278</v>
      </c>
      <c r="F5" s="9" t="s">
        <v>279</v>
      </c>
      <c r="G5" s="9" t="s">
        <v>280</v>
      </c>
      <c r="H5" s="9" t="s">
        <v>0</v>
      </c>
      <c r="I5" s="9" t="s">
        <v>268</v>
      </c>
      <c r="J5" s="9" t="s">
        <v>291</v>
      </c>
      <c r="K5" s="10" t="s">
        <v>373</v>
      </c>
    </row>
    <row r="6" spans="1:19" ht="30" customHeight="1" x14ac:dyDescent="0.45">
      <c r="A6" s="55" t="s">
        <v>293</v>
      </c>
      <c r="B6" s="56">
        <v>14116779</v>
      </c>
      <c r="C6" s="56">
        <v>14281513</v>
      </c>
      <c r="D6" s="56">
        <v>14592492</v>
      </c>
      <c r="E6" s="56">
        <v>14651918</v>
      </c>
      <c r="F6" s="56">
        <v>14877594</v>
      </c>
      <c r="G6" s="56">
        <v>14841752</v>
      </c>
      <c r="H6" s="56">
        <v>15215582</v>
      </c>
      <c r="I6" s="56">
        <v>15564475</v>
      </c>
      <c r="J6" s="56">
        <v>15869058</v>
      </c>
      <c r="K6" s="227">
        <v>15946320</v>
      </c>
    </row>
    <row r="7" spans="1:19" ht="30" customHeight="1" thickBot="1" x14ac:dyDescent="0.5">
      <c r="A7" s="54" t="s">
        <v>294</v>
      </c>
      <c r="B7" s="53">
        <v>5471565</v>
      </c>
      <c r="C7" s="53">
        <v>6230395</v>
      </c>
      <c r="D7" s="53">
        <v>6788493</v>
      </c>
      <c r="E7" s="53">
        <v>6829484</v>
      </c>
      <c r="F7" s="53">
        <v>6861043</v>
      </c>
      <c r="G7" s="53">
        <v>6936905</v>
      </c>
      <c r="H7" s="53">
        <v>7139199</v>
      </c>
      <c r="I7" s="53">
        <v>7355960</v>
      </c>
      <c r="J7" s="53">
        <v>7493243</v>
      </c>
      <c r="K7" s="226">
        <v>7883800</v>
      </c>
    </row>
    <row r="8" spans="1:19" x14ac:dyDescent="0.45">
      <c r="A8" s="11"/>
      <c r="B8" s="12"/>
      <c r="C8" s="12"/>
      <c r="D8" s="12"/>
      <c r="E8" s="12"/>
      <c r="F8" s="12"/>
      <c r="G8" s="12"/>
      <c r="H8" s="29"/>
      <c r="I8" s="29"/>
      <c r="J8" s="29"/>
      <c r="K8" s="29"/>
      <c r="L8" s="29"/>
    </row>
    <row r="9" spans="1:19" x14ac:dyDescent="0.45">
      <c r="A9" s="354" t="s">
        <v>333</v>
      </c>
      <c r="B9" s="354"/>
      <c r="C9" s="354"/>
      <c r="D9" s="354"/>
      <c r="E9" s="354"/>
      <c r="F9" s="354"/>
      <c r="G9" s="354"/>
      <c r="H9" s="354"/>
    </row>
    <row r="10" spans="1:19" ht="28.5" customHeight="1" x14ac:dyDescent="0.45">
      <c r="A10" s="360" t="s">
        <v>383</v>
      </c>
      <c r="B10" s="362"/>
      <c r="C10" s="362"/>
      <c r="D10" s="362"/>
      <c r="E10" s="362"/>
      <c r="F10" s="362"/>
      <c r="G10" s="362"/>
      <c r="H10" s="99"/>
    </row>
    <row r="11" spans="1:19" x14ac:dyDescent="0.45">
      <c r="A11" s="27"/>
      <c r="B11" s="27"/>
      <c r="C11" s="27"/>
      <c r="D11" s="27"/>
      <c r="E11" s="27"/>
      <c r="F11" s="27"/>
      <c r="G11" s="27"/>
    </row>
    <row r="12" spans="1:19" ht="14.1" thickBot="1" x14ac:dyDescent="0.5">
      <c r="A12" s="352" t="s">
        <v>1</v>
      </c>
      <c r="B12" s="352"/>
      <c r="C12" s="352"/>
      <c r="D12" s="352"/>
      <c r="E12" s="352"/>
      <c r="F12" s="352"/>
      <c r="G12" s="352"/>
    </row>
    <row r="13" spans="1:19" x14ac:dyDescent="0.45">
      <c r="A13" s="359" t="s">
        <v>376</v>
      </c>
      <c r="B13" s="359"/>
      <c r="C13" s="359"/>
      <c r="D13" s="359"/>
      <c r="E13" s="359"/>
      <c r="F13" s="359"/>
      <c r="G13" s="359"/>
      <c r="H13" s="205"/>
      <c r="I13" s="205"/>
      <c r="J13" s="205"/>
      <c r="K13" s="205"/>
      <c r="L13" s="205"/>
    </row>
    <row r="14" spans="1:19" x14ac:dyDescent="0.45">
      <c r="A14" s="353" t="s">
        <v>353</v>
      </c>
      <c r="B14" s="353"/>
      <c r="C14" s="353"/>
      <c r="D14" s="353"/>
      <c r="E14" s="353"/>
      <c r="F14" s="353"/>
      <c r="G14" s="353"/>
      <c r="H14" s="108"/>
      <c r="I14" s="108"/>
      <c r="J14" s="108"/>
      <c r="K14" s="108"/>
      <c r="L14" s="108"/>
    </row>
    <row r="15" spans="1:19" x14ac:dyDescent="0.45">
      <c r="A15" s="349" t="s">
        <v>269</v>
      </c>
      <c r="B15" s="349"/>
      <c r="C15" s="349"/>
      <c r="D15" s="349"/>
      <c r="E15" s="349"/>
      <c r="F15" s="349"/>
      <c r="G15" s="349"/>
      <c r="H15" s="108"/>
      <c r="I15" s="108"/>
      <c r="J15" s="108"/>
      <c r="K15" s="108"/>
      <c r="L15" s="108"/>
    </row>
    <row r="16" spans="1:19" ht="14.1" thickBot="1" x14ac:dyDescent="0.5">
      <c r="A16" s="350" t="s">
        <v>374</v>
      </c>
      <c r="B16" s="350"/>
      <c r="C16" s="350"/>
      <c r="D16" s="350"/>
      <c r="E16" s="350"/>
      <c r="F16" s="350"/>
      <c r="G16" s="350"/>
      <c r="H16" s="206"/>
      <c r="I16" s="207"/>
      <c r="J16" s="207"/>
      <c r="K16" s="207"/>
      <c r="L16" s="207"/>
      <c r="M16" s="37"/>
      <c r="N16" s="37"/>
      <c r="O16" s="37"/>
      <c r="P16" s="37"/>
      <c r="Q16" s="37"/>
      <c r="R16" s="37"/>
      <c r="S16" s="37"/>
    </row>
    <row r="17" spans="1:19" x14ac:dyDescent="0.45">
      <c r="A17" s="29"/>
      <c r="B17" s="30"/>
      <c r="C17" s="30"/>
      <c r="D17" s="30"/>
      <c r="E17" s="30"/>
      <c r="F17" s="30"/>
      <c r="G17" s="30"/>
      <c r="I17" s="37"/>
      <c r="J17" s="37"/>
      <c r="K17" s="37"/>
      <c r="L17" s="37"/>
      <c r="M17" s="37"/>
      <c r="N17" s="37"/>
      <c r="O17" s="37"/>
      <c r="P17" s="37"/>
      <c r="Q17" s="37"/>
      <c r="R17" s="37"/>
      <c r="S17" s="37"/>
    </row>
    <row r="18" spans="1:19" x14ac:dyDescent="0.45">
      <c r="A18" s="351" t="s">
        <v>274</v>
      </c>
      <c r="B18" s="351"/>
      <c r="C18" s="30"/>
      <c r="D18" s="30"/>
      <c r="E18" s="30"/>
      <c r="F18" s="30"/>
      <c r="G18" s="31"/>
      <c r="H18" s="37"/>
      <c r="I18" s="19"/>
      <c r="J18" s="19"/>
      <c r="K18" s="19"/>
      <c r="L18" s="19"/>
      <c r="M18" s="37"/>
      <c r="N18" s="37"/>
      <c r="O18" s="37"/>
      <c r="P18" s="37"/>
      <c r="Q18" s="37"/>
      <c r="R18" s="37"/>
      <c r="S18" s="37"/>
    </row>
    <row r="19" spans="1:19" x14ac:dyDescent="0.45">
      <c r="A19" s="18"/>
      <c r="B19" s="104"/>
      <c r="C19" s="104"/>
      <c r="D19" s="104"/>
      <c r="E19" s="104"/>
      <c r="F19" s="104"/>
      <c r="G19" s="105"/>
      <c r="H19" s="105"/>
      <c r="I19" s="105"/>
      <c r="J19" s="105"/>
      <c r="K19" s="105"/>
      <c r="L19" s="105"/>
      <c r="M19" s="105"/>
      <c r="N19" s="105"/>
      <c r="O19" s="37"/>
      <c r="P19" s="37"/>
      <c r="Q19" s="37"/>
      <c r="R19" s="37"/>
      <c r="S19" s="37"/>
    </row>
    <row r="20" spans="1:19" x14ac:dyDescent="0.45">
      <c r="A20" s="18"/>
      <c r="B20" s="38"/>
      <c r="C20" s="38"/>
      <c r="D20" s="38"/>
      <c r="E20" s="38"/>
      <c r="F20" s="38"/>
      <c r="G20" s="105"/>
      <c r="H20" s="105"/>
      <c r="I20" s="105"/>
      <c r="J20" s="105"/>
      <c r="K20" s="105"/>
      <c r="L20" s="105"/>
      <c r="M20" s="105"/>
      <c r="N20" s="105"/>
      <c r="O20" s="37"/>
      <c r="P20" s="37"/>
      <c r="Q20" s="37"/>
      <c r="R20" s="37"/>
      <c r="S20" s="37"/>
    </row>
    <row r="21" spans="1:19" x14ac:dyDescent="0.45">
      <c r="A21" s="18"/>
      <c r="B21" s="38"/>
      <c r="C21" s="38"/>
      <c r="D21" s="38"/>
      <c r="E21" s="38"/>
      <c r="F21" s="38"/>
      <c r="G21" s="105"/>
      <c r="H21" s="105"/>
      <c r="I21" s="105"/>
      <c r="J21" s="105"/>
      <c r="K21" s="105"/>
      <c r="L21" s="105"/>
      <c r="M21" s="105"/>
      <c r="N21" s="105"/>
      <c r="O21" s="37"/>
      <c r="P21" s="37"/>
      <c r="Q21" s="37"/>
      <c r="R21" s="37"/>
      <c r="S21" s="37"/>
    </row>
    <row r="22" spans="1:19" x14ac:dyDescent="0.45">
      <c r="A22" s="105"/>
      <c r="B22" s="105"/>
      <c r="C22" s="105"/>
      <c r="D22" s="105"/>
      <c r="E22" s="105"/>
      <c r="F22" s="105"/>
      <c r="G22" s="105"/>
      <c r="H22" s="105"/>
      <c r="I22" s="105"/>
      <c r="J22" s="105"/>
      <c r="K22" s="105"/>
      <c r="L22" s="105"/>
      <c r="M22" s="105"/>
      <c r="N22" s="105"/>
      <c r="O22" s="37"/>
      <c r="P22" s="37"/>
      <c r="Q22" s="37"/>
      <c r="R22" s="37"/>
      <c r="S22" s="37"/>
    </row>
    <row r="23" spans="1:19" x14ac:dyDescent="0.45">
      <c r="A23" s="105"/>
      <c r="B23" s="105"/>
      <c r="C23" s="105"/>
      <c r="D23" s="105"/>
      <c r="E23" s="105"/>
      <c r="F23" s="105"/>
      <c r="G23" s="105"/>
      <c r="H23" s="105"/>
      <c r="I23" s="105"/>
      <c r="J23" s="105"/>
      <c r="K23" s="105"/>
      <c r="L23" s="105"/>
      <c r="M23" s="105"/>
      <c r="N23" s="105"/>
      <c r="O23" s="37"/>
      <c r="P23" s="37"/>
      <c r="Q23" s="37"/>
      <c r="R23" s="37"/>
      <c r="S23" s="37"/>
    </row>
    <row r="24" spans="1:19" x14ac:dyDescent="0.45">
      <c r="A24" s="105"/>
      <c r="B24" s="105"/>
      <c r="C24" s="105"/>
      <c r="D24" s="105"/>
      <c r="E24" s="105"/>
      <c r="F24" s="105"/>
      <c r="G24" s="105"/>
      <c r="H24" s="105"/>
      <c r="I24" s="105"/>
      <c r="J24" s="105"/>
      <c r="K24" s="105"/>
      <c r="L24" s="105"/>
      <c r="M24" s="105"/>
      <c r="N24" s="105"/>
      <c r="O24" s="37"/>
      <c r="P24" s="37"/>
      <c r="Q24" s="37"/>
      <c r="R24" s="37"/>
      <c r="S24" s="37"/>
    </row>
    <row r="25" spans="1:19" x14ac:dyDescent="0.45">
      <c r="A25" s="105"/>
      <c r="B25" s="105"/>
      <c r="C25" s="105"/>
      <c r="D25" s="105"/>
      <c r="E25" s="105"/>
      <c r="F25" s="105"/>
      <c r="G25" s="105"/>
      <c r="H25" s="105"/>
      <c r="I25" s="105"/>
      <c r="J25" s="105"/>
      <c r="K25" s="105"/>
      <c r="L25" s="105"/>
      <c r="M25" s="105"/>
      <c r="N25" s="105"/>
      <c r="O25" s="37"/>
      <c r="P25" s="37"/>
      <c r="Q25" s="37"/>
      <c r="R25" s="37"/>
      <c r="S25" s="37"/>
    </row>
    <row r="26" spans="1:19" x14ac:dyDescent="0.45">
      <c r="A26" s="105"/>
      <c r="B26" s="105"/>
      <c r="C26" s="105"/>
      <c r="D26" s="105"/>
      <c r="E26" s="105"/>
      <c r="F26" s="105"/>
      <c r="G26" s="105"/>
      <c r="H26" s="105"/>
      <c r="I26" s="105"/>
      <c r="J26" s="105"/>
      <c r="K26" s="105"/>
      <c r="L26" s="105"/>
      <c r="M26" s="105"/>
      <c r="N26" s="105"/>
      <c r="O26" s="37"/>
      <c r="P26" s="37"/>
      <c r="Q26" s="37"/>
      <c r="R26" s="37"/>
      <c r="S26" s="37"/>
    </row>
    <row r="27" spans="1:19" x14ac:dyDescent="0.45">
      <c r="A27" s="105"/>
      <c r="B27" s="105"/>
      <c r="C27" s="105"/>
      <c r="D27" s="105"/>
      <c r="E27" s="105"/>
      <c r="F27" s="105"/>
      <c r="G27" s="105"/>
      <c r="H27" s="105"/>
      <c r="I27" s="105"/>
      <c r="J27" s="105"/>
      <c r="K27" s="105"/>
      <c r="L27" s="105"/>
      <c r="M27" s="105"/>
      <c r="N27" s="105"/>
      <c r="O27" s="37"/>
      <c r="P27" s="37"/>
      <c r="Q27" s="37"/>
      <c r="R27" s="37"/>
      <c r="S27" s="37"/>
    </row>
    <row r="28" spans="1:19" x14ac:dyDescent="0.45">
      <c r="A28" s="37"/>
      <c r="B28" s="37"/>
      <c r="C28" s="37"/>
      <c r="D28" s="37"/>
      <c r="E28" s="37"/>
      <c r="F28" s="37"/>
      <c r="G28" s="37"/>
      <c r="H28" s="37"/>
      <c r="I28" s="37"/>
      <c r="J28" s="37"/>
      <c r="K28" s="37"/>
      <c r="L28" s="37"/>
      <c r="M28" s="37"/>
      <c r="N28" s="37"/>
      <c r="O28" s="37"/>
      <c r="P28" s="37"/>
      <c r="Q28" s="37"/>
      <c r="R28" s="37"/>
      <c r="S28" s="37"/>
    </row>
    <row r="29" spans="1:19" x14ac:dyDescent="0.45">
      <c r="A29" s="37"/>
      <c r="B29" s="37"/>
      <c r="C29" s="37"/>
      <c r="D29" s="37"/>
      <c r="E29" s="37"/>
      <c r="F29" s="37"/>
      <c r="G29" s="37"/>
      <c r="H29" s="37"/>
      <c r="I29" s="37"/>
      <c r="J29" s="37"/>
      <c r="K29" s="37"/>
      <c r="L29" s="37"/>
      <c r="M29" s="37"/>
      <c r="N29" s="37"/>
      <c r="O29" s="37"/>
      <c r="P29" s="37"/>
      <c r="Q29" s="37"/>
      <c r="R29" s="37"/>
      <c r="S29" s="37"/>
    </row>
    <row r="30" spans="1:19" x14ac:dyDescent="0.45">
      <c r="A30" s="37"/>
      <c r="B30" s="37"/>
      <c r="C30" s="37"/>
      <c r="D30" s="37"/>
      <c r="E30" s="37"/>
      <c r="F30" s="37"/>
      <c r="G30" s="37"/>
      <c r="H30" s="37"/>
    </row>
    <row r="31" spans="1:19" x14ac:dyDescent="0.45">
      <c r="A31" s="37"/>
      <c r="B31" s="37"/>
      <c r="C31" s="37"/>
      <c r="D31" s="37"/>
      <c r="E31" s="37"/>
      <c r="F31" s="37"/>
      <c r="G31" s="37"/>
      <c r="H31" s="37"/>
    </row>
    <row r="32" spans="1:19" x14ac:dyDescent="0.45">
      <c r="A32" s="37"/>
      <c r="B32" s="37"/>
      <c r="C32" s="37"/>
      <c r="D32" s="37"/>
      <c r="E32" s="37"/>
      <c r="F32" s="37"/>
      <c r="G32" s="37"/>
    </row>
  </sheetData>
  <mergeCells count="10">
    <mergeCell ref="A13:G13"/>
    <mergeCell ref="A15:G15"/>
    <mergeCell ref="A16:G16"/>
    <mergeCell ref="A18:B18"/>
    <mergeCell ref="A2:K2"/>
    <mergeCell ref="A3:K3"/>
    <mergeCell ref="A12:G12"/>
    <mergeCell ref="A9:H9"/>
    <mergeCell ref="A10:G10"/>
    <mergeCell ref="A14:G14"/>
  </mergeCells>
  <hyperlinks>
    <hyperlink ref="A15:F15" r:id="rId1" display="Contact via enquiries@NHSDigital.nhs.uk or 0300 303 5678" xr:uid="{00000000-0004-0000-0300-000000000000}"/>
    <hyperlink ref="A18" location="Contents!A1" display="Return to Contents" xr:uid="{00000000-0004-0000-0300-000001000000}"/>
    <hyperlink ref="A10" r:id="rId2" xr:uid="{BDB03685-1C48-484C-8B41-EF83C10ED220}"/>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Q48"/>
  <sheetViews>
    <sheetView workbookViewId="0"/>
  </sheetViews>
  <sheetFormatPr defaultColWidth="9.109375" defaultRowHeight="13.8" x14ac:dyDescent="0.45"/>
  <cols>
    <col min="1" max="1" width="13.5546875" style="28" customWidth="1"/>
    <col min="2" max="12" width="11.44140625" style="28" customWidth="1"/>
    <col min="13" max="16384" width="9.109375" style="28"/>
  </cols>
  <sheetData>
    <row r="1" spans="1:12" ht="15" customHeight="1" x14ac:dyDescent="0.45"/>
    <row r="2" spans="1:12" ht="30" customHeight="1" x14ac:dyDescent="0.45">
      <c r="A2" s="355" t="s">
        <v>498</v>
      </c>
      <c r="B2" s="355"/>
      <c r="C2" s="355"/>
      <c r="D2" s="355"/>
      <c r="E2" s="355"/>
      <c r="F2" s="355"/>
      <c r="G2" s="355"/>
      <c r="H2" s="355"/>
      <c r="I2" s="355"/>
      <c r="J2" s="355"/>
      <c r="K2" s="355"/>
      <c r="L2" s="244"/>
    </row>
    <row r="3" spans="1:12" ht="30" customHeight="1" x14ac:dyDescent="0.45">
      <c r="A3" s="361" t="s">
        <v>359</v>
      </c>
      <c r="B3" s="361"/>
      <c r="C3" s="361"/>
      <c r="D3" s="361"/>
      <c r="E3" s="361"/>
      <c r="F3" s="361"/>
      <c r="G3" s="361"/>
      <c r="H3" s="361"/>
      <c r="I3" s="361"/>
      <c r="J3" s="361"/>
      <c r="K3" s="361"/>
      <c r="L3" s="246"/>
    </row>
    <row r="4" spans="1:12" ht="14.1" thickBot="1" x14ac:dyDescent="0.5">
      <c r="A4" s="11"/>
      <c r="B4" s="12"/>
      <c r="C4" s="12"/>
      <c r="D4" s="12"/>
      <c r="E4" s="12"/>
      <c r="F4" s="12"/>
      <c r="G4" s="12"/>
      <c r="H4" s="29"/>
      <c r="I4" s="29"/>
      <c r="J4" s="29"/>
      <c r="K4" s="29"/>
      <c r="L4" s="29"/>
    </row>
    <row r="5" spans="1:12" ht="14.1" thickBot="1" x14ac:dyDescent="0.5">
      <c r="A5" s="208"/>
      <c r="B5" s="9" t="s">
        <v>275</v>
      </c>
      <c r="C5" s="9" t="s">
        <v>276</v>
      </c>
      <c r="D5" s="9" t="s">
        <v>277</v>
      </c>
      <c r="E5" s="9" t="s">
        <v>278</v>
      </c>
      <c r="F5" s="9" t="s">
        <v>279</v>
      </c>
      <c r="G5" s="9" t="s">
        <v>280</v>
      </c>
      <c r="H5" s="9" t="s">
        <v>0</v>
      </c>
      <c r="I5" s="9" t="s">
        <v>268</v>
      </c>
      <c r="J5" s="9" t="s">
        <v>291</v>
      </c>
      <c r="K5" s="10" t="s">
        <v>373</v>
      </c>
    </row>
    <row r="6" spans="1:12" ht="13.5" customHeight="1" x14ac:dyDescent="0.45">
      <c r="A6" s="55" t="s">
        <v>464</v>
      </c>
      <c r="B6" s="133">
        <v>1280615</v>
      </c>
      <c r="C6" s="133">
        <v>1473952</v>
      </c>
      <c r="D6" s="133">
        <v>1563619</v>
      </c>
      <c r="E6" s="133">
        <v>1701664</v>
      </c>
      <c r="F6" s="133">
        <v>1814091</v>
      </c>
      <c r="G6" s="133">
        <v>1793521</v>
      </c>
      <c r="H6" s="133">
        <v>1856923</v>
      </c>
      <c r="I6" s="133">
        <v>2037276</v>
      </c>
      <c r="J6" s="133">
        <v>2083036</v>
      </c>
      <c r="K6" s="134">
        <v>2110411</v>
      </c>
    </row>
    <row r="7" spans="1:12" ht="13.5" customHeight="1" x14ac:dyDescent="0.45">
      <c r="A7" s="64" t="s">
        <v>465</v>
      </c>
      <c r="B7" s="135">
        <v>1378730</v>
      </c>
      <c r="C7" s="135">
        <v>1550468</v>
      </c>
      <c r="D7" s="135">
        <v>1656190</v>
      </c>
      <c r="E7" s="135">
        <v>1776185</v>
      </c>
      <c r="F7" s="135">
        <v>1776842</v>
      </c>
      <c r="G7" s="135">
        <v>1821272</v>
      </c>
      <c r="H7" s="135">
        <v>1935375</v>
      </c>
      <c r="I7" s="135">
        <v>2063625</v>
      </c>
      <c r="J7" s="135">
        <v>2144021</v>
      </c>
      <c r="K7" s="136">
        <v>2145468</v>
      </c>
    </row>
    <row r="8" spans="1:12" ht="13.5" customHeight="1" x14ac:dyDescent="0.45">
      <c r="A8" s="64" t="s">
        <v>466</v>
      </c>
      <c r="B8" s="135">
        <v>4070973</v>
      </c>
      <c r="C8" s="135">
        <v>4544620</v>
      </c>
      <c r="D8" s="135">
        <v>4737858</v>
      </c>
      <c r="E8" s="135">
        <v>5147713</v>
      </c>
      <c r="F8" s="135">
        <v>5321363</v>
      </c>
      <c r="G8" s="135">
        <v>5339416</v>
      </c>
      <c r="H8" s="135">
        <v>5523147</v>
      </c>
      <c r="I8" s="135">
        <v>5754012</v>
      </c>
      <c r="J8" s="135">
        <v>5822854</v>
      </c>
      <c r="K8" s="136">
        <v>5798979</v>
      </c>
    </row>
    <row r="9" spans="1:12" ht="13.5" customHeight="1" x14ac:dyDescent="0.45">
      <c r="A9" s="64" t="s">
        <v>467</v>
      </c>
      <c r="B9" s="135">
        <v>4057892</v>
      </c>
      <c r="C9" s="135">
        <v>4622919</v>
      </c>
      <c r="D9" s="135">
        <v>4836877</v>
      </c>
      <c r="E9" s="135">
        <v>5226246</v>
      </c>
      <c r="F9" s="135">
        <v>5436389</v>
      </c>
      <c r="G9" s="135">
        <v>5489627</v>
      </c>
      <c r="H9" s="135">
        <v>5723279</v>
      </c>
      <c r="I9" s="135">
        <v>6060412</v>
      </c>
      <c r="J9" s="135">
        <v>6262889</v>
      </c>
      <c r="K9" s="136">
        <v>6425907</v>
      </c>
    </row>
    <row r="10" spans="1:12" ht="13.5" customHeight="1" x14ac:dyDescent="0.45">
      <c r="A10" s="64" t="s">
        <v>468</v>
      </c>
      <c r="B10" s="135">
        <v>1396587</v>
      </c>
      <c r="C10" s="135">
        <v>1604233</v>
      </c>
      <c r="D10" s="135">
        <v>1701659</v>
      </c>
      <c r="E10" s="135">
        <v>1846585</v>
      </c>
      <c r="F10" s="135">
        <v>1968549</v>
      </c>
      <c r="G10" s="135">
        <v>2034823</v>
      </c>
      <c r="H10" s="135">
        <v>2165206</v>
      </c>
      <c r="I10" s="135">
        <v>2304954</v>
      </c>
      <c r="J10" s="135">
        <v>2448089</v>
      </c>
      <c r="K10" s="136">
        <v>2544313</v>
      </c>
    </row>
    <row r="11" spans="1:12" ht="13.5" customHeight="1" thickBot="1" x14ac:dyDescent="0.5">
      <c r="A11" s="54" t="s">
        <v>469</v>
      </c>
      <c r="B11" s="137">
        <v>1055553</v>
      </c>
      <c r="C11" s="137">
        <v>1216406</v>
      </c>
      <c r="D11" s="137">
        <v>1321012</v>
      </c>
      <c r="E11" s="137">
        <v>1430289</v>
      </c>
      <c r="F11" s="137">
        <v>1520006</v>
      </c>
      <c r="G11" s="137">
        <v>1549516</v>
      </c>
      <c r="H11" s="137">
        <v>1651812</v>
      </c>
      <c r="I11" s="137">
        <v>1718699</v>
      </c>
      <c r="J11" s="137">
        <v>1839302</v>
      </c>
      <c r="K11" s="138">
        <v>1916616</v>
      </c>
    </row>
    <row r="12" spans="1:12" ht="14.1" thickBot="1" x14ac:dyDescent="0.5">
      <c r="A12" s="54" t="s">
        <v>5</v>
      </c>
      <c r="B12" s="137">
        <v>13240350</v>
      </c>
      <c r="C12" s="137">
        <v>15012598</v>
      </c>
      <c r="D12" s="137">
        <v>15817215</v>
      </c>
      <c r="E12" s="137">
        <v>17128682</v>
      </c>
      <c r="F12" s="137">
        <v>17837240</v>
      </c>
      <c r="G12" s="137">
        <v>18028175</v>
      </c>
      <c r="H12" s="137">
        <v>18855742</v>
      </c>
      <c r="I12" s="137">
        <v>19938978</v>
      </c>
      <c r="J12" s="137">
        <v>20600191</v>
      </c>
      <c r="K12" s="138">
        <v>20941694</v>
      </c>
    </row>
    <row r="13" spans="1:12" ht="14.1" thickBot="1" x14ac:dyDescent="0.5">
      <c r="A13" s="11"/>
      <c r="B13" s="12"/>
      <c r="C13" s="12"/>
      <c r="D13" s="12"/>
      <c r="E13" s="12"/>
      <c r="F13" s="12"/>
      <c r="G13" s="29"/>
      <c r="H13" s="29"/>
      <c r="I13" s="29"/>
      <c r="J13" s="29"/>
      <c r="K13" s="29"/>
    </row>
    <row r="14" spans="1:12" ht="16.5" customHeight="1" thickBot="1" x14ac:dyDescent="0.5">
      <c r="A14" s="208"/>
      <c r="B14" s="9" t="s">
        <v>275</v>
      </c>
      <c r="C14" s="9" t="s">
        <v>276</v>
      </c>
      <c r="D14" s="9" t="s">
        <v>277</v>
      </c>
      <c r="E14" s="9" t="s">
        <v>278</v>
      </c>
      <c r="F14" s="9" t="s">
        <v>279</v>
      </c>
      <c r="G14" s="9" t="s">
        <v>280</v>
      </c>
      <c r="H14" s="9" t="s">
        <v>0</v>
      </c>
      <c r="I14" s="9" t="s">
        <v>268</v>
      </c>
      <c r="J14" s="9" t="s">
        <v>291</v>
      </c>
      <c r="K14" s="10" t="s">
        <v>373</v>
      </c>
    </row>
    <row r="15" spans="1:12" ht="15" customHeight="1" x14ac:dyDescent="0.45">
      <c r="A15" s="55" t="s">
        <v>464</v>
      </c>
      <c r="B15" s="58">
        <v>9.6720630496927945E-2</v>
      </c>
      <c r="C15" s="58">
        <v>9.8181007710990462E-2</v>
      </c>
      <c r="D15" s="58">
        <v>9.8855519128999633E-2</v>
      </c>
      <c r="E15" s="58">
        <v>9.9345880786390922E-2</v>
      </c>
      <c r="F15" s="58">
        <v>0.10170244948209477</v>
      </c>
      <c r="G15" s="58">
        <v>9.9484334936841917E-2</v>
      </c>
      <c r="H15" s="58">
        <v>9.8480505301780222E-2</v>
      </c>
      <c r="I15" s="58">
        <v>0.10217554781393509</v>
      </c>
      <c r="J15" s="58">
        <v>0.10111731488314842</v>
      </c>
      <c r="K15" s="59">
        <v>0.10077556285561234</v>
      </c>
      <c r="L15" s="57"/>
    </row>
    <row r="16" spans="1:12" ht="15" customHeight="1" x14ac:dyDescent="0.45">
      <c r="A16" s="64" t="s">
        <v>465</v>
      </c>
      <c r="B16" s="60">
        <v>0.10413093309466895</v>
      </c>
      <c r="C16" s="60">
        <v>0.10327779375695</v>
      </c>
      <c r="D16" s="60">
        <v>0.10470806649590336</v>
      </c>
      <c r="E16" s="60">
        <v>0.10369653660450932</v>
      </c>
      <c r="F16" s="60">
        <v>9.9614177978207388E-2</v>
      </c>
      <c r="G16" s="60">
        <v>0.10102364770699197</v>
      </c>
      <c r="H16" s="60">
        <v>0.10264114772041323</v>
      </c>
      <c r="I16" s="60">
        <v>0.1034970297875849</v>
      </c>
      <c r="J16" s="60">
        <v>0.10407772432789579</v>
      </c>
      <c r="K16" s="61">
        <v>0.10244959170924758</v>
      </c>
      <c r="L16" s="57"/>
    </row>
    <row r="17" spans="1:12" ht="15" customHeight="1" x14ac:dyDescent="0.45">
      <c r="A17" s="64" t="s">
        <v>466</v>
      </c>
      <c r="B17" s="60">
        <v>0.30746717420611991</v>
      </c>
      <c r="C17" s="60">
        <v>0.30272042187501458</v>
      </c>
      <c r="D17" s="60">
        <v>0.29953806659389787</v>
      </c>
      <c r="E17" s="60">
        <v>0.30053176303932783</v>
      </c>
      <c r="F17" s="60">
        <v>0.29832883338453708</v>
      </c>
      <c r="G17" s="60">
        <v>0.29617063291209456</v>
      </c>
      <c r="H17" s="60">
        <v>0.29291591919320914</v>
      </c>
      <c r="I17" s="60">
        <v>0.28858108976297581</v>
      </c>
      <c r="J17" s="60">
        <v>0.28266019475256321</v>
      </c>
      <c r="K17" s="61">
        <v>0.27691069308910732</v>
      </c>
      <c r="L17" s="57"/>
    </row>
    <row r="18" spans="1:12" ht="15" customHeight="1" x14ac:dyDescent="0.45">
      <c r="A18" s="64" t="s">
        <v>467</v>
      </c>
      <c r="B18" s="60">
        <v>0.30647920938645884</v>
      </c>
      <c r="C18" s="60">
        <v>0.30793597483926499</v>
      </c>
      <c r="D18" s="60">
        <v>0.30579827106099272</v>
      </c>
      <c r="E18" s="60">
        <v>0.30511664586919179</v>
      </c>
      <c r="F18" s="60">
        <v>0.30477747678452494</v>
      </c>
      <c r="G18" s="60">
        <v>0.30450264655185566</v>
      </c>
      <c r="H18" s="60">
        <v>0.30352976827960415</v>
      </c>
      <c r="I18" s="60">
        <v>0.30394797566856235</v>
      </c>
      <c r="J18" s="60">
        <v>0.30402091902934297</v>
      </c>
      <c r="K18" s="61">
        <v>0.30684752627939266</v>
      </c>
      <c r="L18" s="57"/>
    </row>
    <row r="19" spans="1:12" ht="15" customHeight="1" x14ac:dyDescent="0.45">
      <c r="A19" s="64" t="s">
        <v>468</v>
      </c>
      <c r="B19" s="60">
        <v>0.10547961345432712</v>
      </c>
      <c r="C19" s="60">
        <v>0.10685911925437556</v>
      </c>
      <c r="D19" s="60">
        <v>0.1075827192081539</v>
      </c>
      <c r="E19" s="60">
        <v>0.10780660181559795</v>
      </c>
      <c r="F19" s="60">
        <v>0.1103617487907322</v>
      </c>
      <c r="G19" s="60">
        <v>0.11286905080519798</v>
      </c>
      <c r="H19" s="60">
        <v>0.11483006078466708</v>
      </c>
      <c r="I19" s="60">
        <v>0.11560040840608782</v>
      </c>
      <c r="J19" s="60">
        <v>0.1188381699956083</v>
      </c>
      <c r="K19" s="61">
        <v>0.12149509012976696</v>
      </c>
      <c r="L19" s="57"/>
    </row>
    <row r="20" spans="1:12" ht="15" customHeight="1" thickBot="1" x14ac:dyDescent="0.5">
      <c r="A20" s="54" t="s">
        <v>469</v>
      </c>
      <c r="B20" s="62">
        <v>7.9722439361497241E-2</v>
      </c>
      <c r="C20" s="62">
        <v>8.1025682563404422E-2</v>
      </c>
      <c r="D20" s="62">
        <v>8.3517357512052526E-2</v>
      </c>
      <c r="E20" s="62">
        <v>8.3502571884982155E-2</v>
      </c>
      <c r="F20" s="62">
        <v>8.5215313579903612E-2</v>
      </c>
      <c r="G20" s="62">
        <v>8.5949687087017959E-2</v>
      </c>
      <c r="H20" s="62">
        <v>8.760259872032615E-2</v>
      </c>
      <c r="I20" s="62">
        <v>8.6197948560854026E-2</v>
      </c>
      <c r="J20" s="62">
        <v>8.92856770114413E-2</v>
      </c>
      <c r="K20" s="63">
        <v>9.1521535936873108E-2</v>
      </c>
      <c r="L20" s="57"/>
    </row>
    <row r="21" spans="1:12" x14ac:dyDescent="0.45">
      <c r="A21" s="11"/>
      <c r="B21" s="12"/>
      <c r="C21" s="12"/>
      <c r="D21" s="12"/>
      <c r="E21" s="12"/>
      <c r="F21" s="12"/>
      <c r="G21" s="12"/>
      <c r="H21" s="29"/>
      <c r="I21" s="29"/>
      <c r="J21" s="29"/>
      <c r="K21" s="29"/>
      <c r="L21" s="29"/>
    </row>
    <row r="22" spans="1:12" ht="13.2" customHeight="1" x14ac:dyDescent="0.45">
      <c r="A22" s="363" t="s">
        <v>527</v>
      </c>
      <c r="B22" s="363"/>
      <c r="C22" s="363"/>
      <c r="D22" s="363"/>
      <c r="E22" s="363"/>
      <c r="F22" s="363"/>
      <c r="G22" s="363"/>
      <c r="H22" s="363"/>
      <c r="I22" s="363"/>
      <c r="J22" s="363"/>
      <c r="K22" s="363"/>
      <c r="L22" s="29"/>
    </row>
    <row r="23" spans="1:12" ht="15" customHeight="1" x14ac:dyDescent="0.45">
      <c r="A23" s="363" t="s">
        <v>528</v>
      </c>
      <c r="B23" s="363"/>
      <c r="C23" s="363"/>
      <c r="D23" s="363"/>
      <c r="E23" s="363"/>
      <c r="F23" s="363"/>
      <c r="G23" s="363"/>
      <c r="H23" s="363"/>
      <c r="I23" s="363"/>
      <c r="J23" s="363"/>
      <c r="K23" s="363"/>
      <c r="L23" s="29"/>
    </row>
    <row r="24" spans="1:12" x14ac:dyDescent="0.45">
      <c r="A24" s="11"/>
      <c r="B24" s="12"/>
      <c r="C24" s="12"/>
      <c r="D24" s="12"/>
      <c r="E24" s="12"/>
      <c r="F24" s="12"/>
      <c r="G24" s="12"/>
      <c r="H24" s="29"/>
      <c r="I24" s="29"/>
      <c r="J24" s="29"/>
      <c r="K24" s="29"/>
      <c r="L24" s="29"/>
    </row>
    <row r="25" spans="1:12" ht="14.1" thickBot="1" x14ac:dyDescent="0.5">
      <c r="A25" s="352" t="s">
        <v>1</v>
      </c>
      <c r="B25" s="352"/>
      <c r="C25" s="352"/>
      <c r="D25" s="352"/>
      <c r="E25" s="352"/>
      <c r="F25" s="352"/>
      <c r="G25" s="352"/>
    </row>
    <row r="26" spans="1:12" x14ac:dyDescent="0.45">
      <c r="A26" s="359" t="s">
        <v>376</v>
      </c>
      <c r="B26" s="359"/>
      <c r="C26" s="359"/>
      <c r="D26" s="359"/>
      <c r="E26" s="359"/>
      <c r="F26" s="359"/>
      <c r="G26" s="359"/>
      <c r="H26" s="205"/>
      <c r="I26" s="205"/>
      <c r="J26" s="205"/>
      <c r="K26" s="205"/>
      <c r="L26" s="205"/>
    </row>
    <row r="27" spans="1:12" x14ac:dyDescent="0.45">
      <c r="A27" s="353" t="s">
        <v>353</v>
      </c>
      <c r="B27" s="353"/>
      <c r="C27" s="353"/>
      <c r="D27" s="353"/>
      <c r="E27" s="353"/>
      <c r="F27" s="353"/>
      <c r="G27" s="353"/>
      <c r="H27" s="108"/>
      <c r="I27" s="108"/>
      <c r="J27" s="108"/>
      <c r="K27" s="108"/>
      <c r="L27" s="108"/>
    </row>
    <row r="28" spans="1:12" x14ac:dyDescent="0.45">
      <c r="A28" s="349" t="s">
        <v>269</v>
      </c>
      <c r="B28" s="349"/>
      <c r="C28" s="349"/>
      <c r="D28" s="349"/>
      <c r="E28" s="349"/>
      <c r="F28" s="349"/>
      <c r="G28" s="349"/>
      <c r="H28" s="108"/>
      <c r="I28" s="108"/>
      <c r="J28" s="108"/>
      <c r="K28" s="108"/>
      <c r="L28" s="108"/>
    </row>
    <row r="29" spans="1:12" ht="14.1" thickBot="1" x14ac:dyDescent="0.5">
      <c r="A29" s="350" t="s">
        <v>374</v>
      </c>
      <c r="B29" s="350"/>
      <c r="C29" s="350"/>
      <c r="D29" s="350"/>
      <c r="E29" s="350"/>
      <c r="F29" s="350"/>
      <c r="G29" s="350"/>
      <c r="H29" s="206"/>
      <c r="I29" s="206"/>
      <c r="J29" s="206"/>
      <c r="K29" s="206"/>
      <c r="L29" s="206"/>
    </row>
    <row r="30" spans="1:12" x14ac:dyDescent="0.45">
      <c r="A30" s="29"/>
      <c r="B30" s="30"/>
      <c r="C30" s="30"/>
      <c r="D30" s="30"/>
      <c r="E30" s="30"/>
      <c r="F30" s="30"/>
      <c r="G30" s="30"/>
    </row>
    <row r="31" spans="1:12" x14ac:dyDescent="0.45">
      <c r="A31" s="351" t="s">
        <v>274</v>
      </c>
      <c r="B31" s="351"/>
      <c r="C31" s="30"/>
      <c r="D31" s="30"/>
      <c r="E31" s="30"/>
      <c r="F31" s="30"/>
      <c r="G31" s="31"/>
    </row>
    <row r="32" spans="1:12" x14ac:dyDescent="0.45">
      <c r="A32" s="11"/>
      <c r="B32" s="30"/>
      <c r="C32" s="30"/>
      <c r="D32" s="30"/>
      <c r="E32" s="30"/>
      <c r="F32" s="30"/>
    </row>
    <row r="33" spans="1:17" x14ac:dyDescent="0.45">
      <c r="M33" s="44"/>
      <c r="N33" s="44"/>
      <c r="O33" s="44"/>
      <c r="P33" s="44"/>
      <c r="Q33" s="44"/>
    </row>
    <row r="34" spans="1:17" x14ac:dyDescent="0.45">
      <c r="A34" s="44"/>
      <c r="M34" s="44"/>
      <c r="N34" s="44"/>
      <c r="O34" s="44"/>
      <c r="P34" s="44"/>
      <c r="Q34" s="44"/>
    </row>
    <row r="35" spans="1:17" x14ac:dyDescent="0.45">
      <c r="A35" s="44"/>
      <c r="M35" s="44"/>
      <c r="N35" s="44"/>
      <c r="O35" s="44"/>
      <c r="P35" s="44"/>
      <c r="Q35" s="44"/>
    </row>
    <row r="36" spans="1:17" x14ac:dyDescent="0.45">
      <c r="A36" s="44"/>
      <c r="M36" s="44"/>
      <c r="N36" s="44"/>
      <c r="O36" s="44"/>
      <c r="P36" s="44"/>
      <c r="Q36" s="44"/>
    </row>
    <row r="37" spans="1:17" x14ac:dyDescent="0.45">
      <c r="A37" s="44"/>
      <c r="M37" s="44"/>
      <c r="N37" s="44"/>
      <c r="O37" s="44"/>
      <c r="P37" s="44"/>
      <c r="Q37" s="44"/>
    </row>
    <row r="38" spans="1:17" x14ac:dyDescent="0.45">
      <c r="A38" s="44"/>
      <c r="M38" s="44"/>
      <c r="N38" s="44"/>
      <c r="O38" s="44"/>
      <c r="P38" s="44"/>
      <c r="Q38" s="44"/>
    </row>
    <row r="39" spans="1:17" x14ac:dyDescent="0.45">
      <c r="A39" s="44"/>
      <c r="B39" s="44"/>
      <c r="C39" s="44"/>
      <c r="D39" s="44"/>
      <c r="E39" s="44"/>
      <c r="F39" s="44"/>
      <c r="G39" s="44"/>
      <c r="H39" s="44"/>
      <c r="I39" s="44"/>
      <c r="J39" s="44"/>
      <c r="K39" s="44"/>
      <c r="L39" s="44"/>
      <c r="M39" s="44"/>
      <c r="N39" s="44"/>
      <c r="O39" s="44"/>
      <c r="P39" s="44"/>
      <c r="Q39" s="44"/>
    </row>
    <row r="40" spans="1:17" x14ac:dyDescent="0.45">
      <c r="A40" s="44"/>
      <c r="B40" s="44"/>
      <c r="C40" s="44"/>
      <c r="D40" s="44"/>
      <c r="E40" s="44"/>
      <c r="F40" s="44"/>
      <c r="G40" s="44"/>
      <c r="H40" s="44"/>
      <c r="I40" s="44"/>
      <c r="J40" s="44"/>
      <c r="K40" s="44"/>
      <c r="L40" s="44"/>
      <c r="M40" s="44"/>
      <c r="N40" s="44"/>
      <c r="O40" s="44"/>
      <c r="P40" s="44"/>
      <c r="Q40" s="44"/>
    </row>
    <row r="41" spans="1:17" x14ac:dyDescent="0.45">
      <c r="A41" s="44"/>
      <c r="B41" s="44"/>
      <c r="C41" s="44"/>
      <c r="D41" s="44"/>
      <c r="E41" s="44"/>
      <c r="F41" s="44"/>
      <c r="G41" s="44"/>
      <c r="H41" s="44"/>
      <c r="I41" s="44"/>
      <c r="J41" s="44"/>
      <c r="K41" s="44"/>
      <c r="L41" s="44"/>
      <c r="M41" s="44"/>
      <c r="N41" s="44"/>
      <c r="O41" s="44"/>
      <c r="P41" s="44"/>
      <c r="Q41" s="44"/>
    </row>
    <row r="42" spans="1:17" x14ac:dyDescent="0.45">
      <c r="A42" s="44"/>
      <c r="B42" s="44"/>
      <c r="C42" s="44"/>
      <c r="D42" s="44"/>
      <c r="E42" s="44"/>
      <c r="F42" s="44"/>
      <c r="G42" s="44"/>
      <c r="H42" s="44"/>
      <c r="I42" s="44"/>
      <c r="J42" s="44"/>
      <c r="K42" s="44"/>
      <c r="L42" s="44"/>
      <c r="M42" s="44"/>
      <c r="N42" s="44"/>
      <c r="O42" s="44"/>
      <c r="P42" s="44"/>
      <c r="Q42" s="44"/>
    </row>
    <row r="43" spans="1:17" x14ac:dyDescent="0.45">
      <c r="A43" s="44"/>
      <c r="B43" s="44"/>
      <c r="C43" s="44"/>
      <c r="D43" s="44"/>
      <c r="E43" s="44"/>
      <c r="F43" s="44"/>
      <c r="G43" s="44"/>
      <c r="H43" s="44"/>
      <c r="I43" s="44"/>
      <c r="J43" s="44"/>
      <c r="K43" s="44"/>
      <c r="L43" s="44"/>
      <c r="M43" s="44"/>
      <c r="N43" s="44"/>
      <c r="O43" s="44"/>
      <c r="P43" s="44"/>
      <c r="Q43" s="44"/>
    </row>
    <row r="44" spans="1:17" x14ac:dyDescent="0.45">
      <c r="A44" s="44"/>
      <c r="B44" s="44"/>
      <c r="C44" s="44"/>
      <c r="D44" s="44"/>
      <c r="E44" s="44"/>
      <c r="F44" s="44"/>
      <c r="G44" s="44"/>
      <c r="H44" s="44"/>
      <c r="I44" s="44"/>
      <c r="J44" s="44"/>
      <c r="K44" s="44"/>
      <c r="L44" s="44"/>
      <c r="M44" s="44"/>
      <c r="N44" s="44"/>
      <c r="O44" s="44"/>
      <c r="P44" s="44"/>
      <c r="Q44" s="44"/>
    </row>
    <row r="45" spans="1:17" x14ac:dyDescent="0.45">
      <c r="A45" s="44"/>
      <c r="B45" s="44"/>
      <c r="C45" s="49"/>
      <c r="D45" s="49"/>
      <c r="E45" s="49"/>
      <c r="F45" s="49"/>
      <c r="G45" s="49"/>
      <c r="H45" s="49"/>
      <c r="I45" s="49"/>
      <c r="J45" s="49"/>
      <c r="K45" s="49"/>
      <c r="L45" s="49"/>
      <c r="M45" s="44"/>
      <c r="N45" s="44"/>
      <c r="O45" s="44"/>
      <c r="P45" s="44"/>
      <c r="Q45" s="44"/>
    </row>
    <row r="46" spans="1:17" x14ac:dyDescent="0.45">
      <c r="A46" s="44"/>
      <c r="B46" s="44"/>
      <c r="C46" s="49"/>
      <c r="D46" s="49"/>
      <c r="E46" s="49"/>
      <c r="F46" s="49"/>
      <c r="G46" s="49"/>
      <c r="H46" s="49"/>
      <c r="I46" s="49"/>
      <c r="J46" s="49"/>
      <c r="K46" s="49"/>
      <c r="L46" s="49"/>
      <c r="M46" s="44"/>
      <c r="N46" s="44"/>
      <c r="O46" s="44"/>
      <c r="P46" s="44"/>
      <c r="Q46" s="44"/>
    </row>
    <row r="47" spans="1:17" x14ac:dyDescent="0.45">
      <c r="A47" s="44"/>
      <c r="B47" s="44"/>
      <c r="C47" s="49"/>
      <c r="D47" s="49"/>
      <c r="E47" s="49"/>
      <c r="F47" s="49"/>
      <c r="G47" s="49"/>
      <c r="H47" s="49"/>
      <c r="I47" s="49"/>
      <c r="J47" s="49"/>
      <c r="K47" s="49"/>
      <c r="L47" s="49"/>
      <c r="M47" s="44"/>
    </row>
    <row r="48" spans="1:17" x14ac:dyDescent="0.45">
      <c r="C48" s="101"/>
      <c r="D48" s="101"/>
      <c r="E48" s="101"/>
      <c r="F48" s="101"/>
      <c r="G48" s="101"/>
      <c r="H48" s="101"/>
      <c r="I48" s="101"/>
      <c r="J48" s="101"/>
      <c r="K48" s="101"/>
      <c r="L48" s="101"/>
    </row>
  </sheetData>
  <mergeCells count="10">
    <mergeCell ref="A26:G26"/>
    <mergeCell ref="A28:G28"/>
    <mergeCell ref="A29:G29"/>
    <mergeCell ref="A31:B31"/>
    <mergeCell ref="A2:K2"/>
    <mergeCell ref="A3:K3"/>
    <mergeCell ref="A25:G25"/>
    <mergeCell ref="A27:G27"/>
    <mergeCell ref="A22:K22"/>
    <mergeCell ref="A23:K23"/>
  </mergeCells>
  <hyperlinks>
    <hyperlink ref="A28:F28" r:id="rId1" display="Contact via enquiries@NHSDigital.nhs.uk or 0300 303 5678" xr:uid="{00000000-0004-0000-0400-000000000000}"/>
    <hyperlink ref="A31" location="Contents!A1" display="Return to Contents" xr:uid="{00000000-0004-0000-0400-000001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L26"/>
  <sheetViews>
    <sheetView workbookViewId="0"/>
  </sheetViews>
  <sheetFormatPr defaultColWidth="9.109375" defaultRowHeight="13.8" x14ac:dyDescent="0.45"/>
  <cols>
    <col min="1" max="1" width="24.5546875" style="28" bestFit="1" customWidth="1"/>
    <col min="2" max="12" width="11.44140625" style="28" customWidth="1"/>
    <col min="13" max="16384" width="9.109375" style="28"/>
  </cols>
  <sheetData>
    <row r="1" spans="1:12" ht="15" customHeight="1" x14ac:dyDescent="0.45"/>
    <row r="2" spans="1:12" ht="48.75" customHeight="1" x14ac:dyDescent="0.45">
      <c r="A2" s="355" t="s">
        <v>510</v>
      </c>
      <c r="B2" s="355"/>
      <c r="C2" s="355"/>
      <c r="D2" s="355"/>
      <c r="E2" s="355"/>
      <c r="F2" s="355"/>
      <c r="G2" s="355"/>
      <c r="H2" s="355"/>
      <c r="I2" s="355"/>
      <c r="J2" s="355"/>
      <c r="K2" s="355"/>
      <c r="L2" s="244"/>
    </row>
    <row r="3" spans="1:12" ht="30" customHeight="1" x14ac:dyDescent="0.45">
      <c r="A3" s="361" t="s">
        <v>359</v>
      </c>
      <c r="B3" s="361"/>
      <c r="C3" s="361"/>
      <c r="D3" s="361"/>
      <c r="E3" s="361"/>
      <c r="F3" s="361"/>
      <c r="G3" s="361"/>
      <c r="H3" s="361"/>
      <c r="I3" s="361"/>
      <c r="J3" s="361"/>
      <c r="K3" s="361"/>
      <c r="L3" s="246"/>
    </row>
    <row r="4" spans="1:12" ht="13.5" customHeight="1" thickBot="1" x14ac:dyDescent="0.5"/>
    <row r="5" spans="1:12" ht="16.5" customHeight="1" thickBot="1" x14ac:dyDescent="0.5">
      <c r="A5" s="208"/>
      <c r="B5" s="9" t="s">
        <v>275</v>
      </c>
      <c r="C5" s="9" t="s">
        <v>276</v>
      </c>
      <c r="D5" s="9" t="s">
        <v>277</v>
      </c>
      <c r="E5" s="9" t="s">
        <v>278</v>
      </c>
      <c r="F5" s="9" t="s">
        <v>279</v>
      </c>
      <c r="G5" s="9" t="s">
        <v>280</v>
      </c>
      <c r="H5" s="9" t="s">
        <v>0</v>
      </c>
      <c r="I5" s="9" t="s">
        <v>268</v>
      </c>
      <c r="J5" s="9" t="s">
        <v>291</v>
      </c>
      <c r="K5" s="10" t="s">
        <v>373</v>
      </c>
    </row>
    <row r="6" spans="1:12" ht="16.5" customHeight="1" x14ac:dyDescent="0.45">
      <c r="A6" s="55" t="s">
        <v>470</v>
      </c>
      <c r="B6" s="151">
        <v>19209439</v>
      </c>
      <c r="C6" s="151">
        <v>20158291</v>
      </c>
      <c r="D6" s="151">
        <v>20823871</v>
      </c>
      <c r="E6" s="151">
        <v>20756459</v>
      </c>
      <c r="F6" s="151">
        <v>20837226</v>
      </c>
      <c r="G6" s="151">
        <v>20839471</v>
      </c>
      <c r="H6" s="151">
        <v>20933643</v>
      </c>
      <c r="I6" s="151">
        <v>21065455.428571429</v>
      </c>
      <c r="J6" s="151">
        <v>20821861</v>
      </c>
      <c r="K6" s="152">
        <v>21051433</v>
      </c>
    </row>
    <row r="7" spans="1:12" ht="16.5" customHeight="1" x14ac:dyDescent="0.45">
      <c r="A7" s="148" t="s">
        <v>281</v>
      </c>
      <c r="B7" s="153">
        <v>19588344</v>
      </c>
      <c r="C7" s="153">
        <v>20511908</v>
      </c>
      <c r="D7" s="153">
        <v>21380985</v>
      </c>
      <c r="E7" s="153">
        <v>21481402</v>
      </c>
      <c r="F7" s="153">
        <v>21738637</v>
      </c>
      <c r="G7" s="153">
        <v>21778657</v>
      </c>
      <c r="H7" s="153">
        <v>22354781</v>
      </c>
      <c r="I7" s="153">
        <v>22920435.428571429</v>
      </c>
      <c r="J7" s="153">
        <v>23362301</v>
      </c>
      <c r="K7" s="154">
        <v>23830120</v>
      </c>
    </row>
    <row r="8" spans="1:12" ht="15" customHeight="1" x14ac:dyDescent="0.45">
      <c r="A8" s="148" t="s">
        <v>471</v>
      </c>
      <c r="B8" s="149">
        <v>0.98065660884860917</v>
      </c>
      <c r="C8" s="149">
        <v>0.9827604043465874</v>
      </c>
      <c r="D8" s="149">
        <v>0.97394348295927435</v>
      </c>
      <c r="E8" s="149">
        <v>0.96625252858263166</v>
      </c>
      <c r="F8" s="149">
        <v>0.95853415280820042</v>
      </c>
      <c r="G8" s="149">
        <v>0.95687585327231151</v>
      </c>
      <c r="H8" s="149">
        <v>0.9364280061611876</v>
      </c>
      <c r="I8" s="149">
        <v>0.91906872773945303</v>
      </c>
      <c r="J8" s="149">
        <v>0.89125899884604687</v>
      </c>
      <c r="K8" s="150">
        <v>0.8833960131128169</v>
      </c>
    </row>
    <row r="9" spans="1:12" ht="15" customHeight="1" thickBot="1" x14ac:dyDescent="0.5">
      <c r="A9" s="54" t="s">
        <v>472</v>
      </c>
      <c r="B9" s="62">
        <v>0.98</v>
      </c>
      <c r="C9" s="62">
        <v>0.98</v>
      </c>
      <c r="D9" s="62">
        <v>0.95</v>
      </c>
      <c r="E9" s="62">
        <v>0.95</v>
      </c>
      <c r="F9" s="62">
        <v>0.95</v>
      </c>
      <c r="G9" s="62">
        <v>0.95</v>
      </c>
      <c r="H9" s="62">
        <v>0.95</v>
      </c>
      <c r="I9" s="62">
        <v>0.95</v>
      </c>
      <c r="J9" s="62">
        <v>0.95</v>
      </c>
      <c r="K9" s="63">
        <v>0.95</v>
      </c>
    </row>
    <row r="10" spans="1:12" x14ac:dyDescent="0.45">
      <c r="A10" s="11"/>
      <c r="B10" s="12"/>
      <c r="C10" s="12"/>
      <c r="D10" s="12"/>
      <c r="E10" s="12"/>
      <c r="F10" s="12"/>
      <c r="G10" s="12"/>
      <c r="H10" s="29"/>
      <c r="I10" s="29"/>
      <c r="J10" s="127"/>
      <c r="K10" s="29"/>
      <c r="L10" s="29"/>
    </row>
    <row r="11" spans="1:12" x14ac:dyDescent="0.45">
      <c r="A11" s="340" t="s">
        <v>333</v>
      </c>
      <c r="B11" s="340"/>
      <c r="C11" s="340"/>
      <c r="D11" s="340"/>
      <c r="E11" s="340"/>
      <c r="F11" s="340"/>
      <c r="G11" s="340"/>
      <c r="H11" s="340"/>
    </row>
    <row r="12" spans="1:12" ht="28.5" customHeight="1" x14ac:dyDescent="0.45">
      <c r="A12" s="360" t="s">
        <v>383</v>
      </c>
      <c r="B12" s="360"/>
      <c r="C12" s="360"/>
      <c r="D12" s="360"/>
      <c r="E12" s="360"/>
      <c r="F12" s="360"/>
      <c r="G12" s="360"/>
      <c r="H12" s="360"/>
      <c r="I12" s="360"/>
    </row>
    <row r="13" spans="1:12" x14ac:dyDescent="0.45">
      <c r="A13" s="27"/>
      <c r="B13" s="27"/>
      <c r="C13" s="27"/>
      <c r="D13" s="27"/>
      <c r="E13" s="27"/>
      <c r="F13" s="27"/>
      <c r="G13" s="27"/>
    </row>
    <row r="14" spans="1:12" ht="14.1" thickBot="1" x14ac:dyDescent="0.5">
      <c r="A14" s="352" t="s">
        <v>1</v>
      </c>
      <c r="B14" s="352"/>
      <c r="C14" s="352"/>
      <c r="D14" s="352"/>
      <c r="E14" s="352"/>
      <c r="F14" s="352"/>
      <c r="G14" s="352"/>
    </row>
    <row r="15" spans="1:12" x14ac:dyDescent="0.45">
      <c r="A15" s="359" t="s">
        <v>376</v>
      </c>
      <c r="B15" s="359"/>
      <c r="C15" s="359"/>
      <c r="D15" s="359"/>
      <c r="E15" s="359"/>
      <c r="F15" s="359"/>
      <c r="G15" s="359"/>
      <c r="H15" s="205"/>
      <c r="I15" s="205"/>
      <c r="J15" s="205"/>
      <c r="K15" s="205"/>
      <c r="L15" s="205"/>
    </row>
    <row r="16" spans="1:12" x14ac:dyDescent="0.45">
      <c r="A16" s="353" t="s">
        <v>353</v>
      </c>
      <c r="B16" s="353"/>
      <c r="C16" s="353"/>
      <c r="D16" s="353"/>
      <c r="E16" s="353"/>
      <c r="F16" s="353"/>
      <c r="G16" s="353"/>
      <c r="H16" s="108"/>
      <c r="I16" s="108"/>
      <c r="J16" s="108"/>
      <c r="K16" s="108"/>
      <c r="L16" s="108"/>
    </row>
    <row r="17" spans="1:12" x14ac:dyDescent="0.45">
      <c r="A17" s="349" t="s">
        <v>269</v>
      </c>
      <c r="B17" s="349"/>
      <c r="C17" s="349"/>
      <c r="D17" s="349"/>
      <c r="E17" s="349"/>
      <c r="F17" s="349"/>
      <c r="G17" s="349"/>
      <c r="H17" s="108"/>
      <c r="I17" s="108"/>
      <c r="J17" s="108"/>
      <c r="K17" s="108"/>
      <c r="L17" s="108"/>
    </row>
    <row r="18" spans="1:12" ht="14.1" thickBot="1" x14ac:dyDescent="0.5">
      <c r="A18" s="350" t="s">
        <v>374</v>
      </c>
      <c r="B18" s="350"/>
      <c r="C18" s="350"/>
      <c r="D18" s="350"/>
      <c r="E18" s="350"/>
      <c r="F18" s="350"/>
      <c r="G18" s="350"/>
      <c r="H18" s="206"/>
      <c r="I18" s="206"/>
      <c r="J18" s="206"/>
      <c r="K18" s="206"/>
      <c r="L18" s="206"/>
    </row>
    <row r="19" spans="1:12" x14ac:dyDescent="0.45">
      <c r="A19" s="29"/>
      <c r="B19" s="30"/>
      <c r="C19" s="30"/>
      <c r="D19" s="30"/>
      <c r="E19" s="30"/>
      <c r="F19" s="30"/>
      <c r="G19" s="30"/>
    </row>
    <row r="20" spans="1:12" x14ac:dyDescent="0.45">
      <c r="A20" s="351" t="s">
        <v>274</v>
      </c>
      <c r="B20" s="351"/>
      <c r="C20" s="30"/>
      <c r="D20" s="30"/>
      <c r="E20" s="30"/>
      <c r="F20" s="30"/>
      <c r="G20" s="31"/>
      <c r="I20" s="19"/>
      <c r="J20" s="19"/>
      <c r="K20" s="19"/>
      <c r="L20" s="19"/>
    </row>
    <row r="21" spans="1:12" x14ac:dyDescent="0.45">
      <c r="A21" s="11"/>
      <c r="B21" s="30"/>
      <c r="C21" s="30"/>
      <c r="D21" s="30"/>
      <c r="E21" s="30"/>
      <c r="F21" s="30"/>
    </row>
    <row r="26" spans="1:12" x14ac:dyDescent="0.45">
      <c r="J26" s="125"/>
    </row>
  </sheetData>
  <mergeCells count="10">
    <mergeCell ref="A15:G15"/>
    <mergeCell ref="A17:G17"/>
    <mergeCell ref="A18:G18"/>
    <mergeCell ref="A20:B20"/>
    <mergeCell ref="A2:K2"/>
    <mergeCell ref="A3:K3"/>
    <mergeCell ref="A14:G14"/>
    <mergeCell ref="A11:H11"/>
    <mergeCell ref="A12:I12"/>
    <mergeCell ref="A16:G16"/>
  </mergeCells>
  <hyperlinks>
    <hyperlink ref="A17:F17" r:id="rId1" display="Contact via enquiries@NHSDigital.nhs.uk or 0300 303 5678" xr:uid="{00000000-0004-0000-0500-000000000000}"/>
    <hyperlink ref="A20" location="Contents!A1" display="Return to Contents" xr:uid="{00000000-0004-0000-0500-000001000000}"/>
    <hyperlink ref="A12" r:id="rId2" xr:uid="{E220ED70-3DDA-49DD-8111-3E1C5B72EC47}"/>
  </hyperlink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R102"/>
  <sheetViews>
    <sheetView workbookViewId="0"/>
  </sheetViews>
  <sheetFormatPr defaultColWidth="9.109375" defaultRowHeight="12.3" x14ac:dyDescent="0.4"/>
  <cols>
    <col min="1" max="1" width="7.88671875" style="7" bestFit="1" customWidth="1"/>
    <col min="2" max="2" width="22.88671875" style="7" customWidth="1"/>
    <col min="3" max="3" width="27.109375" style="7" customWidth="1"/>
    <col min="4" max="16384" width="9.109375" style="7"/>
  </cols>
  <sheetData>
    <row r="1" spans="1:16" ht="15" customHeight="1" x14ac:dyDescent="0.4"/>
    <row r="2" spans="1:16" ht="48.75" customHeight="1" x14ac:dyDescent="0.45">
      <c r="A2" s="355" t="s">
        <v>511</v>
      </c>
      <c r="B2" s="355"/>
      <c r="C2" s="355"/>
      <c r="D2" s="355"/>
      <c r="E2" s="355"/>
      <c r="F2" s="355"/>
      <c r="G2" s="355"/>
      <c r="H2" s="107"/>
      <c r="I2" s="107"/>
      <c r="J2" s="107"/>
      <c r="K2" s="107"/>
      <c r="L2" s="39"/>
      <c r="M2" s="39"/>
      <c r="N2" s="39"/>
      <c r="O2" s="39"/>
      <c r="P2" s="39"/>
    </row>
    <row r="3" spans="1:16" ht="30" customHeight="1" x14ac:dyDescent="0.45">
      <c r="A3" s="363" t="s">
        <v>359</v>
      </c>
      <c r="B3" s="363"/>
      <c r="C3" s="363"/>
      <c r="D3" s="363"/>
      <c r="E3" s="363"/>
      <c r="F3" s="363"/>
      <c r="G3" s="363"/>
      <c r="H3" s="11"/>
      <c r="I3" s="11"/>
      <c r="J3" s="11"/>
      <c r="K3" s="39"/>
      <c r="L3" s="39"/>
      <c r="M3" s="39"/>
      <c r="N3" s="39"/>
      <c r="O3" s="39"/>
      <c r="P3" s="39"/>
    </row>
    <row r="4" spans="1:16" ht="12.6" thickBot="1" x14ac:dyDescent="0.45"/>
    <row r="5" spans="1:16" ht="30" customHeight="1" thickBot="1" x14ac:dyDescent="0.45">
      <c r="A5" s="209"/>
      <c r="B5" s="366" t="s">
        <v>473</v>
      </c>
      <c r="C5" s="367"/>
    </row>
    <row r="6" spans="1:16" ht="30" customHeight="1" thickBot="1" x14ac:dyDescent="0.45">
      <c r="A6" s="209"/>
      <c r="B6" s="116" t="s">
        <v>474</v>
      </c>
      <c r="C6" s="117" t="s">
        <v>475</v>
      </c>
    </row>
    <row r="7" spans="1:16" ht="15" customHeight="1" x14ac:dyDescent="0.4">
      <c r="A7" s="82">
        <v>40634</v>
      </c>
      <c r="B7" s="92">
        <v>59566.499999999985</v>
      </c>
      <c r="C7" s="93"/>
    </row>
    <row r="8" spans="1:16" ht="15" customHeight="1" x14ac:dyDescent="0.4">
      <c r="A8" s="83">
        <v>40664</v>
      </c>
      <c r="B8" s="94">
        <v>58673.861751152108</v>
      </c>
      <c r="C8" s="95"/>
    </row>
    <row r="9" spans="1:16" ht="15" customHeight="1" x14ac:dyDescent="0.4">
      <c r="A9" s="83">
        <v>40695</v>
      </c>
      <c r="B9" s="94">
        <v>57790.519047619076</v>
      </c>
      <c r="C9" s="95"/>
    </row>
    <row r="10" spans="1:16" ht="15" customHeight="1" x14ac:dyDescent="0.4">
      <c r="A10" s="83">
        <v>40725</v>
      </c>
      <c r="B10" s="94">
        <v>58712.064516129009</v>
      </c>
      <c r="C10" s="95">
        <v>56471.052054794534</v>
      </c>
    </row>
    <row r="11" spans="1:16" ht="15" customHeight="1" x14ac:dyDescent="0.4">
      <c r="A11" s="83">
        <v>40756</v>
      </c>
      <c r="B11" s="94">
        <v>55259.087557603678</v>
      </c>
      <c r="C11" s="95">
        <v>56454.160861056749</v>
      </c>
    </row>
    <row r="12" spans="1:16" ht="15" customHeight="1" x14ac:dyDescent="0.4">
      <c r="A12" s="83">
        <v>40787</v>
      </c>
      <c r="B12" s="94">
        <v>57527.271428571439</v>
      </c>
      <c r="C12" s="95">
        <v>56483.479060665355</v>
      </c>
    </row>
    <row r="13" spans="1:16" ht="15" customHeight="1" x14ac:dyDescent="0.4">
      <c r="A13" s="83">
        <v>40817</v>
      </c>
      <c r="B13" s="94">
        <v>57627.732718894003</v>
      </c>
      <c r="C13" s="95">
        <v>56572.590606653619</v>
      </c>
    </row>
    <row r="14" spans="1:16" ht="15" customHeight="1" x14ac:dyDescent="0.4">
      <c r="A14" s="83">
        <v>40848</v>
      </c>
      <c r="B14" s="94">
        <v>56076.966666666674</v>
      </c>
      <c r="C14" s="95">
        <v>56785.51663405088</v>
      </c>
    </row>
    <row r="15" spans="1:16" ht="15" customHeight="1" x14ac:dyDescent="0.4">
      <c r="A15" s="83">
        <v>40878</v>
      </c>
      <c r="B15" s="94">
        <v>53523.027649769567</v>
      </c>
      <c r="C15" s="95">
        <v>56816.722113502947</v>
      </c>
    </row>
    <row r="16" spans="1:16" ht="15" customHeight="1" x14ac:dyDescent="0.4">
      <c r="A16" s="83">
        <v>40909</v>
      </c>
      <c r="B16" s="94">
        <v>53670.046082949309</v>
      </c>
      <c r="C16" s="95">
        <v>56841.007045009806</v>
      </c>
    </row>
    <row r="17" spans="1:3" ht="15" customHeight="1" x14ac:dyDescent="0.4">
      <c r="A17" s="83">
        <v>40940</v>
      </c>
      <c r="B17" s="94">
        <v>55820.847290640391</v>
      </c>
      <c r="C17" s="95">
        <v>56867.079234972691</v>
      </c>
    </row>
    <row r="18" spans="1:3" ht="15" customHeight="1" x14ac:dyDescent="0.4">
      <c r="A18" s="83">
        <v>40969</v>
      </c>
      <c r="B18" s="94">
        <v>60200.188940092157</v>
      </c>
      <c r="C18" s="95">
        <v>57036.307572209211</v>
      </c>
    </row>
    <row r="19" spans="1:3" ht="15" customHeight="1" x14ac:dyDescent="0.4">
      <c r="A19" s="83">
        <v>41000</v>
      </c>
      <c r="B19" s="94">
        <v>56832.076190476182</v>
      </c>
      <c r="C19" s="95">
        <v>56812.17447306792</v>
      </c>
    </row>
    <row r="20" spans="1:3" ht="15" customHeight="1" x14ac:dyDescent="0.4">
      <c r="A20" s="83">
        <v>41030</v>
      </c>
      <c r="B20" s="94">
        <v>60259.668202764966</v>
      </c>
      <c r="C20" s="95">
        <v>56946.491412958618</v>
      </c>
    </row>
    <row r="21" spans="1:3" ht="15" customHeight="1" x14ac:dyDescent="0.4">
      <c r="A21" s="83">
        <v>41061</v>
      </c>
      <c r="B21" s="94">
        <v>60880.066666666666</v>
      </c>
      <c r="C21" s="95">
        <v>57199.733021077271</v>
      </c>
    </row>
    <row r="22" spans="1:3" ht="15" customHeight="1" x14ac:dyDescent="0.4">
      <c r="A22" s="83">
        <v>41091</v>
      </c>
      <c r="B22" s="94">
        <v>60260.958525345661</v>
      </c>
      <c r="C22" s="95">
        <v>57330.923497267759</v>
      </c>
    </row>
    <row r="23" spans="1:3" ht="15" customHeight="1" x14ac:dyDescent="0.4">
      <c r="A23" s="83">
        <v>41122</v>
      </c>
      <c r="B23" s="94">
        <v>57759.202764976952</v>
      </c>
      <c r="C23" s="95">
        <v>57542.681889149091</v>
      </c>
    </row>
    <row r="24" spans="1:3" ht="15" customHeight="1" x14ac:dyDescent="0.4">
      <c r="A24" s="83">
        <v>41153</v>
      </c>
      <c r="B24" s="94">
        <v>57646.023809523795</v>
      </c>
      <c r="C24" s="95">
        <v>57552.415690866495</v>
      </c>
    </row>
    <row r="25" spans="1:3" ht="15" customHeight="1" x14ac:dyDescent="0.4">
      <c r="A25" s="83">
        <v>41183</v>
      </c>
      <c r="B25" s="94">
        <v>56885.027649769603</v>
      </c>
      <c r="C25" s="95">
        <v>57489.508977361438</v>
      </c>
    </row>
    <row r="26" spans="1:3" ht="15" customHeight="1" x14ac:dyDescent="0.4">
      <c r="A26" s="83">
        <v>41214</v>
      </c>
      <c r="B26" s="94">
        <v>56186.361904761907</v>
      </c>
      <c r="C26" s="95">
        <v>57498.475800156135</v>
      </c>
    </row>
    <row r="27" spans="1:3" ht="15" customHeight="1" x14ac:dyDescent="0.4">
      <c r="A27" s="83">
        <v>41244</v>
      </c>
      <c r="B27" s="94">
        <v>55652.870967741925</v>
      </c>
      <c r="C27" s="95">
        <v>57678.872365339586</v>
      </c>
    </row>
    <row r="28" spans="1:3" ht="15" customHeight="1" x14ac:dyDescent="0.4">
      <c r="A28" s="83">
        <v>41275</v>
      </c>
      <c r="B28" s="94">
        <v>52856.677419354834</v>
      </c>
      <c r="C28" s="95">
        <v>57609.980483996878</v>
      </c>
    </row>
    <row r="29" spans="1:3" ht="15" customHeight="1" x14ac:dyDescent="0.4">
      <c r="A29" s="83">
        <v>41306</v>
      </c>
      <c r="B29" s="94">
        <v>55522.719387755089</v>
      </c>
      <c r="C29" s="95">
        <v>57592.012133072407</v>
      </c>
    </row>
    <row r="30" spans="1:3" ht="15" customHeight="1" x14ac:dyDescent="0.4">
      <c r="A30" s="83">
        <v>41334</v>
      </c>
      <c r="B30" s="94">
        <v>56260.940092165903</v>
      </c>
      <c r="C30" s="95">
        <v>57257.445792563594</v>
      </c>
    </row>
    <row r="31" spans="1:3" ht="15" customHeight="1" x14ac:dyDescent="0.4">
      <c r="A31" s="83">
        <v>41365</v>
      </c>
      <c r="B31" s="94">
        <v>57043.290476190465</v>
      </c>
      <c r="C31" s="95">
        <v>57274.805870841483</v>
      </c>
    </row>
    <row r="32" spans="1:3" ht="15" customHeight="1" x14ac:dyDescent="0.4">
      <c r="A32" s="83">
        <v>41395</v>
      </c>
      <c r="B32" s="94">
        <v>58930.548387096809</v>
      </c>
      <c r="C32" s="95">
        <v>57161.921722113497</v>
      </c>
    </row>
    <row r="33" spans="1:3" ht="15" customHeight="1" x14ac:dyDescent="0.4">
      <c r="A33" s="83">
        <v>41426</v>
      </c>
      <c r="B33" s="94">
        <v>59156.542857142835</v>
      </c>
      <c r="C33" s="95">
        <v>57020.262230919761</v>
      </c>
    </row>
    <row r="34" spans="1:3" ht="15" customHeight="1" x14ac:dyDescent="0.4">
      <c r="A34" s="83">
        <v>41456</v>
      </c>
      <c r="B34" s="94">
        <v>61635.488479262669</v>
      </c>
      <c r="C34" s="95">
        <v>57137.003131115445</v>
      </c>
    </row>
    <row r="35" spans="1:3" ht="15" customHeight="1" x14ac:dyDescent="0.4">
      <c r="A35" s="83">
        <v>41487</v>
      </c>
      <c r="B35" s="94">
        <v>57167.580645161281</v>
      </c>
      <c r="C35" s="95">
        <v>57086.755772994133</v>
      </c>
    </row>
    <row r="36" spans="1:3" ht="15" customHeight="1" x14ac:dyDescent="0.4">
      <c r="A36" s="83">
        <v>41518</v>
      </c>
      <c r="B36" s="94">
        <v>56473.5</v>
      </c>
      <c r="C36" s="95">
        <v>56990.383953033277</v>
      </c>
    </row>
    <row r="37" spans="1:3" ht="15" customHeight="1" x14ac:dyDescent="0.4">
      <c r="A37" s="83">
        <v>41548</v>
      </c>
      <c r="B37" s="94">
        <v>56457.396313364021</v>
      </c>
      <c r="C37" s="95">
        <v>56954.064579256359</v>
      </c>
    </row>
    <row r="38" spans="1:3" ht="15" customHeight="1" x14ac:dyDescent="0.4">
      <c r="A38" s="83">
        <v>41579</v>
      </c>
      <c r="B38" s="94">
        <v>55408.5142857143</v>
      </c>
      <c r="C38" s="95">
        <v>56890.131898238746</v>
      </c>
    </row>
    <row r="39" spans="1:3" ht="15" customHeight="1" x14ac:dyDescent="0.4">
      <c r="A39" s="83">
        <v>41609</v>
      </c>
      <c r="B39" s="94">
        <v>54773.543778801839</v>
      </c>
      <c r="C39" s="95">
        <v>56815.449315068494</v>
      </c>
    </row>
    <row r="40" spans="1:3" ht="15" customHeight="1" x14ac:dyDescent="0.4">
      <c r="A40" s="83">
        <v>41640</v>
      </c>
      <c r="B40" s="94">
        <v>53404.617511520737</v>
      </c>
      <c r="C40" s="95">
        <v>56861.986692759296</v>
      </c>
    </row>
    <row r="41" spans="1:3" ht="15" customHeight="1" x14ac:dyDescent="0.4">
      <c r="A41" s="83">
        <v>41671</v>
      </c>
      <c r="B41" s="94">
        <v>56168.326530612212</v>
      </c>
      <c r="C41" s="95">
        <v>56911.512720156556</v>
      </c>
    </row>
    <row r="42" spans="1:3" ht="15" customHeight="1" x14ac:dyDescent="0.4">
      <c r="A42" s="83">
        <v>41699</v>
      </c>
      <c r="B42" s="94">
        <v>60371.359447004659</v>
      </c>
      <c r="C42" s="95">
        <v>57260.616829745595</v>
      </c>
    </row>
    <row r="43" spans="1:3" ht="15" customHeight="1" x14ac:dyDescent="0.4">
      <c r="A43" s="83">
        <v>41730</v>
      </c>
      <c r="B43" s="94">
        <v>59623.957142857129</v>
      </c>
      <c r="C43" s="95">
        <v>57472.726418786697</v>
      </c>
    </row>
    <row r="44" spans="1:3" ht="15" customHeight="1" x14ac:dyDescent="0.4">
      <c r="A44" s="83">
        <v>41760</v>
      </c>
      <c r="B44" s="94">
        <v>60510.926267281095</v>
      </c>
      <c r="C44" s="95">
        <v>57606.950293542068</v>
      </c>
    </row>
    <row r="45" spans="1:3" ht="15" customHeight="1" x14ac:dyDescent="0.4">
      <c r="A45" s="83">
        <v>41791</v>
      </c>
      <c r="B45" s="94">
        <v>61646.80952380949</v>
      </c>
      <c r="C45" s="95">
        <v>57811.629745596852</v>
      </c>
    </row>
    <row r="46" spans="1:3" ht="15" customHeight="1" x14ac:dyDescent="0.4">
      <c r="A46" s="83">
        <v>41821</v>
      </c>
      <c r="B46" s="94">
        <v>61205.124423963112</v>
      </c>
      <c r="C46" s="95">
        <v>57775.078277886496</v>
      </c>
    </row>
    <row r="47" spans="1:3" ht="15" customHeight="1" x14ac:dyDescent="0.4">
      <c r="A47" s="83">
        <v>41852</v>
      </c>
      <c r="B47" s="94">
        <v>55755.815668202747</v>
      </c>
      <c r="C47" s="95">
        <v>57655.174951076311</v>
      </c>
    </row>
    <row r="48" spans="1:3" ht="15" customHeight="1" x14ac:dyDescent="0.4">
      <c r="A48" s="83">
        <v>41883</v>
      </c>
      <c r="B48" s="94">
        <v>58447.866666666676</v>
      </c>
      <c r="C48" s="95">
        <v>57817.451663405081</v>
      </c>
    </row>
    <row r="49" spans="1:3" ht="15" customHeight="1" x14ac:dyDescent="0.4">
      <c r="A49" s="83">
        <v>41913</v>
      </c>
      <c r="B49" s="94">
        <v>57206.317972350233</v>
      </c>
      <c r="C49" s="95">
        <v>57881.058708414872</v>
      </c>
    </row>
    <row r="50" spans="1:3" ht="15" customHeight="1" x14ac:dyDescent="0.4">
      <c r="A50" s="83">
        <v>41944</v>
      </c>
      <c r="B50" s="94">
        <v>57024.304761904787</v>
      </c>
      <c r="C50" s="95">
        <v>58013.863405088057</v>
      </c>
    </row>
    <row r="51" spans="1:3" ht="15" customHeight="1" x14ac:dyDescent="0.4">
      <c r="A51" s="83">
        <v>41974</v>
      </c>
      <c r="B51" s="94">
        <v>55131.354838709653</v>
      </c>
      <c r="C51" s="95">
        <v>58044.252837573382</v>
      </c>
    </row>
    <row r="52" spans="1:3" ht="15" customHeight="1" x14ac:dyDescent="0.4">
      <c r="A52" s="83">
        <v>42005</v>
      </c>
      <c r="B52" s="94">
        <v>50932.599078340994</v>
      </c>
      <c r="C52" s="95">
        <v>57834.300587084144</v>
      </c>
    </row>
    <row r="53" spans="1:3" ht="15" customHeight="1" x14ac:dyDescent="0.4">
      <c r="A53" s="83">
        <v>42036</v>
      </c>
      <c r="B53" s="94">
        <v>54356.377551020392</v>
      </c>
      <c r="C53" s="95">
        <v>57695.301761252435</v>
      </c>
    </row>
    <row r="54" spans="1:3" ht="15" customHeight="1" x14ac:dyDescent="0.4">
      <c r="A54" s="83">
        <v>42064</v>
      </c>
      <c r="B54" s="94">
        <v>58121.709677419371</v>
      </c>
      <c r="C54" s="95">
        <v>57504.235616438345</v>
      </c>
    </row>
    <row r="55" spans="1:3" ht="15" customHeight="1" x14ac:dyDescent="0.4">
      <c r="A55" s="83">
        <v>42095</v>
      </c>
      <c r="B55" s="94">
        <v>58245.614285714306</v>
      </c>
      <c r="C55" s="95">
        <v>57390.947162426608</v>
      </c>
    </row>
    <row r="56" spans="1:3" ht="15" customHeight="1" x14ac:dyDescent="0.4">
      <c r="A56" s="83">
        <v>42125</v>
      </c>
      <c r="B56" s="94">
        <v>58941.433179723506</v>
      </c>
      <c r="C56" s="95">
        <v>57257.647749510761</v>
      </c>
    </row>
    <row r="57" spans="1:3" ht="15" customHeight="1" x14ac:dyDescent="0.4">
      <c r="A57" s="83">
        <v>42156</v>
      </c>
      <c r="B57" s="94">
        <v>60396.166666666664</v>
      </c>
      <c r="C57" s="95">
        <v>57154.855185909975</v>
      </c>
    </row>
    <row r="58" spans="1:3" ht="15" customHeight="1" x14ac:dyDescent="0.4">
      <c r="A58" s="83">
        <v>42186</v>
      </c>
      <c r="B58" s="94">
        <v>59852.258064516129</v>
      </c>
      <c r="C58" s="95">
        <v>57039.954207436393</v>
      </c>
    </row>
    <row r="59" spans="1:3" ht="15" customHeight="1" x14ac:dyDescent="0.4">
      <c r="A59" s="83">
        <v>42217</v>
      </c>
      <c r="B59" s="94">
        <v>56731.096774193546</v>
      </c>
      <c r="C59" s="95">
        <v>57122.786301369866</v>
      </c>
    </row>
    <row r="60" spans="1:3" ht="15" customHeight="1" x14ac:dyDescent="0.4">
      <c r="A60" s="83">
        <v>42248</v>
      </c>
      <c r="B60" s="94">
        <v>57895.6</v>
      </c>
      <c r="C60" s="95">
        <v>57077.394520547947</v>
      </c>
    </row>
    <row r="61" spans="1:3" ht="15" customHeight="1" x14ac:dyDescent="0.4">
      <c r="A61" s="83">
        <v>42278</v>
      </c>
      <c r="B61" s="94">
        <v>57275.93548387097</v>
      </c>
      <c r="C61" s="95">
        <v>57083.307240704497</v>
      </c>
    </row>
    <row r="62" spans="1:3" ht="15" customHeight="1" x14ac:dyDescent="0.4">
      <c r="A62" s="83">
        <v>42309</v>
      </c>
      <c r="B62" s="94">
        <v>57025.433333333334</v>
      </c>
      <c r="C62" s="95">
        <v>57083.4</v>
      </c>
    </row>
    <row r="63" spans="1:3" ht="15" customHeight="1" x14ac:dyDescent="0.4">
      <c r="A63" s="84">
        <v>42339</v>
      </c>
      <c r="B63" s="94">
        <v>54808</v>
      </c>
      <c r="C63" s="95">
        <v>57055.936986301371</v>
      </c>
    </row>
    <row r="64" spans="1:3" ht="15" customHeight="1" x14ac:dyDescent="0.4">
      <c r="A64" s="83">
        <v>42370</v>
      </c>
      <c r="B64" s="94">
        <v>54536.594470046133</v>
      </c>
      <c r="C64" s="95">
        <v>57362.029745596868</v>
      </c>
    </row>
    <row r="65" spans="1:3" ht="15" customHeight="1" x14ac:dyDescent="0.4">
      <c r="A65" s="83">
        <v>42401</v>
      </c>
      <c r="B65" s="94">
        <v>56610.172413793101</v>
      </c>
      <c r="C65" s="95">
        <v>57532.396955503515</v>
      </c>
    </row>
    <row r="66" spans="1:3" ht="15" customHeight="1" x14ac:dyDescent="0.4">
      <c r="A66" s="83">
        <v>42430</v>
      </c>
      <c r="B66" s="94">
        <v>58765.129032258068</v>
      </c>
      <c r="C66" s="95">
        <v>57586.89422326308</v>
      </c>
    </row>
    <row r="67" spans="1:3" ht="15" customHeight="1" x14ac:dyDescent="0.4">
      <c r="A67" s="83">
        <v>42461</v>
      </c>
      <c r="B67" s="94">
        <v>56055.3</v>
      </c>
      <c r="C67" s="95">
        <v>57407.360265417643</v>
      </c>
    </row>
    <row r="68" spans="1:3" ht="15" customHeight="1" x14ac:dyDescent="0.4">
      <c r="A68" s="83">
        <v>42491</v>
      </c>
      <c r="B68" s="94">
        <v>60290.677419354841</v>
      </c>
      <c r="C68" s="95">
        <v>57521.640515222483</v>
      </c>
    </row>
    <row r="69" spans="1:3" ht="15" customHeight="1" x14ac:dyDescent="0.4">
      <c r="A69" s="83">
        <v>42522</v>
      </c>
      <c r="B69" s="94">
        <v>59129.666666666664</v>
      </c>
      <c r="C69" s="95">
        <v>57417.829039812648</v>
      </c>
    </row>
    <row r="70" spans="1:3" ht="15" customHeight="1" x14ac:dyDescent="0.4">
      <c r="A70" s="83">
        <v>42552</v>
      </c>
      <c r="B70" s="94">
        <v>60550.354838709674</v>
      </c>
      <c r="C70" s="95">
        <v>57476.957455113195</v>
      </c>
    </row>
    <row r="71" spans="1:3" ht="15" customHeight="1" x14ac:dyDescent="0.4">
      <c r="A71" s="83">
        <v>42583</v>
      </c>
      <c r="B71" s="94">
        <v>56725.225806451614</v>
      </c>
      <c r="C71" s="95">
        <v>57476.46018735363</v>
      </c>
    </row>
    <row r="72" spans="1:3" ht="15" customHeight="1" x14ac:dyDescent="0.4">
      <c r="A72" s="83">
        <v>42614</v>
      </c>
      <c r="B72" s="94">
        <v>58995.566666666666</v>
      </c>
      <c r="C72" s="95">
        <v>57566.621389539425</v>
      </c>
    </row>
    <row r="73" spans="1:3" ht="15" customHeight="1" x14ac:dyDescent="0.4">
      <c r="A73" s="83">
        <v>42644</v>
      </c>
      <c r="B73" s="94">
        <v>57505.774193548386</v>
      </c>
      <c r="C73" s="95">
        <v>57586.088602654178</v>
      </c>
    </row>
    <row r="74" spans="1:3" ht="15" customHeight="1" x14ac:dyDescent="0.4">
      <c r="A74" s="83">
        <v>42675</v>
      </c>
      <c r="B74" s="94">
        <v>56205.26666666667</v>
      </c>
      <c r="C74" s="95">
        <v>57518.861826697896</v>
      </c>
    </row>
    <row r="75" spans="1:3" ht="15" customHeight="1" x14ac:dyDescent="0.4">
      <c r="A75" s="83">
        <v>42705</v>
      </c>
      <c r="B75" s="94">
        <v>54056.419354838712</v>
      </c>
      <c r="C75" s="95">
        <v>57455.203356752536</v>
      </c>
    </row>
    <row r="76" spans="1:3" ht="15" customHeight="1" x14ac:dyDescent="0.4">
      <c r="A76" s="83">
        <v>42736</v>
      </c>
      <c r="B76" s="94">
        <v>52053.548387096773</v>
      </c>
      <c r="C76" s="95">
        <v>57244.890710382511</v>
      </c>
    </row>
    <row r="77" spans="1:3" ht="15" customHeight="1" x14ac:dyDescent="0.4">
      <c r="A77" s="83">
        <v>42767</v>
      </c>
      <c r="B77" s="94">
        <v>54257.25</v>
      </c>
      <c r="C77" s="95">
        <v>57066.131506849313</v>
      </c>
    </row>
    <row r="78" spans="1:3" ht="15" customHeight="1" x14ac:dyDescent="0.4">
      <c r="A78" s="83">
        <v>42795</v>
      </c>
      <c r="B78" s="94">
        <v>58530.387096774197</v>
      </c>
      <c r="C78" s="95">
        <v>57046.194520547942</v>
      </c>
    </row>
    <row r="79" spans="1:3" ht="15" customHeight="1" x14ac:dyDescent="0.4">
      <c r="A79" s="83">
        <v>42826</v>
      </c>
      <c r="B79" s="94">
        <v>58827.73333333333</v>
      </c>
      <c r="C79" s="95">
        <v>57274.065753424657</v>
      </c>
    </row>
    <row r="80" spans="1:3" ht="15" customHeight="1" x14ac:dyDescent="0.4">
      <c r="A80" s="83">
        <v>42856</v>
      </c>
      <c r="B80" s="94">
        <v>59803.774193548386</v>
      </c>
      <c r="C80" s="95">
        <v>57232.71232876712</v>
      </c>
    </row>
    <row r="81" spans="1:8" ht="15" customHeight="1" x14ac:dyDescent="0.4">
      <c r="A81" s="83">
        <v>42887</v>
      </c>
      <c r="B81" s="94">
        <v>60303.7</v>
      </c>
      <c r="C81" s="95">
        <v>57329.208219178079</v>
      </c>
    </row>
    <row r="82" spans="1:8" ht="15" customHeight="1" x14ac:dyDescent="0.4">
      <c r="A82" s="83">
        <v>42917</v>
      </c>
      <c r="B82" s="94">
        <v>60443.967741935485</v>
      </c>
      <c r="C82" s="95">
        <v>57320.172602739724</v>
      </c>
    </row>
    <row r="83" spans="1:8" ht="15" customHeight="1" x14ac:dyDescent="0.4">
      <c r="A83" s="83">
        <v>42948</v>
      </c>
      <c r="B83" s="94">
        <v>56063.096774193546</v>
      </c>
      <c r="C83" s="95">
        <v>57263.936986301371</v>
      </c>
    </row>
    <row r="84" spans="1:8" ht="15" customHeight="1" x14ac:dyDescent="0.4">
      <c r="A84" s="83">
        <v>42979</v>
      </c>
      <c r="B84" s="94">
        <v>57564.466666666667</v>
      </c>
      <c r="C84" s="95">
        <v>57146.312328767126</v>
      </c>
    </row>
    <row r="85" spans="1:8" ht="15" customHeight="1" x14ac:dyDescent="0.4">
      <c r="A85" s="83">
        <v>43009</v>
      </c>
      <c r="B85" s="94">
        <v>59307.580645161288</v>
      </c>
      <c r="C85" s="95">
        <v>57299.342465753427</v>
      </c>
    </row>
    <row r="86" spans="1:8" ht="15" customHeight="1" x14ac:dyDescent="0.4">
      <c r="A86" s="83">
        <v>43040</v>
      </c>
      <c r="B86" s="94">
        <v>58496.3</v>
      </c>
      <c r="C86" s="95">
        <v>57487.646575342464</v>
      </c>
    </row>
    <row r="87" spans="1:8" ht="15" customHeight="1" x14ac:dyDescent="0.4">
      <c r="A87" s="83">
        <v>43070</v>
      </c>
      <c r="B87" s="94">
        <v>54937.451612903227</v>
      </c>
      <c r="C87" s="95">
        <v>57562.47397260274</v>
      </c>
    </row>
    <row r="88" spans="1:8" ht="15" customHeight="1" x14ac:dyDescent="0.4">
      <c r="A88" s="83">
        <v>43101</v>
      </c>
      <c r="B88" s="94">
        <v>55034.096774193546</v>
      </c>
      <c r="C88" s="95">
        <v>57815.616438356163</v>
      </c>
    </row>
    <row r="89" spans="1:8" ht="15" customHeight="1" x14ac:dyDescent="0.4">
      <c r="A89" s="83">
        <v>43132</v>
      </c>
      <c r="B89" s="94">
        <v>55279.464285714283</v>
      </c>
      <c r="C89" s="95">
        <v>57894.032876712328</v>
      </c>
    </row>
    <row r="90" spans="1:8" ht="15" customHeight="1" thickBot="1" x14ac:dyDescent="0.45">
      <c r="A90" s="85">
        <v>43160</v>
      </c>
      <c r="B90" s="96">
        <v>55953.322580645159</v>
      </c>
      <c r="C90" s="97">
        <v>57675.158904109587</v>
      </c>
    </row>
    <row r="92" spans="1:8" s="39" customFormat="1" ht="14.25" customHeight="1" x14ac:dyDescent="0.45">
      <c r="A92" s="364" t="s">
        <v>333</v>
      </c>
      <c r="B92" s="364"/>
      <c r="C92" s="364"/>
      <c r="D92" s="364"/>
      <c r="E92" s="364"/>
      <c r="F92" s="364"/>
      <c r="G92" s="364"/>
      <c r="H92" s="194"/>
    </row>
    <row r="93" spans="1:8" s="39" customFormat="1" ht="28.5" customHeight="1" x14ac:dyDescent="0.45">
      <c r="A93" s="360" t="s">
        <v>383</v>
      </c>
      <c r="B93" s="362"/>
      <c r="C93" s="362"/>
      <c r="D93" s="362"/>
      <c r="E93" s="362"/>
      <c r="F93" s="362"/>
      <c r="G93" s="362"/>
      <c r="H93" s="99"/>
    </row>
    <row r="94" spans="1:8" s="39" customFormat="1" ht="13.8" x14ac:dyDescent="0.45">
      <c r="A94" s="112"/>
      <c r="B94" s="112"/>
      <c r="C94" s="112"/>
      <c r="D94" s="112"/>
      <c r="E94" s="112"/>
      <c r="F94" s="112"/>
      <c r="G94" s="112"/>
      <c r="H94" s="108"/>
    </row>
    <row r="95" spans="1:8" s="39" customFormat="1" ht="15" customHeight="1" thickBot="1" x14ac:dyDescent="0.5">
      <c r="A95" s="365" t="s">
        <v>1</v>
      </c>
      <c r="B95" s="365"/>
      <c r="C95" s="365"/>
      <c r="D95" s="365"/>
      <c r="E95" s="365"/>
      <c r="F95" s="365"/>
      <c r="G95" s="365"/>
      <c r="H95" s="203"/>
    </row>
    <row r="96" spans="1:8" s="39" customFormat="1" ht="14.25" customHeight="1" x14ac:dyDescent="0.45">
      <c r="A96" s="359" t="s">
        <v>376</v>
      </c>
      <c r="B96" s="359"/>
      <c r="C96" s="359"/>
      <c r="D96" s="359"/>
      <c r="E96" s="359"/>
      <c r="F96" s="359"/>
      <c r="G96" s="359"/>
      <c r="H96" s="200"/>
    </row>
    <row r="97" spans="1:18" s="39" customFormat="1" ht="14.25" customHeight="1" x14ac:dyDescent="0.45">
      <c r="A97" s="353" t="s">
        <v>353</v>
      </c>
      <c r="B97" s="353"/>
      <c r="C97" s="353"/>
      <c r="D97" s="353"/>
      <c r="E97" s="353"/>
      <c r="F97" s="353"/>
      <c r="G97" s="353"/>
      <c r="H97" s="200"/>
    </row>
    <row r="98" spans="1:18" s="39" customFormat="1" ht="14.25" customHeight="1" x14ac:dyDescent="0.45">
      <c r="A98" s="349" t="s">
        <v>269</v>
      </c>
      <c r="B98" s="349"/>
      <c r="C98" s="349"/>
      <c r="D98" s="349"/>
      <c r="E98" s="349"/>
      <c r="F98" s="349"/>
      <c r="G98" s="349"/>
      <c r="H98" s="201"/>
    </row>
    <row r="99" spans="1:18" ht="15" customHeight="1" thickBot="1" x14ac:dyDescent="0.5">
      <c r="A99" s="350" t="s">
        <v>374</v>
      </c>
      <c r="B99" s="350"/>
      <c r="C99" s="350"/>
      <c r="D99" s="350"/>
      <c r="E99" s="350"/>
      <c r="F99" s="350"/>
      <c r="G99" s="350"/>
      <c r="H99" s="11"/>
      <c r="I99" s="39"/>
      <c r="J99" s="39"/>
      <c r="K99" s="39"/>
      <c r="L99" s="39"/>
      <c r="M99" s="39"/>
      <c r="N99" s="39"/>
      <c r="O99" s="39"/>
      <c r="P99" s="39"/>
      <c r="Q99" s="39"/>
      <c r="R99" s="39"/>
    </row>
    <row r="100" spans="1:18" ht="13.8" x14ac:dyDescent="0.45">
      <c r="A100" s="40"/>
      <c r="B100" s="41"/>
      <c r="C100" s="41"/>
      <c r="D100" s="41"/>
      <c r="E100" s="41"/>
      <c r="F100" s="41"/>
      <c r="G100" s="41"/>
      <c r="H100" s="100"/>
    </row>
    <row r="101" spans="1:18" ht="13.8" x14ac:dyDescent="0.45">
      <c r="A101" s="351" t="s">
        <v>274</v>
      </c>
      <c r="B101" s="351"/>
      <c r="C101" s="41"/>
      <c r="D101" s="41"/>
      <c r="E101" s="41"/>
      <c r="F101" s="41"/>
      <c r="G101" s="42"/>
      <c r="H101" s="39"/>
    </row>
    <row r="102" spans="1:18" ht="13.8" x14ac:dyDescent="0.45">
      <c r="A102" s="11"/>
      <c r="B102" s="41"/>
      <c r="C102" s="41"/>
      <c r="D102" s="41"/>
      <c r="E102" s="41"/>
      <c r="F102" s="41"/>
      <c r="G102" s="39"/>
      <c r="H102" s="39"/>
    </row>
  </sheetData>
  <mergeCells count="11">
    <mergeCell ref="A97:G97"/>
    <mergeCell ref="A98:G98"/>
    <mergeCell ref="A99:G99"/>
    <mergeCell ref="A101:B101"/>
    <mergeCell ref="A2:G2"/>
    <mergeCell ref="A3:G3"/>
    <mergeCell ref="A92:G92"/>
    <mergeCell ref="A93:G93"/>
    <mergeCell ref="A95:G95"/>
    <mergeCell ref="A96:G96"/>
    <mergeCell ref="B5:C5"/>
  </mergeCells>
  <hyperlinks>
    <hyperlink ref="A98:F98" r:id="rId1" display="Contact via enquiries@NHSDigital.nhs.uk or 0300 303 5678" xr:uid="{00000000-0004-0000-0600-000000000000}"/>
    <hyperlink ref="A101" location="Contents!A1" display="Return to Contents" xr:uid="{00000000-0004-0000-0600-000001000000}"/>
    <hyperlink ref="A93" r:id="rId2" xr:uid="{6F0B7891-8C99-44EE-A56D-1ECFF84238F5}"/>
  </hyperlink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R102"/>
  <sheetViews>
    <sheetView workbookViewId="0"/>
  </sheetViews>
  <sheetFormatPr defaultColWidth="9.109375" defaultRowHeight="12.3" x14ac:dyDescent="0.4"/>
  <cols>
    <col min="1" max="1" width="7.88671875" style="7" bestFit="1" customWidth="1"/>
    <col min="2" max="2" width="22.88671875" style="7" customWidth="1"/>
    <col min="3" max="3" width="27.109375" style="7" customWidth="1"/>
    <col min="4" max="16384" width="9.109375" style="7"/>
  </cols>
  <sheetData>
    <row r="1" spans="1:16" ht="15" customHeight="1" x14ac:dyDescent="0.4"/>
    <row r="2" spans="1:16" ht="48.75" customHeight="1" x14ac:dyDescent="0.45">
      <c r="A2" s="355" t="s">
        <v>512</v>
      </c>
      <c r="B2" s="355"/>
      <c r="C2" s="355"/>
      <c r="D2" s="355"/>
      <c r="E2" s="355"/>
      <c r="F2" s="355"/>
      <c r="G2" s="355"/>
      <c r="H2" s="107"/>
      <c r="I2" s="107"/>
      <c r="J2" s="107"/>
      <c r="K2" s="107"/>
      <c r="L2" s="39"/>
      <c r="M2" s="39"/>
      <c r="N2" s="39"/>
      <c r="O2" s="39"/>
      <c r="P2" s="39"/>
    </row>
    <row r="3" spans="1:16" ht="30" customHeight="1" x14ac:dyDescent="0.45">
      <c r="A3" s="363" t="s">
        <v>359</v>
      </c>
      <c r="B3" s="363"/>
      <c r="C3" s="363"/>
      <c r="D3" s="363"/>
      <c r="E3" s="363"/>
      <c r="F3" s="363"/>
      <c r="G3" s="363"/>
      <c r="H3" s="11"/>
      <c r="I3" s="11"/>
      <c r="J3" s="11"/>
      <c r="K3" s="39"/>
      <c r="L3" s="39"/>
      <c r="M3" s="39"/>
      <c r="N3" s="39"/>
      <c r="O3" s="39"/>
      <c r="P3" s="39"/>
    </row>
    <row r="4" spans="1:16" ht="12.6" thickBot="1" x14ac:dyDescent="0.45"/>
    <row r="5" spans="1:16" ht="30" customHeight="1" thickBot="1" x14ac:dyDescent="0.45">
      <c r="A5" s="210"/>
      <c r="B5" s="373" t="s">
        <v>476</v>
      </c>
      <c r="C5" s="374"/>
    </row>
    <row r="6" spans="1:16" ht="30" customHeight="1" thickBot="1" x14ac:dyDescent="0.45">
      <c r="A6" s="210"/>
      <c r="B6" s="116" t="s">
        <v>474</v>
      </c>
      <c r="C6" s="117" t="s">
        <v>475</v>
      </c>
    </row>
    <row r="7" spans="1:16" ht="15" customHeight="1" x14ac:dyDescent="0.4">
      <c r="A7" s="82">
        <v>40634</v>
      </c>
      <c r="B7" s="92">
        <v>1912.661904761904</v>
      </c>
      <c r="C7" s="93"/>
    </row>
    <row r="8" spans="1:16" ht="15" customHeight="1" x14ac:dyDescent="0.4">
      <c r="A8" s="83">
        <v>40664</v>
      </c>
      <c r="B8" s="94">
        <v>1767.9170506912442</v>
      </c>
      <c r="C8" s="95"/>
    </row>
    <row r="9" spans="1:16" ht="15" customHeight="1" x14ac:dyDescent="0.4">
      <c r="A9" s="83">
        <v>40695</v>
      </c>
      <c r="B9" s="94">
        <v>1723.3904761904757</v>
      </c>
      <c r="C9" s="95"/>
    </row>
    <row r="10" spans="1:16" ht="15" customHeight="1" x14ac:dyDescent="0.4">
      <c r="A10" s="83">
        <v>40725</v>
      </c>
      <c r="B10" s="94">
        <v>1447.9170506912437</v>
      </c>
      <c r="C10" s="95">
        <v>1769.5342465753424</v>
      </c>
    </row>
    <row r="11" spans="1:16" ht="15" customHeight="1" x14ac:dyDescent="0.4">
      <c r="A11" s="83">
        <v>40756</v>
      </c>
      <c r="B11" s="94">
        <v>1454.0829493087567</v>
      </c>
      <c r="C11" s="95">
        <v>1802.1166340508807</v>
      </c>
    </row>
    <row r="12" spans="1:16" ht="15" customHeight="1" x14ac:dyDescent="0.4">
      <c r="A12" s="83">
        <v>40787</v>
      </c>
      <c r="B12" s="94">
        <v>1846.4142857142867</v>
      </c>
      <c r="C12" s="95">
        <v>1841.1342465753428</v>
      </c>
    </row>
    <row r="13" spans="1:16" ht="15" customHeight="1" x14ac:dyDescent="0.4">
      <c r="A13" s="83">
        <v>40817</v>
      </c>
      <c r="B13" s="94">
        <v>2014.6036866359441</v>
      </c>
      <c r="C13" s="95">
        <v>1882.3362035225052</v>
      </c>
    </row>
    <row r="14" spans="1:16" ht="15" customHeight="1" x14ac:dyDescent="0.4">
      <c r="A14" s="83">
        <v>40848</v>
      </c>
      <c r="B14" s="94">
        <v>1971.0619047619048</v>
      </c>
      <c r="C14" s="95">
        <v>1917.1181996086109</v>
      </c>
    </row>
    <row r="15" spans="1:16" ht="15" customHeight="1" x14ac:dyDescent="0.4">
      <c r="A15" s="83">
        <v>40878</v>
      </c>
      <c r="B15" s="94">
        <v>2349.4193548387079</v>
      </c>
      <c r="C15" s="95">
        <v>1870.3091976516637</v>
      </c>
    </row>
    <row r="16" spans="1:16" ht="15" customHeight="1" x14ac:dyDescent="0.4">
      <c r="A16" s="83">
        <v>40909</v>
      </c>
      <c r="B16" s="94">
        <v>2378.9216589861749</v>
      </c>
      <c r="C16" s="95">
        <v>1872.6579256360076</v>
      </c>
    </row>
    <row r="17" spans="1:3" ht="15" customHeight="1" x14ac:dyDescent="0.4">
      <c r="A17" s="83">
        <v>40940</v>
      </c>
      <c r="B17" s="94">
        <v>2945.7635467980285</v>
      </c>
      <c r="C17" s="95">
        <v>1972.6896955503512</v>
      </c>
    </row>
    <row r="18" spans="1:3" ht="15" customHeight="1" x14ac:dyDescent="0.4">
      <c r="A18" s="83">
        <v>40969</v>
      </c>
      <c r="B18" s="94">
        <v>2159.5806451612898</v>
      </c>
      <c r="C18" s="95">
        <v>1993.930913348946</v>
      </c>
    </row>
    <row r="19" spans="1:3" ht="15" customHeight="1" x14ac:dyDescent="0.4">
      <c r="A19" s="83">
        <v>41000</v>
      </c>
      <c r="B19" s="94">
        <v>2152.0333333333342</v>
      </c>
      <c r="C19" s="95">
        <v>2013.5515222482434</v>
      </c>
    </row>
    <row r="20" spans="1:3" ht="15" customHeight="1" x14ac:dyDescent="0.4">
      <c r="A20" s="83">
        <v>41030</v>
      </c>
      <c r="B20" s="94">
        <v>1984.5391705069119</v>
      </c>
      <c r="C20" s="95">
        <v>2031.8992974238874</v>
      </c>
    </row>
    <row r="21" spans="1:3" ht="15" customHeight="1" x14ac:dyDescent="0.4">
      <c r="A21" s="83">
        <v>41061</v>
      </c>
      <c r="B21" s="94">
        <v>2047.9761904761906</v>
      </c>
      <c r="C21" s="95">
        <v>2058.5046838407493</v>
      </c>
    </row>
    <row r="22" spans="1:3" ht="15" customHeight="1" x14ac:dyDescent="0.4">
      <c r="A22" s="83">
        <v>41091</v>
      </c>
      <c r="B22" s="94">
        <v>1820.4377880184334</v>
      </c>
      <c r="C22" s="95">
        <v>2090.0569867291179</v>
      </c>
    </row>
    <row r="23" spans="1:3" ht="15" customHeight="1" x14ac:dyDescent="0.4">
      <c r="A23" s="83">
        <v>41122</v>
      </c>
      <c r="B23" s="94">
        <v>1761.5161290322574</v>
      </c>
      <c r="C23" s="95">
        <v>2116.0964090554253</v>
      </c>
    </row>
    <row r="24" spans="1:3" ht="15" customHeight="1" x14ac:dyDescent="0.4">
      <c r="A24" s="83">
        <v>41153</v>
      </c>
      <c r="B24" s="94">
        <v>1970.3380952380955</v>
      </c>
      <c r="C24" s="95">
        <v>2126.2540983606555</v>
      </c>
    </row>
    <row r="25" spans="1:3" ht="15" customHeight="1" x14ac:dyDescent="0.4">
      <c r="A25" s="83">
        <v>41183</v>
      </c>
      <c r="B25" s="94">
        <v>2221.5622119815657</v>
      </c>
      <c r="C25" s="95">
        <v>2143.7833723653393</v>
      </c>
    </row>
    <row r="26" spans="1:3" ht="15" customHeight="1" x14ac:dyDescent="0.4">
      <c r="A26" s="83">
        <v>41214</v>
      </c>
      <c r="B26" s="94">
        <v>2333.8095238095243</v>
      </c>
      <c r="C26" s="95">
        <v>2173.516783762685</v>
      </c>
    </row>
    <row r="27" spans="1:3" ht="15" customHeight="1" x14ac:dyDescent="0.4">
      <c r="A27" s="83">
        <v>41244</v>
      </c>
      <c r="B27" s="94">
        <v>3135.0506912442384</v>
      </c>
      <c r="C27" s="95">
        <v>2240.0593286494918</v>
      </c>
    </row>
    <row r="28" spans="1:3" ht="15" customHeight="1" x14ac:dyDescent="0.4">
      <c r="A28" s="83">
        <v>41275</v>
      </c>
      <c r="B28" s="94">
        <v>3050.36866359447</v>
      </c>
      <c r="C28" s="95">
        <v>2296.9305230288833</v>
      </c>
    </row>
    <row r="29" spans="1:3" ht="15" customHeight="1" x14ac:dyDescent="0.4">
      <c r="A29" s="83">
        <v>41306</v>
      </c>
      <c r="B29" s="94">
        <v>3361.1530612244901</v>
      </c>
      <c r="C29" s="95">
        <v>2327.0183953033261</v>
      </c>
    </row>
    <row r="30" spans="1:3" ht="15" customHeight="1" x14ac:dyDescent="0.4">
      <c r="A30" s="83">
        <v>41334</v>
      </c>
      <c r="B30" s="94">
        <v>3903.0645161290331</v>
      </c>
      <c r="C30" s="95">
        <v>2475.0951076320939</v>
      </c>
    </row>
    <row r="31" spans="1:3" ht="15" customHeight="1" x14ac:dyDescent="0.4">
      <c r="A31" s="83">
        <v>41365</v>
      </c>
      <c r="B31" s="94">
        <v>4004.0571428571429</v>
      </c>
      <c r="C31" s="95">
        <v>2627.3162426614476</v>
      </c>
    </row>
    <row r="32" spans="1:3" ht="15" customHeight="1" x14ac:dyDescent="0.4">
      <c r="A32" s="83">
        <v>41395</v>
      </c>
      <c r="B32" s="94">
        <v>2091.073732718894</v>
      </c>
      <c r="C32" s="95">
        <v>2636.3643835616435</v>
      </c>
    </row>
    <row r="33" spans="1:3" ht="15" customHeight="1" x14ac:dyDescent="0.4">
      <c r="A33" s="83">
        <v>41426</v>
      </c>
      <c r="B33" s="94">
        <v>1877.9999999999993</v>
      </c>
      <c r="C33" s="95">
        <v>2622.3937377690804</v>
      </c>
    </row>
    <row r="34" spans="1:3" ht="15" customHeight="1" x14ac:dyDescent="0.4">
      <c r="A34" s="83">
        <v>41456</v>
      </c>
      <c r="B34" s="94">
        <v>2115.7649769585255</v>
      </c>
      <c r="C34" s="95">
        <v>2647.4763209393345</v>
      </c>
    </row>
    <row r="35" spans="1:3" ht="15" customHeight="1" x14ac:dyDescent="0.4">
      <c r="A35" s="83">
        <v>41487</v>
      </c>
      <c r="B35" s="94">
        <v>2206.3271889400921</v>
      </c>
      <c r="C35" s="95">
        <v>2685.2547945205479</v>
      </c>
    </row>
    <row r="36" spans="1:3" ht="15" customHeight="1" x14ac:dyDescent="0.4">
      <c r="A36" s="83">
        <v>41518</v>
      </c>
      <c r="B36" s="94">
        <v>2484.790476190477</v>
      </c>
      <c r="C36" s="95">
        <v>2727.5385518591002</v>
      </c>
    </row>
    <row r="37" spans="1:3" ht="15" customHeight="1" x14ac:dyDescent="0.4">
      <c r="A37" s="83">
        <v>41548</v>
      </c>
      <c r="B37" s="94">
        <v>2556.4516129032249</v>
      </c>
      <c r="C37" s="95">
        <v>2755.981213307241</v>
      </c>
    </row>
    <row r="38" spans="1:3" ht="15" customHeight="1" x14ac:dyDescent="0.4">
      <c r="A38" s="83">
        <v>41579</v>
      </c>
      <c r="B38" s="94">
        <v>2359.3714285714282</v>
      </c>
      <c r="C38" s="95">
        <v>2758.0821917808221</v>
      </c>
    </row>
    <row r="39" spans="1:3" ht="15" customHeight="1" x14ac:dyDescent="0.4">
      <c r="A39" s="83">
        <v>41609</v>
      </c>
      <c r="B39" s="94">
        <v>2711.2672811059897</v>
      </c>
      <c r="C39" s="95">
        <v>2722.0896281800392</v>
      </c>
    </row>
    <row r="40" spans="1:3" ht="15" customHeight="1" x14ac:dyDescent="0.4">
      <c r="A40" s="83">
        <v>41640</v>
      </c>
      <c r="B40" s="94">
        <v>2709.5391705069128</v>
      </c>
      <c r="C40" s="95">
        <v>2693.1424657534249</v>
      </c>
    </row>
    <row r="41" spans="1:3" ht="15" customHeight="1" x14ac:dyDescent="0.4">
      <c r="A41" s="83">
        <v>41671</v>
      </c>
      <c r="B41" s="94">
        <v>3182.1887755102039</v>
      </c>
      <c r="C41" s="95">
        <v>2679.4136986301369</v>
      </c>
    </row>
    <row r="42" spans="1:3" ht="15" customHeight="1" x14ac:dyDescent="0.4">
      <c r="A42" s="83">
        <v>41699</v>
      </c>
      <c r="B42" s="94">
        <v>2768.6682027649772</v>
      </c>
      <c r="C42" s="95">
        <v>2583.0677103718199</v>
      </c>
    </row>
    <row r="43" spans="1:3" ht="15" customHeight="1" x14ac:dyDescent="0.4">
      <c r="A43" s="83">
        <v>41730</v>
      </c>
      <c r="B43" s="94">
        <v>2965.238095238094</v>
      </c>
      <c r="C43" s="95">
        <v>2497.6853228962818</v>
      </c>
    </row>
    <row r="44" spans="1:3" ht="15" customHeight="1" x14ac:dyDescent="0.4">
      <c r="A44" s="83">
        <v>41760</v>
      </c>
      <c r="B44" s="94">
        <v>3296.4423963133631</v>
      </c>
      <c r="C44" s="95">
        <v>2600.0590998043049</v>
      </c>
    </row>
    <row r="45" spans="1:3" ht="15" customHeight="1" x14ac:dyDescent="0.4">
      <c r="A45" s="83">
        <v>41791</v>
      </c>
      <c r="B45" s="94">
        <v>3095.4571428571426</v>
      </c>
      <c r="C45" s="95">
        <v>2700.1240704500979</v>
      </c>
    </row>
    <row r="46" spans="1:3" ht="15" customHeight="1" x14ac:dyDescent="0.4">
      <c r="A46" s="83">
        <v>41821</v>
      </c>
      <c r="B46" s="94">
        <v>3105.5483870967741</v>
      </c>
      <c r="C46" s="95">
        <v>2784.1878669275929</v>
      </c>
    </row>
    <row r="47" spans="1:3" ht="15" customHeight="1" x14ac:dyDescent="0.4">
      <c r="A47" s="83">
        <v>41852</v>
      </c>
      <c r="B47" s="94">
        <v>2867.087557603686</v>
      </c>
      <c r="C47" s="95">
        <v>2840.3072407045006</v>
      </c>
    </row>
    <row r="48" spans="1:3" ht="15" customHeight="1" x14ac:dyDescent="0.4">
      <c r="A48" s="83">
        <v>41883</v>
      </c>
      <c r="B48" s="94">
        <v>3328.3238095238112</v>
      </c>
      <c r="C48" s="95">
        <v>2909.6387475538163</v>
      </c>
    </row>
    <row r="49" spans="1:3" ht="15" customHeight="1" x14ac:dyDescent="0.4">
      <c r="A49" s="83">
        <v>41913</v>
      </c>
      <c r="B49" s="94">
        <v>3838.004608294932</v>
      </c>
      <c r="C49" s="95">
        <v>3018.4829745596876</v>
      </c>
    </row>
    <row r="50" spans="1:3" ht="15" customHeight="1" x14ac:dyDescent="0.4">
      <c r="A50" s="83">
        <v>41944</v>
      </c>
      <c r="B50" s="94">
        <v>3991.038095238097</v>
      </c>
      <c r="C50" s="95">
        <v>3152.5925636007833</v>
      </c>
    </row>
    <row r="51" spans="1:3" ht="15" customHeight="1" x14ac:dyDescent="0.4">
      <c r="A51" s="83">
        <v>41974</v>
      </c>
      <c r="B51" s="94">
        <v>6198.5483870967764</v>
      </c>
      <c r="C51" s="95">
        <v>3448.7726027397266</v>
      </c>
    </row>
    <row r="52" spans="1:3" ht="15" customHeight="1" x14ac:dyDescent="0.4">
      <c r="A52" s="83">
        <v>42005</v>
      </c>
      <c r="B52" s="94">
        <v>4940.5299539170501</v>
      </c>
      <c r="C52" s="95">
        <v>3638.2540117416838</v>
      </c>
    </row>
    <row r="53" spans="1:3" ht="15" customHeight="1" x14ac:dyDescent="0.4">
      <c r="A53" s="83">
        <v>42036</v>
      </c>
      <c r="B53" s="94">
        <v>4745.2806122448983</v>
      </c>
      <c r="C53" s="95">
        <v>3758.1624266144818</v>
      </c>
    </row>
    <row r="54" spans="1:3" ht="15" customHeight="1" x14ac:dyDescent="0.4">
      <c r="A54" s="83">
        <v>42064</v>
      </c>
      <c r="B54" s="94">
        <v>4554.6451612903256</v>
      </c>
      <c r="C54" s="95">
        <v>3909.848140900197</v>
      </c>
    </row>
    <row r="55" spans="1:3" ht="15" customHeight="1" x14ac:dyDescent="0.4">
      <c r="A55" s="83">
        <v>42095</v>
      </c>
      <c r="B55" s="94">
        <v>4193.3095238095211</v>
      </c>
      <c r="C55" s="95">
        <v>4010.785518590998</v>
      </c>
    </row>
    <row r="56" spans="1:3" ht="15" customHeight="1" x14ac:dyDescent="0.4">
      <c r="A56" s="83">
        <v>42125</v>
      </c>
      <c r="B56" s="94">
        <v>3557.5622119815807</v>
      </c>
      <c r="C56" s="95">
        <v>4032.9628180039153</v>
      </c>
    </row>
    <row r="57" spans="1:3" ht="15" customHeight="1" x14ac:dyDescent="0.4">
      <c r="A57" s="83">
        <v>42156</v>
      </c>
      <c r="B57" s="94">
        <v>3310.7999999999965</v>
      </c>
      <c r="C57" s="95">
        <v>4050.6622309197674</v>
      </c>
    </row>
    <row r="58" spans="1:3" ht="15" customHeight="1" x14ac:dyDescent="0.4">
      <c r="A58" s="83">
        <v>42186</v>
      </c>
      <c r="B58" s="94">
        <v>3144.3548387096776</v>
      </c>
      <c r="C58" s="95">
        <v>4053.958121330726</v>
      </c>
    </row>
    <row r="59" spans="1:3" ht="15" customHeight="1" x14ac:dyDescent="0.4">
      <c r="A59" s="83">
        <v>42217</v>
      </c>
      <c r="B59" s="94">
        <v>3434.6774193548385</v>
      </c>
      <c r="C59" s="95">
        <v>4102.164383561646</v>
      </c>
    </row>
    <row r="60" spans="1:3" ht="15" customHeight="1" x14ac:dyDescent="0.4">
      <c r="A60" s="83">
        <v>42248</v>
      </c>
      <c r="B60" s="94">
        <v>4103.7</v>
      </c>
      <c r="C60" s="95">
        <v>4165.893933463798</v>
      </c>
    </row>
    <row r="61" spans="1:3" ht="15" customHeight="1" x14ac:dyDescent="0.4">
      <c r="A61" s="83">
        <v>42278</v>
      </c>
      <c r="B61" s="94">
        <v>4759.8064516129034</v>
      </c>
      <c r="C61" s="95">
        <v>4244.18395303327</v>
      </c>
    </row>
    <row r="62" spans="1:3" ht="15" customHeight="1" x14ac:dyDescent="0.4">
      <c r="A62" s="83">
        <v>42309</v>
      </c>
      <c r="B62" s="94">
        <v>5449.0666666666666</v>
      </c>
      <c r="C62" s="95">
        <v>4364.0219178082207</v>
      </c>
    </row>
    <row r="63" spans="1:3" ht="15" customHeight="1" x14ac:dyDescent="0.4">
      <c r="A63" s="84">
        <v>42339</v>
      </c>
      <c r="B63" s="94">
        <v>5438.8387096774195</v>
      </c>
      <c r="C63" s="95">
        <v>4299.4986301369872</v>
      </c>
    </row>
    <row r="64" spans="1:3" ht="15" customHeight="1" x14ac:dyDescent="0.4">
      <c r="A64" s="83">
        <v>42370</v>
      </c>
      <c r="B64" s="94">
        <v>6976.9677419354839</v>
      </c>
      <c r="C64" s="95">
        <v>4472.4563600782794</v>
      </c>
    </row>
    <row r="65" spans="1:3" ht="15" customHeight="1" x14ac:dyDescent="0.4">
      <c r="A65" s="83">
        <v>42401</v>
      </c>
      <c r="B65" s="94">
        <v>7899.3448275862065</v>
      </c>
      <c r="C65" s="95">
        <v>4723.1139734582366</v>
      </c>
    </row>
    <row r="66" spans="1:3" ht="15" customHeight="1" x14ac:dyDescent="0.4">
      <c r="A66" s="83">
        <v>42430</v>
      </c>
      <c r="B66" s="94">
        <v>8575.2903225806458</v>
      </c>
      <c r="C66" s="95">
        <v>5063.6604215456682</v>
      </c>
    </row>
    <row r="67" spans="1:3" ht="15" customHeight="1" x14ac:dyDescent="0.4">
      <c r="A67" s="83">
        <v>42461</v>
      </c>
      <c r="B67" s="94">
        <v>6204.0666666666666</v>
      </c>
      <c r="C67" s="95">
        <v>5228.476580796254</v>
      </c>
    </row>
    <row r="68" spans="1:3" ht="15" customHeight="1" x14ac:dyDescent="0.4">
      <c r="A68" s="83">
        <v>42491</v>
      </c>
      <c r="B68" s="94">
        <v>6494.4838709677415</v>
      </c>
      <c r="C68" s="95">
        <v>5477.2322404371589</v>
      </c>
    </row>
    <row r="69" spans="1:3" ht="15" customHeight="1" x14ac:dyDescent="0.4">
      <c r="A69" s="83">
        <v>42522</v>
      </c>
      <c r="B69" s="94">
        <v>6163.7333333333336</v>
      </c>
      <c r="C69" s="95">
        <v>5711.079234972678</v>
      </c>
    </row>
    <row r="70" spans="1:3" ht="15" customHeight="1" x14ac:dyDescent="0.4">
      <c r="A70" s="83">
        <v>42552</v>
      </c>
      <c r="B70" s="94">
        <v>6515.2580645161288</v>
      </c>
      <c r="C70" s="95">
        <v>5996.5928961748632</v>
      </c>
    </row>
    <row r="71" spans="1:3" ht="15" customHeight="1" x14ac:dyDescent="0.4">
      <c r="A71" s="83">
        <v>42583</v>
      </c>
      <c r="B71" s="94">
        <v>5626.4193548387093</v>
      </c>
      <c r="C71" s="95">
        <v>6182.2322404371589</v>
      </c>
    </row>
    <row r="72" spans="1:3" ht="15" customHeight="1" x14ac:dyDescent="0.4">
      <c r="A72" s="83">
        <v>42614</v>
      </c>
      <c r="B72" s="94">
        <v>6086.5666666666666</v>
      </c>
      <c r="C72" s="95">
        <v>6344.7622950819668</v>
      </c>
    </row>
    <row r="73" spans="1:3" ht="15" customHeight="1" x14ac:dyDescent="0.4">
      <c r="A73" s="83">
        <v>42644</v>
      </c>
      <c r="B73" s="94">
        <v>7068.9354838709678</v>
      </c>
      <c r="C73" s="95">
        <v>6540.3442622950815</v>
      </c>
    </row>
    <row r="74" spans="1:3" ht="15" customHeight="1" x14ac:dyDescent="0.4">
      <c r="A74" s="83">
        <v>42675</v>
      </c>
      <c r="B74" s="94">
        <v>7390.4333333333334</v>
      </c>
      <c r="C74" s="95">
        <v>6699.4726775956287</v>
      </c>
    </row>
    <row r="75" spans="1:3" ht="15" customHeight="1" x14ac:dyDescent="0.4">
      <c r="A75" s="83">
        <v>42705</v>
      </c>
      <c r="B75" s="94">
        <v>8671.5483870967746</v>
      </c>
      <c r="C75" s="95">
        <v>6973.2814207650272</v>
      </c>
    </row>
    <row r="76" spans="1:3" ht="15" customHeight="1" x14ac:dyDescent="0.4">
      <c r="A76" s="83">
        <v>42736</v>
      </c>
      <c r="B76" s="94">
        <v>9084.2580645161288</v>
      </c>
      <c r="C76" s="95">
        <v>7151.7677595628411</v>
      </c>
    </row>
    <row r="77" spans="1:3" ht="15" customHeight="1" x14ac:dyDescent="0.4">
      <c r="A77" s="83">
        <v>42767</v>
      </c>
      <c r="B77" s="94">
        <v>7729.1428571428569</v>
      </c>
      <c r="C77" s="95">
        <v>7136.6630136986305</v>
      </c>
    </row>
    <row r="78" spans="1:3" ht="15" customHeight="1" x14ac:dyDescent="0.4">
      <c r="A78" s="83">
        <v>42795</v>
      </c>
      <c r="B78" s="94">
        <v>6496.5161290322585</v>
      </c>
      <c r="C78" s="95">
        <v>6960.1095890410961</v>
      </c>
    </row>
    <row r="79" spans="1:3" ht="15" customHeight="1" x14ac:dyDescent="0.4">
      <c r="A79" s="83">
        <v>42826</v>
      </c>
      <c r="B79" s="94">
        <v>6164.333333333333</v>
      </c>
      <c r="C79" s="95">
        <v>6956.8438356164388</v>
      </c>
    </row>
    <row r="80" spans="1:3" ht="15" customHeight="1" x14ac:dyDescent="0.4">
      <c r="A80" s="83">
        <v>42856</v>
      </c>
      <c r="B80" s="94">
        <v>6866.8387096774195</v>
      </c>
      <c r="C80" s="95">
        <v>6988.4684931506845</v>
      </c>
    </row>
    <row r="81" spans="1:18" ht="15" customHeight="1" x14ac:dyDescent="0.4">
      <c r="A81" s="83">
        <v>42887</v>
      </c>
      <c r="B81" s="94">
        <v>6164.833333333333</v>
      </c>
      <c r="C81" s="95">
        <v>6988.5589041095891</v>
      </c>
    </row>
    <row r="82" spans="1:18" ht="15" customHeight="1" x14ac:dyDescent="0.4">
      <c r="A82" s="83">
        <v>42917</v>
      </c>
      <c r="B82" s="94">
        <v>6457.4516129032254</v>
      </c>
      <c r="C82" s="95">
        <v>6983.6493150684928</v>
      </c>
    </row>
    <row r="83" spans="1:18" ht="15" customHeight="1" x14ac:dyDescent="0.4">
      <c r="A83" s="83">
        <v>42948</v>
      </c>
      <c r="B83" s="94">
        <v>6022.8064516129034</v>
      </c>
      <c r="C83" s="95">
        <v>7017.3150684931506</v>
      </c>
    </row>
    <row r="84" spans="1:18" ht="15" customHeight="1" x14ac:dyDescent="0.4">
      <c r="A84" s="83">
        <v>42979</v>
      </c>
      <c r="B84" s="94">
        <v>6634.2333333333336</v>
      </c>
      <c r="C84" s="95">
        <v>7062.3287671232874</v>
      </c>
    </row>
    <row r="85" spans="1:18" ht="15" customHeight="1" x14ac:dyDescent="0.4">
      <c r="A85" s="83">
        <v>43009</v>
      </c>
      <c r="B85" s="94">
        <v>6632.322580645161</v>
      </c>
      <c r="C85" s="95">
        <v>7025.2465753424658</v>
      </c>
    </row>
    <row r="86" spans="1:18" ht="15" customHeight="1" x14ac:dyDescent="0.4">
      <c r="A86" s="83">
        <v>43040</v>
      </c>
      <c r="B86" s="94">
        <v>7402.7333333333336</v>
      </c>
      <c r="C86" s="95">
        <v>7026.2575342465752</v>
      </c>
    </row>
    <row r="87" spans="1:18" ht="15" customHeight="1" x14ac:dyDescent="0.4">
      <c r="A87" s="83">
        <v>43070</v>
      </c>
      <c r="B87" s="94">
        <v>9706.2258064516136</v>
      </c>
      <c r="C87" s="95">
        <v>7114.1342465753423</v>
      </c>
    </row>
    <row r="88" spans="1:18" ht="15" customHeight="1" x14ac:dyDescent="0.4">
      <c r="A88" s="83">
        <v>43101</v>
      </c>
      <c r="B88" s="94">
        <v>9484.8064516129034</v>
      </c>
      <c r="C88" s="95">
        <v>7148.1534246575338</v>
      </c>
    </row>
    <row r="89" spans="1:18" ht="15" customHeight="1" x14ac:dyDescent="0.4">
      <c r="A89" s="83">
        <v>43132</v>
      </c>
      <c r="B89" s="94">
        <v>9720.9642857142862</v>
      </c>
      <c r="C89" s="95">
        <v>7300.9506849315067</v>
      </c>
    </row>
    <row r="90" spans="1:18" ht="15" customHeight="1" thickBot="1" x14ac:dyDescent="0.45">
      <c r="A90" s="280">
        <v>43160</v>
      </c>
      <c r="B90" s="96">
        <v>10168.774193548386</v>
      </c>
      <c r="C90" s="97">
        <v>7612.8410958904105</v>
      </c>
    </row>
    <row r="91" spans="1:18" x14ac:dyDescent="0.4">
      <c r="A91" s="281"/>
    </row>
    <row r="92" spans="1:18" s="39" customFormat="1" ht="14.25" customHeight="1" x14ac:dyDescent="0.45">
      <c r="A92" s="354" t="s">
        <v>333</v>
      </c>
      <c r="B92" s="354"/>
      <c r="C92" s="354"/>
      <c r="D92" s="354"/>
      <c r="E92" s="354"/>
      <c r="F92" s="354"/>
      <c r="G92" s="354"/>
      <c r="H92" s="204"/>
    </row>
    <row r="93" spans="1:18" s="39" customFormat="1" ht="28.5" customHeight="1" x14ac:dyDescent="0.45">
      <c r="A93" s="360" t="s">
        <v>383</v>
      </c>
      <c r="B93" s="362"/>
      <c r="C93" s="362"/>
      <c r="D93" s="362"/>
      <c r="E93" s="362"/>
      <c r="F93" s="362"/>
      <c r="G93" s="362"/>
      <c r="H93" s="99"/>
    </row>
    <row r="94" spans="1:18" s="39" customFormat="1" ht="13.5" customHeight="1" x14ac:dyDescent="0.45">
      <c r="A94" s="27"/>
      <c r="B94" s="27"/>
      <c r="C94" s="27"/>
      <c r="D94" s="27"/>
      <c r="E94" s="27"/>
      <c r="F94" s="27"/>
      <c r="G94" s="27"/>
      <c r="H94" s="28"/>
    </row>
    <row r="95" spans="1:18" s="39" customFormat="1" ht="14.25" customHeight="1" thickBot="1" x14ac:dyDescent="0.5">
      <c r="A95" s="371" t="s">
        <v>1</v>
      </c>
      <c r="B95" s="371"/>
      <c r="C95" s="371"/>
      <c r="D95" s="371"/>
      <c r="E95" s="371"/>
      <c r="F95" s="371"/>
      <c r="G95" s="371"/>
      <c r="H95" s="203"/>
    </row>
    <row r="96" spans="1:18" s="39" customFormat="1" ht="14.25" customHeight="1" x14ac:dyDescent="0.45">
      <c r="A96" s="372" t="s">
        <v>376</v>
      </c>
      <c r="B96" s="372"/>
      <c r="C96" s="372"/>
      <c r="D96" s="372"/>
      <c r="E96" s="372"/>
      <c r="F96" s="372"/>
      <c r="G96" s="372"/>
      <c r="H96" s="200"/>
      <c r="I96" s="28"/>
      <c r="J96" s="28"/>
      <c r="K96" s="28"/>
      <c r="L96" s="28"/>
      <c r="M96" s="28"/>
      <c r="N96" s="28"/>
      <c r="O96" s="28"/>
      <c r="P96" s="28"/>
      <c r="Q96" s="28"/>
      <c r="R96" s="28"/>
    </row>
    <row r="97" spans="1:18" s="39" customFormat="1" ht="14.25" customHeight="1" x14ac:dyDescent="0.45">
      <c r="A97" s="370" t="s">
        <v>353</v>
      </c>
      <c r="B97" s="370"/>
      <c r="C97" s="370"/>
      <c r="D97" s="370"/>
      <c r="E97" s="370"/>
      <c r="F97" s="370"/>
      <c r="G97" s="370"/>
      <c r="H97" s="28"/>
    </row>
    <row r="98" spans="1:18" s="39" customFormat="1" ht="14.25" customHeight="1" x14ac:dyDescent="0.45">
      <c r="A98" s="368" t="s">
        <v>269</v>
      </c>
      <c r="B98" s="368"/>
      <c r="C98" s="368"/>
      <c r="D98" s="368"/>
      <c r="E98" s="368"/>
      <c r="F98" s="368"/>
      <c r="G98" s="368"/>
      <c r="H98" s="201"/>
    </row>
    <row r="99" spans="1:18" ht="15" customHeight="1" thickBot="1" x14ac:dyDescent="0.5">
      <c r="A99" s="369" t="s">
        <v>374</v>
      </c>
      <c r="B99" s="369"/>
      <c r="C99" s="369"/>
      <c r="D99" s="369"/>
      <c r="E99" s="369"/>
      <c r="F99" s="369"/>
      <c r="G99" s="369"/>
      <c r="H99" s="11"/>
      <c r="I99" s="39"/>
      <c r="J99" s="39"/>
      <c r="K99" s="39"/>
      <c r="L99" s="39"/>
      <c r="M99" s="39"/>
      <c r="N99" s="39"/>
      <c r="O99" s="39"/>
      <c r="P99" s="39"/>
      <c r="Q99" s="39"/>
      <c r="R99" s="39"/>
    </row>
    <row r="100" spans="1:18" ht="13.8" x14ac:dyDescent="0.45">
      <c r="A100" s="40"/>
      <c r="B100" s="41"/>
      <c r="C100" s="41"/>
      <c r="D100" s="41"/>
      <c r="E100" s="41"/>
      <c r="F100" s="41"/>
      <c r="G100" s="41"/>
      <c r="H100" s="100"/>
    </row>
    <row r="101" spans="1:18" ht="13.8" x14ac:dyDescent="0.45">
      <c r="A101" s="351" t="s">
        <v>274</v>
      </c>
      <c r="B101" s="351"/>
      <c r="C101" s="41"/>
      <c r="D101" s="41"/>
      <c r="E101" s="41"/>
      <c r="F101" s="41"/>
      <c r="G101" s="42"/>
      <c r="H101" s="39"/>
    </row>
    <row r="102" spans="1:18" ht="13.8" x14ac:dyDescent="0.45">
      <c r="A102" s="11"/>
      <c r="B102" s="41"/>
      <c r="C102" s="41"/>
      <c r="D102" s="41"/>
      <c r="E102" s="41"/>
      <c r="F102" s="41"/>
      <c r="G102" s="39"/>
      <c r="H102" s="39"/>
    </row>
  </sheetData>
  <mergeCells count="11">
    <mergeCell ref="A98:G98"/>
    <mergeCell ref="A99:G99"/>
    <mergeCell ref="A101:B101"/>
    <mergeCell ref="A97:G97"/>
    <mergeCell ref="A2:G2"/>
    <mergeCell ref="A3:G3"/>
    <mergeCell ref="A92:G92"/>
    <mergeCell ref="A93:G93"/>
    <mergeCell ref="A95:G95"/>
    <mergeCell ref="A96:G96"/>
    <mergeCell ref="B5:C5"/>
  </mergeCells>
  <hyperlinks>
    <hyperlink ref="A101" location="Contents!A1" display="Return to Contents" xr:uid="{00000000-0004-0000-0700-000000000000}"/>
    <hyperlink ref="A98:F98" r:id="rId1" display="Contact via enquiries@NHSDigital.nhs.uk or 0300 303 5678" xr:uid="{00000000-0004-0000-0700-000002000000}"/>
    <hyperlink ref="A93" r:id="rId2" xr:uid="{E8CD0AC2-85A4-4DE6-B352-CCF51AA6CFB6}"/>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156"/>
  <sheetViews>
    <sheetView zoomScaleNormal="100" workbookViewId="0"/>
  </sheetViews>
  <sheetFormatPr defaultColWidth="9.109375" defaultRowHeight="13.8" x14ac:dyDescent="0.45"/>
  <cols>
    <col min="1" max="1" width="9.109375" style="28"/>
    <col min="2" max="2" width="64.109375" style="28" bestFit="1" customWidth="1"/>
    <col min="3" max="5" width="18.5546875" style="28" customWidth="1"/>
    <col min="6" max="6" width="12.88671875" style="28" customWidth="1"/>
    <col min="7" max="7" width="9.109375" style="28" customWidth="1"/>
    <col min="8" max="8" width="9.109375" style="28"/>
    <col min="9" max="9" width="9.109375" style="28" customWidth="1"/>
    <col min="10" max="16384" width="9.109375" style="28"/>
  </cols>
  <sheetData>
    <row r="1" spans="1:6" ht="15" customHeight="1" x14ac:dyDescent="0.45"/>
    <row r="2" spans="1:6" ht="48.75" customHeight="1" x14ac:dyDescent="0.45">
      <c r="A2" s="355" t="s">
        <v>508</v>
      </c>
      <c r="B2" s="355"/>
      <c r="C2" s="355"/>
      <c r="D2" s="355"/>
      <c r="E2" s="355"/>
      <c r="F2" s="355"/>
    </row>
    <row r="3" spans="1:6" ht="30" customHeight="1" x14ac:dyDescent="0.45">
      <c r="A3" s="361" t="s">
        <v>411</v>
      </c>
      <c r="B3" s="361"/>
      <c r="C3" s="361"/>
      <c r="D3" s="361"/>
      <c r="E3" s="361"/>
      <c r="F3" s="361"/>
    </row>
    <row r="4" spans="1:6" ht="13.5" customHeight="1" thickBot="1" x14ac:dyDescent="0.5">
      <c r="C4" s="228"/>
      <c r="D4" s="228"/>
    </row>
    <row r="5" spans="1:6" ht="41.25" customHeight="1" thickBot="1" x14ac:dyDescent="0.5">
      <c r="A5" s="13" t="s">
        <v>296</v>
      </c>
      <c r="B5" s="14" t="s">
        <v>297</v>
      </c>
      <c r="C5" s="8" t="s">
        <v>298</v>
      </c>
      <c r="D5" s="9" t="s">
        <v>362</v>
      </c>
      <c r="E5" s="10" t="s">
        <v>361</v>
      </c>
    </row>
    <row r="6" spans="1:6" ht="15" customHeight="1" x14ac:dyDescent="0.45">
      <c r="A6" s="297" t="s">
        <v>51</v>
      </c>
      <c r="B6" s="298" t="s">
        <v>50</v>
      </c>
      <c r="C6" s="299">
        <v>86572</v>
      </c>
      <c r="D6" s="300">
        <v>58245</v>
      </c>
      <c r="E6" s="301">
        <v>0.67279258882779658</v>
      </c>
    </row>
    <row r="7" spans="1:6" ht="15" customHeight="1" x14ac:dyDescent="0.45">
      <c r="A7" s="302" t="s">
        <v>53</v>
      </c>
      <c r="B7" s="303" t="s">
        <v>52</v>
      </c>
      <c r="C7" s="304">
        <v>65560</v>
      </c>
      <c r="D7" s="305">
        <v>61168</v>
      </c>
      <c r="E7" s="306">
        <v>0.93300793166564977</v>
      </c>
    </row>
    <row r="8" spans="1:6" ht="15" customHeight="1" x14ac:dyDescent="0.45">
      <c r="A8" s="302" t="s">
        <v>55</v>
      </c>
      <c r="B8" s="303" t="s">
        <v>54</v>
      </c>
      <c r="C8" s="304">
        <v>59956</v>
      </c>
      <c r="D8" s="305">
        <v>56877</v>
      </c>
      <c r="E8" s="306">
        <v>0.9486456734938955</v>
      </c>
    </row>
    <row r="9" spans="1:6" ht="15" customHeight="1" x14ac:dyDescent="0.45">
      <c r="A9" s="302" t="s">
        <v>56</v>
      </c>
      <c r="B9" s="303" t="s">
        <v>434</v>
      </c>
      <c r="C9" s="304">
        <v>99817</v>
      </c>
      <c r="D9" s="305">
        <v>84702</v>
      </c>
      <c r="E9" s="306">
        <v>0.84857288838574596</v>
      </c>
    </row>
    <row r="10" spans="1:6" ht="15" customHeight="1" x14ac:dyDescent="0.45">
      <c r="A10" s="302" t="s">
        <v>57</v>
      </c>
      <c r="B10" s="303" t="s">
        <v>420</v>
      </c>
      <c r="C10" s="304">
        <v>247440</v>
      </c>
      <c r="D10" s="305">
        <v>195357</v>
      </c>
      <c r="E10" s="306">
        <v>0.78951260911736176</v>
      </c>
    </row>
    <row r="11" spans="1:6" ht="15" customHeight="1" x14ac:dyDescent="0.45">
      <c r="A11" s="302" t="s">
        <v>59</v>
      </c>
      <c r="B11" s="303" t="s">
        <v>58</v>
      </c>
      <c r="C11" s="304">
        <v>85578</v>
      </c>
      <c r="D11" s="305">
        <v>77449</v>
      </c>
      <c r="E11" s="306">
        <v>0.90501063357404943</v>
      </c>
    </row>
    <row r="12" spans="1:6" ht="15" customHeight="1" x14ac:dyDescent="0.45">
      <c r="A12" s="302" t="s">
        <v>61</v>
      </c>
      <c r="B12" s="303" t="s">
        <v>60</v>
      </c>
      <c r="C12" s="304">
        <v>332418</v>
      </c>
      <c r="D12" s="305">
        <v>267457</v>
      </c>
      <c r="E12" s="306">
        <v>0.80458037771721147</v>
      </c>
    </row>
    <row r="13" spans="1:6" ht="15" customHeight="1" x14ac:dyDescent="0.45">
      <c r="A13" s="302" t="s">
        <v>62</v>
      </c>
      <c r="B13" s="303" t="s">
        <v>418</v>
      </c>
      <c r="C13" s="304">
        <v>143193</v>
      </c>
      <c r="D13" s="305">
        <v>125555</v>
      </c>
      <c r="E13" s="306">
        <v>0.87682358774521096</v>
      </c>
    </row>
    <row r="14" spans="1:6" ht="15" customHeight="1" x14ac:dyDescent="0.45">
      <c r="A14" s="302" t="s">
        <v>64</v>
      </c>
      <c r="B14" s="303" t="s">
        <v>63</v>
      </c>
      <c r="C14" s="304">
        <v>74852</v>
      </c>
      <c r="D14" s="305">
        <v>67555</v>
      </c>
      <c r="E14" s="306">
        <v>0.90251429487522039</v>
      </c>
    </row>
    <row r="15" spans="1:6" ht="15" customHeight="1" x14ac:dyDescent="0.45">
      <c r="A15" s="302" t="s">
        <v>65</v>
      </c>
      <c r="B15" s="303" t="s">
        <v>430</v>
      </c>
      <c r="C15" s="304">
        <v>59575</v>
      </c>
      <c r="D15" s="305">
        <v>55328</v>
      </c>
      <c r="E15" s="306">
        <v>0.92871170793117919</v>
      </c>
    </row>
    <row r="16" spans="1:6" ht="15" customHeight="1" x14ac:dyDescent="0.45">
      <c r="A16" s="302" t="s">
        <v>67</v>
      </c>
      <c r="B16" s="303" t="s">
        <v>66</v>
      </c>
      <c r="C16" s="304">
        <v>80012</v>
      </c>
      <c r="D16" s="305">
        <v>48380</v>
      </c>
      <c r="E16" s="306">
        <v>0.60465930110483423</v>
      </c>
    </row>
    <row r="17" spans="1:5" ht="15" customHeight="1" x14ac:dyDescent="0.45">
      <c r="A17" s="302" t="s">
        <v>69</v>
      </c>
      <c r="B17" s="303" t="s">
        <v>68</v>
      </c>
      <c r="C17" s="304">
        <v>104322</v>
      </c>
      <c r="D17" s="305">
        <v>83407</v>
      </c>
      <c r="E17" s="306">
        <v>0.79951496328674687</v>
      </c>
    </row>
    <row r="18" spans="1:5" ht="15" customHeight="1" x14ac:dyDescent="0.45">
      <c r="A18" s="302" t="s">
        <v>71</v>
      </c>
      <c r="B18" s="303" t="s">
        <v>70</v>
      </c>
      <c r="C18" s="304">
        <v>129897</v>
      </c>
      <c r="D18" s="305">
        <v>107251</v>
      </c>
      <c r="E18" s="306">
        <v>0.82566187055898133</v>
      </c>
    </row>
    <row r="19" spans="1:5" ht="15" customHeight="1" x14ac:dyDescent="0.45">
      <c r="A19" s="302" t="s">
        <v>72</v>
      </c>
      <c r="B19" s="303" t="s">
        <v>444</v>
      </c>
      <c r="C19" s="304">
        <v>149022</v>
      </c>
      <c r="D19" s="305">
        <v>122175</v>
      </c>
      <c r="E19" s="306">
        <v>0.81984539195555017</v>
      </c>
    </row>
    <row r="20" spans="1:5" ht="15" customHeight="1" x14ac:dyDescent="0.45">
      <c r="A20" s="302" t="s">
        <v>74</v>
      </c>
      <c r="B20" s="303" t="s">
        <v>73</v>
      </c>
      <c r="C20" s="304">
        <v>82778</v>
      </c>
      <c r="D20" s="305">
        <v>64936</v>
      </c>
      <c r="E20" s="306">
        <v>0.78445963903452609</v>
      </c>
    </row>
    <row r="21" spans="1:5" ht="15" customHeight="1" x14ac:dyDescent="0.45">
      <c r="A21" s="302" t="s">
        <v>76</v>
      </c>
      <c r="B21" s="303" t="s">
        <v>75</v>
      </c>
      <c r="C21" s="304">
        <v>65452</v>
      </c>
      <c r="D21" s="305">
        <v>54820</v>
      </c>
      <c r="E21" s="306">
        <v>0.83756034956914993</v>
      </c>
    </row>
    <row r="22" spans="1:5" ht="15" customHeight="1" x14ac:dyDescent="0.45">
      <c r="A22" s="302" t="s">
        <v>77</v>
      </c>
      <c r="B22" s="303" t="s">
        <v>443</v>
      </c>
      <c r="C22" s="304">
        <v>148929</v>
      </c>
      <c r="D22" s="305">
        <v>134962</v>
      </c>
      <c r="E22" s="306">
        <v>0.90621705644971762</v>
      </c>
    </row>
    <row r="23" spans="1:5" ht="15" customHeight="1" x14ac:dyDescent="0.45">
      <c r="A23" s="302" t="s">
        <v>79</v>
      </c>
      <c r="B23" s="303" t="s">
        <v>78</v>
      </c>
      <c r="C23" s="304">
        <v>117075</v>
      </c>
      <c r="D23" s="305">
        <v>100226</v>
      </c>
      <c r="E23" s="306">
        <v>0.85608370702541103</v>
      </c>
    </row>
    <row r="24" spans="1:5" ht="15" customHeight="1" x14ac:dyDescent="0.45">
      <c r="A24" s="302" t="s">
        <v>299</v>
      </c>
      <c r="B24" s="303" t="s">
        <v>80</v>
      </c>
      <c r="C24" s="304">
        <v>74118</v>
      </c>
      <c r="D24" s="305">
        <v>64301</v>
      </c>
      <c r="E24" s="306">
        <v>0.86754904341725358</v>
      </c>
    </row>
    <row r="25" spans="1:5" ht="15" customHeight="1" x14ac:dyDescent="0.45">
      <c r="A25" s="302" t="s">
        <v>81</v>
      </c>
      <c r="B25" s="303" t="s">
        <v>432</v>
      </c>
      <c r="C25" s="304">
        <v>207127</v>
      </c>
      <c r="D25" s="305">
        <v>190651</v>
      </c>
      <c r="E25" s="306">
        <v>0.92045460031767945</v>
      </c>
    </row>
    <row r="26" spans="1:5" ht="15" customHeight="1" x14ac:dyDescent="0.45">
      <c r="A26" s="302" t="s">
        <v>83</v>
      </c>
      <c r="B26" s="303" t="s">
        <v>82</v>
      </c>
      <c r="C26" s="304">
        <v>83806</v>
      </c>
      <c r="D26" s="305">
        <v>77089</v>
      </c>
      <c r="E26" s="306">
        <v>0.91985060735508195</v>
      </c>
    </row>
    <row r="27" spans="1:5" ht="15" customHeight="1" x14ac:dyDescent="0.45">
      <c r="A27" s="302" t="s">
        <v>85</v>
      </c>
      <c r="B27" s="303" t="s">
        <v>84</v>
      </c>
      <c r="C27" s="304">
        <v>95059</v>
      </c>
      <c r="D27" s="305">
        <v>81665</v>
      </c>
      <c r="E27" s="306">
        <v>0.85909803385265993</v>
      </c>
    </row>
    <row r="28" spans="1:5" ht="15" customHeight="1" x14ac:dyDescent="0.45">
      <c r="A28" s="302" t="s">
        <v>87</v>
      </c>
      <c r="B28" s="303" t="s">
        <v>86</v>
      </c>
      <c r="C28" s="304">
        <v>91132</v>
      </c>
      <c r="D28" s="305">
        <v>75244</v>
      </c>
      <c r="E28" s="306">
        <v>0.825659482947812</v>
      </c>
    </row>
    <row r="29" spans="1:5" ht="15" customHeight="1" x14ac:dyDescent="0.45">
      <c r="A29" s="302" t="s">
        <v>89</v>
      </c>
      <c r="B29" s="303" t="s">
        <v>88</v>
      </c>
      <c r="C29" s="304">
        <v>72286</v>
      </c>
      <c r="D29" s="305">
        <v>58907</v>
      </c>
      <c r="E29" s="306">
        <v>0.81491575132114102</v>
      </c>
    </row>
    <row r="30" spans="1:5" ht="15" customHeight="1" x14ac:dyDescent="0.45">
      <c r="A30" s="302" t="s">
        <v>90</v>
      </c>
      <c r="B30" s="303" t="s">
        <v>446</v>
      </c>
      <c r="C30" s="304">
        <v>131997</v>
      </c>
      <c r="D30" s="305">
        <v>113696</v>
      </c>
      <c r="E30" s="306">
        <v>0.86135290953582277</v>
      </c>
    </row>
    <row r="31" spans="1:5" ht="15" customHeight="1" x14ac:dyDescent="0.45">
      <c r="A31" s="302" t="s">
        <v>92</v>
      </c>
      <c r="B31" s="303" t="s">
        <v>91</v>
      </c>
      <c r="C31" s="304">
        <v>78477</v>
      </c>
      <c r="D31" s="305">
        <v>60813</v>
      </c>
      <c r="E31" s="306">
        <v>0.7749149432317749</v>
      </c>
    </row>
    <row r="32" spans="1:5" ht="15" customHeight="1" x14ac:dyDescent="0.45">
      <c r="A32" s="302" t="s">
        <v>300</v>
      </c>
      <c r="B32" s="303" t="s">
        <v>428</v>
      </c>
      <c r="C32" s="304">
        <v>104570</v>
      </c>
      <c r="D32" s="305">
        <v>89253</v>
      </c>
      <c r="E32" s="306">
        <v>0.85352395524529023</v>
      </c>
    </row>
    <row r="33" spans="1:5" ht="15" customHeight="1" x14ac:dyDescent="0.45">
      <c r="A33" s="302" t="s">
        <v>93</v>
      </c>
      <c r="B33" s="303" t="s">
        <v>270</v>
      </c>
      <c r="C33" s="304">
        <v>133245</v>
      </c>
      <c r="D33" s="305">
        <v>108097</v>
      </c>
      <c r="E33" s="306">
        <v>0.81126496303801265</v>
      </c>
    </row>
    <row r="34" spans="1:5" ht="15" customHeight="1" x14ac:dyDescent="0.45">
      <c r="A34" s="302" t="s">
        <v>94</v>
      </c>
      <c r="B34" s="303" t="s">
        <v>429</v>
      </c>
      <c r="C34" s="304">
        <v>130973</v>
      </c>
      <c r="D34" s="305">
        <v>116842</v>
      </c>
      <c r="E34" s="306">
        <v>0.89210753361379824</v>
      </c>
    </row>
    <row r="35" spans="1:5" ht="15" customHeight="1" x14ac:dyDescent="0.45">
      <c r="A35" s="302" t="s">
        <v>96</v>
      </c>
      <c r="B35" s="303" t="s">
        <v>95</v>
      </c>
      <c r="C35" s="304">
        <v>44626</v>
      </c>
      <c r="D35" s="305">
        <v>42410</v>
      </c>
      <c r="E35" s="306">
        <v>0.95034284945995606</v>
      </c>
    </row>
    <row r="36" spans="1:5" ht="15" customHeight="1" x14ac:dyDescent="0.45">
      <c r="A36" s="302" t="s">
        <v>97</v>
      </c>
      <c r="B36" s="303" t="s">
        <v>441</v>
      </c>
      <c r="C36" s="304">
        <v>92103</v>
      </c>
      <c r="D36" s="305">
        <v>69126</v>
      </c>
      <c r="E36" s="306">
        <v>0.75052929871991136</v>
      </c>
    </row>
    <row r="37" spans="1:5" ht="15" customHeight="1" x14ac:dyDescent="0.45">
      <c r="A37" s="302" t="s">
        <v>99</v>
      </c>
      <c r="B37" s="303" t="s">
        <v>98</v>
      </c>
      <c r="C37" s="304">
        <v>48645</v>
      </c>
      <c r="D37" s="305">
        <v>39110</v>
      </c>
      <c r="E37" s="306">
        <v>0.80398807688354401</v>
      </c>
    </row>
    <row r="38" spans="1:5" ht="15" customHeight="1" x14ac:dyDescent="0.45">
      <c r="A38" s="302" t="s">
        <v>101</v>
      </c>
      <c r="B38" s="303" t="s">
        <v>100</v>
      </c>
      <c r="C38" s="304">
        <v>159567</v>
      </c>
      <c r="D38" s="305">
        <v>104137</v>
      </c>
      <c r="E38" s="306">
        <v>0.65262240939542637</v>
      </c>
    </row>
    <row r="39" spans="1:5" ht="15" customHeight="1" x14ac:dyDescent="0.45">
      <c r="A39" s="302" t="s">
        <v>103</v>
      </c>
      <c r="B39" s="303" t="s">
        <v>102</v>
      </c>
      <c r="C39" s="304">
        <v>104883</v>
      </c>
      <c r="D39" s="305">
        <v>73472</v>
      </c>
      <c r="E39" s="306">
        <v>0.70051390597141583</v>
      </c>
    </row>
    <row r="40" spans="1:5" ht="15" customHeight="1" x14ac:dyDescent="0.45">
      <c r="A40" s="302" t="s">
        <v>105</v>
      </c>
      <c r="B40" s="303" t="s">
        <v>104</v>
      </c>
      <c r="C40" s="304">
        <v>117563</v>
      </c>
      <c r="D40" s="305">
        <v>102650</v>
      </c>
      <c r="E40" s="306">
        <v>0.87314886486394527</v>
      </c>
    </row>
    <row r="41" spans="1:5" ht="15" customHeight="1" x14ac:dyDescent="0.45">
      <c r="A41" s="302" t="s">
        <v>301</v>
      </c>
      <c r="B41" s="303" t="s">
        <v>436</v>
      </c>
      <c r="C41" s="304">
        <v>148425</v>
      </c>
      <c r="D41" s="305">
        <v>136976</v>
      </c>
      <c r="E41" s="306">
        <v>0.92286339902307568</v>
      </c>
    </row>
    <row r="42" spans="1:5" ht="15" customHeight="1" x14ac:dyDescent="0.45">
      <c r="A42" s="302" t="s">
        <v>107</v>
      </c>
      <c r="B42" s="303" t="s">
        <v>106</v>
      </c>
      <c r="C42" s="304">
        <v>238437</v>
      </c>
      <c r="D42" s="305">
        <v>212241</v>
      </c>
      <c r="E42" s="306">
        <v>0.89013450093735447</v>
      </c>
    </row>
    <row r="43" spans="1:5" ht="15" customHeight="1" x14ac:dyDescent="0.45">
      <c r="A43" s="302" t="s">
        <v>302</v>
      </c>
      <c r="B43" s="303" t="s">
        <v>108</v>
      </c>
      <c r="C43" s="304">
        <v>88508</v>
      </c>
      <c r="D43" s="305">
        <v>82212</v>
      </c>
      <c r="E43" s="306">
        <v>0.92886518732769918</v>
      </c>
    </row>
    <row r="44" spans="1:5" ht="15" customHeight="1" x14ac:dyDescent="0.45">
      <c r="A44" s="302" t="s">
        <v>110</v>
      </c>
      <c r="B44" s="303" t="s">
        <v>109</v>
      </c>
      <c r="C44" s="304">
        <v>80785</v>
      </c>
      <c r="D44" s="305">
        <v>70865</v>
      </c>
      <c r="E44" s="306">
        <v>0.87720492665717642</v>
      </c>
    </row>
    <row r="45" spans="1:5" ht="15" customHeight="1" x14ac:dyDescent="0.45">
      <c r="A45" s="302" t="s">
        <v>112</v>
      </c>
      <c r="B45" s="303" t="s">
        <v>111</v>
      </c>
      <c r="C45" s="304">
        <v>141324</v>
      </c>
      <c r="D45" s="305">
        <v>122536</v>
      </c>
      <c r="E45" s="306">
        <v>0.8670572584982027</v>
      </c>
    </row>
    <row r="46" spans="1:5" ht="15" customHeight="1" x14ac:dyDescent="0.45">
      <c r="A46" s="302" t="s">
        <v>114</v>
      </c>
      <c r="B46" s="303" t="s">
        <v>113</v>
      </c>
      <c r="C46" s="304">
        <v>73119</v>
      </c>
      <c r="D46" s="305">
        <v>55517</v>
      </c>
      <c r="E46" s="306">
        <v>0.75926913661291873</v>
      </c>
    </row>
    <row r="47" spans="1:5" ht="15" customHeight="1" x14ac:dyDescent="0.45">
      <c r="A47" s="302" t="s">
        <v>303</v>
      </c>
      <c r="B47" s="303" t="s">
        <v>422</v>
      </c>
      <c r="C47" s="304">
        <v>147715</v>
      </c>
      <c r="D47" s="305">
        <v>125712</v>
      </c>
      <c r="E47" s="306">
        <v>0.85104424059844974</v>
      </c>
    </row>
    <row r="48" spans="1:5" ht="15" customHeight="1" x14ac:dyDescent="0.45">
      <c r="A48" s="302" t="s">
        <v>304</v>
      </c>
      <c r="B48" s="303" t="s">
        <v>115</v>
      </c>
      <c r="C48" s="304">
        <v>110946</v>
      </c>
      <c r="D48" s="305">
        <v>94961</v>
      </c>
      <c r="E48" s="306">
        <v>0.85592089845510433</v>
      </c>
    </row>
    <row r="49" spans="1:5" ht="15" customHeight="1" x14ac:dyDescent="0.45">
      <c r="A49" s="302" t="s">
        <v>116</v>
      </c>
      <c r="B49" s="303" t="s">
        <v>417</v>
      </c>
      <c r="C49" s="304">
        <v>49463</v>
      </c>
      <c r="D49" s="305">
        <v>46578</v>
      </c>
      <c r="E49" s="306">
        <v>0.94167357418676589</v>
      </c>
    </row>
    <row r="50" spans="1:5" ht="15" customHeight="1" x14ac:dyDescent="0.45">
      <c r="A50" s="302" t="s">
        <v>305</v>
      </c>
      <c r="B50" s="303" t="s">
        <v>117</v>
      </c>
      <c r="C50" s="304">
        <v>231233</v>
      </c>
      <c r="D50" s="305">
        <v>176850</v>
      </c>
      <c r="E50" s="306">
        <v>0.76481298084615945</v>
      </c>
    </row>
    <row r="51" spans="1:5" ht="15" customHeight="1" x14ac:dyDescent="0.45">
      <c r="A51" s="302" t="s">
        <v>119</v>
      </c>
      <c r="B51" s="303" t="s">
        <v>118</v>
      </c>
      <c r="C51" s="304">
        <v>123611</v>
      </c>
      <c r="D51" s="305">
        <v>117102</v>
      </c>
      <c r="E51" s="306">
        <v>0.94734287401606654</v>
      </c>
    </row>
    <row r="52" spans="1:5" ht="15" customHeight="1" x14ac:dyDescent="0.45">
      <c r="A52" s="302" t="s">
        <v>120</v>
      </c>
      <c r="B52" s="303" t="s">
        <v>439</v>
      </c>
      <c r="C52" s="304">
        <v>134115</v>
      </c>
      <c r="D52" s="305">
        <v>115330</v>
      </c>
      <c r="E52" s="306">
        <v>0.85993363904112141</v>
      </c>
    </row>
    <row r="53" spans="1:5" ht="15" customHeight="1" x14ac:dyDescent="0.45">
      <c r="A53" s="302" t="s">
        <v>122</v>
      </c>
      <c r="B53" s="303" t="s">
        <v>121</v>
      </c>
      <c r="C53" s="304">
        <v>116343</v>
      </c>
      <c r="D53" s="305">
        <v>81733</v>
      </c>
      <c r="E53" s="306">
        <v>0.70251755584779496</v>
      </c>
    </row>
    <row r="54" spans="1:5" ht="15" customHeight="1" x14ac:dyDescent="0.45">
      <c r="A54" s="302" t="s">
        <v>124</v>
      </c>
      <c r="B54" s="303" t="s">
        <v>123</v>
      </c>
      <c r="C54" s="304">
        <v>86136</v>
      </c>
      <c r="D54" s="305">
        <v>77597</v>
      </c>
      <c r="E54" s="306">
        <v>0.90086607225782478</v>
      </c>
    </row>
    <row r="55" spans="1:5" ht="15" customHeight="1" x14ac:dyDescent="0.45">
      <c r="A55" s="302" t="s">
        <v>306</v>
      </c>
      <c r="B55" s="303" t="s">
        <v>125</v>
      </c>
      <c r="C55" s="304">
        <v>45911</v>
      </c>
      <c r="D55" s="305">
        <v>37605</v>
      </c>
      <c r="E55" s="306">
        <v>0.81908475093114941</v>
      </c>
    </row>
    <row r="56" spans="1:5" ht="15" customHeight="1" x14ac:dyDescent="0.45">
      <c r="A56" s="302" t="s">
        <v>127</v>
      </c>
      <c r="B56" s="303" t="s">
        <v>126</v>
      </c>
      <c r="C56" s="304">
        <v>74216</v>
      </c>
      <c r="D56" s="305">
        <v>66878</v>
      </c>
      <c r="E56" s="306">
        <v>0.90112644173763068</v>
      </c>
    </row>
    <row r="57" spans="1:5" ht="15" customHeight="1" x14ac:dyDescent="0.45">
      <c r="A57" s="302" t="s">
        <v>129</v>
      </c>
      <c r="B57" s="303" t="s">
        <v>128</v>
      </c>
      <c r="C57" s="304">
        <v>87497</v>
      </c>
      <c r="D57" s="305">
        <v>69510</v>
      </c>
      <c r="E57" s="306">
        <v>0.79442723750528588</v>
      </c>
    </row>
    <row r="58" spans="1:5" ht="15" customHeight="1" x14ac:dyDescent="0.45">
      <c r="A58" s="302" t="s">
        <v>131</v>
      </c>
      <c r="B58" s="303" t="s">
        <v>130</v>
      </c>
      <c r="C58" s="304">
        <v>203967</v>
      </c>
      <c r="D58" s="305">
        <v>155029</v>
      </c>
      <c r="E58" s="306">
        <v>0.7600690307745861</v>
      </c>
    </row>
    <row r="59" spans="1:5" ht="15" customHeight="1" x14ac:dyDescent="0.45">
      <c r="A59" s="302" t="s">
        <v>133</v>
      </c>
      <c r="B59" s="303" t="s">
        <v>132</v>
      </c>
      <c r="C59" s="304">
        <v>106205</v>
      </c>
      <c r="D59" s="305">
        <v>93382</v>
      </c>
      <c r="E59" s="306">
        <v>0.87926180499976458</v>
      </c>
    </row>
    <row r="60" spans="1:5" ht="15" customHeight="1" x14ac:dyDescent="0.45">
      <c r="A60" s="302" t="s">
        <v>135</v>
      </c>
      <c r="B60" s="303" t="s">
        <v>134</v>
      </c>
      <c r="C60" s="304">
        <v>67777</v>
      </c>
      <c r="D60" s="305">
        <v>46983</v>
      </c>
      <c r="E60" s="306">
        <v>0.69319975803001022</v>
      </c>
    </row>
    <row r="61" spans="1:5" ht="15" customHeight="1" x14ac:dyDescent="0.45">
      <c r="A61" s="302" t="s">
        <v>137</v>
      </c>
      <c r="B61" s="303" t="s">
        <v>136</v>
      </c>
      <c r="C61" s="304">
        <v>202862</v>
      </c>
      <c r="D61" s="305">
        <v>161553</v>
      </c>
      <c r="E61" s="306">
        <v>0.79636896017982672</v>
      </c>
    </row>
    <row r="62" spans="1:5" ht="15" customHeight="1" x14ac:dyDescent="0.45">
      <c r="A62" s="302" t="s">
        <v>138</v>
      </c>
      <c r="B62" s="303" t="s">
        <v>423</v>
      </c>
      <c r="C62" s="304">
        <v>189285</v>
      </c>
      <c r="D62" s="305">
        <v>159620</v>
      </c>
      <c r="E62" s="306">
        <v>0.84327865388171275</v>
      </c>
    </row>
    <row r="63" spans="1:5" ht="15" customHeight="1" x14ac:dyDescent="0.45">
      <c r="A63" s="302" t="s">
        <v>139</v>
      </c>
      <c r="B63" s="303" t="s">
        <v>380</v>
      </c>
      <c r="C63" s="304">
        <v>141032</v>
      </c>
      <c r="D63" s="305">
        <v>91753</v>
      </c>
      <c r="E63" s="306">
        <v>0.65058284644619668</v>
      </c>
    </row>
    <row r="64" spans="1:5" ht="15" customHeight="1" x14ac:dyDescent="0.45">
      <c r="A64" s="302" t="s">
        <v>140</v>
      </c>
      <c r="B64" s="303" t="s">
        <v>416</v>
      </c>
      <c r="C64" s="304">
        <v>104697</v>
      </c>
      <c r="D64" s="305">
        <v>102361</v>
      </c>
      <c r="E64" s="306">
        <v>0.97768799488046454</v>
      </c>
    </row>
    <row r="65" spans="1:5" ht="15" customHeight="1" x14ac:dyDescent="0.45">
      <c r="A65" s="302" t="s">
        <v>141</v>
      </c>
      <c r="B65" s="303" t="s">
        <v>440</v>
      </c>
      <c r="C65" s="304">
        <v>145531</v>
      </c>
      <c r="D65" s="305">
        <v>127227</v>
      </c>
      <c r="E65" s="306">
        <v>0.87422610990098326</v>
      </c>
    </row>
    <row r="66" spans="1:5" ht="15" customHeight="1" x14ac:dyDescent="0.45">
      <c r="A66" s="302" t="s">
        <v>375</v>
      </c>
      <c r="B66" s="303" t="s">
        <v>378</v>
      </c>
      <c r="C66" s="304">
        <v>126693</v>
      </c>
      <c r="D66" s="305">
        <v>99553</v>
      </c>
      <c r="E66" s="306">
        <v>0.78578137702951234</v>
      </c>
    </row>
    <row r="67" spans="1:5" ht="15" customHeight="1" x14ac:dyDescent="0.45">
      <c r="A67" s="302" t="s">
        <v>143</v>
      </c>
      <c r="B67" s="303" t="s">
        <v>142</v>
      </c>
      <c r="C67" s="304">
        <v>108744</v>
      </c>
      <c r="D67" s="305">
        <v>88455</v>
      </c>
      <c r="E67" s="306">
        <v>0.81342418892076807</v>
      </c>
    </row>
    <row r="68" spans="1:5" ht="15" customHeight="1" x14ac:dyDescent="0.45">
      <c r="A68" s="302" t="s">
        <v>145</v>
      </c>
      <c r="B68" s="303" t="s">
        <v>144</v>
      </c>
      <c r="C68" s="304">
        <v>66725</v>
      </c>
      <c r="D68" s="305">
        <v>55513</v>
      </c>
      <c r="E68" s="306">
        <v>0.83196702884975648</v>
      </c>
    </row>
    <row r="69" spans="1:5" ht="15" customHeight="1" x14ac:dyDescent="0.45">
      <c r="A69" s="302" t="s">
        <v>147</v>
      </c>
      <c r="B69" s="303" t="s">
        <v>146</v>
      </c>
      <c r="C69" s="304">
        <v>96926</v>
      </c>
      <c r="D69" s="305">
        <v>80424</v>
      </c>
      <c r="E69" s="306">
        <v>0.82974640447351589</v>
      </c>
    </row>
    <row r="70" spans="1:5" ht="15" customHeight="1" x14ac:dyDescent="0.45">
      <c r="A70" s="302" t="s">
        <v>307</v>
      </c>
      <c r="B70" s="303" t="s">
        <v>148</v>
      </c>
      <c r="C70" s="304">
        <v>239784</v>
      </c>
      <c r="D70" s="305">
        <v>204360</v>
      </c>
      <c r="E70" s="306">
        <v>0.85226704033630263</v>
      </c>
    </row>
    <row r="71" spans="1:5" ht="15" customHeight="1" x14ac:dyDescent="0.45">
      <c r="A71" s="302" t="s">
        <v>149</v>
      </c>
      <c r="B71" s="303" t="s">
        <v>271</v>
      </c>
      <c r="C71" s="304">
        <v>87742</v>
      </c>
      <c r="D71" s="305">
        <v>75471</v>
      </c>
      <c r="E71" s="306">
        <v>0.86014679400971028</v>
      </c>
    </row>
    <row r="72" spans="1:5" ht="15" customHeight="1" x14ac:dyDescent="0.45">
      <c r="A72" s="302" t="s">
        <v>150</v>
      </c>
      <c r="B72" s="303" t="s">
        <v>426</v>
      </c>
      <c r="C72" s="304">
        <v>107407</v>
      </c>
      <c r="D72" s="305">
        <v>83629</v>
      </c>
      <c r="E72" s="306">
        <v>0.7786177809639967</v>
      </c>
    </row>
    <row r="73" spans="1:5" ht="15" customHeight="1" x14ac:dyDescent="0.45">
      <c r="A73" s="302" t="s">
        <v>308</v>
      </c>
      <c r="B73" s="303" t="s">
        <v>151</v>
      </c>
      <c r="C73" s="304">
        <v>87636</v>
      </c>
      <c r="D73" s="305">
        <v>67529</v>
      </c>
      <c r="E73" s="306">
        <v>0.77056232598475516</v>
      </c>
    </row>
    <row r="74" spans="1:5" ht="15" customHeight="1" x14ac:dyDescent="0.45">
      <c r="A74" s="302" t="s">
        <v>153</v>
      </c>
      <c r="B74" s="303" t="s">
        <v>152</v>
      </c>
      <c r="C74" s="304">
        <v>92401</v>
      </c>
      <c r="D74" s="305">
        <v>81653</v>
      </c>
      <c r="E74" s="306">
        <v>0.88368091254423653</v>
      </c>
    </row>
    <row r="75" spans="1:5" ht="15" customHeight="1" x14ac:dyDescent="0.45">
      <c r="A75" s="302" t="s">
        <v>155</v>
      </c>
      <c r="B75" s="303" t="s">
        <v>154</v>
      </c>
      <c r="C75" s="304">
        <v>175167</v>
      </c>
      <c r="D75" s="305">
        <v>141781</v>
      </c>
      <c r="E75" s="306">
        <v>0.80940473947718461</v>
      </c>
    </row>
    <row r="76" spans="1:5" ht="15" customHeight="1" x14ac:dyDescent="0.45">
      <c r="A76" s="302" t="s">
        <v>156</v>
      </c>
      <c r="B76" s="303" t="s">
        <v>437</v>
      </c>
      <c r="C76" s="304">
        <v>45898</v>
      </c>
      <c r="D76" s="305">
        <v>41739</v>
      </c>
      <c r="E76" s="306">
        <v>0.90938602989237005</v>
      </c>
    </row>
    <row r="77" spans="1:5" ht="15" customHeight="1" x14ac:dyDescent="0.45">
      <c r="A77" s="302" t="s">
        <v>168</v>
      </c>
      <c r="B77" s="303" t="s">
        <v>292</v>
      </c>
      <c r="C77" s="304">
        <v>140280</v>
      </c>
      <c r="D77" s="305">
        <v>111535</v>
      </c>
      <c r="E77" s="306">
        <v>0.79508839463929282</v>
      </c>
    </row>
    <row r="78" spans="1:5" ht="15" customHeight="1" x14ac:dyDescent="0.45">
      <c r="A78" s="302" t="s">
        <v>158</v>
      </c>
      <c r="B78" s="303" t="s">
        <v>157</v>
      </c>
      <c r="C78" s="304">
        <v>104393</v>
      </c>
      <c r="D78" s="305">
        <v>86380</v>
      </c>
      <c r="E78" s="306">
        <v>0.82745011638711408</v>
      </c>
    </row>
    <row r="79" spans="1:5" ht="15" customHeight="1" x14ac:dyDescent="0.45">
      <c r="A79" s="302" t="s">
        <v>160</v>
      </c>
      <c r="B79" s="303" t="s">
        <v>159</v>
      </c>
      <c r="C79" s="304">
        <v>44899</v>
      </c>
      <c r="D79" s="305">
        <v>35669</v>
      </c>
      <c r="E79" s="306">
        <v>0.79442749281721192</v>
      </c>
    </row>
    <row r="80" spans="1:5" ht="15" customHeight="1" x14ac:dyDescent="0.45">
      <c r="A80" s="302" t="s">
        <v>309</v>
      </c>
      <c r="B80" s="303" t="s">
        <v>424</v>
      </c>
      <c r="C80" s="304">
        <v>134575</v>
      </c>
      <c r="D80" s="305">
        <v>112983</v>
      </c>
      <c r="E80" s="306">
        <v>0.83955415195987371</v>
      </c>
    </row>
    <row r="81" spans="1:5" ht="15" customHeight="1" x14ac:dyDescent="0.45">
      <c r="A81" s="302" t="s">
        <v>162</v>
      </c>
      <c r="B81" s="303" t="s">
        <v>161</v>
      </c>
      <c r="C81" s="304">
        <v>97436</v>
      </c>
      <c r="D81" s="305">
        <v>84839</v>
      </c>
      <c r="E81" s="306">
        <v>0.87071513608933038</v>
      </c>
    </row>
    <row r="82" spans="1:5" ht="15" customHeight="1" x14ac:dyDescent="0.45">
      <c r="A82" s="302" t="s">
        <v>164</v>
      </c>
      <c r="B82" s="303" t="s">
        <v>163</v>
      </c>
      <c r="C82" s="304">
        <v>160089</v>
      </c>
      <c r="D82" s="305">
        <v>120344</v>
      </c>
      <c r="E82" s="306">
        <v>0.75173184915890534</v>
      </c>
    </row>
    <row r="83" spans="1:5" ht="15" customHeight="1" x14ac:dyDescent="0.45">
      <c r="A83" s="302" t="s">
        <v>165</v>
      </c>
      <c r="B83" s="303" t="s">
        <v>272</v>
      </c>
      <c r="C83" s="304">
        <v>134920</v>
      </c>
      <c r="D83" s="305">
        <v>108267</v>
      </c>
      <c r="E83" s="306">
        <v>0.80245330566261486</v>
      </c>
    </row>
    <row r="84" spans="1:5" ht="15" customHeight="1" x14ac:dyDescent="0.45">
      <c r="A84" s="302" t="s">
        <v>167</v>
      </c>
      <c r="B84" s="303" t="s">
        <v>166</v>
      </c>
      <c r="C84" s="304">
        <v>273414</v>
      </c>
      <c r="D84" s="305">
        <v>217110</v>
      </c>
      <c r="E84" s="306">
        <v>0.79407053040444164</v>
      </c>
    </row>
    <row r="85" spans="1:5" ht="15" customHeight="1" x14ac:dyDescent="0.45">
      <c r="A85" s="302" t="s">
        <v>170</v>
      </c>
      <c r="B85" s="303" t="s">
        <v>169</v>
      </c>
      <c r="C85" s="304">
        <v>100185</v>
      </c>
      <c r="D85" s="305">
        <v>78725</v>
      </c>
      <c r="E85" s="306">
        <v>0.78579627688775766</v>
      </c>
    </row>
    <row r="86" spans="1:5" ht="15" customHeight="1" x14ac:dyDescent="0.45">
      <c r="A86" s="302" t="s">
        <v>172</v>
      </c>
      <c r="B86" s="303" t="s">
        <v>171</v>
      </c>
      <c r="C86" s="304">
        <v>66732</v>
      </c>
      <c r="D86" s="305">
        <v>59056</v>
      </c>
      <c r="E86" s="306">
        <v>0.88497272672780669</v>
      </c>
    </row>
    <row r="87" spans="1:5" ht="15" customHeight="1" x14ac:dyDescent="0.45">
      <c r="A87" s="302" t="s">
        <v>174</v>
      </c>
      <c r="B87" s="303" t="s">
        <v>173</v>
      </c>
      <c r="C87" s="304">
        <v>112110</v>
      </c>
      <c r="D87" s="305">
        <v>76430</v>
      </c>
      <c r="E87" s="306">
        <v>0.68174114708768174</v>
      </c>
    </row>
    <row r="88" spans="1:5" ht="15" customHeight="1" x14ac:dyDescent="0.45">
      <c r="A88" s="302" t="s">
        <v>176</v>
      </c>
      <c r="B88" s="303" t="s">
        <v>175</v>
      </c>
      <c r="C88" s="304">
        <v>111488</v>
      </c>
      <c r="D88" s="305">
        <v>97097</v>
      </c>
      <c r="E88" s="306">
        <v>0.87091884328358216</v>
      </c>
    </row>
    <row r="89" spans="1:5" ht="15" customHeight="1" x14ac:dyDescent="0.45">
      <c r="A89" s="302" t="s">
        <v>310</v>
      </c>
      <c r="B89" s="303" t="s">
        <v>177</v>
      </c>
      <c r="C89" s="304">
        <v>74970</v>
      </c>
      <c r="D89" s="305">
        <v>53837</v>
      </c>
      <c r="E89" s="306">
        <v>0.71811391223155929</v>
      </c>
    </row>
    <row r="90" spans="1:5" ht="15" customHeight="1" x14ac:dyDescent="0.45">
      <c r="A90" s="302" t="s">
        <v>178</v>
      </c>
      <c r="B90" s="303" t="s">
        <v>421</v>
      </c>
      <c r="C90" s="304">
        <v>100446</v>
      </c>
      <c r="D90" s="305">
        <v>90468</v>
      </c>
      <c r="E90" s="306">
        <v>0.9006630428289828</v>
      </c>
    </row>
    <row r="91" spans="1:5" ht="15" customHeight="1" x14ac:dyDescent="0.45">
      <c r="A91" s="302" t="s">
        <v>180</v>
      </c>
      <c r="B91" s="303" t="s">
        <v>179</v>
      </c>
      <c r="C91" s="304">
        <v>225877</v>
      </c>
      <c r="D91" s="305">
        <v>190442</v>
      </c>
      <c r="E91" s="306">
        <v>0.84312258441541199</v>
      </c>
    </row>
    <row r="92" spans="1:5" ht="15" customHeight="1" x14ac:dyDescent="0.45">
      <c r="A92" s="302" t="s">
        <v>181</v>
      </c>
      <c r="B92" s="303" t="s">
        <v>431</v>
      </c>
      <c r="C92" s="304">
        <v>91723</v>
      </c>
      <c r="D92" s="305">
        <v>65340</v>
      </c>
      <c r="E92" s="306">
        <v>0.71236222103507307</v>
      </c>
    </row>
    <row r="93" spans="1:5" ht="15" customHeight="1" x14ac:dyDescent="0.45">
      <c r="A93" s="302" t="s">
        <v>183</v>
      </c>
      <c r="B93" s="303" t="s">
        <v>182</v>
      </c>
      <c r="C93" s="304">
        <v>70195</v>
      </c>
      <c r="D93" s="305">
        <v>66652</v>
      </c>
      <c r="E93" s="306">
        <v>0.9495263195384287</v>
      </c>
    </row>
    <row r="94" spans="1:5" x14ac:dyDescent="0.45">
      <c r="A94" s="302" t="s">
        <v>185</v>
      </c>
      <c r="B94" s="303" t="s">
        <v>184</v>
      </c>
      <c r="C94" s="304">
        <v>71827</v>
      </c>
      <c r="D94" s="305">
        <v>57480</v>
      </c>
      <c r="E94" s="306">
        <v>0.8002561710777284</v>
      </c>
    </row>
    <row r="95" spans="1:5" ht="14.25" customHeight="1" x14ac:dyDescent="0.45">
      <c r="A95" s="302" t="s">
        <v>187</v>
      </c>
      <c r="B95" s="303" t="s">
        <v>186</v>
      </c>
      <c r="C95" s="304">
        <v>100834</v>
      </c>
      <c r="D95" s="305">
        <v>85977</v>
      </c>
      <c r="E95" s="306">
        <v>0.85265882539619575</v>
      </c>
    </row>
    <row r="96" spans="1:5" x14ac:dyDescent="0.45">
      <c r="A96" s="302" t="s">
        <v>189</v>
      </c>
      <c r="B96" s="303" t="s">
        <v>188</v>
      </c>
      <c r="C96" s="304">
        <v>46410</v>
      </c>
      <c r="D96" s="305">
        <v>42599</v>
      </c>
      <c r="E96" s="306">
        <v>0.91788407670760608</v>
      </c>
    </row>
    <row r="97" spans="1:5" x14ac:dyDescent="0.45">
      <c r="A97" s="302" t="s">
        <v>311</v>
      </c>
      <c r="B97" s="303" t="s">
        <v>445</v>
      </c>
      <c r="C97" s="304">
        <v>172920</v>
      </c>
      <c r="D97" s="305">
        <v>136794</v>
      </c>
      <c r="E97" s="306">
        <v>0.79108258154059685</v>
      </c>
    </row>
    <row r="98" spans="1:5" x14ac:dyDescent="0.45">
      <c r="A98" s="302" t="s">
        <v>191</v>
      </c>
      <c r="B98" s="303" t="s">
        <v>190</v>
      </c>
      <c r="C98" s="304">
        <v>56259</v>
      </c>
      <c r="D98" s="305">
        <v>54684</v>
      </c>
      <c r="E98" s="306">
        <v>0.97200447928331468</v>
      </c>
    </row>
    <row r="99" spans="1:5" ht="14.25" customHeight="1" x14ac:dyDescent="0.45">
      <c r="A99" s="302" t="s">
        <v>193</v>
      </c>
      <c r="B99" s="303" t="s">
        <v>192</v>
      </c>
      <c r="C99" s="304">
        <v>109049</v>
      </c>
      <c r="D99" s="305">
        <v>84131</v>
      </c>
      <c r="E99" s="306">
        <v>0.7714972168474723</v>
      </c>
    </row>
    <row r="100" spans="1:5" ht="14.25" customHeight="1" x14ac:dyDescent="0.45">
      <c r="A100" s="302" t="s">
        <v>195</v>
      </c>
      <c r="B100" s="303" t="s">
        <v>194</v>
      </c>
      <c r="C100" s="304">
        <v>98562</v>
      </c>
      <c r="D100" s="305">
        <v>87572</v>
      </c>
      <c r="E100" s="306">
        <v>0.88849658083236949</v>
      </c>
    </row>
    <row r="101" spans="1:5" x14ac:dyDescent="0.45">
      <c r="A101" s="302" t="s">
        <v>196</v>
      </c>
      <c r="B101" s="303" t="s">
        <v>447</v>
      </c>
      <c r="C101" s="304">
        <v>115685</v>
      </c>
      <c r="D101" s="305">
        <v>82845</v>
      </c>
      <c r="E101" s="306">
        <v>0.71612568613044036</v>
      </c>
    </row>
    <row r="102" spans="1:5" x14ac:dyDescent="0.45">
      <c r="A102" s="302" t="s">
        <v>199</v>
      </c>
      <c r="B102" s="303" t="s">
        <v>198</v>
      </c>
      <c r="C102" s="304">
        <v>125338</v>
      </c>
      <c r="D102" s="305">
        <v>118891</v>
      </c>
      <c r="E102" s="306">
        <v>0.94856308541703238</v>
      </c>
    </row>
    <row r="103" spans="1:5" x14ac:dyDescent="0.45">
      <c r="A103" s="302" t="s">
        <v>201</v>
      </c>
      <c r="B103" s="303" t="s">
        <v>200</v>
      </c>
      <c r="C103" s="304">
        <v>61457</v>
      </c>
      <c r="D103" s="305">
        <v>57553</v>
      </c>
      <c r="E103" s="306">
        <v>0.93647590998584374</v>
      </c>
    </row>
    <row r="104" spans="1:5" x14ac:dyDescent="0.45">
      <c r="A104" s="302" t="s">
        <v>203</v>
      </c>
      <c r="B104" s="303" t="s">
        <v>202</v>
      </c>
      <c r="C104" s="304">
        <v>66828</v>
      </c>
      <c r="D104" s="305">
        <v>60444</v>
      </c>
      <c r="E104" s="306">
        <v>0.90447117974501712</v>
      </c>
    </row>
    <row r="105" spans="1:5" x14ac:dyDescent="0.45">
      <c r="A105" s="302" t="s">
        <v>205</v>
      </c>
      <c r="B105" s="303" t="s">
        <v>204</v>
      </c>
      <c r="C105" s="304">
        <v>96587</v>
      </c>
      <c r="D105" s="305">
        <v>83498</v>
      </c>
      <c r="E105" s="306">
        <v>0.86448486856409246</v>
      </c>
    </row>
    <row r="106" spans="1:5" x14ac:dyDescent="0.45">
      <c r="A106" s="302" t="s">
        <v>206</v>
      </c>
      <c r="B106" s="303" t="s">
        <v>438</v>
      </c>
      <c r="C106" s="304">
        <v>76666</v>
      </c>
      <c r="D106" s="305">
        <v>59205</v>
      </c>
      <c r="E106" s="306">
        <v>0.77224584561604881</v>
      </c>
    </row>
    <row r="107" spans="1:5" x14ac:dyDescent="0.45">
      <c r="A107" s="302" t="s">
        <v>207</v>
      </c>
      <c r="B107" s="303" t="s">
        <v>273</v>
      </c>
      <c r="C107" s="304">
        <v>155866</v>
      </c>
      <c r="D107" s="305">
        <v>134507</v>
      </c>
      <c r="E107" s="306">
        <v>0.86296562431832469</v>
      </c>
    </row>
    <row r="108" spans="1:5" x14ac:dyDescent="0.45">
      <c r="A108" s="302" t="s">
        <v>208</v>
      </c>
      <c r="B108" s="303" t="s">
        <v>415</v>
      </c>
      <c r="C108" s="304">
        <v>111344</v>
      </c>
      <c r="D108" s="305">
        <v>87108</v>
      </c>
      <c r="E108" s="306">
        <v>0.78233223164247734</v>
      </c>
    </row>
    <row r="109" spans="1:5" x14ac:dyDescent="0.45">
      <c r="A109" s="302" t="s">
        <v>210</v>
      </c>
      <c r="B109" s="303" t="s">
        <v>209</v>
      </c>
      <c r="C109" s="304">
        <v>94019</v>
      </c>
      <c r="D109" s="305">
        <v>73421</v>
      </c>
      <c r="E109" s="306">
        <v>0.78091662323572897</v>
      </c>
    </row>
    <row r="110" spans="1:5" x14ac:dyDescent="0.45">
      <c r="A110" s="302" t="s">
        <v>211</v>
      </c>
      <c r="B110" s="303" t="s">
        <v>435</v>
      </c>
      <c r="C110" s="304">
        <v>97428</v>
      </c>
      <c r="D110" s="305">
        <v>89594</v>
      </c>
      <c r="E110" s="306">
        <v>0.91959190376483146</v>
      </c>
    </row>
    <row r="111" spans="1:5" x14ac:dyDescent="0.45">
      <c r="A111" s="302" t="s">
        <v>212</v>
      </c>
      <c r="B111" s="303" t="s">
        <v>427</v>
      </c>
      <c r="C111" s="304">
        <v>86483</v>
      </c>
      <c r="D111" s="305">
        <v>71999</v>
      </c>
      <c r="E111" s="306">
        <v>0.8325219985430663</v>
      </c>
    </row>
    <row r="112" spans="1:5" x14ac:dyDescent="0.45">
      <c r="A112" s="302" t="s">
        <v>213</v>
      </c>
      <c r="B112" s="303" t="s">
        <v>414</v>
      </c>
      <c r="C112" s="304">
        <v>70797</v>
      </c>
      <c r="D112" s="305">
        <v>64311</v>
      </c>
      <c r="E112" s="306">
        <v>0.90838594855714228</v>
      </c>
    </row>
    <row r="113" spans="1:5" x14ac:dyDescent="0.45">
      <c r="A113" s="302" t="s">
        <v>215</v>
      </c>
      <c r="B113" s="303" t="s">
        <v>214</v>
      </c>
      <c r="C113" s="304">
        <v>103430</v>
      </c>
      <c r="D113" s="305">
        <v>81082</v>
      </c>
      <c r="E113" s="306">
        <v>0.78393116117180706</v>
      </c>
    </row>
    <row r="114" spans="1:5" x14ac:dyDescent="0.45">
      <c r="A114" s="302" t="s">
        <v>217</v>
      </c>
      <c r="B114" s="303" t="s">
        <v>216</v>
      </c>
      <c r="C114" s="304">
        <v>66462</v>
      </c>
      <c r="D114" s="305">
        <v>42180</v>
      </c>
      <c r="E114" s="306">
        <v>0.63464837049742706</v>
      </c>
    </row>
    <row r="115" spans="1:5" x14ac:dyDescent="0.45">
      <c r="A115" s="302" t="s">
        <v>219</v>
      </c>
      <c r="B115" s="303" t="s">
        <v>218</v>
      </c>
      <c r="C115" s="304">
        <v>122633</v>
      </c>
      <c r="D115" s="305">
        <v>111051</v>
      </c>
      <c r="E115" s="306">
        <v>0.90555560085784415</v>
      </c>
    </row>
    <row r="116" spans="1:5" x14ac:dyDescent="0.45">
      <c r="A116" s="302" t="s">
        <v>221</v>
      </c>
      <c r="B116" s="303" t="s">
        <v>220</v>
      </c>
      <c r="C116" s="304">
        <v>101288</v>
      </c>
      <c r="D116" s="305">
        <v>71862</v>
      </c>
      <c r="E116" s="306">
        <v>0.70948187346971014</v>
      </c>
    </row>
    <row r="117" spans="1:5" x14ac:dyDescent="0.45">
      <c r="A117" s="302" t="s">
        <v>223</v>
      </c>
      <c r="B117" s="303" t="s">
        <v>222</v>
      </c>
      <c r="C117" s="304">
        <v>65003</v>
      </c>
      <c r="D117" s="305">
        <v>55593</v>
      </c>
      <c r="E117" s="306">
        <v>0.85523745057920397</v>
      </c>
    </row>
    <row r="118" spans="1:5" x14ac:dyDescent="0.45">
      <c r="A118" s="302" t="s">
        <v>225</v>
      </c>
      <c r="B118" s="303" t="s">
        <v>224</v>
      </c>
      <c r="C118" s="304">
        <v>90112</v>
      </c>
      <c r="D118" s="305">
        <v>74601</v>
      </c>
      <c r="E118" s="306">
        <v>0.82786976207386365</v>
      </c>
    </row>
    <row r="119" spans="1:5" x14ac:dyDescent="0.45">
      <c r="A119" s="302" t="s">
        <v>226</v>
      </c>
      <c r="B119" s="303" t="s">
        <v>419</v>
      </c>
      <c r="C119" s="304">
        <v>77928</v>
      </c>
      <c r="D119" s="305">
        <v>71027</v>
      </c>
      <c r="E119" s="306">
        <v>0.91144389693049999</v>
      </c>
    </row>
    <row r="120" spans="1:5" x14ac:dyDescent="0.45">
      <c r="A120" s="302" t="s">
        <v>228</v>
      </c>
      <c r="B120" s="303" t="s">
        <v>227</v>
      </c>
      <c r="C120" s="304">
        <v>133328</v>
      </c>
      <c r="D120" s="305">
        <v>111629</v>
      </c>
      <c r="E120" s="306">
        <v>0.83725099003960157</v>
      </c>
    </row>
    <row r="121" spans="1:5" x14ac:dyDescent="0.45">
      <c r="A121" s="302" t="s">
        <v>197</v>
      </c>
      <c r="B121" s="303" t="s">
        <v>413</v>
      </c>
      <c r="C121" s="304">
        <v>74880</v>
      </c>
      <c r="D121" s="305">
        <v>63668</v>
      </c>
      <c r="E121" s="306">
        <v>0.85026709401709399</v>
      </c>
    </row>
    <row r="122" spans="1:5" x14ac:dyDescent="0.45">
      <c r="A122" s="302" t="s">
        <v>231</v>
      </c>
      <c r="B122" s="303" t="s">
        <v>230</v>
      </c>
      <c r="C122" s="304">
        <v>148334</v>
      </c>
      <c r="D122" s="305">
        <v>109688</v>
      </c>
      <c r="E122" s="306">
        <v>0.73946633947712592</v>
      </c>
    </row>
    <row r="123" spans="1:5" x14ac:dyDescent="0.45">
      <c r="A123" s="302" t="s">
        <v>233</v>
      </c>
      <c r="B123" s="303" t="s">
        <v>232</v>
      </c>
      <c r="C123" s="304">
        <v>137439</v>
      </c>
      <c r="D123" s="305">
        <v>120785</v>
      </c>
      <c r="E123" s="306">
        <v>0.87882624291503864</v>
      </c>
    </row>
    <row r="124" spans="1:5" x14ac:dyDescent="0.45">
      <c r="A124" s="302" t="s">
        <v>234</v>
      </c>
      <c r="B124" s="303" t="s">
        <v>448</v>
      </c>
      <c r="C124" s="304">
        <v>50190</v>
      </c>
      <c r="D124" s="305">
        <v>45556</v>
      </c>
      <c r="E124" s="306">
        <v>0.90767085076708509</v>
      </c>
    </row>
    <row r="125" spans="1:5" x14ac:dyDescent="0.45">
      <c r="A125" s="302" t="s">
        <v>236</v>
      </c>
      <c r="B125" s="303" t="s">
        <v>235</v>
      </c>
      <c r="C125" s="304">
        <v>102547</v>
      </c>
      <c r="D125" s="305">
        <v>86790</v>
      </c>
      <c r="E125" s="306">
        <v>0.84634362779993566</v>
      </c>
    </row>
    <row r="126" spans="1:5" x14ac:dyDescent="0.45">
      <c r="A126" s="302" t="s">
        <v>312</v>
      </c>
      <c r="B126" s="303" t="s">
        <v>237</v>
      </c>
      <c r="C126" s="304">
        <v>117499</v>
      </c>
      <c r="D126" s="305">
        <v>97437</v>
      </c>
      <c r="E126" s="306">
        <v>0.82925812134571353</v>
      </c>
    </row>
    <row r="127" spans="1:5" x14ac:dyDescent="0.45">
      <c r="A127" s="302" t="s">
        <v>239</v>
      </c>
      <c r="B127" s="303" t="s">
        <v>238</v>
      </c>
      <c r="C127" s="304">
        <v>110405</v>
      </c>
      <c r="D127" s="305">
        <v>93297</v>
      </c>
      <c r="E127" s="306">
        <v>0.84504324985281465</v>
      </c>
    </row>
    <row r="128" spans="1:5" x14ac:dyDescent="0.45">
      <c r="A128" s="302" t="s">
        <v>240</v>
      </c>
      <c r="B128" s="303" t="s">
        <v>425</v>
      </c>
      <c r="C128" s="304">
        <v>140613</v>
      </c>
      <c r="D128" s="305">
        <v>103635</v>
      </c>
      <c r="E128" s="306">
        <v>0.73702289262017029</v>
      </c>
    </row>
    <row r="129" spans="1:5" x14ac:dyDescent="0.45">
      <c r="A129" s="302" t="s">
        <v>242</v>
      </c>
      <c r="B129" s="303" t="s">
        <v>241</v>
      </c>
      <c r="C129" s="304">
        <v>209857</v>
      </c>
      <c r="D129" s="305">
        <v>157810</v>
      </c>
      <c r="E129" s="306">
        <v>0.75198825867138097</v>
      </c>
    </row>
    <row r="130" spans="1:5" x14ac:dyDescent="0.45">
      <c r="A130" s="302" t="s">
        <v>244</v>
      </c>
      <c r="B130" s="303" t="s">
        <v>243</v>
      </c>
      <c r="C130" s="304">
        <v>88548</v>
      </c>
      <c r="D130" s="305">
        <v>72858</v>
      </c>
      <c r="E130" s="306">
        <v>0.8228079685594254</v>
      </c>
    </row>
    <row r="131" spans="1:5" x14ac:dyDescent="0.45">
      <c r="A131" s="302" t="s">
        <v>246</v>
      </c>
      <c r="B131" s="303" t="s">
        <v>245</v>
      </c>
      <c r="C131" s="304">
        <v>169922</v>
      </c>
      <c r="D131" s="305">
        <v>115999</v>
      </c>
      <c r="E131" s="306">
        <v>0.6826602794223231</v>
      </c>
    </row>
    <row r="132" spans="1:5" x14ac:dyDescent="0.45">
      <c r="A132" s="302" t="s">
        <v>248</v>
      </c>
      <c r="B132" s="303" t="s">
        <v>247</v>
      </c>
      <c r="C132" s="304">
        <v>76190</v>
      </c>
      <c r="D132" s="305">
        <v>53319</v>
      </c>
      <c r="E132" s="306">
        <v>0.69981624885155536</v>
      </c>
    </row>
    <row r="133" spans="1:5" x14ac:dyDescent="0.45">
      <c r="A133" s="302" t="s">
        <v>249</v>
      </c>
      <c r="B133" s="303" t="s">
        <v>442</v>
      </c>
      <c r="C133" s="304">
        <v>80600</v>
      </c>
      <c r="D133" s="305">
        <v>66043</v>
      </c>
      <c r="E133" s="306">
        <v>0.81939205955334993</v>
      </c>
    </row>
    <row r="134" spans="1:5" x14ac:dyDescent="0.45">
      <c r="A134" s="302" t="s">
        <v>251</v>
      </c>
      <c r="B134" s="303" t="s">
        <v>250</v>
      </c>
      <c r="C134" s="304">
        <v>94350</v>
      </c>
      <c r="D134" s="305">
        <v>66768</v>
      </c>
      <c r="E134" s="306">
        <v>0.70766295707472171</v>
      </c>
    </row>
    <row r="135" spans="1:5" x14ac:dyDescent="0.45">
      <c r="A135" s="302" t="s">
        <v>253</v>
      </c>
      <c r="B135" s="303" t="s">
        <v>252</v>
      </c>
      <c r="C135" s="304">
        <v>69446</v>
      </c>
      <c r="D135" s="305">
        <v>61861</v>
      </c>
      <c r="E135" s="306">
        <v>0.89077844656279703</v>
      </c>
    </row>
    <row r="136" spans="1:5" x14ac:dyDescent="0.45">
      <c r="A136" s="302" t="s">
        <v>313</v>
      </c>
      <c r="B136" s="303" t="s">
        <v>254</v>
      </c>
      <c r="C136" s="304">
        <v>139530</v>
      </c>
      <c r="D136" s="305">
        <v>128057</v>
      </c>
      <c r="E136" s="306">
        <v>0.91777395542177309</v>
      </c>
    </row>
    <row r="137" spans="1:5" x14ac:dyDescent="0.45">
      <c r="A137" s="302" t="s">
        <v>256</v>
      </c>
      <c r="B137" s="303" t="s">
        <v>255</v>
      </c>
      <c r="C137" s="304">
        <v>47685</v>
      </c>
      <c r="D137" s="305">
        <v>40471</v>
      </c>
      <c r="E137" s="306">
        <v>0.84871552899234559</v>
      </c>
    </row>
    <row r="138" spans="1:5" x14ac:dyDescent="0.45">
      <c r="A138" s="302" t="s">
        <v>229</v>
      </c>
      <c r="B138" s="303" t="s">
        <v>381</v>
      </c>
      <c r="C138" s="304">
        <v>101815</v>
      </c>
      <c r="D138" s="305">
        <v>91057</v>
      </c>
      <c r="E138" s="306">
        <v>0.89433776948386778</v>
      </c>
    </row>
    <row r="139" spans="1:5" x14ac:dyDescent="0.45">
      <c r="A139" s="302" t="s">
        <v>258</v>
      </c>
      <c r="B139" s="303" t="s">
        <v>257</v>
      </c>
      <c r="C139" s="304">
        <v>94218</v>
      </c>
      <c r="D139" s="305">
        <v>70293</v>
      </c>
      <c r="E139" s="306">
        <v>0.74606763038909762</v>
      </c>
    </row>
    <row r="140" spans="1:5" x14ac:dyDescent="0.45">
      <c r="A140" s="302" t="s">
        <v>314</v>
      </c>
      <c r="B140" s="303" t="s">
        <v>259</v>
      </c>
      <c r="C140" s="304">
        <v>121356</v>
      </c>
      <c r="D140" s="305">
        <v>82266</v>
      </c>
      <c r="E140" s="306">
        <v>0.67788984475427672</v>
      </c>
    </row>
    <row r="141" spans="1:5" x14ac:dyDescent="0.45">
      <c r="A141" s="302" t="s">
        <v>260</v>
      </c>
      <c r="B141" s="303" t="s">
        <v>433</v>
      </c>
      <c r="C141" s="304">
        <v>85288</v>
      </c>
      <c r="D141" s="305">
        <v>68333</v>
      </c>
      <c r="E141" s="306">
        <v>0.80120298283463087</v>
      </c>
    </row>
    <row r="142" spans="1:5" x14ac:dyDescent="0.45">
      <c r="A142" s="302" t="s">
        <v>262</v>
      </c>
      <c r="B142" s="303" t="s">
        <v>261</v>
      </c>
      <c r="C142" s="304">
        <v>55602</v>
      </c>
      <c r="D142" s="305">
        <v>43196</v>
      </c>
      <c r="E142" s="306">
        <v>0.77687852954929681</v>
      </c>
    </row>
    <row r="143" spans="1:5" x14ac:dyDescent="0.45">
      <c r="A143" s="302" t="s">
        <v>264</v>
      </c>
      <c r="B143" s="303" t="s">
        <v>263</v>
      </c>
      <c r="C143" s="304">
        <v>50454</v>
      </c>
      <c r="D143" s="305">
        <v>48902</v>
      </c>
      <c r="E143" s="306">
        <v>0.96923930709160822</v>
      </c>
    </row>
    <row r="144" spans="1:5" ht="14.1" thickBot="1" x14ac:dyDescent="0.5">
      <c r="A144" s="307" t="s">
        <v>266</v>
      </c>
      <c r="B144" s="308" t="s">
        <v>265</v>
      </c>
      <c r="C144" s="309">
        <v>110536</v>
      </c>
      <c r="D144" s="310">
        <v>85024</v>
      </c>
      <c r="E144" s="311">
        <v>0.76919736556416007</v>
      </c>
    </row>
    <row r="146" spans="1:7" x14ac:dyDescent="0.45">
      <c r="A146" s="354" t="s">
        <v>333</v>
      </c>
      <c r="B146" s="354"/>
      <c r="C146" s="354"/>
      <c r="D146" s="354"/>
      <c r="E146" s="354"/>
      <c r="F146" s="354"/>
      <c r="G146" s="354"/>
    </row>
    <row r="147" spans="1:7" x14ac:dyDescent="0.45">
      <c r="A147" s="360" t="s">
        <v>383</v>
      </c>
      <c r="B147" s="362"/>
      <c r="C147" s="362"/>
      <c r="D147" s="362"/>
      <c r="E147" s="362"/>
      <c r="F147" s="99"/>
      <c r="G147" s="99"/>
    </row>
    <row r="148" spans="1:7" x14ac:dyDescent="0.45">
      <c r="A148" s="27"/>
      <c r="B148" s="27"/>
      <c r="C148" s="27"/>
      <c r="D148" s="27"/>
      <c r="E148" s="27"/>
      <c r="F148" s="27"/>
      <c r="G148" s="27"/>
    </row>
    <row r="149" spans="1:7" ht="14.1" thickBot="1" x14ac:dyDescent="0.5">
      <c r="A149" s="352" t="s">
        <v>1</v>
      </c>
      <c r="B149" s="352"/>
      <c r="C149" s="352"/>
      <c r="D149" s="352"/>
      <c r="E149" s="352"/>
      <c r="F149" s="352"/>
    </row>
    <row r="150" spans="1:7" x14ac:dyDescent="0.45">
      <c r="A150" s="359" t="s">
        <v>376</v>
      </c>
      <c r="B150" s="359"/>
      <c r="C150" s="359"/>
      <c r="D150" s="359"/>
      <c r="E150" s="359"/>
      <c r="F150" s="359"/>
    </row>
    <row r="151" spans="1:7" x14ac:dyDescent="0.45">
      <c r="A151" s="353" t="s">
        <v>353</v>
      </c>
      <c r="B151" s="353"/>
      <c r="C151" s="353"/>
      <c r="D151" s="353"/>
      <c r="E151" s="353"/>
      <c r="F151" s="353"/>
      <c r="G151" s="353"/>
    </row>
    <row r="152" spans="1:7" x14ac:dyDescent="0.45">
      <c r="A152" s="349" t="s">
        <v>379</v>
      </c>
      <c r="B152" s="349"/>
      <c r="C152" s="349"/>
      <c r="D152" s="349"/>
      <c r="E152" s="349"/>
      <c r="F152" s="349"/>
    </row>
    <row r="153" spans="1:7" ht="14.1" thickBot="1" x14ac:dyDescent="0.5">
      <c r="A153" s="350" t="s">
        <v>374</v>
      </c>
      <c r="B153" s="350"/>
      <c r="C153" s="350"/>
      <c r="D153" s="350"/>
      <c r="E153" s="350"/>
      <c r="F153" s="350"/>
    </row>
    <row r="154" spans="1:7" x14ac:dyDescent="0.45">
      <c r="A154" s="29"/>
      <c r="B154" s="30"/>
      <c r="C154" s="30"/>
      <c r="D154" s="30"/>
      <c r="E154" s="30"/>
      <c r="F154" s="30"/>
    </row>
    <row r="155" spans="1:7" x14ac:dyDescent="0.45">
      <c r="A155" s="351" t="s">
        <v>274</v>
      </c>
      <c r="B155" s="351"/>
      <c r="C155" s="30"/>
      <c r="D155" s="30"/>
      <c r="E155" s="30"/>
      <c r="F155" s="30"/>
    </row>
    <row r="156" spans="1:7" x14ac:dyDescent="0.45">
      <c r="A156" s="11"/>
      <c r="B156" s="30"/>
      <c r="C156" s="30"/>
      <c r="D156" s="30"/>
      <c r="E156" s="30"/>
      <c r="F156" s="30"/>
    </row>
  </sheetData>
  <sortState ref="A6:E144">
    <sortCondition ref="B6:B144"/>
  </sortState>
  <mergeCells count="10">
    <mergeCell ref="A2:F2"/>
    <mergeCell ref="A147:E147"/>
    <mergeCell ref="A151:G151"/>
    <mergeCell ref="A150:F150"/>
    <mergeCell ref="A146:G146"/>
    <mergeCell ref="A152:F152"/>
    <mergeCell ref="A153:F153"/>
    <mergeCell ref="A155:B155"/>
    <mergeCell ref="A3:F3"/>
    <mergeCell ref="A149:F149"/>
  </mergeCells>
  <hyperlinks>
    <hyperlink ref="A152:F152" r:id="rId1" display="Contact via enquiries@NHSDigital.nhs.uk or 0300 303 5678" xr:uid="{00000000-0004-0000-0800-000000000000}"/>
    <hyperlink ref="A155" location="Contents!A1" display="Return to Contents" xr:uid="{00000000-0004-0000-0800-000001000000}"/>
    <hyperlink ref="A147" r:id="rId2" xr:uid="{2236793B-4B0C-425B-BD10-8BA82D0C7D26}"/>
  </hyperlinks>
  <pageMargins left="0.7" right="0.7" top="0.75" bottom="0.75" header="0.3" footer="0.3"/>
  <pageSetup paperSize="9"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A35"/>
  <sheetViews>
    <sheetView zoomScaleNormal="100" workbookViewId="0"/>
  </sheetViews>
  <sheetFormatPr defaultColWidth="9.109375" defaultRowHeight="13.8" x14ac:dyDescent="0.45"/>
  <cols>
    <col min="1" max="1" width="22.5546875" style="28" customWidth="1"/>
    <col min="2" max="25" width="9.21875" style="28" customWidth="1"/>
    <col min="26" max="16384" width="9.109375" style="28"/>
  </cols>
  <sheetData>
    <row r="1" spans="1:27" ht="15" customHeight="1" x14ac:dyDescent="0.45"/>
    <row r="2" spans="1:27" ht="48.75" customHeight="1" x14ac:dyDescent="0.45">
      <c r="A2" s="355" t="s">
        <v>477</v>
      </c>
      <c r="B2" s="355"/>
      <c r="C2" s="355"/>
      <c r="D2" s="355"/>
      <c r="E2" s="355"/>
      <c r="F2" s="355"/>
      <c r="G2" s="355"/>
      <c r="H2" s="355"/>
      <c r="I2" s="355"/>
      <c r="J2" s="355"/>
      <c r="K2" s="355"/>
    </row>
    <row r="3" spans="1:27" ht="30" customHeight="1" x14ac:dyDescent="0.45">
      <c r="A3" s="361" t="s">
        <v>359</v>
      </c>
      <c r="B3" s="361"/>
      <c r="C3" s="361"/>
      <c r="D3" s="361"/>
      <c r="E3" s="361"/>
      <c r="F3" s="361"/>
      <c r="G3" s="361"/>
      <c r="H3" s="361"/>
      <c r="I3" s="361"/>
      <c r="J3" s="361"/>
      <c r="K3" s="361"/>
    </row>
    <row r="4" spans="1:27" ht="13.5" customHeight="1" thickBot="1" x14ac:dyDescent="0.5"/>
    <row r="5" spans="1:27" ht="16.5" customHeight="1" thickBot="1" x14ac:dyDescent="0.5">
      <c r="A5" s="211"/>
      <c r="B5" s="86">
        <v>0</v>
      </c>
      <c r="C5" s="87">
        <v>4.1666666666666664E-2</v>
      </c>
      <c r="D5" s="88">
        <v>8.3333333333333329E-2</v>
      </c>
      <c r="E5" s="89">
        <v>0.125</v>
      </c>
      <c r="F5" s="87">
        <v>0.16666666666666666</v>
      </c>
      <c r="G5" s="88">
        <v>0.20833333333333334</v>
      </c>
      <c r="H5" s="88">
        <v>0.25</v>
      </c>
      <c r="I5" s="88">
        <v>0.29166666666666669</v>
      </c>
      <c r="J5" s="89">
        <v>0.33333333333333331</v>
      </c>
      <c r="K5" s="87">
        <v>0.375</v>
      </c>
      <c r="L5" s="88">
        <v>0.41666666666666669</v>
      </c>
      <c r="M5" s="88">
        <v>0.45833333333333331</v>
      </c>
      <c r="N5" s="88">
        <v>0.5</v>
      </c>
      <c r="O5" s="89">
        <v>0.54166666666666663</v>
      </c>
      <c r="P5" s="87">
        <v>0.58333333333333337</v>
      </c>
      <c r="Q5" s="88">
        <v>0.625</v>
      </c>
      <c r="R5" s="88">
        <v>0.66666666666666663</v>
      </c>
      <c r="S5" s="89">
        <v>0.70833333333333337</v>
      </c>
      <c r="T5" s="87">
        <v>0.75</v>
      </c>
      <c r="U5" s="88">
        <v>0.79166666666666663</v>
      </c>
      <c r="V5" s="88">
        <v>0.83333333333333337</v>
      </c>
      <c r="W5" s="89">
        <v>0.875</v>
      </c>
      <c r="X5" s="87">
        <v>0.91666666666666663</v>
      </c>
      <c r="Y5" s="90">
        <v>0.95833333333333337</v>
      </c>
      <c r="Z5" s="43"/>
      <c r="AA5" s="43"/>
    </row>
    <row r="6" spans="1:27" ht="15" customHeight="1" x14ac:dyDescent="0.45">
      <c r="A6" s="55" t="s">
        <v>316</v>
      </c>
      <c r="B6" s="256">
        <v>26798</v>
      </c>
      <c r="C6" s="139">
        <v>21942</v>
      </c>
      <c r="D6" s="139">
        <v>18221</v>
      </c>
      <c r="E6" s="139">
        <v>16710</v>
      </c>
      <c r="F6" s="139">
        <v>15474</v>
      </c>
      <c r="G6" s="139">
        <v>14838</v>
      </c>
      <c r="H6" s="139">
        <v>17389</v>
      </c>
      <c r="I6" s="139">
        <v>30519</v>
      </c>
      <c r="J6" s="139">
        <v>92418</v>
      </c>
      <c r="K6" s="139">
        <v>136732</v>
      </c>
      <c r="L6" s="139">
        <v>137843</v>
      </c>
      <c r="M6" s="139">
        <v>131980</v>
      </c>
      <c r="N6" s="139">
        <v>111470</v>
      </c>
      <c r="O6" s="139">
        <v>103670</v>
      </c>
      <c r="P6" s="139">
        <v>105530</v>
      </c>
      <c r="Q6" s="139">
        <v>106480</v>
      </c>
      <c r="R6" s="139">
        <v>108403</v>
      </c>
      <c r="S6" s="139">
        <v>100141</v>
      </c>
      <c r="T6" s="139">
        <v>100478</v>
      </c>
      <c r="U6" s="139">
        <v>91523</v>
      </c>
      <c r="V6" s="139">
        <v>78350</v>
      </c>
      <c r="W6" s="139">
        <v>61844</v>
      </c>
      <c r="X6" s="139">
        <v>49017</v>
      </c>
      <c r="Y6" s="140">
        <v>36344</v>
      </c>
    </row>
    <row r="7" spans="1:27" ht="15" customHeight="1" x14ac:dyDescent="0.45">
      <c r="A7" s="64" t="s">
        <v>317</v>
      </c>
      <c r="B7" s="277">
        <v>48078</v>
      </c>
      <c r="C7" s="141">
        <v>38126</v>
      </c>
      <c r="D7" s="141">
        <v>31941</v>
      </c>
      <c r="E7" s="141">
        <v>28951</v>
      </c>
      <c r="F7" s="141">
        <v>27579</v>
      </c>
      <c r="G7" s="141">
        <v>26417</v>
      </c>
      <c r="H7" s="141">
        <v>28442</v>
      </c>
      <c r="I7" s="141">
        <v>61129</v>
      </c>
      <c r="J7" s="141">
        <v>141648</v>
      </c>
      <c r="K7" s="141">
        <v>228399</v>
      </c>
      <c r="L7" s="141">
        <v>233750</v>
      </c>
      <c r="M7" s="141">
        <v>215677</v>
      </c>
      <c r="N7" s="141">
        <v>193406</v>
      </c>
      <c r="O7" s="141">
        <v>196405</v>
      </c>
      <c r="P7" s="141">
        <v>196295</v>
      </c>
      <c r="Q7" s="141">
        <v>194270</v>
      </c>
      <c r="R7" s="141">
        <v>194286</v>
      </c>
      <c r="S7" s="141">
        <v>185610</v>
      </c>
      <c r="T7" s="141">
        <v>185554</v>
      </c>
      <c r="U7" s="141">
        <v>165655</v>
      </c>
      <c r="V7" s="141">
        <v>140182</v>
      </c>
      <c r="W7" s="141">
        <v>112295</v>
      </c>
      <c r="X7" s="141">
        <v>88253</v>
      </c>
      <c r="Y7" s="142">
        <v>62375</v>
      </c>
    </row>
    <row r="8" spans="1:27" ht="15" customHeight="1" x14ac:dyDescent="0.45">
      <c r="A8" s="64" t="s">
        <v>318</v>
      </c>
      <c r="B8" s="277">
        <v>69258</v>
      </c>
      <c r="C8" s="141">
        <v>56340</v>
      </c>
      <c r="D8" s="141">
        <v>46275</v>
      </c>
      <c r="E8" s="141">
        <v>42424</v>
      </c>
      <c r="F8" s="141">
        <v>38176</v>
      </c>
      <c r="G8" s="141">
        <v>35164</v>
      </c>
      <c r="H8" s="141">
        <v>40955</v>
      </c>
      <c r="I8" s="141">
        <v>64474</v>
      </c>
      <c r="J8" s="141">
        <v>118570</v>
      </c>
      <c r="K8" s="141">
        <v>199485</v>
      </c>
      <c r="L8" s="141">
        <v>228647</v>
      </c>
      <c r="M8" s="141">
        <v>234317</v>
      </c>
      <c r="N8" s="141">
        <v>239027</v>
      </c>
      <c r="O8" s="141">
        <v>230996</v>
      </c>
      <c r="P8" s="141">
        <v>221556</v>
      </c>
      <c r="Q8" s="141">
        <v>203766</v>
      </c>
      <c r="R8" s="141">
        <v>204821</v>
      </c>
      <c r="S8" s="141">
        <v>205738</v>
      </c>
      <c r="T8" s="141">
        <v>207908</v>
      </c>
      <c r="U8" s="141">
        <v>201528</v>
      </c>
      <c r="V8" s="141">
        <v>183960</v>
      </c>
      <c r="W8" s="141">
        <v>157984</v>
      </c>
      <c r="X8" s="141">
        <v>118407</v>
      </c>
      <c r="Y8" s="142">
        <v>93715</v>
      </c>
    </row>
    <row r="9" spans="1:27" ht="15" customHeight="1" x14ac:dyDescent="0.45">
      <c r="A9" s="64" t="s">
        <v>319</v>
      </c>
      <c r="B9" s="277">
        <v>128381</v>
      </c>
      <c r="C9" s="141">
        <v>103243</v>
      </c>
      <c r="D9" s="141">
        <v>81447</v>
      </c>
      <c r="E9" s="141">
        <v>68920</v>
      </c>
      <c r="F9" s="141">
        <v>65777</v>
      </c>
      <c r="G9" s="141">
        <v>73599</v>
      </c>
      <c r="H9" s="141">
        <v>75086</v>
      </c>
      <c r="I9" s="141">
        <v>89483</v>
      </c>
      <c r="J9" s="141">
        <v>133012</v>
      </c>
      <c r="K9" s="141">
        <v>212665</v>
      </c>
      <c r="L9" s="141">
        <v>281169</v>
      </c>
      <c r="M9" s="141">
        <v>333272</v>
      </c>
      <c r="N9" s="141">
        <v>338605</v>
      </c>
      <c r="O9" s="141">
        <v>317574</v>
      </c>
      <c r="P9" s="141">
        <v>286311</v>
      </c>
      <c r="Q9" s="141">
        <v>271459</v>
      </c>
      <c r="R9" s="141">
        <v>275492</v>
      </c>
      <c r="S9" s="141">
        <v>287912</v>
      </c>
      <c r="T9" s="141">
        <v>303659</v>
      </c>
      <c r="U9" s="141">
        <v>297020</v>
      </c>
      <c r="V9" s="141">
        <v>284953</v>
      </c>
      <c r="W9" s="141">
        <v>246804</v>
      </c>
      <c r="X9" s="141">
        <v>208522</v>
      </c>
      <c r="Y9" s="142">
        <v>166924</v>
      </c>
    </row>
    <row r="10" spans="1:27" ht="15" customHeight="1" thickBot="1" x14ac:dyDescent="0.5">
      <c r="A10" s="54" t="s">
        <v>315</v>
      </c>
      <c r="B10" s="278">
        <v>110700</v>
      </c>
      <c r="C10" s="144">
        <v>92360</v>
      </c>
      <c r="D10" s="144">
        <v>74187</v>
      </c>
      <c r="E10" s="144">
        <v>68971</v>
      </c>
      <c r="F10" s="144">
        <v>64834</v>
      </c>
      <c r="G10" s="144">
        <v>59669</v>
      </c>
      <c r="H10" s="144">
        <v>44993</v>
      </c>
      <c r="I10" s="144">
        <v>40811</v>
      </c>
      <c r="J10" s="144">
        <v>57757</v>
      </c>
      <c r="K10" s="144">
        <v>88298</v>
      </c>
      <c r="L10" s="144">
        <v>118935</v>
      </c>
      <c r="M10" s="144">
        <v>141075</v>
      </c>
      <c r="N10" s="144">
        <v>147062</v>
      </c>
      <c r="O10" s="144">
        <v>145398</v>
      </c>
      <c r="P10" s="144">
        <v>143038</v>
      </c>
      <c r="Q10" s="144">
        <v>153121</v>
      </c>
      <c r="R10" s="144">
        <v>162940</v>
      </c>
      <c r="S10" s="144">
        <v>175779</v>
      </c>
      <c r="T10" s="144">
        <v>180671</v>
      </c>
      <c r="U10" s="144">
        <v>166454</v>
      </c>
      <c r="V10" s="144">
        <v>170076</v>
      </c>
      <c r="W10" s="144">
        <v>163541</v>
      </c>
      <c r="X10" s="144">
        <v>151783</v>
      </c>
      <c r="Y10" s="145">
        <v>136820</v>
      </c>
    </row>
    <row r="11" spans="1:27" ht="15" customHeight="1" thickBot="1" x14ac:dyDescent="0.5">
      <c r="A11" s="54" t="s">
        <v>5</v>
      </c>
      <c r="B11" s="278">
        <v>383215</v>
      </c>
      <c r="C11" s="143">
        <v>312011</v>
      </c>
      <c r="D11" s="143">
        <v>252071</v>
      </c>
      <c r="E11" s="143">
        <v>225976</v>
      </c>
      <c r="F11" s="143">
        <v>211840</v>
      </c>
      <c r="G11" s="143">
        <v>209687</v>
      </c>
      <c r="H11" s="143">
        <v>206865</v>
      </c>
      <c r="I11" s="143">
        <v>286416</v>
      </c>
      <c r="J11" s="143">
        <v>543405</v>
      </c>
      <c r="K11" s="143">
        <v>865579</v>
      </c>
      <c r="L11" s="143">
        <v>1000344</v>
      </c>
      <c r="M11" s="143">
        <v>1056321</v>
      </c>
      <c r="N11" s="143">
        <v>1029570</v>
      </c>
      <c r="O11" s="143">
        <v>994043</v>
      </c>
      <c r="P11" s="143">
        <v>952730</v>
      </c>
      <c r="Q11" s="143">
        <v>929096</v>
      </c>
      <c r="R11" s="143">
        <v>945942</v>
      </c>
      <c r="S11" s="143">
        <v>955180</v>
      </c>
      <c r="T11" s="143">
        <v>978270</v>
      </c>
      <c r="U11" s="143">
        <v>922180</v>
      </c>
      <c r="V11" s="143">
        <v>857521</v>
      </c>
      <c r="W11" s="143">
        <v>742468</v>
      </c>
      <c r="X11" s="143">
        <v>615982</v>
      </c>
      <c r="Y11" s="279">
        <v>496178</v>
      </c>
    </row>
    <row r="12" spans="1:27" ht="13.5" customHeight="1" thickBot="1" x14ac:dyDescent="0.5"/>
    <row r="13" spans="1:27" ht="16.5" customHeight="1" thickBot="1" x14ac:dyDescent="0.5">
      <c r="A13" s="211"/>
      <c r="B13" s="253">
        <v>0</v>
      </c>
      <c r="C13" s="87">
        <v>4.1666666666666664E-2</v>
      </c>
      <c r="D13" s="247">
        <v>8.3333333333333329E-2</v>
      </c>
      <c r="E13" s="254">
        <v>0.125</v>
      </c>
      <c r="F13" s="87">
        <v>0.16666666666666666</v>
      </c>
      <c r="G13" s="247">
        <v>0.20833333333333334</v>
      </c>
      <c r="H13" s="247">
        <v>0.25</v>
      </c>
      <c r="I13" s="247">
        <v>0.29166666666666669</v>
      </c>
      <c r="J13" s="254">
        <v>0.33333333333333331</v>
      </c>
      <c r="K13" s="87">
        <v>0.375</v>
      </c>
      <c r="L13" s="247">
        <v>0.41666666666666669</v>
      </c>
      <c r="M13" s="247">
        <v>0.45833333333333331</v>
      </c>
      <c r="N13" s="247">
        <v>0.5</v>
      </c>
      <c r="O13" s="254">
        <v>0.54166666666666663</v>
      </c>
      <c r="P13" s="87">
        <v>0.58333333333333337</v>
      </c>
      <c r="Q13" s="247">
        <v>0.625</v>
      </c>
      <c r="R13" s="247">
        <v>0.66666666666666663</v>
      </c>
      <c r="S13" s="254">
        <v>0.70833333333333337</v>
      </c>
      <c r="T13" s="87">
        <v>0.75</v>
      </c>
      <c r="U13" s="247">
        <v>0.79166666666666663</v>
      </c>
      <c r="V13" s="247">
        <v>0.83333333333333337</v>
      </c>
      <c r="W13" s="254">
        <v>0.875</v>
      </c>
      <c r="X13" s="87">
        <v>0.91666666666666663</v>
      </c>
      <c r="Y13" s="255">
        <v>0.95833333333333337</v>
      </c>
      <c r="Z13" s="43"/>
      <c r="AA13" s="43"/>
    </row>
    <row r="14" spans="1:27" ht="15" customHeight="1" x14ac:dyDescent="0.45">
      <c r="A14" s="250" t="s">
        <v>316</v>
      </c>
      <c r="B14" s="263">
        <v>6.9929412992706441E-2</v>
      </c>
      <c r="C14" s="249">
        <v>7.0324443689485303E-2</v>
      </c>
      <c r="D14" s="249">
        <v>7.2285189490262663E-2</v>
      </c>
      <c r="E14" s="249">
        <v>7.3945905759903702E-2</v>
      </c>
      <c r="F14" s="249">
        <v>7.3045694864048341E-2</v>
      </c>
      <c r="G14" s="249">
        <v>7.0762612846766854E-2</v>
      </c>
      <c r="H14" s="249">
        <v>8.4059652430328952E-2</v>
      </c>
      <c r="I14" s="249">
        <v>0.10655480140774258</v>
      </c>
      <c r="J14" s="249">
        <v>0.17007204571176193</v>
      </c>
      <c r="K14" s="249">
        <v>0.15796593956184243</v>
      </c>
      <c r="L14" s="249">
        <v>0.13779559831417992</v>
      </c>
      <c r="M14" s="249">
        <v>0.12494308074912834</v>
      </c>
      <c r="N14" s="249">
        <v>0.10826850044193206</v>
      </c>
      <c r="O14" s="249">
        <v>0.10429126305401275</v>
      </c>
      <c r="P14" s="249">
        <v>0.11076590429607548</v>
      </c>
      <c r="Q14" s="249">
        <v>0.11460602564212956</v>
      </c>
      <c r="R14" s="249">
        <v>0.11459793517995819</v>
      </c>
      <c r="S14" s="249">
        <v>0.10483992545907578</v>
      </c>
      <c r="T14" s="249">
        <v>0.10270988581884347</v>
      </c>
      <c r="U14" s="249">
        <v>9.9246351037758349E-2</v>
      </c>
      <c r="V14" s="249">
        <v>9.1368024806389586E-2</v>
      </c>
      <c r="W14" s="249">
        <v>8.3295172317190774E-2</v>
      </c>
      <c r="X14" s="249">
        <v>7.9575377202580594E-2</v>
      </c>
      <c r="Y14" s="257">
        <v>7.3247907001116538E-2</v>
      </c>
    </row>
    <row r="15" spans="1:27" ht="15" customHeight="1" x14ac:dyDescent="0.45">
      <c r="A15" s="251" t="s">
        <v>317</v>
      </c>
      <c r="B15" s="258">
        <v>0.12545959839776627</v>
      </c>
      <c r="C15" s="248">
        <v>0.12219440981247456</v>
      </c>
      <c r="D15" s="248">
        <v>0.12671429874916193</v>
      </c>
      <c r="E15" s="248">
        <v>0.12811537508407972</v>
      </c>
      <c r="F15" s="248">
        <v>0.13018787764350453</v>
      </c>
      <c r="G15" s="248">
        <v>0.12598301277618545</v>
      </c>
      <c r="H15" s="248">
        <v>0.1374906339883499</v>
      </c>
      <c r="I15" s="248">
        <v>0.21342732249594995</v>
      </c>
      <c r="J15" s="248">
        <v>0.26066745797333479</v>
      </c>
      <c r="K15" s="248">
        <v>0.26386846261288688</v>
      </c>
      <c r="L15" s="248">
        <v>0.23366961765152788</v>
      </c>
      <c r="M15" s="248">
        <v>0.20417751800825695</v>
      </c>
      <c r="N15" s="248">
        <v>0.18785123886671135</v>
      </c>
      <c r="O15" s="248">
        <v>0.19758199594987338</v>
      </c>
      <c r="P15" s="248">
        <v>0.20603423845160748</v>
      </c>
      <c r="Q15" s="248">
        <v>0.20909572315455022</v>
      </c>
      <c r="R15" s="248">
        <v>0.20538891390804087</v>
      </c>
      <c r="S15" s="248">
        <v>0.19431939529722148</v>
      </c>
      <c r="T15" s="248">
        <v>0.18967565191613767</v>
      </c>
      <c r="U15" s="248">
        <v>0.1796341278275391</v>
      </c>
      <c r="V15" s="248">
        <v>0.16347354758658972</v>
      </c>
      <c r="W15" s="248">
        <v>0.15124557556689311</v>
      </c>
      <c r="X15" s="248">
        <v>0.14327204366361354</v>
      </c>
      <c r="Y15" s="259">
        <v>0.1257109343824192</v>
      </c>
    </row>
    <row r="16" spans="1:27" ht="15" customHeight="1" x14ac:dyDescent="0.45">
      <c r="A16" s="251" t="s">
        <v>318</v>
      </c>
      <c r="B16" s="258">
        <v>0.18072883368344142</v>
      </c>
      <c r="C16" s="248">
        <v>0.18057055680729206</v>
      </c>
      <c r="D16" s="248">
        <v>0.18357922966148427</v>
      </c>
      <c r="E16" s="248">
        <v>0.18773675080539526</v>
      </c>
      <c r="F16" s="248">
        <v>0.18021148036253776</v>
      </c>
      <c r="G16" s="248">
        <v>0.16769756828034166</v>
      </c>
      <c r="H16" s="248">
        <v>0.1979793585188408</v>
      </c>
      <c r="I16" s="248">
        <v>0.2251061393218256</v>
      </c>
      <c r="J16" s="248">
        <v>0.21819821311912846</v>
      </c>
      <c r="K16" s="248">
        <v>0.23046423261192797</v>
      </c>
      <c r="L16" s="248">
        <v>0.22856837247986692</v>
      </c>
      <c r="M16" s="248">
        <v>0.22182366913087972</v>
      </c>
      <c r="N16" s="248">
        <v>0.2321619705313869</v>
      </c>
      <c r="O16" s="248">
        <v>0.23238028938385966</v>
      </c>
      <c r="P16" s="248">
        <v>0.23254857094874729</v>
      </c>
      <c r="Q16" s="248">
        <v>0.21931641079070407</v>
      </c>
      <c r="R16" s="248">
        <v>0.21652596036543467</v>
      </c>
      <c r="S16" s="248">
        <v>0.21539186331372098</v>
      </c>
      <c r="T16" s="248">
        <v>0.21252619419996524</v>
      </c>
      <c r="U16" s="248">
        <v>0.2185343425361643</v>
      </c>
      <c r="V16" s="248">
        <v>0.21452535856264746</v>
      </c>
      <c r="W16" s="248">
        <v>0.21278223438585905</v>
      </c>
      <c r="X16" s="248">
        <v>0.19222477280180264</v>
      </c>
      <c r="Y16" s="259">
        <v>0.18887375095227923</v>
      </c>
    </row>
    <row r="17" spans="1:26" ht="15" customHeight="1" x14ac:dyDescent="0.45">
      <c r="A17" s="251" t="s">
        <v>319</v>
      </c>
      <c r="B17" s="258">
        <v>0.33501037276724555</v>
      </c>
      <c r="C17" s="248">
        <v>0.33089538509860228</v>
      </c>
      <c r="D17" s="248">
        <v>0.32311134561294236</v>
      </c>
      <c r="E17" s="248">
        <v>0.30498814033348676</v>
      </c>
      <c r="F17" s="248">
        <v>0.31050320996978853</v>
      </c>
      <c r="G17" s="248">
        <v>0.35099457763237585</v>
      </c>
      <c r="H17" s="248">
        <v>0.3629710197471781</v>
      </c>
      <c r="I17" s="248">
        <v>0.31242318864867885</v>
      </c>
      <c r="J17" s="248">
        <v>0.24477507568020168</v>
      </c>
      <c r="K17" s="248">
        <v>0.24569103455606017</v>
      </c>
      <c r="L17" s="248">
        <v>0.281072311124973</v>
      </c>
      <c r="M17" s="248">
        <v>0.3155025792349106</v>
      </c>
      <c r="N17" s="248">
        <v>0.32888001787153859</v>
      </c>
      <c r="O17" s="248">
        <v>0.31947712523502503</v>
      </c>
      <c r="P17" s="248">
        <v>0.30051641073546548</v>
      </c>
      <c r="Q17" s="248">
        <v>0.29217540490971872</v>
      </c>
      <c r="R17" s="248">
        <v>0.29123561486856486</v>
      </c>
      <c r="S17" s="248">
        <v>0.3014217215603342</v>
      </c>
      <c r="T17" s="248">
        <v>0.31040408067302483</v>
      </c>
      <c r="U17" s="248">
        <v>0.32208462556117029</v>
      </c>
      <c r="V17" s="248">
        <v>0.33229856761525373</v>
      </c>
      <c r="W17" s="248">
        <v>0.33241028569581449</v>
      </c>
      <c r="X17" s="248">
        <v>0.33851963206717078</v>
      </c>
      <c r="Y17" s="259">
        <v>0.33641959135632776</v>
      </c>
    </row>
    <row r="18" spans="1:26" ht="15" customHeight="1" thickBot="1" x14ac:dyDescent="0.5">
      <c r="A18" s="252" t="s">
        <v>315</v>
      </c>
      <c r="B18" s="260">
        <v>0.28887178215884035</v>
      </c>
      <c r="C18" s="261">
        <v>0.29601520459214581</v>
      </c>
      <c r="D18" s="261">
        <v>0.29430993648614873</v>
      </c>
      <c r="E18" s="261">
        <v>0.30521382801713454</v>
      </c>
      <c r="F18" s="261">
        <v>0.30605173716012085</v>
      </c>
      <c r="G18" s="261">
        <v>0.28456222846433016</v>
      </c>
      <c r="H18" s="261">
        <v>0.21749933531530224</v>
      </c>
      <c r="I18" s="261">
        <v>0.14248854812580303</v>
      </c>
      <c r="J18" s="261">
        <v>0.10628720751557309</v>
      </c>
      <c r="K18" s="261">
        <v>0.10201033065728259</v>
      </c>
      <c r="L18" s="261">
        <v>0.11889410042945227</v>
      </c>
      <c r="M18" s="261">
        <v>0.13355315287682437</v>
      </c>
      <c r="N18" s="261">
        <v>0.1428382722884311</v>
      </c>
      <c r="O18" s="261">
        <v>0.14626932637722914</v>
      </c>
      <c r="P18" s="261">
        <v>0.15013487556810429</v>
      </c>
      <c r="Q18" s="261">
        <v>0.16480643550289745</v>
      </c>
      <c r="R18" s="261">
        <v>0.1722515756780014</v>
      </c>
      <c r="S18" s="261">
        <v>0.18402709436964759</v>
      </c>
      <c r="T18" s="261">
        <v>0.1846841873920288</v>
      </c>
      <c r="U18" s="261">
        <v>0.18050055303736798</v>
      </c>
      <c r="V18" s="261">
        <v>0.19833450142911951</v>
      </c>
      <c r="W18" s="261">
        <v>0.22026673203424255</v>
      </c>
      <c r="X18" s="261">
        <v>0.24640817426483241</v>
      </c>
      <c r="Y18" s="262">
        <v>0.27574781630785727</v>
      </c>
    </row>
    <row r="19" spans="1:26" x14ac:dyDescent="0.45">
      <c r="A19" s="130"/>
      <c r="B19" s="12"/>
      <c r="C19" s="12"/>
      <c r="D19" s="12"/>
      <c r="E19" s="12"/>
      <c r="F19" s="12"/>
      <c r="G19" s="12"/>
      <c r="H19" s="29"/>
      <c r="I19" s="29"/>
      <c r="J19" s="29"/>
      <c r="K19" s="29"/>
      <c r="L19" s="29"/>
      <c r="M19" s="29"/>
      <c r="N19" s="29"/>
      <c r="O19" s="29"/>
      <c r="P19" s="29"/>
      <c r="Q19" s="29"/>
      <c r="R19" s="29"/>
      <c r="S19" s="29"/>
      <c r="T19" s="29"/>
      <c r="U19" s="29"/>
      <c r="V19" s="29"/>
      <c r="W19" s="29"/>
      <c r="X19" s="29"/>
      <c r="Y19" s="29"/>
    </row>
    <row r="20" spans="1:26" ht="13.2" customHeight="1" x14ac:dyDescent="0.45">
      <c r="A20" s="363" t="s">
        <v>527</v>
      </c>
      <c r="B20" s="363"/>
      <c r="C20" s="363"/>
      <c r="D20" s="363"/>
      <c r="E20" s="363"/>
      <c r="F20" s="363"/>
      <c r="G20" s="363"/>
      <c r="H20" s="363"/>
      <c r="I20" s="363"/>
      <c r="J20" s="363"/>
      <c r="K20" s="363"/>
      <c r="L20" s="29"/>
    </row>
    <row r="21" spans="1:26" ht="15" customHeight="1" x14ac:dyDescent="0.45">
      <c r="A21" s="363" t="s">
        <v>528</v>
      </c>
      <c r="B21" s="363"/>
      <c r="C21" s="363"/>
      <c r="D21" s="363"/>
      <c r="E21" s="363"/>
      <c r="F21" s="363"/>
      <c r="G21" s="363"/>
      <c r="H21" s="363"/>
      <c r="I21" s="363"/>
      <c r="J21" s="363"/>
      <c r="K21" s="363"/>
      <c r="L21" s="29"/>
    </row>
    <row r="22" spans="1:26" ht="15" customHeight="1" x14ac:dyDescent="0.45">
      <c r="A22" s="337"/>
      <c r="B22" s="337"/>
      <c r="C22" s="337"/>
      <c r="D22" s="337"/>
      <c r="E22" s="337"/>
      <c r="F22" s="337"/>
      <c r="G22" s="337"/>
      <c r="H22" s="337"/>
      <c r="I22" s="337"/>
      <c r="J22" s="337"/>
      <c r="K22" s="337"/>
      <c r="L22" s="29"/>
    </row>
    <row r="23" spans="1:26" ht="14.1" thickBot="1" x14ac:dyDescent="0.5">
      <c r="A23" s="365" t="s">
        <v>1</v>
      </c>
      <c r="B23" s="365"/>
      <c r="C23" s="365"/>
      <c r="D23" s="365"/>
      <c r="E23" s="365"/>
      <c r="F23" s="365"/>
      <c r="G23" s="365"/>
      <c r="H23" s="365"/>
      <c r="I23" s="365"/>
      <c r="J23" s="365"/>
    </row>
    <row r="24" spans="1:26" x14ac:dyDescent="0.45">
      <c r="A24" s="353" t="s">
        <v>376</v>
      </c>
      <c r="B24" s="353"/>
      <c r="C24" s="353"/>
      <c r="D24" s="353"/>
      <c r="E24" s="353"/>
      <c r="F24" s="353"/>
      <c r="G24" s="353"/>
      <c r="H24" s="353"/>
      <c r="I24" s="353"/>
      <c r="J24" s="353"/>
      <c r="K24" s="205"/>
      <c r="L24" s="205"/>
      <c r="M24" s="205"/>
      <c r="N24" s="205"/>
      <c r="O24" s="205"/>
      <c r="P24" s="205"/>
      <c r="Q24" s="205"/>
      <c r="R24" s="205"/>
      <c r="S24" s="205"/>
      <c r="T24" s="205"/>
      <c r="U24" s="205"/>
      <c r="V24" s="205"/>
      <c r="W24" s="205"/>
      <c r="X24" s="205"/>
      <c r="Y24" s="205"/>
      <c r="Z24" s="205"/>
    </row>
    <row r="25" spans="1:26" x14ac:dyDescent="0.45">
      <c r="A25" s="353" t="s">
        <v>353</v>
      </c>
      <c r="B25" s="353"/>
      <c r="C25" s="353"/>
      <c r="D25" s="353"/>
      <c r="E25" s="353"/>
      <c r="F25" s="353"/>
      <c r="G25" s="353"/>
      <c r="K25" s="108"/>
      <c r="L25" s="108"/>
      <c r="M25" s="108"/>
      <c r="N25" s="108"/>
      <c r="O25" s="108"/>
      <c r="P25" s="108"/>
      <c r="Q25" s="108"/>
      <c r="R25" s="108"/>
      <c r="S25" s="108"/>
      <c r="T25" s="108"/>
      <c r="U25" s="108"/>
      <c r="V25" s="108"/>
      <c r="W25" s="108"/>
      <c r="X25" s="108"/>
      <c r="Y25" s="108"/>
      <c r="Z25" s="108"/>
    </row>
    <row r="26" spans="1:26" x14ac:dyDescent="0.45">
      <c r="A26" s="349" t="s">
        <v>269</v>
      </c>
      <c r="B26" s="349"/>
      <c r="C26" s="349"/>
      <c r="D26" s="349"/>
      <c r="E26" s="349"/>
      <c r="F26" s="349"/>
      <c r="G26" s="349"/>
      <c r="H26" s="349"/>
      <c r="I26" s="349"/>
      <c r="J26" s="349"/>
      <c r="K26" s="108"/>
      <c r="L26" s="108"/>
      <c r="M26" s="108"/>
      <c r="N26" s="108"/>
      <c r="O26" s="108"/>
      <c r="P26" s="108"/>
      <c r="Q26" s="108"/>
      <c r="R26" s="108"/>
      <c r="S26" s="108"/>
      <c r="T26" s="108"/>
      <c r="U26" s="108"/>
      <c r="V26" s="108"/>
      <c r="W26" s="108"/>
      <c r="X26" s="108"/>
      <c r="Y26" s="108"/>
      <c r="Z26" s="108"/>
    </row>
    <row r="27" spans="1:26" ht="14.1" thickBot="1" x14ac:dyDescent="0.5">
      <c r="A27" s="350" t="s">
        <v>374</v>
      </c>
      <c r="B27" s="350"/>
      <c r="C27" s="350"/>
      <c r="D27" s="350"/>
      <c r="E27" s="350"/>
      <c r="F27" s="350"/>
      <c r="G27" s="350"/>
      <c r="H27" s="350"/>
      <c r="I27" s="350"/>
      <c r="J27" s="350"/>
      <c r="K27" s="206"/>
      <c r="L27" s="206"/>
      <c r="M27" s="206"/>
      <c r="N27" s="206"/>
      <c r="O27" s="206"/>
      <c r="P27" s="206"/>
      <c r="Q27" s="206"/>
      <c r="R27" s="206"/>
      <c r="S27" s="206"/>
      <c r="T27" s="206"/>
      <c r="U27" s="206"/>
      <c r="V27" s="206"/>
      <c r="W27" s="206"/>
      <c r="X27" s="206"/>
      <c r="Y27" s="206"/>
      <c r="Z27" s="206"/>
    </row>
    <row r="28" spans="1:26" x14ac:dyDescent="0.45">
      <c r="A28" s="29"/>
      <c r="B28" s="30"/>
      <c r="C28" s="30"/>
      <c r="D28" s="30"/>
      <c r="E28" s="30"/>
      <c r="F28" s="30"/>
      <c r="G28" s="30"/>
    </row>
    <row r="29" spans="1:26" x14ac:dyDescent="0.45">
      <c r="A29" s="351" t="s">
        <v>274</v>
      </c>
      <c r="B29" s="351"/>
      <c r="C29" s="30"/>
      <c r="D29" s="30"/>
      <c r="E29" s="30"/>
      <c r="F29" s="30"/>
      <c r="G29" s="31"/>
    </row>
    <row r="30" spans="1:26" s="44" customFormat="1" x14ac:dyDescent="0.45">
      <c r="A30" s="11"/>
      <c r="B30" s="30"/>
      <c r="C30" s="30"/>
      <c r="D30" s="30"/>
      <c r="E30" s="30"/>
      <c r="F30" s="30"/>
      <c r="G30" s="28"/>
      <c r="H30" s="28"/>
      <c r="I30" s="28"/>
      <c r="J30" s="28"/>
      <c r="K30" s="28"/>
      <c r="L30" s="28"/>
      <c r="M30" s="28"/>
      <c r="N30" s="28"/>
      <c r="O30" s="28"/>
      <c r="P30" s="28"/>
      <c r="Q30" s="28"/>
      <c r="R30" s="28"/>
    </row>
    <row r="31" spans="1:26" s="44" customFormat="1" x14ac:dyDescent="0.45"/>
    <row r="32" spans="1:26" s="44" customFormat="1" x14ac:dyDescent="0.45">
      <c r="B32" s="45"/>
      <c r="C32" s="45"/>
      <c r="D32" s="45"/>
      <c r="E32" s="45"/>
      <c r="F32" s="45"/>
      <c r="G32" s="45"/>
      <c r="H32" s="45"/>
      <c r="I32" s="45"/>
      <c r="J32" s="45"/>
      <c r="K32" s="45"/>
      <c r="L32" s="45"/>
      <c r="M32" s="45"/>
      <c r="N32" s="45"/>
      <c r="O32" s="45"/>
      <c r="P32" s="45"/>
      <c r="Q32" s="45"/>
      <c r="R32" s="45"/>
      <c r="S32" s="45"/>
      <c r="T32" s="45"/>
      <c r="U32" s="45"/>
      <c r="V32" s="45"/>
      <c r="W32" s="45"/>
      <c r="X32" s="45"/>
      <c r="Y32" s="45"/>
    </row>
    <row r="33" spans="1:18" s="44" customFormat="1" x14ac:dyDescent="0.45"/>
    <row r="34" spans="1:18" s="44" customFormat="1" x14ac:dyDescent="0.45"/>
    <row r="35" spans="1:18" x14ac:dyDescent="0.45">
      <c r="A35" s="44"/>
      <c r="B35" s="44"/>
      <c r="C35" s="44"/>
      <c r="D35" s="44"/>
      <c r="E35" s="44"/>
      <c r="F35" s="44"/>
      <c r="G35" s="44"/>
      <c r="H35" s="44"/>
      <c r="I35" s="44"/>
      <c r="J35" s="44"/>
      <c r="K35" s="44"/>
      <c r="L35" s="44"/>
      <c r="M35" s="44"/>
      <c r="N35" s="44"/>
      <c r="O35" s="44"/>
      <c r="P35" s="44"/>
      <c r="Q35" s="44"/>
      <c r="R35" s="44"/>
    </row>
  </sheetData>
  <mergeCells count="10">
    <mergeCell ref="A24:J24"/>
    <mergeCell ref="A26:J26"/>
    <mergeCell ref="A27:J27"/>
    <mergeCell ref="A29:B29"/>
    <mergeCell ref="A2:K2"/>
    <mergeCell ref="A3:K3"/>
    <mergeCell ref="A23:J23"/>
    <mergeCell ref="A25:G25"/>
    <mergeCell ref="A20:K20"/>
    <mergeCell ref="A21:K21"/>
  </mergeCells>
  <hyperlinks>
    <hyperlink ref="A26:F26" r:id="rId1" display="Contact via enquiries@NHSDigital.nhs.uk or 0300 303 5678" xr:uid="{00000000-0004-0000-0900-000000000000}"/>
    <hyperlink ref="A29" location="Contents!A1" display="Return to Contents" xr:uid="{00000000-0004-0000-0900-000001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P27"/>
  <sheetViews>
    <sheetView workbookViewId="0"/>
  </sheetViews>
  <sheetFormatPr defaultColWidth="9.109375" defaultRowHeight="13.8" x14ac:dyDescent="0.45"/>
  <cols>
    <col min="1" max="1" width="17.88671875" style="28" customWidth="1"/>
    <col min="2" max="16384" width="9.109375" style="28"/>
  </cols>
  <sheetData>
    <row r="1" spans="1:16" ht="15" customHeight="1" x14ac:dyDescent="0.45"/>
    <row r="2" spans="1:16" ht="48.75" customHeight="1" x14ac:dyDescent="0.45">
      <c r="A2" s="355" t="s">
        <v>518</v>
      </c>
      <c r="B2" s="355"/>
      <c r="C2" s="355"/>
      <c r="D2" s="355"/>
      <c r="E2" s="355"/>
      <c r="F2" s="355"/>
      <c r="G2" s="355"/>
      <c r="H2" s="355"/>
      <c r="I2" s="355"/>
      <c r="J2" s="355"/>
      <c r="K2" s="355"/>
      <c r="L2" s="355"/>
      <c r="M2" s="107"/>
    </row>
    <row r="3" spans="1:16" ht="30" customHeight="1" x14ac:dyDescent="0.45">
      <c r="A3" s="361" t="s">
        <v>359</v>
      </c>
      <c r="B3" s="361"/>
      <c r="C3" s="361"/>
      <c r="D3" s="361"/>
      <c r="E3" s="361"/>
      <c r="F3" s="361"/>
      <c r="G3" s="361"/>
      <c r="H3" s="361"/>
      <c r="I3" s="361"/>
      <c r="J3" s="361"/>
      <c r="K3" s="361"/>
      <c r="L3" s="15"/>
    </row>
    <row r="4" spans="1:16" ht="13.5" customHeight="1" thickBot="1" x14ac:dyDescent="0.5"/>
    <row r="5" spans="1:16" ht="16.5" customHeight="1" thickBot="1" x14ac:dyDescent="0.5">
      <c r="A5" s="208"/>
      <c r="B5" s="9" t="s">
        <v>278</v>
      </c>
      <c r="C5" s="9" t="s">
        <v>279</v>
      </c>
      <c r="D5" s="9" t="s">
        <v>280</v>
      </c>
      <c r="E5" s="9" t="s">
        <v>0</v>
      </c>
      <c r="F5" s="9" t="s">
        <v>268</v>
      </c>
      <c r="G5" s="9" t="s">
        <v>291</v>
      </c>
      <c r="H5" s="10" t="s">
        <v>373</v>
      </c>
    </row>
    <row r="6" spans="1:16" ht="15" customHeight="1" thickBot="1" x14ac:dyDescent="0.5">
      <c r="A6" s="65" t="s">
        <v>350</v>
      </c>
      <c r="B6" s="67">
        <v>57718</v>
      </c>
      <c r="C6" s="67">
        <v>65788</v>
      </c>
      <c r="D6" s="67">
        <v>102578</v>
      </c>
      <c r="E6" s="67">
        <v>172079</v>
      </c>
      <c r="F6" s="67">
        <v>197111</v>
      </c>
      <c r="G6" s="67">
        <v>262367</v>
      </c>
      <c r="H6" s="68">
        <v>332995</v>
      </c>
    </row>
    <row r="7" spans="1:16" x14ac:dyDescent="0.45">
      <c r="A7" s="20"/>
      <c r="B7" s="102"/>
      <c r="C7" s="103"/>
      <c r="D7" s="103"/>
      <c r="E7" s="103"/>
      <c r="F7" s="103"/>
      <c r="G7" s="103"/>
      <c r="H7" s="103"/>
      <c r="I7" s="103"/>
      <c r="J7" s="103"/>
      <c r="K7" s="103"/>
      <c r="L7" s="46"/>
      <c r="M7" s="44"/>
      <c r="N7" s="44"/>
      <c r="O7" s="44"/>
      <c r="P7" s="44"/>
    </row>
    <row r="8" spans="1:16" ht="13.2" customHeight="1" x14ac:dyDescent="0.45">
      <c r="A8" s="363" t="s">
        <v>527</v>
      </c>
      <c r="B8" s="363"/>
      <c r="C8" s="363"/>
      <c r="D8" s="363"/>
      <c r="E8" s="363"/>
      <c r="F8" s="363"/>
      <c r="G8" s="363"/>
      <c r="H8" s="363"/>
      <c r="I8" s="363"/>
      <c r="J8" s="363"/>
      <c r="K8" s="363"/>
      <c r="L8" s="29"/>
    </row>
    <row r="9" spans="1:16" ht="15" customHeight="1" x14ac:dyDescent="0.45">
      <c r="A9" s="363" t="s">
        <v>528</v>
      </c>
      <c r="B9" s="363"/>
      <c r="C9" s="363"/>
      <c r="D9" s="363"/>
      <c r="E9" s="363"/>
      <c r="F9" s="363"/>
      <c r="G9" s="363"/>
      <c r="H9" s="363"/>
      <c r="I9" s="363"/>
      <c r="J9" s="363"/>
      <c r="K9" s="363"/>
      <c r="L9" s="29"/>
    </row>
    <row r="10" spans="1:16" x14ac:dyDescent="0.45">
      <c r="A10" s="20"/>
      <c r="B10" s="102"/>
      <c r="C10" s="102"/>
      <c r="D10" s="102"/>
      <c r="E10" s="102"/>
      <c r="F10" s="102"/>
      <c r="G10" s="102"/>
      <c r="H10" s="102"/>
      <c r="I10" s="102"/>
      <c r="J10" s="102"/>
      <c r="K10" s="102"/>
      <c r="L10" s="46"/>
      <c r="M10" s="44"/>
      <c r="N10" s="44"/>
      <c r="O10" s="44"/>
      <c r="P10" s="44"/>
    </row>
    <row r="11" spans="1:16" ht="48.75" customHeight="1" x14ac:dyDescent="0.45">
      <c r="A11" s="355" t="s">
        <v>513</v>
      </c>
      <c r="B11" s="355"/>
      <c r="C11" s="355"/>
      <c r="D11" s="355"/>
      <c r="E11" s="355"/>
      <c r="F11" s="355"/>
      <c r="G11" s="355"/>
      <c r="H11" s="355"/>
      <c r="I11" s="355"/>
      <c r="J11" s="355"/>
      <c r="K11" s="355"/>
      <c r="L11" s="355"/>
      <c r="M11" s="107"/>
    </row>
    <row r="12" spans="1:16" ht="30" customHeight="1" x14ac:dyDescent="0.45">
      <c r="A12" s="361" t="s">
        <v>359</v>
      </c>
      <c r="B12" s="361"/>
      <c r="C12" s="361"/>
      <c r="D12" s="361"/>
      <c r="E12" s="361"/>
      <c r="F12" s="361"/>
      <c r="G12" s="361"/>
      <c r="H12" s="361"/>
      <c r="I12" s="361"/>
      <c r="J12" s="361"/>
      <c r="K12" s="361"/>
      <c r="L12" s="15"/>
    </row>
    <row r="13" spans="1:16" ht="13.5" customHeight="1" thickBot="1" x14ac:dyDescent="0.5">
      <c r="A13" s="11"/>
      <c r="B13" s="16"/>
      <c r="C13" s="17"/>
      <c r="D13" s="17"/>
      <c r="E13" s="17"/>
      <c r="F13" s="17"/>
      <c r="G13" s="17"/>
      <c r="H13" s="17"/>
      <c r="I13" s="17"/>
      <c r="J13" s="17"/>
      <c r="K13" s="17"/>
      <c r="L13" s="29"/>
    </row>
    <row r="14" spans="1:16" ht="16.5" customHeight="1" thickBot="1" x14ac:dyDescent="0.5">
      <c r="A14" s="208"/>
      <c r="B14" s="9" t="s">
        <v>278</v>
      </c>
      <c r="C14" s="9" t="s">
        <v>279</v>
      </c>
      <c r="D14" s="9" t="s">
        <v>280</v>
      </c>
      <c r="E14" s="9" t="s">
        <v>0</v>
      </c>
      <c r="F14" s="9" t="s">
        <v>268</v>
      </c>
      <c r="G14" s="9" t="s">
        <v>291</v>
      </c>
      <c r="H14" s="10" t="s">
        <v>373</v>
      </c>
    </row>
    <row r="15" spans="1:16" ht="15" customHeight="1" thickBot="1" x14ac:dyDescent="0.5">
      <c r="A15" s="66" t="s">
        <v>350</v>
      </c>
      <c r="B15" s="67">
        <v>123</v>
      </c>
      <c r="C15" s="67">
        <v>170</v>
      </c>
      <c r="D15" s="67">
        <v>240</v>
      </c>
      <c r="E15" s="67">
        <v>1243</v>
      </c>
      <c r="F15" s="67">
        <v>1014</v>
      </c>
      <c r="G15" s="67">
        <v>3502</v>
      </c>
      <c r="H15" s="68">
        <v>3471</v>
      </c>
    </row>
    <row r="16" spans="1:16" x14ac:dyDescent="0.45">
      <c r="A16" s="11"/>
      <c r="B16" s="12"/>
      <c r="C16" s="12"/>
      <c r="D16" s="12"/>
      <c r="E16" s="12"/>
      <c r="F16" s="12"/>
      <c r="G16" s="12"/>
      <c r="H16" s="29"/>
      <c r="I16" s="29"/>
      <c r="J16" s="29"/>
      <c r="K16" s="29"/>
      <c r="L16" s="29"/>
    </row>
    <row r="17" spans="1:12" ht="13.5" customHeight="1" x14ac:dyDescent="0.45">
      <c r="A17" s="375" t="s">
        <v>333</v>
      </c>
      <c r="B17" s="375"/>
      <c r="C17" s="375"/>
      <c r="D17" s="375"/>
      <c r="E17" s="375"/>
      <c r="F17" s="375"/>
      <c r="G17" s="375"/>
      <c r="H17" s="375"/>
      <c r="I17" s="375"/>
      <c r="J17" s="375"/>
      <c r="K17" s="375"/>
      <c r="L17" s="375"/>
    </row>
    <row r="18" spans="1:12" ht="28.5" customHeight="1" x14ac:dyDescent="0.45">
      <c r="A18" s="357" t="s">
        <v>383</v>
      </c>
      <c r="B18" s="357"/>
      <c r="C18" s="357"/>
      <c r="D18" s="357"/>
      <c r="E18" s="357"/>
      <c r="F18" s="357"/>
      <c r="G18" s="357"/>
      <c r="H18" s="357"/>
      <c r="I18" s="357"/>
      <c r="J18" s="357"/>
      <c r="K18" s="357"/>
      <c r="L18" s="357"/>
    </row>
    <row r="19" spans="1:12" ht="13.5" customHeight="1" x14ac:dyDescent="0.45">
      <c r="A19" s="112"/>
      <c r="B19" s="112"/>
      <c r="C19" s="112"/>
      <c r="D19" s="112"/>
      <c r="E19" s="112"/>
      <c r="F19" s="112"/>
      <c r="G19" s="112"/>
      <c r="H19" s="108"/>
      <c r="I19" s="112"/>
      <c r="J19" s="112"/>
      <c r="K19" s="29"/>
      <c r="L19" s="29"/>
    </row>
    <row r="20" spans="1:12" ht="15" customHeight="1" thickBot="1" x14ac:dyDescent="0.5">
      <c r="A20" s="365" t="s">
        <v>1</v>
      </c>
      <c r="B20" s="365"/>
      <c r="C20" s="365"/>
      <c r="D20" s="365"/>
      <c r="E20" s="365"/>
      <c r="F20" s="365"/>
      <c r="G20" s="365"/>
      <c r="H20" s="365"/>
      <c r="I20" s="365"/>
      <c r="J20" s="365"/>
      <c r="K20" s="365"/>
      <c r="L20" s="365"/>
    </row>
    <row r="21" spans="1:12" ht="14.25" customHeight="1" x14ac:dyDescent="0.45">
      <c r="A21" s="353" t="s">
        <v>376</v>
      </c>
      <c r="B21" s="353"/>
      <c r="C21" s="353"/>
      <c r="D21" s="353"/>
      <c r="E21" s="353"/>
      <c r="F21" s="353"/>
      <c r="G21" s="353"/>
      <c r="H21" s="353"/>
      <c r="I21" s="353"/>
      <c r="J21" s="353"/>
      <c r="K21" s="353"/>
      <c r="L21" s="353"/>
    </row>
    <row r="22" spans="1:12" ht="14.25" customHeight="1" x14ac:dyDescent="0.45">
      <c r="A22" s="353" t="s">
        <v>353</v>
      </c>
      <c r="B22" s="353"/>
      <c r="C22" s="353"/>
      <c r="D22" s="353"/>
      <c r="E22" s="353"/>
      <c r="F22" s="353"/>
      <c r="G22" s="353"/>
      <c r="H22" s="353"/>
      <c r="I22" s="353"/>
      <c r="J22" s="353"/>
      <c r="K22" s="353"/>
      <c r="L22" s="353"/>
    </row>
    <row r="23" spans="1:12" ht="14.25" customHeight="1" x14ac:dyDescent="0.45">
      <c r="A23" s="349" t="s">
        <v>269</v>
      </c>
      <c r="B23" s="349"/>
      <c r="C23" s="349"/>
      <c r="D23" s="349"/>
      <c r="E23" s="349"/>
      <c r="F23" s="349"/>
      <c r="G23" s="349"/>
      <c r="H23" s="349"/>
      <c r="I23" s="349"/>
      <c r="J23" s="349"/>
      <c r="K23" s="349"/>
      <c r="L23" s="349"/>
    </row>
    <row r="24" spans="1:12" ht="15" customHeight="1" thickBot="1" x14ac:dyDescent="0.5">
      <c r="A24" s="350" t="s">
        <v>374</v>
      </c>
      <c r="B24" s="350"/>
      <c r="C24" s="350"/>
      <c r="D24" s="350"/>
      <c r="E24" s="350"/>
      <c r="F24" s="350"/>
      <c r="G24" s="350"/>
      <c r="H24" s="350"/>
      <c r="I24" s="350"/>
      <c r="J24" s="350"/>
      <c r="K24" s="350"/>
      <c r="L24" s="350"/>
    </row>
    <row r="25" spans="1:12" x14ac:dyDescent="0.45">
      <c r="A25" s="29"/>
      <c r="B25" s="30"/>
      <c r="C25" s="30"/>
      <c r="D25" s="30"/>
      <c r="E25" s="30"/>
      <c r="F25" s="30"/>
      <c r="G25" s="30"/>
    </row>
    <row r="26" spans="1:12" x14ac:dyDescent="0.45">
      <c r="A26" s="351" t="s">
        <v>274</v>
      </c>
      <c r="B26" s="351"/>
      <c r="C26" s="30"/>
      <c r="D26" s="30"/>
      <c r="E26" s="30"/>
      <c r="F26" s="30"/>
      <c r="G26" s="31"/>
    </row>
    <row r="27" spans="1:12" x14ac:dyDescent="0.45">
      <c r="A27" s="11"/>
      <c r="B27" s="30"/>
      <c r="C27" s="30"/>
      <c r="D27" s="30"/>
      <c r="E27" s="30"/>
      <c r="F27" s="30"/>
    </row>
  </sheetData>
  <mergeCells count="14">
    <mergeCell ref="A11:L11"/>
    <mergeCell ref="A2:L2"/>
    <mergeCell ref="A17:L17"/>
    <mergeCell ref="A26:B26"/>
    <mergeCell ref="A3:K3"/>
    <mergeCell ref="A12:K12"/>
    <mergeCell ref="A18:L18"/>
    <mergeCell ref="A20:L20"/>
    <mergeCell ref="A21:L21"/>
    <mergeCell ref="A24:L24"/>
    <mergeCell ref="A23:L23"/>
    <mergeCell ref="A22:L22"/>
    <mergeCell ref="A8:K8"/>
    <mergeCell ref="A9:K9"/>
  </mergeCells>
  <hyperlinks>
    <hyperlink ref="A23:F23" r:id="rId1" display="Contact via enquiries@NHSDigital.nhs.uk or 0300 303 5678" xr:uid="{00000000-0004-0000-0A00-000000000000}"/>
    <hyperlink ref="A26" location="Contents!A1" display="Return to Contents" xr:uid="{00000000-0004-0000-0A00-000001000000}"/>
    <hyperlink ref="A18" r:id="rId2" xr:uid="{941305DC-E543-451A-A432-10A56CB16761}"/>
  </hyperlinks>
  <pageMargins left="0.7" right="0.7" top="0.75" bottom="0.75" header="0.3" footer="0.3"/>
  <pageSetup paperSize="9"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B28"/>
  <sheetViews>
    <sheetView workbookViewId="0"/>
  </sheetViews>
  <sheetFormatPr defaultColWidth="9.109375" defaultRowHeight="13.8" x14ac:dyDescent="0.45"/>
  <cols>
    <col min="1" max="1" width="12.88671875" style="28" customWidth="1"/>
    <col min="2" max="25" width="8.5546875" style="28" customWidth="1"/>
    <col min="26" max="26" width="11.44140625" style="28" customWidth="1"/>
    <col min="27" max="16384" width="9.109375" style="28"/>
  </cols>
  <sheetData>
    <row r="1" spans="1:28" ht="15" customHeight="1" x14ac:dyDescent="0.45"/>
    <row r="2" spans="1:28" ht="48.75" customHeight="1" x14ac:dyDescent="0.45">
      <c r="A2" s="355" t="s">
        <v>479</v>
      </c>
      <c r="B2" s="355"/>
      <c r="C2" s="355"/>
      <c r="D2" s="355"/>
      <c r="E2" s="355"/>
      <c r="F2" s="355"/>
      <c r="G2" s="355"/>
      <c r="H2" s="355"/>
      <c r="I2" s="355"/>
      <c r="J2" s="355"/>
      <c r="K2" s="355"/>
      <c r="L2" s="355"/>
    </row>
    <row r="3" spans="1:28" ht="30" customHeight="1" x14ac:dyDescent="0.45">
      <c r="A3" s="361" t="s">
        <v>359</v>
      </c>
      <c r="B3" s="361"/>
      <c r="C3" s="361"/>
      <c r="D3" s="361"/>
      <c r="E3" s="361"/>
      <c r="F3" s="361"/>
      <c r="G3" s="361"/>
      <c r="H3" s="361"/>
      <c r="I3" s="361"/>
      <c r="J3" s="361"/>
      <c r="K3" s="361"/>
    </row>
    <row r="4" spans="1:28" ht="13.5" customHeight="1" thickBot="1" x14ac:dyDescent="0.5"/>
    <row r="5" spans="1:28" ht="16.5" customHeight="1" thickBot="1" x14ac:dyDescent="0.5">
      <c r="A5" s="211"/>
      <c r="B5" s="87" t="s">
        <v>26</v>
      </c>
      <c r="C5" s="88" t="s">
        <v>27</v>
      </c>
      <c r="D5" s="88" t="s">
        <v>28</v>
      </c>
      <c r="E5" s="88" t="s">
        <v>29</v>
      </c>
      <c r="F5" s="88" t="s">
        <v>30</v>
      </c>
      <c r="G5" s="88" t="s">
        <v>31</v>
      </c>
      <c r="H5" s="88" t="s">
        <v>32</v>
      </c>
      <c r="I5" s="88" t="s">
        <v>33</v>
      </c>
      <c r="J5" s="88" t="s">
        <v>34</v>
      </c>
      <c r="K5" s="88" t="s">
        <v>35</v>
      </c>
      <c r="L5" s="88" t="s">
        <v>36</v>
      </c>
      <c r="M5" s="88" t="s">
        <v>37</v>
      </c>
      <c r="N5" s="88" t="s">
        <v>38</v>
      </c>
      <c r="O5" s="88" t="s">
        <v>39</v>
      </c>
      <c r="P5" s="88" t="s">
        <v>40</v>
      </c>
      <c r="Q5" s="89" t="s">
        <v>41</v>
      </c>
      <c r="R5" s="87" t="s">
        <v>42</v>
      </c>
      <c r="S5" s="88" t="s">
        <v>43</v>
      </c>
      <c r="T5" s="89" t="s">
        <v>44</v>
      </c>
      <c r="U5" s="89" t="s">
        <v>45</v>
      </c>
      <c r="V5" s="87" t="s">
        <v>46</v>
      </c>
      <c r="W5" s="89" t="s">
        <v>47</v>
      </c>
      <c r="X5" s="87" t="s">
        <v>48</v>
      </c>
      <c r="Y5" s="90" t="s">
        <v>49</v>
      </c>
      <c r="Z5" s="90" t="s">
        <v>5</v>
      </c>
      <c r="AA5" s="43"/>
      <c r="AB5" s="43"/>
    </row>
    <row r="6" spans="1:28" ht="15" customHeight="1" x14ac:dyDescent="0.45">
      <c r="A6" s="71" t="s">
        <v>19</v>
      </c>
      <c r="B6" s="79">
        <v>57037</v>
      </c>
      <c r="C6" s="220">
        <v>46099</v>
      </c>
      <c r="D6" s="220">
        <v>36850</v>
      </c>
      <c r="E6" s="220">
        <v>32731</v>
      </c>
      <c r="F6" s="220">
        <v>30645</v>
      </c>
      <c r="G6" s="220">
        <v>31040</v>
      </c>
      <c r="H6" s="220">
        <v>32776</v>
      </c>
      <c r="I6" s="220">
        <v>52200</v>
      </c>
      <c r="J6" s="220">
        <v>142425</v>
      </c>
      <c r="K6" s="220">
        <v>237031</v>
      </c>
      <c r="L6" s="220">
        <v>251734</v>
      </c>
      <c r="M6" s="220">
        <v>249002</v>
      </c>
      <c r="N6" s="220">
        <v>234244</v>
      </c>
      <c r="O6" s="220">
        <v>221077</v>
      </c>
      <c r="P6" s="220">
        <v>211185</v>
      </c>
      <c r="Q6" s="220">
        <v>205245</v>
      </c>
      <c r="R6" s="220">
        <v>209022</v>
      </c>
      <c r="S6" s="220">
        <v>206099</v>
      </c>
      <c r="T6" s="220">
        <v>211549</v>
      </c>
      <c r="U6" s="220">
        <v>188478</v>
      </c>
      <c r="V6" s="220">
        <v>156431</v>
      </c>
      <c r="W6" s="220">
        <v>125259</v>
      </c>
      <c r="X6" s="220">
        <v>97309</v>
      </c>
      <c r="Y6" s="221">
        <v>74290</v>
      </c>
      <c r="Z6" s="264">
        <v>3339758</v>
      </c>
    </row>
    <row r="7" spans="1:28" ht="15" customHeight="1" x14ac:dyDescent="0.45">
      <c r="A7" s="72" t="s">
        <v>20</v>
      </c>
      <c r="B7" s="80">
        <v>55602</v>
      </c>
      <c r="C7" s="222">
        <v>43789</v>
      </c>
      <c r="D7" s="222">
        <v>34402</v>
      </c>
      <c r="E7" s="222">
        <v>30699</v>
      </c>
      <c r="F7" s="222">
        <v>28847</v>
      </c>
      <c r="G7" s="222">
        <v>29283</v>
      </c>
      <c r="H7" s="222">
        <v>30491</v>
      </c>
      <c r="I7" s="222">
        <v>48623</v>
      </c>
      <c r="J7" s="222">
        <v>128405</v>
      </c>
      <c r="K7" s="222">
        <v>205891</v>
      </c>
      <c r="L7" s="222">
        <v>219311</v>
      </c>
      <c r="M7" s="222">
        <v>220846</v>
      </c>
      <c r="N7" s="222">
        <v>208078</v>
      </c>
      <c r="O7" s="222">
        <v>200716</v>
      </c>
      <c r="P7" s="222">
        <v>193647</v>
      </c>
      <c r="Q7" s="222">
        <v>189664</v>
      </c>
      <c r="R7" s="222">
        <v>193578</v>
      </c>
      <c r="S7" s="222">
        <v>191268</v>
      </c>
      <c r="T7" s="222">
        <v>201686</v>
      </c>
      <c r="U7" s="222">
        <v>182273</v>
      </c>
      <c r="V7" s="222">
        <v>152588</v>
      </c>
      <c r="W7" s="222">
        <v>121950</v>
      </c>
      <c r="X7" s="222">
        <v>95231</v>
      </c>
      <c r="Y7" s="223">
        <v>74043</v>
      </c>
      <c r="Z7" s="265">
        <v>3080911</v>
      </c>
    </row>
    <row r="8" spans="1:28" ht="15" customHeight="1" x14ac:dyDescent="0.45">
      <c r="A8" s="72" t="s">
        <v>21</v>
      </c>
      <c r="B8" s="80">
        <v>54337</v>
      </c>
      <c r="C8" s="222">
        <v>42952</v>
      </c>
      <c r="D8" s="222">
        <v>33920</v>
      </c>
      <c r="E8" s="222">
        <v>30203</v>
      </c>
      <c r="F8" s="222">
        <v>28602</v>
      </c>
      <c r="G8" s="222">
        <v>28397</v>
      </c>
      <c r="H8" s="222">
        <v>29670</v>
      </c>
      <c r="I8" s="222">
        <v>46776</v>
      </c>
      <c r="J8" s="222">
        <v>123336</v>
      </c>
      <c r="K8" s="222">
        <v>196527</v>
      </c>
      <c r="L8" s="222">
        <v>209279</v>
      </c>
      <c r="M8" s="222">
        <v>210910</v>
      </c>
      <c r="N8" s="222">
        <v>201188</v>
      </c>
      <c r="O8" s="222">
        <v>196105</v>
      </c>
      <c r="P8" s="222">
        <v>189643</v>
      </c>
      <c r="Q8" s="222">
        <v>185836</v>
      </c>
      <c r="R8" s="222">
        <v>190447</v>
      </c>
      <c r="S8" s="222">
        <v>187530</v>
      </c>
      <c r="T8" s="222">
        <v>196756</v>
      </c>
      <c r="U8" s="222">
        <v>177311</v>
      </c>
      <c r="V8" s="222">
        <v>150772</v>
      </c>
      <c r="W8" s="222">
        <v>120958</v>
      </c>
      <c r="X8" s="222">
        <v>94894</v>
      </c>
      <c r="Y8" s="223">
        <v>73990</v>
      </c>
      <c r="Z8" s="265">
        <v>3000339</v>
      </c>
    </row>
    <row r="9" spans="1:28" ht="15" customHeight="1" x14ac:dyDescent="0.45">
      <c r="A9" s="72" t="s">
        <v>22</v>
      </c>
      <c r="B9" s="80">
        <v>54688</v>
      </c>
      <c r="C9" s="222">
        <v>43382</v>
      </c>
      <c r="D9" s="222">
        <v>33888</v>
      </c>
      <c r="E9" s="222">
        <v>30611</v>
      </c>
      <c r="F9" s="222">
        <v>28754</v>
      </c>
      <c r="G9" s="222">
        <v>28537</v>
      </c>
      <c r="H9" s="222">
        <v>29368</v>
      </c>
      <c r="I9" s="222">
        <v>46048</v>
      </c>
      <c r="J9" s="222">
        <v>120251</v>
      </c>
      <c r="K9" s="222">
        <v>193416</v>
      </c>
      <c r="L9" s="222">
        <v>205830</v>
      </c>
      <c r="M9" s="222">
        <v>208916</v>
      </c>
      <c r="N9" s="222">
        <v>200271</v>
      </c>
      <c r="O9" s="222">
        <v>194603</v>
      </c>
      <c r="P9" s="222">
        <v>188518</v>
      </c>
      <c r="Q9" s="222">
        <v>183630</v>
      </c>
      <c r="R9" s="222">
        <v>186875</v>
      </c>
      <c r="S9" s="222">
        <v>185034</v>
      </c>
      <c r="T9" s="222">
        <v>192014</v>
      </c>
      <c r="U9" s="222">
        <v>173571</v>
      </c>
      <c r="V9" s="222">
        <v>148643</v>
      </c>
      <c r="W9" s="222">
        <v>121173</v>
      </c>
      <c r="X9" s="222">
        <v>94337</v>
      </c>
      <c r="Y9" s="223">
        <v>73352</v>
      </c>
      <c r="Z9" s="265">
        <v>2965710</v>
      </c>
    </row>
    <row r="10" spans="1:28" ht="15" customHeight="1" x14ac:dyDescent="0.45">
      <c r="A10" s="72" t="s">
        <v>23</v>
      </c>
      <c r="B10" s="80">
        <v>55234</v>
      </c>
      <c r="C10" s="222">
        <v>43665</v>
      </c>
      <c r="D10" s="222">
        <v>34901</v>
      </c>
      <c r="E10" s="222">
        <v>31176</v>
      </c>
      <c r="F10" s="222">
        <v>28919</v>
      </c>
      <c r="G10" s="222">
        <v>29195</v>
      </c>
      <c r="H10" s="222">
        <v>29692</v>
      </c>
      <c r="I10" s="222">
        <v>47116</v>
      </c>
      <c r="J10" s="222">
        <v>124124</v>
      </c>
      <c r="K10" s="222">
        <v>190292</v>
      </c>
      <c r="L10" s="222">
        <v>204894</v>
      </c>
      <c r="M10" s="222">
        <v>206927</v>
      </c>
      <c r="N10" s="222">
        <v>196128</v>
      </c>
      <c r="O10" s="222">
        <v>192790</v>
      </c>
      <c r="P10" s="222">
        <v>188075</v>
      </c>
      <c r="Q10" s="222">
        <v>182206</v>
      </c>
      <c r="R10" s="222">
        <v>188615</v>
      </c>
      <c r="S10" s="222">
        <v>185491</v>
      </c>
      <c r="T10" s="222">
        <v>182889</v>
      </c>
      <c r="U10" s="222">
        <v>162625</v>
      </c>
      <c r="V10" s="222">
        <v>140245</v>
      </c>
      <c r="W10" s="222">
        <v>116659</v>
      </c>
      <c r="X10" s="222">
        <v>94921</v>
      </c>
      <c r="Y10" s="223">
        <v>77344</v>
      </c>
      <c r="Z10" s="265">
        <v>2934123</v>
      </c>
    </row>
    <row r="11" spans="1:28" ht="15" customHeight="1" x14ac:dyDescent="0.45">
      <c r="A11" s="72" t="s">
        <v>24</v>
      </c>
      <c r="B11" s="80">
        <v>63728</v>
      </c>
      <c r="C11" s="222">
        <v>52599</v>
      </c>
      <c r="D11" s="222">
        <v>43970</v>
      </c>
      <c r="E11" s="222">
        <v>39152</v>
      </c>
      <c r="F11" s="222">
        <v>36872</v>
      </c>
      <c r="G11" s="222">
        <v>35708</v>
      </c>
      <c r="H11" s="222">
        <v>34276</v>
      </c>
      <c r="I11" s="222">
        <v>52541</v>
      </c>
      <c r="J11" s="222">
        <v>127802</v>
      </c>
      <c r="K11" s="222">
        <v>175945</v>
      </c>
      <c r="L11" s="222">
        <v>211637</v>
      </c>
      <c r="M11" s="222">
        <v>216705</v>
      </c>
      <c r="N11" s="222">
        <v>206131</v>
      </c>
      <c r="O11" s="222">
        <v>197817</v>
      </c>
      <c r="P11" s="222">
        <v>195200</v>
      </c>
      <c r="Q11" s="222">
        <v>191784</v>
      </c>
      <c r="R11" s="222">
        <v>181272</v>
      </c>
      <c r="S11" s="222">
        <v>172933</v>
      </c>
      <c r="T11" s="222">
        <v>161548</v>
      </c>
      <c r="U11" s="222">
        <v>148007</v>
      </c>
      <c r="V11" s="222">
        <v>135706</v>
      </c>
      <c r="W11" s="222">
        <v>117471</v>
      </c>
      <c r="X11" s="222">
        <v>98527</v>
      </c>
      <c r="Y11" s="223">
        <v>82139</v>
      </c>
      <c r="Z11" s="265">
        <v>2979470</v>
      </c>
    </row>
    <row r="12" spans="1:28" ht="15" customHeight="1" thickBot="1" x14ac:dyDescent="0.5">
      <c r="A12" s="73" t="s">
        <v>25</v>
      </c>
      <c r="B12" s="81">
        <v>66850</v>
      </c>
      <c r="C12" s="224">
        <v>56427</v>
      </c>
      <c r="D12" s="224">
        <v>47164</v>
      </c>
      <c r="E12" s="224">
        <v>42406</v>
      </c>
      <c r="F12" s="224">
        <v>39207</v>
      </c>
      <c r="G12" s="224">
        <v>37758</v>
      </c>
      <c r="H12" s="224">
        <v>35300</v>
      </c>
      <c r="I12" s="224">
        <v>52117</v>
      </c>
      <c r="J12" s="224">
        <v>122251</v>
      </c>
      <c r="K12" s="224">
        <v>172742</v>
      </c>
      <c r="L12" s="224">
        <v>215532</v>
      </c>
      <c r="M12" s="224">
        <v>220850</v>
      </c>
      <c r="N12" s="224">
        <v>210982</v>
      </c>
      <c r="O12" s="224">
        <v>199846</v>
      </c>
      <c r="P12" s="224">
        <v>191329</v>
      </c>
      <c r="Q12" s="224">
        <v>184027</v>
      </c>
      <c r="R12" s="224">
        <v>175260</v>
      </c>
      <c r="S12" s="224">
        <v>169065</v>
      </c>
      <c r="T12" s="224">
        <v>161774</v>
      </c>
      <c r="U12" s="224">
        <v>152585</v>
      </c>
      <c r="V12" s="224">
        <v>138343</v>
      </c>
      <c r="W12" s="224">
        <v>117052</v>
      </c>
      <c r="X12" s="224">
        <v>94051</v>
      </c>
      <c r="Y12" s="225">
        <v>75275</v>
      </c>
      <c r="Z12" s="266">
        <v>2978193</v>
      </c>
    </row>
    <row r="13" spans="1:28" x14ac:dyDescent="0.45">
      <c r="A13" s="130"/>
      <c r="B13" s="131"/>
      <c r="C13" s="131"/>
      <c r="D13" s="131"/>
      <c r="E13" s="131"/>
      <c r="F13" s="131"/>
      <c r="G13" s="131"/>
      <c r="H13" s="132"/>
      <c r="I13" s="132"/>
      <c r="J13" s="132"/>
      <c r="K13" s="29"/>
      <c r="L13" s="29"/>
      <c r="M13" s="29"/>
      <c r="N13" s="29"/>
      <c r="O13" s="29"/>
      <c r="P13" s="29"/>
      <c r="Q13" s="126"/>
      <c r="R13" s="29"/>
      <c r="S13" s="126"/>
      <c r="T13" s="29"/>
      <c r="U13" s="29"/>
      <c r="V13" s="29"/>
      <c r="W13" s="29"/>
      <c r="X13" s="29"/>
      <c r="Y13" s="29"/>
    </row>
    <row r="14" spans="1:28" ht="13.2" customHeight="1" x14ac:dyDescent="0.45">
      <c r="A14" s="363" t="s">
        <v>527</v>
      </c>
      <c r="B14" s="363"/>
      <c r="C14" s="363"/>
      <c r="D14" s="363"/>
      <c r="E14" s="363"/>
      <c r="F14" s="363"/>
      <c r="G14" s="363"/>
      <c r="H14" s="363"/>
      <c r="I14" s="363"/>
      <c r="J14" s="363"/>
      <c r="K14" s="363"/>
      <c r="L14" s="29"/>
    </row>
    <row r="15" spans="1:28" ht="15" customHeight="1" x14ac:dyDescent="0.45">
      <c r="A15" s="363" t="s">
        <v>528</v>
      </c>
      <c r="B15" s="363"/>
      <c r="C15" s="363"/>
      <c r="D15" s="363"/>
      <c r="E15" s="363"/>
      <c r="F15" s="363"/>
      <c r="G15" s="363"/>
      <c r="H15" s="363"/>
      <c r="I15" s="363"/>
      <c r="J15" s="363"/>
      <c r="K15" s="363"/>
      <c r="L15" s="29"/>
    </row>
    <row r="16" spans="1:28" x14ac:dyDescent="0.45">
      <c r="A16" s="20"/>
      <c r="B16" s="102"/>
      <c r="C16" s="102"/>
      <c r="D16" s="102"/>
      <c r="E16" s="102"/>
      <c r="F16" s="102"/>
      <c r="G16" s="102"/>
      <c r="H16" s="102"/>
      <c r="I16" s="102"/>
      <c r="J16" s="102"/>
      <c r="K16" s="102"/>
      <c r="L16" s="46"/>
      <c r="M16" s="44"/>
      <c r="N16" s="44"/>
      <c r="O16" s="44"/>
      <c r="P16" s="44"/>
    </row>
    <row r="17" spans="1:27" ht="14.1" thickBot="1" x14ac:dyDescent="0.5">
      <c r="A17" s="365" t="s">
        <v>1</v>
      </c>
      <c r="B17" s="365"/>
      <c r="C17" s="365"/>
      <c r="D17" s="365"/>
      <c r="E17" s="365"/>
      <c r="F17" s="365"/>
      <c r="G17" s="365"/>
      <c r="H17" s="365"/>
      <c r="I17" s="365"/>
      <c r="J17" s="365"/>
    </row>
    <row r="18" spans="1:27" x14ac:dyDescent="0.45">
      <c r="A18" s="353" t="s">
        <v>376</v>
      </c>
      <c r="B18" s="353"/>
      <c r="C18" s="353"/>
      <c r="D18" s="353"/>
      <c r="E18" s="353"/>
      <c r="F18" s="353"/>
      <c r="G18" s="353"/>
      <c r="H18" s="353"/>
      <c r="I18" s="353"/>
      <c r="J18" s="353"/>
      <c r="K18" s="205"/>
      <c r="L18" s="205"/>
      <c r="M18" s="205"/>
      <c r="N18" s="205"/>
      <c r="O18" s="205"/>
      <c r="P18" s="205"/>
      <c r="Q18" s="205"/>
      <c r="R18" s="205"/>
      <c r="S18" s="205"/>
      <c r="T18" s="205"/>
      <c r="U18" s="205"/>
      <c r="V18" s="205"/>
      <c r="W18" s="205"/>
      <c r="X18" s="205"/>
      <c r="Y18" s="205"/>
      <c r="Z18" s="205"/>
    </row>
    <row r="19" spans="1:27" x14ac:dyDescent="0.45">
      <c r="A19" s="353" t="s">
        <v>353</v>
      </c>
      <c r="B19" s="353"/>
      <c r="C19" s="353"/>
      <c r="D19" s="353"/>
      <c r="E19" s="353"/>
      <c r="F19" s="353"/>
      <c r="G19" s="353"/>
      <c r="K19" s="108"/>
      <c r="L19" s="108"/>
      <c r="M19" s="108"/>
      <c r="N19" s="108"/>
      <c r="O19" s="108"/>
      <c r="P19" s="108"/>
      <c r="Q19" s="108"/>
      <c r="R19" s="108"/>
      <c r="S19" s="108"/>
      <c r="T19" s="108"/>
      <c r="U19" s="108"/>
      <c r="V19" s="108"/>
      <c r="W19" s="108"/>
      <c r="X19" s="108"/>
      <c r="Y19" s="108"/>
      <c r="Z19" s="108"/>
    </row>
    <row r="20" spans="1:27" x14ac:dyDescent="0.45">
      <c r="A20" s="349" t="s">
        <v>269</v>
      </c>
      <c r="B20" s="349"/>
      <c r="C20" s="349"/>
      <c r="D20" s="349"/>
      <c r="E20" s="349"/>
      <c r="F20" s="349"/>
      <c r="G20" s="349"/>
      <c r="H20" s="349"/>
      <c r="I20" s="349"/>
      <c r="J20" s="349"/>
      <c r="K20" s="108"/>
      <c r="L20" s="108"/>
      <c r="M20" s="108"/>
      <c r="N20" s="108"/>
      <c r="O20" s="108"/>
      <c r="P20" s="108"/>
      <c r="Q20" s="108"/>
      <c r="R20" s="108"/>
      <c r="S20" s="108"/>
      <c r="T20" s="108"/>
      <c r="U20" s="108"/>
      <c r="V20" s="108"/>
      <c r="W20" s="108"/>
      <c r="X20" s="108"/>
      <c r="Y20" s="108"/>
      <c r="Z20" s="108"/>
    </row>
    <row r="21" spans="1:27" ht="14.1" thickBot="1" x14ac:dyDescent="0.5">
      <c r="A21" s="350" t="s">
        <v>374</v>
      </c>
      <c r="B21" s="350"/>
      <c r="C21" s="350"/>
      <c r="D21" s="350"/>
      <c r="E21" s="350"/>
      <c r="F21" s="350"/>
      <c r="G21" s="350"/>
      <c r="H21" s="350"/>
      <c r="I21" s="350"/>
      <c r="J21" s="350"/>
      <c r="K21" s="206"/>
      <c r="L21" s="206"/>
      <c r="M21" s="206"/>
      <c r="N21" s="206"/>
      <c r="O21" s="206"/>
      <c r="P21" s="206"/>
      <c r="Q21" s="206"/>
      <c r="R21" s="206"/>
      <c r="S21" s="206"/>
      <c r="T21" s="206"/>
      <c r="U21" s="206"/>
      <c r="V21" s="206"/>
      <c r="W21" s="206"/>
      <c r="X21" s="206"/>
      <c r="Y21" s="206"/>
      <c r="Z21" s="206"/>
    </row>
    <row r="22" spans="1:27" x14ac:dyDescent="0.45">
      <c r="A22" s="29"/>
      <c r="B22" s="30"/>
      <c r="C22" s="30"/>
      <c r="D22" s="30"/>
      <c r="E22" s="30"/>
      <c r="F22" s="30"/>
      <c r="G22" s="30"/>
    </row>
    <row r="23" spans="1:27" x14ac:dyDescent="0.45">
      <c r="A23" s="351" t="s">
        <v>274</v>
      </c>
      <c r="B23" s="351"/>
      <c r="C23" s="30"/>
      <c r="D23" s="30"/>
      <c r="E23" s="30"/>
      <c r="F23" s="30"/>
      <c r="G23" s="31"/>
    </row>
    <row r="24" spans="1:27" x14ac:dyDescent="0.45">
      <c r="A24" s="11"/>
      <c r="B24" s="30"/>
      <c r="C24" s="30"/>
      <c r="D24" s="30"/>
      <c r="E24" s="30"/>
      <c r="F24" s="30"/>
    </row>
    <row r="25" spans="1:27" x14ac:dyDescent="0.45">
      <c r="A25" s="11"/>
      <c r="B25" s="31"/>
      <c r="C25" s="31"/>
      <c r="D25" s="31"/>
      <c r="E25" s="31"/>
      <c r="F25" s="31"/>
      <c r="S25" s="45"/>
      <c r="T25" s="45"/>
      <c r="U25" s="45"/>
      <c r="V25" s="45"/>
      <c r="W25" s="45"/>
      <c r="X25" s="45"/>
      <c r="Y25" s="45"/>
    </row>
    <row r="26" spans="1:27" x14ac:dyDescent="0.45">
      <c r="B26" s="45"/>
      <c r="C26" s="45"/>
      <c r="D26" s="45"/>
      <c r="E26" s="45"/>
      <c r="F26" s="45"/>
      <c r="G26" s="45"/>
      <c r="H26" s="45"/>
      <c r="I26" s="45"/>
      <c r="J26" s="45"/>
      <c r="K26" s="45"/>
      <c r="L26" s="45"/>
      <c r="M26" s="45"/>
      <c r="N26" s="45"/>
      <c r="O26" s="45"/>
      <c r="P26" s="45"/>
      <c r="Q26" s="45"/>
      <c r="R26" s="45"/>
    </row>
    <row r="28" spans="1:27" x14ac:dyDescent="0.45">
      <c r="D28" s="45"/>
      <c r="E28" s="45"/>
      <c r="F28" s="45"/>
      <c r="G28" s="45"/>
      <c r="H28" s="45"/>
      <c r="I28" s="45"/>
      <c r="J28" s="45"/>
      <c r="K28" s="45"/>
      <c r="L28" s="45"/>
      <c r="M28" s="45"/>
      <c r="N28" s="45"/>
      <c r="O28" s="45"/>
      <c r="P28" s="45"/>
      <c r="Q28" s="45"/>
      <c r="R28" s="45"/>
      <c r="S28" s="45"/>
      <c r="T28" s="45"/>
      <c r="U28" s="45"/>
      <c r="V28" s="45"/>
      <c r="W28" s="45"/>
      <c r="X28" s="45"/>
      <c r="Y28" s="45"/>
      <c r="Z28" s="45"/>
      <c r="AA28" s="45"/>
    </row>
  </sheetData>
  <mergeCells count="10">
    <mergeCell ref="A18:J18"/>
    <mergeCell ref="A20:J20"/>
    <mergeCell ref="A21:J21"/>
    <mergeCell ref="A23:B23"/>
    <mergeCell ref="A2:L2"/>
    <mergeCell ref="A3:K3"/>
    <mergeCell ref="A17:J17"/>
    <mergeCell ref="A19:G19"/>
    <mergeCell ref="A14:K14"/>
    <mergeCell ref="A15:K15"/>
  </mergeCells>
  <hyperlinks>
    <hyperlink ref="A20:F20" r:id="rId1" display="Contact via enquiries@NHSDigital.nhs.uk or 0300 303 5678" xr:uid="{00000000-0004-0000-0B00-000000000000}"/>
    <hyperlink ref="A23" location="Contents!A1" display="Return to Contents" xr:uid="{00000000-0004-0000-0B00-000001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Z25"/>
  <sheetViews>
    <sheetView workbookViewId="0"/>
  </sheetViews>
  <sheetFormatPr defaultColWidth="9.109375" defaultRowHeight="13.8" x14ac:dyDescent="0.45"/>
  <cols>
    <col min="1" max="1" width="27.109375" style="28" customWidth="1"/>
    <col min="2" max="25" width="9.21875" style="28" customWidth="1"/>
    <col min="26" max="16384" width="9.109375" style="28"/>
  </cols>
  <sheetData>
    <row r="1" spans="1:26" ht="15" customHeight="1" x14ac:dyDescent="0.45"/>
    <row r="2" spans="1:26" ht="49.95" customHeight="1" x14ac:dyDescent="0.45">
      <c r="A2" s="355" t="s">
        <v>481</v>
      </c>
      <c r="B2" s="355"/>
      <c r="C2" s="355"/>
      <c r="D2" s="355"/>
      <c r="E2" s="355"/>
      <c r="F2" s="355"/>
      <c r="G2" s="355"/>
      <c r="H2" s="355"/>
      <c r="I2" s="355"/>
      <c r="J2" s="355"/>
      <c r="K2" s="355"/>
      <c r="L2" s="355"/>
      <c r="M2" s="355"/>
      <c r="N2" s="355"/>
    </row>
    <row r="3" spans="1:26" ht="30" customHeight="1" x14ac:dyDescent="0.45">
      <c r="A3" s="361" t="s">
        <v>359</v>
      </c>
      <c r="B3" s="361"/>
      <c r="C3" s="361"/>
      <c r="D3" s="361"/>
      <c r="E3" s="361"/>
      <c r="F3" s="361"/>
      <c r="G3" s="361"/>
      <c r="H3" s="361"/>
      <c r="I3" s="361"/>
      <c r="J3" s="361"/>
      <c r="K3" s="361"/>
    </row>
    <row r="4" spans="1:26" ht="13.5" customHeight="1" thickBot="1" x14ac:dyDescent="0.5"/>
    <row r="5" spans="1:26" ht="16.5" customHeight="1" thickBot="1" x14ac:dyDescent="0.5">
      <c r="A5" s="212"/>
      <c r="B5" s="87">
        <v>0</v>
      </c>
      <c r="C5" s="88" t="s">
        <v>27</v>
      </c>
      <c r="D5" s="88" t="s">
        <v>28</v>
      </c>
      <c r="E5" s="88" t="s">
        <v>29</v>
      </c>
      <c r="F5" s="88" t="s">
        <v>30</v>
      </c>
      <c r="G5" s="88" t="s">
        <v>31</v>
      </c>
      <c r="H5" s="88" t="s">
        <v>32</v>
      </c>
      <c r="I5" s="88" t="s">
        <v>33</v>
      </c>
      <c r="J5" s="88" t="s">
        <v>34</v>
      </c>
      <c r="K5" s="88" t="s">
        <v>35</v>
      </c>
      <c r="L5" s="88" t="s">
        <v>36</v>
      </c>
      <c r="M5" s="88" t="s">
        <v>37</v>
      </c>
      <c r="N5" s="88" t="s">
        <v>38</v>
      </c>
      <c r="O5" s="88" t="s">
        <v>39</v>
      </c>
      <c r="P5" s="88" t="s">
        <v>40</v>
      </c>
      <c r="Q5" s="89" t="s">
        <v>41</v>
      </c>
      <c r="R5" s="87" t="s">
        <v>42</v>
      </c>
      <c r="S5" s="88" t="s">
        <v>43</v>
      </c>
      <c r="T5" s="89" t="s">
        <v>44</v>
      </c>
      <c r="U5" s="89" t="s">
        <v>45</v>
      </c>
      <c r="V5" s="87" t="s">
        <v>46</v>
      </c>
      <c r="W5" s="89" t="s">
        <v>47</v>
      </c>
      <c r="X5" s="87" t="s">
        <v>48</v>
      </c>
      <c r="Y5" s="90" t="s">
        <v>49</v>
      </c>
    </row>
    <row r="6" spans="1:26" ht="42" customHeight="1" x14ac:dyDescent="0.45">
      <c r="A6" s="188" t="s">
        <v>483</v>
      </c>
      <c r="B6" s="267">
        <v>173658</v>
      </c>
      <c r="C6" s="74">
        <v>156019</v>
      </c>
      <c r="D6" s="74">
        <v>127665</v>
      </c>
      <c r="E6" s="74">
        <v>120309</v>
      </c>
      <c r="F6" s="74">
        <v>117797</v>
      </c>
      <c r="G6" s="74">
        <v>118922</v>
      </c>
      <c r="H6" s="74">
        <v>90859</v>
      </c>
      <c r="I6" s="74">
        <v>91162</v>
      </c>
      <c r="J6" s="74">
        <v>139426</v>
      </c>
      <c r="K6" s="74">
        <v>189485</v>
      </c>
      <c r="L6" s="74">
        <v>223094</v>
      </c>
      <c r="M6" s="74">
        <v>244923</v>
      </c>
      <c r="N6" s="74">
        <v>251010</v>
      </c>
      <c r="O6" s="74">
        <v>255343</v>
      </c>
      <c r="P6" s="74">
        <v>250570</v>
      </c>
      <c r="Q6" s="74">
        <v>261167</v>
      </c>
      <c r="R6" s="74">
        <v>256244</v>
      </c>
      <c r="S6" s="74">
        <v>268652</v>
      </c>
      <c r="T6" s="74">
        <v>249447</v>
      </c>
      <c r="U6" s="74">
        <v>225120</v>
      </c>
      <c r="V6" s="74">
        <v>248500</v>
      </c>
      <c r="W6" s="74">
        <v>240618</v>
      </c>
      <c r="X6" s="74">
        <v>219406</v>
      </c>
      <c r="Y6" s="75">
        <v>201657</v>
      </c>
    </row>
    <row r="7" spans="1:26" ht="15" customHeight="1" x14ac:dyDescent="0.45">
      <c r="A7" s="189" t="s">
        <v>5</v>
      </c>
      <c r="B7" s="268">
        <v>406555</v>
      </c>
      <c r="C7" s="128">
        <v>328319</v>
      </c>
      <c r="D7" s="128">
        <v>264580</v>
      </c>
      <c r="E7" s="128">
        <v>236535</v>
      </c>
      <c r="F7" s="128">
        <v>221456</v>
      </c>
      <c r="G7" s="128">
        <v>219498</v>
      </c>
      <c r="H7" s="128">
        <v>221010</v>
      </c>
      <c r="I7" s="128">
        <v>342048</v>
      </c>
      <c r="J7" s="128">
        <v>852445</v>
      </c>
      <c r="K7" s="128">
        <v>1319247</v>
      </c>
      <c r="L7" s="128">
        <v>1480577</v>
      </c>
      <c r="M7" s="128">
        <v>1508582</v>
      </c>
      <c r="N7" s="128">
        <v>1441175</v>
      </c>
      <c r="O7" s="128">
        <v>1386089</v>
      </c>
      <c r="P7" s="128">
        <v>1339894</v>
      </c>
      <c r="Q7" s="128">
        <v>1307001</v>
      </c>
      <c r="R7" s="128">
        <v>1312932</v>
      </c>
      <c r="S7" s="128">
        <v>1288744</v>
      </c>
      <c r="T7" s="128">
        <v>1300750</v>
      </c>
      <c r="U7" s="128">
        <v>1179576</v>
      </c>
      <c r="V7" s="128">
        <v>1019351</v>
      </c>
      <c r="W7" s="128">
        <v>838203</v>
      </c>
      <c r="X7" s="128">
        <v>667732</v>
      </c>
      <c r="Y7" s="129">
        <v>529406</v>
      </c>
    </row>
    <row r="8" spans="1:26" ht="15" customHeight="1" thickBot="1" x14ac:dyDescent="0.5">
      <c r="A8" s="190" t="s">
        <v>2</v>
      </c>
      <c r="B8" s="269">
        <v>0.42714515871161346</v>
      </c>
      <c r="C8" s="62">
        <v>0.47520551658600324</v>
      </c>
      <c r="D8" s="62">
        <v>0.48251946481215513</v>
      </c>
      <c r="E8" s="62">
        <v>0.50863085801255625</v>
      </c>
      <c r="F8" s="62">
        <v>0.53192056209811434</v>
      </c>
      <c r="G8" s="62">
        <v>0.54179081358372283</v>
      </c>
      <c r="H8" s="62">
        <v>0.4111080946563504</v>
      </c>
      <c r="I8" s="62">
        <v>0.26651814949948543</v>
      </c>
      <c r="J8" s="62">
        <v>0.16356011238261706</v>
      </c>
      <c r="K8" s="62">
        <v>0.14363117748230619</v>
      </c>
      <c r="L8" s="62">
        <v>0.15068044417818188</v>
      </c>
      <c r="M8" s="62">
        <v>0.16235312366182283</v>
      </c>
      <c r="N8" s="62">
        <v>0.17417038180651204</v>
      </c>
      <c r="O8" s="62">
        <v>0.18421832941463354</v>
      </c>
      <c r="P8" s="62">
        <v>0.18700733043061615</v>
      </c>
      <c r="Q8" s="62">
        <v>0.19982157626505259</v>
      </c>
      <c r="R8" s="62">
        <v>0.19516928523335558</v>
      </c>
      <c r="S8" s="62">
        <v>0.20846033036817241</v>
      </c>
      <c r="T8" s="62">
        <v>0.19177167019027483</v>
      </c>
      <c r="U8" s="62">
        <v>0.1908482369936316</v>
      </c>
      <c r="V8" s="62">
        <v>0.24378256361155284</v>
      </c>
      <c r="W8" s="62">
        <v>0.28706411215421562</v>
      </c>
      <c r="X8" s="62">
        <v>0.32858392289121985</v>
      </c>
      <c r="Y8" s="63">
        <v>0.38091181437308985</v>
      </c>
    </row>
    <row r="9" spans="1:26" x14ac:dyDescent="0.45">
      <c r="A9" s="130"/>
      <c r="B9" s="131"/>
      <c r="C9" s="131"/>
      <c r="D9" s="131"/>
      <c r="E9" s="131"/>
      <c r="F9" s="131"/>
      <c r="G9" s="131"/>
      <c r="H9" s="132"/>
      <c r="I9" s="132"/>
      <c r="J9" s="132"/>
      <c r="K9" s="29"/>
      <c r="L9" s="29"/>
      <c r="M9" s="29"/>
      <c r="N9" s="29"/>
      <c r="O9" s="29"/>
      <c r="P9" s="29"/>
      <c r="Q9" s="29"/>
      <c r="R9" s="29"/>
      <c r="S9" s="29"/>
      <c r="T9" s="29"/>
      <c r="U9" s="29"/>
      <c r="V9" s="29"/>
      <c r="W9" s="29"/>
      <c r="X9" s="29"/>
      <c r="Y9" s="29"/>
    </row>
    <row r="10" spans="1:26" ht="13.2" customHeight="1" x14ac:dyDescent="0.45">
      <c r="A10" s="363" t="s">
        <v>527</v>
      </c>
      <c r="B10" s="363"/>
      <c r="C10" s="363"/>
      <c r="D10" s="363"/>
      <c r="E10" s="363"/>
      <c r="F10" s="363"/>
      <c r="G10" s="363"/>
      <c r="H10" s="363"/>
      <c r="I10" s="363"/>
      <c r="J10" s="363"/>
      <c r="K10" s="363"/>
      <c r="L10" s="29"/>
    </row>
    <row r="11" spans="1:26" ht="15" customHeight="1" x14ac:dyDescent="0.45">
      <c r="A11" s="363" t="s">
        <v>528</v>
      </c>
      <c r="B11" s="363"/>
      <c r="C11" s="363"/>
      <c r="D11" s="363"/>
      <c r="E11" s="363"/>
      <c r="F11" s="363"/>
      <c r="G11" s="363"/>
      <c r="H11" s="363"/>
      <c r="I11" s="363"/>
      <c r="J11" s="363"/>
      <c r="K11" s="363"/>
      <c r="L11" s="29"/>
    </row>
    <row r="12" spans="1:26" x14ac:dyDescent="0.45">
      <c r="A12" s="20"/>
      <c r="B12" s="102"/>
      <c r="C12" s="102"/>
      <c r="D12" s="102"/>
      <c r="E12" s="102"/>
      <c r="F12" s="102"/>
      <c r="G12" s="102"/>
      <c r="H12" s="102"/>
      <c r="I12" s="102"/>
      <c r="J12" s="102"/>
      <c r="K12" s="102"/>
      <c r="L12" s="46"/>
      <c r="M12" s="44"/>
      <c r="N12" s="44"/>
      <c r="O12" s="44"/>
      <c r="P12" s="44"/>
    </row>
    <row r="13" spans="1:26" ht="14.1" thickBot="1" x14ac:dyDescent="0.5">
      <c r="A13" s="365" t="s">
        <v>1</v>
      </c>
      <c r="B13" s="365"/>
      <c r="C13" s="365"/>
      <c r="D13" s="365"/>
      <c r="E13" s="365"/>
      <c r="F13" s="365"/>
      <c r="G13" s="365"/>
      <c r="H13" s="365"/>
      <c r="I13" s="365"/>
      <c r="J13" s="365"/>
    </row>
    <row r="14" spans="1:26" x14ac:dyDescent="0.45">
      <c r="A14" s="353" t="s">
        <v>376</v>
      </c>
      <c r="B14" s="353"/>
      <c r="C14" s="353"/>
      <c r="D14" s="353"/>
      <c r="E14" s="353"/>
      <c r="F14" s="353"/>
      <c r="G14" s="353"/>
      <c r="H14" s="353"/>
      <c r="I14" s="353"/>
      <c r="J14" s="353"/>
      <c r="K14" s="205"/>
      <c r="L14" s="205"/>
      <c r="M14" s="205"/>
      <c r="N14" s="205"/>
      <c r="O14" s="205"/>
      <c r="P14" s="205"/>
      <c r="Q14" s="205"/>
      <c r="R14" s="205"/>
      <c r="S14" s="205"/>
      <c r="T14" s="205"/>
      <c r="U14" s="205"/>
      <c r="V14" s="205"/>
      <c r="W14" s="205"/>
      <c r="X14" s="205"/>
      <c r="Y14" s="205"/>
      <c r="Z14" s="205"/>
    </row>
    <row r="15" spans="1:26" x14ac:dyDescent="0.45">
      <c r="A15" s="353" t="s">
        <v>353</v>
      </c>
      <c r="B15" s="353"/>
      <c r="C15" s="353"/>
      <c r="D15" s="353"/>
      <c r="E15" s="353"/>
      <c r="F15" s="353"/>
      <c r="G15" s="353"/>
      <c r="K15" s="108"/>
      <c r="L15" s="108"/>
      <c r="M15" s="108"/>
      <c r="N15" s="108"/>
      <c r="O15" s="108"/>
      <c r="P15" s="108"/>
      <c r="Q15" s="108"/>
      <c r="R15" s="108"/>
      <c r="S15" s="108"/>
      <c r="T15" s="108"/>
      <c r="U15" s="108"/>
      <c r="V15" s="108"/>
      <c r="W15" s="108"/>
      <c r="X15" s="108"/>
      <c r="Y15" s="108"/>
      <c r="Z15" s="108"/>
    </row>
    <row r="16" spans="1:26" x14ac:dyDescent="0.45">
      <c r="A16" s="349" t="s">
        <v>269</v>
      </c>
      <c r="B16" s="349"/>
      <c r="C16" s="349"/>
      <c r="D16" s="349"/>
      <c r="E16" s="349"/>
      <c r="F16" s="349"/>
      <c r="G16" s="349"/>
      <c r="H16" s="349"/>
      <c r="I16" s="349"/>
      <c r="J16" s="349"/>
      <c r="K16" s="108"/>
      <c r="L16" s="108"/>
      <c r="M16" s="108"/>
      <c r="N16" s="108"/>
      <c r="O16" s="108"/>
      <c r="P16" s="108"/>
      <c r="Q16" s="108"/>
      <c r="R16" s="108"/>
      <c r="S16" s="108"/>
      <c r="T16" s="108"/>
      <c r="U16" s="108"/>
      <c r="V16" s="108"/>
      <c r="W16" s="108"/>
      <c r="X16" s="108"/>
      <c r="Y16" s="108"/>
      <c r="Z16" s="108"/>
    </row>
    <row r="17" spans="1:26" ht="14.1" thickBot="1" x14ac:dyDescent="0.5">
      <c r="A17" s="350" t="s">
        <v>374</v>
      </c>
      <c r="B17" s="350"/>
      <c r="C17" s="350"/>
      <c r="D17" s="350"/>
      <c r="E17" s="350"/>
      <c r="F17" s="350"/>
      <c r="G17" s="350"/>
      <c r="H17" s="350"/>
      <c r="I17" s="350"/>
      <c r="J17" s="350"/>
      <c r="K17" s="206"/>
      <c r="L17" s="206"/>
      <c r="M17" s="206"/>
      <c r="N17" s="206"/>
      <c r="O17" s="206"/>
      <c r="P17" s="206"/>
      <c r="Q17" s="206"/>
      <c r="R17" s="206"/>
      <c r="S17" s="206"/>
      <c r="T17" s="206"/>
      <c r="U17" s="206"/>
      <c r="V17" s="206"/>
      <c r="W17" s="206"/>
      <c r="X17" s="206"/>
      <c r="Y17" s="206"/>
      <c r="Z17" s="206"/>
    </row>
    <row r="18" spans="1:26" x14ac:dyDescent="0.45">
      <c r="A18" s="29"/>
      <c r="B18" s="30"/>
      <c r="C18" s="30"/>
      <c r="D18" s="30"/>
      <c r="E18" s="30"/>
      <c r="F18" s="30"/>
      <c r="G18" s="30"/>
    </row>
    <row r="19" spans="1:26" x14ac:dyDescent="0.45">
      <c r="A19" s="351" t="s">
        <v>274</v>
      </c>
      <c r="B19" s="351"/>
      <c r="C19" s="30"/>
      <c r="D19" s="30"/>
      <c r="E19" s="30"/>
      <c r="F19" s="30"/>
      <c r="G19" s="31"/>
    </row>
    <row r="20" spans="1:26" x14ac:dyDescent="0.45">
      <c r="A20" s="11"/>
      <c r="B20" s="30"/>
      <c r="C20" s="30"/>
      <c r="D20" s="30"/>
      <c r="E20" s="30"/>
      <c r="F20" s="30"/>
    </row>
    <row r="21" spans="1:26" x14ac:dyDescent="0.45">
      <c r="A21" s="11"/>
      <c r="B21" s="31"/>
      <c r="C21" s="31"/>
      <c r="D21" s="31"/>
      <c r="E21" s="31"/>
      <c r="F21" s="31"/>
    </row>
    <row r="25" spans="1:26" x14ac:dyDescent="0.45">
      <c r="B25" s="45"/>
      <c r="C25" s="45"/>
      <c r="D25" s="45"/>
      <c r="E25" s="45"/>
      <c r="F25" s="45"/>
      <c r="G25" s="45"/>
      <c r="H25" s="45"/>
      <c r="I25" s="45"/>
      <c r="J25" s="45"/>
      <c r="K25" s="45"/>
      <c r="L25" s="45"/>
      <c r="M25" s="45"/>
      <c r="N25" s="45"/>
      <c r="O25" s="45"/>
      <c r="P25" s="45"/>
      <c r="Q25" s="45"/>
      <c r="R25" s="45"/>
      <c r="S25" s="45"/>
      <c r="T25" s="45"/>
      <c r="U25" s="45"/>
      <c r="V25" s="45"/>
      <c r="W25" s="45"/>
      <c r="X25" s="45"/>
      <c r="Y25" s="45"/>
    </row>
  </sheetData>
  <mergeCells count="10">
    <mergeCell ref="A2:N2"/>
    <mergeCell ref="A14:J14"/>
    <mergeCell ref="A16:J16"/>
    <mergeCell ref="A17:J17"/>
    <mergeCell ref="A19:B19"/>
    <mergeCell ref="A3:K3"/>
    <mergeCell ref="A13:J13"/>
    <mergeCell ref="A15:G15"/>
    <mergeCell ref="A10:K10"/>
    <mergeCell ref="A11:K11"/>
  </mergeCells>
  <hyperlinks>
    <hyperlink ref="A16:F16" r:id="rId1" display="Contact via enquiries@NHSDigital.nhs.uk or 0300 303 5678" xr:uid="{00000000-0004-0000-0C00-000000000000}"/>
    <hyperlink ref="A19" location="Contents!A1" display="Return to Contents" xr:uid="{00000000-0004-0000-0C00-00000100000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T52"/>
  <sheetViews>
    <sheetView workbookViewId="0">
      <selection activeCell="M9" sqref="M9"/>
    </sheetView>
  </sheetViews>
  <sheetFormatPr defaultColWidth="9.109375" defaultRowHeight="13.8" x14ac:dyDescent="0.45"/>
  <cols>
    <col min="1" max="1" width="11.44140625" style="28" customWidth="1"/>
    <col min="2" max="4" width="9.21875" style="28" customWidth="1"/>
    <col min="5" max="6" width="9.109375" style="28" customWidth="1"/>
    <col min="7" max="16384" width="9.109375" style="28"/>
  </cols>
  <sheetData>
    <row r="1" spans="1:15" ht="15" customHeight="1" x14ac:dyDescent="0.45"/>
    <row r="2" spans="1:15" ht="48.75" customHeight="1" x14ac:dyDescent="0.45">
      <c r="A2" s="355" t="s">
        <v>514</v>
      </c>
      <c r="B2" s="355"/>
      <c r="C2" s="355"/>
      <c r="D2" s="355"/>
      <c r="E2" s="355"/>
      <c r="F2" s="355"/>
      <c r="G2" s="355"/>
      <c r="H2" s="355"/>
      <c r="I2" s="355"/>
      <c r="J2" s="107"/>
      <c r="K2" s="107"/>
    </row>
    <row r="3" spans="1:15" ht="30" customHeight="1" x14ac:dyDescent="0.45">
      <c r="A3" s="361" t="s">
        <v>359</v>
      </c>
      <c r="B3" s="361"/>
      <c r="C3" s="361"/>
      <c r="D3" s="361"/>
      <c r="E3" s="361"/>
      <c r="F3" s="361"/>
      <c r="G3" s="361"/>
      <c r="H3" s="361"/>
      <c r="I3" s="361"/>
      <c r="J3" s="15"/>
      <c r="K3" s="15"/>
    </row>
    <row r="4" spans="1:15" ht="13.5" customHeight="1" thickBot="1" x14ac:dyDescent="0.5"/>
    <row r="5" spans="1:15" ht="16.5" customHeight="1" thickBot="1" x14ac:dyDescent="0.5">
      <c r="A5" s="213"/>
      <c r="B5" s="89" t="s">
        <v>268</v>
      </c>
      <c r="C5" s="89" t="s">
        <v>291</v>
      </c>
      <c r="D5" s="90" t="s">
        <v>373</v>
      </c>
      <c r="E5" s="46"/>
      <c r="F5" s="46"/>
      <c r="G5" s="46"/>
      <c r="H5" s="46"/>
      <c r="I5" s="46"/>
      <c r="J5" s="46"/>
      <c r="K5" s="46"/>
      <c r="L5" s="44"/>
      <c r="M5" s="44"/>
      <c r="N5" s="44"/>
      <c r="O5" s="44"/>
    </row>
    <row r="6" spans="1:15" ht="15" customHeight="1" x14ac:dyDescent="0.45">
      <c r="A6" s="76" t="s">
        <v>7</v>
      </c>
      <c r="B6" s="118">
        <v>62438.923809523825</v>
      </c>
      <c r="C6" s="118">
        <v>62259.366666666669</v>
      </c>
      <c r="D6" s="119">
        <v>64992.066666666666</v>
      </c>
      <c r="E6" s="46"/>
      <c r="F6" s="46"/>
      <c r="G6" s="46"/>
      <c r="H6" s="46"/>
      <c r="I6" s="46"/>
      <c r="J6" s="46"/>
      <c r="K6" s="46"/>
      <c r="L6" s="44"/>
      <c r="M6" s="44"/>
      <c r="N6" s="44"/>
      <c r="O6" s="44"/>
    </row>
    <row r="7" spans="1:15" ht="15" customHeight="1" x14ac:dyDescent="0.45">
      <c r="A7" s="77" t="s">
        <v>8</v>
      </c>
      <c r="B7" s="120">
        <v>62498.995391705088</v>
      </c>
      <c r="C7" s="120">
        <v>66785.161290322576</v>
      </c>
      <c r="D7" s="121">
        <v>66670.612903225803</v>
      </c>
      <c r="E7" s="46"/>
      <c r="F7" s="46"/>
      <c r="G7" s="46"/>
      <c r="H7" s="46"/>
      <c r="I7" s="46"/>
      <c r="J7" s="46"/>
      <c r="K7" s="46"/>
      <c r="L7" s="44"/>
      <c r="M7" s="44"/>
      <c r="N7" s="44"/>
      <c r="O7" s="44"/>
    </row>
    <row r="8" spans="1:15" ht="15" customHeight="1" x14ac:dyDescent="0.45">
      <c r="A8" s="77" t="s">
        <v>9</v>
      </c>
      <c r="B8" s="120">
        <v>63706.966666666667</v>
      </c>
      <c r="C8" s="120">
        <v>65293.4</v>
      </c>
      <c r="D8" s="121">
        <v>66468.53333333334</v>
      </c>
      <c r="E8" s="46"/>
      <c r="F8" s="46"/>
      <c r="G8" s="46"/>
      <c r="H8" s="46"/>
      <c r="I8" s="46"/>
      <c r="J8" s="46"/>
      <c r="K8" s="46"/>
      <c r="L8" s="44"/>
      <c r="M8" s="44"/>
      <c r="N8" s="44"/>
      <c r="O8" s="44"/>
    </row>
    <row r="9" spans="1:15" ht="15" customHeight="1" x14ac:dyDescent="0.45">
      <c r="A9" s="77" t="s">
        <v>10</v>
      </c>
      <c r="B9" s="120">
        <v>62996.612903225803</v>
      </c>
      <c r="C9" s="120">
        <v>67065.612903225803</v>
      </c>
      <c r="D9" s="121">
        <v>66901.419354838712</v>
      </c>
      <c r="E9" s="46"/>
      <c r="F9" s="46"/>
      <c r="G9" s="46"/>
      <c r="H9" s="46"/>
      <c r="I9" s="46"/>
      <c r="J9" s="46"/>
      <c r="K9" s="46"/>
      <c r="L9" s="44"/>
      <c r="M9" s="44"/>
      <c r="N9" s="44"/>
      <c r="O9" s="44"/>
    </row>
    <row r="10" spans="1:15" ht="15" customHeight="1" x14ac:dyDescent="0.45">
      <c r="A10" s="77" t="s">
        <v>11</v>
      </c>
      <c r="B10" s="120">
        <v>60165.774193548386</v>
      </c>
      <c r="C10" s="120">
        <v>62351.645161290326</v>
      </c>
      <c r="D10" s="121">
        <v>62085.903225806454</v>
      </c>
      <c r="E10" s="46"/>
      <c r="F10" s="46"/>
      <c r="G10" s="46"/>
      <c r="H10" s="46"/>
      <c r="I10" s="46"/>
      <c r="J10" s="46"/>
      <c r="K10" s="46"/>
      <c r="L10" s="44"/>
      <c r="M10" s="44"/>
      <c r="N10" s="44"/>
      <c r="O10" s="44"/>
    </row>
    <row r="11" spans="1:15" ht="15" customHeight="1" x14ac:dyDescent="0.45">
      <c r="A11" s="77" t="s">
        <v>12</v>
      </c>
      <c r="B11" s="120">
        <v>61999.3</v>
      </c>
      <c r="C11" s="120">
        <v>65082.133333333331</v>
      </c>
      <c r="D11" s="121">
        <v>64198.7</v>
      </c>
      <c r="E11" s="46"/>
      <c r="F11" s="46"/>
      <c r="G11" s="46"/>
      <c r="H11" s="46"/>
      <c r="I11" s="46"/>
      <c r="J11" s="46"/>
      <c r="K11" s="46"/>
      <c r="L11" s="44"/>
      <c r="M11" s="44"/>
      <c r="N11" s="44"/>
      <c r="O11" s="44"/>
    </row>
    <row r="12" spans="1:15" ht="15" customHeight="1" x14ac:dyDescent="0.45">
      <c r="A12" s="69" t="s">
        <v>13</v>
      </c>
      <c r="B12" s="120">
        <v>62035.741935483871</v>
      </c>
      <c r="C12" s="120">
        <v>64574.709677419356</v>
      </c>
      <c r="D12" s="121">
        <v>65939.903225806454</v>
      </c>
      <c r="E12" s="46"/>
      <c r="F12" s="46"/>
      <c r="G12" s="46"/>
      <c r="H12" s="46"/>
      <c r="I12" s="46"/>
      <c r="J12" s="46"/>
      <c r="K12" s="46"/>
      <c r="L12" s="44"/>
      <c r="M12" s="44"/>
      <c r="N12" s="44"/>
      <c r="O12" s="44"/>
    </row>
    <row r="13" spans="1:15" ht="15" customHeight="1" x14ac:dyDescent="0.45">
      <c r="A13" s="69" t="s">
        <v>14</v>
      </c>
      <c r="B13" s="120">
        <v>62474.5</v>
      </c>
      <c r="C13" s="120">
        <v>63595.7</v>
      </c>
      <c r="D13" s="121">
        <v>65899.03333333334</v>
      </c>
      <c r="E13" s="46"/>
      <c r="F13" s="46"/>
      <c r="G13" s="46"/>
      <c r="H13" s="46"/>
      <c r="I13" s="46"/>
      <c r="J13" s="46"/>
      <c r="K13" s="46"/>
      <c r="L13" s="44"/>
      <c r="M13" s="44"/>
      <c r="N13" s="44"/>
      <c r="O13" s="44"/>
    </row>
    <row r="14" spans="1:15" ht="15" customHeight="1" x14ac:dyDescent="0.45">
      <c r="A14" s="69" t="s">
        <v>15</v>
      </c>
      <c r="B14" s="120">
        <v>60246.838709677417</v>
      </c>
      <c r="C14" s="120">
        <v>62727.967741935485</v>
      </c>
      <c r="D14" s="121">
        <v>64643.677419354841</v>
      </c>
      <c r="E14" s="46"/>
      <c r="F14" s="46"/>
      <c r="G14" s="46"/>
      <c r="H14" s="46"/>
      <c r="I14" s="46"/>
      <c r="J14" s="46"/>
      <c r="K14" s="46"/>
      <c r="L14" s="44"/>
      <c r="M14" s="44"/>
      <c r="N14" s="44"/>
      <c r="O14" s="44"/>
    </row>
    <row r="15" spans="1:15" ht="15" customHeight="1" x14ac:dyDescent="0.45">
      <c r="A15" s="69" t="s">
        <v>16</v>
      </c>
      <c r="B15" s="120">
        <v>61513.562211981611</v>
      </c>
      <c r="C15" s="120">
        <v>61137.806451612902</v>
      </c>
      <c r="D15" s="121">
        <v>64518.903225806454</v>
      </c>
      <c r="E15" s="46"/>
      <c r="F15" s="46"/>
      <c r="G15" s="46"/>
      <c r="H15" s="46"/>
      <c r="I15" s="46"/>
      <c r="J15" s="46"/>
      <c r="K15" s="46"/>
      <c r="L15" s="44"/>
      <c r="M15" s="44"/>
      <c r="N15" s="44"/>
      <c r="O15" s="44"/>
    </row>
    <row r="16" spans="1:15" ht="15" customHeight="1" x14ac:dyDescent="0.45">
      <c r="A16" s="69" t="s">
        <v>17</v>
      </c>
      <c r="B16" s="120">
        <v>64509.517241379312</v>
      </c>
      <c r="C16" s="120">
        <v>61986.392857142855</v>
      </c>
      <c r="D16" s="121">
        <v>65000.428571428572</v>
      </c>
      <c r="E16" s="46"/>
      <c r="F16" s="46"/>
      <c r="G16" s="46"/>
      <c r="H16" s="46"/>
      <c r="I16" s="46"/>
      <c r="J16" s="46"/>
      <c r="K16" s="46"/>
      <c r="L16" s="44"/>
      <c r="M16" s="44"/>
      <c r="N16" s="44"/>
      <c r="O16" s="44"/>
    </row>
    <row r="17" spans="1:20" ht="15" customHeight="1" thickBot="1" x14ac:dyDescent="0.5">
      <c r="A17" s="78" t="s">
        <v>18</v>
      </c>
      <c r="B17" s="122">
        <v>67340.419354838712</v>
      </c>
      <c r="C17" s="122">
        <v>65026.903225806454</v>
      </c>
      <c r="D17" s="123">
        <v>66122.096774193546</v>
      </c>
      <c r="E17" s="46"/>
      <c r="F17" s="46"/>
      <c r="G17" s="46"/>
      <c r="H17" s="46"/>
      <c r="I17" s="46"/>
      <c r="J17" s="46"/>
      <c r="K17" s="46"/>
      <c r="L17" s="44"/>
      <c r="M17" s="44"/>
      <c r="N17" s="44"/>
      <c r="O17" s="44"/>
    </row>
    <row r="18" spans="1:20" x14ac:dyDescent="0.45">
      <c r="A18" s="11"/>
      <c r="B18" s="12"/>
      <c r="C18" s="12"/>
      <c r="D18" s="12"/>
      <c r="E18" s="20"/>
      <c r="F18" s="20"/>
      <c r="G18" s="20"/>
      <c r="H18" s="46"/>
      <c r="I18" s="46"/>
      <c r="J18" s="46"/>
      <c r="K18" s="46"/>
      <c r="L18" s="44"/>
      <c r="M18" s="44"/>
      <c r="N18" s="44"/>
      <c r="O18" s="44"/>
      <c r="P18" s="44"/>
    </row>
    <row r="19" spans="1:20" ht="14.25" customHeight="1" x14ac:dyDescent="0.45">
      <c r="A19" s="375" t="s">
        <v>333</v>
      </c>
      <c r="B19" s="375"/>
      <c r="C19" s="375"/>
      <c r="D19" s="375"/>
      <c r="E19" s="375"/>
      <c r="F19" s="375"/>
      <c r="G19" s="375"/>
      <c r="H19" s="375"/>
      <c r="I19" s="375"/>
      <c r="J19" s="100"/>
      <c r="K19" s="39"/>
      <c r="L19" s="39"/>
      <c r="M19" s="39"/>
      <c r="N19" s="39"/>
      <c r="O19" s="39"/>
      <c r="P19" s="39"/>
      <c r="Q19" s="39"/>
      <c r="R19" s="39"/>
    </row>
    <row r="20" spans="1:20" ht="28.5" customHeight="1" x14ac:dyDescent="0.45">
      <c r="A20" s="357" t="s">
        <v>383</v>
      </c>
      <c r="B20" s="358"/>
      <c r="C20" s="358"/>
      <c r="D20" s="358"/>
      <c r="E20" s="358"/>
      <c r="F20" s="358"/>
      <c r="G20" s="358"/>
      <c r="H20" s="358"/>
      <c r="I20" s="358"/>
      <c r="J20" s="202"/>
      <c r="K20" s="39"/>
      <c r="L20" s="39"/>
      <c r="M20" s="39"/>
      <c r="N20" s="39"/>
      <c r="O20" s="39"/>
      <c r="P20" s="39"/>
      <c r="Q20" s="39"/>
      <c r="R20" s="39"/>
    </row>
    <row r="21" spans="1:20" ht="14.25" customHeight="1" x14ac:dyDescent="0.45">
      <c r="A21" s="112"/>
      <c r="B21" s="112"/>
      <c r="C21" s="112"/>
      <c r="D21" s="112"/>
      <c r="E21" s="112"/>
      <c r="F21" s="112"/>
      <c r="G21" s="112"/>
      <c r="H21" s="108"/>
      <c r="I21" s="100"/>
      <c r="J21" s="100"/>
      <c r="K21" s="39"/>
      <c r="L21" s="39"/>
      <c r="M21" s="39"/>
      <c r="N21" s="39"/>
      <c r="O21" s="39"/>
      <c r="P21" s="39"/>
      <c r="Q21" s="39"/>
      <c r="R21" s="39"/>
    </row>
    <row r="22" spans="1:20" ht="15" customHeight="1" thickBot="1" x14ac:dyDescent="0.5">
      <c r="A22" s="365" t="s">
        <v>1</v>
      </c>
      <c r="B22" s="365"/>
      <c r="C22" s="365"/>
      <c r="D22" s="365"/>
      <c r="E22" s="365"/>
      <c r="F22" s="365"/>
      <c r="G22" s="365"/>
      <c r="H22" s="365"/>
      <c r="I22" s="365"/>
      <c r="J22" s="203"/>
    </row>
    <row r="23" spans="1:20" ht="14.25" customHeight="1" x14ac:dyDescent="0.45">
      <c r="A23" s="359" t="s">
        <v>376</v>
      </c>
      <c r="B23" s="359"/>
      <c r="C23" s="359"/>
      <c r="D23" s="359"/>
      <c r="E23" s="359"/>
      <c r="F23" s="359"/>
      <c r="G23" s="359"/>
      <c r="H23" s="359"/>
      <c r="I23" s="359"/>
      <c r="J23" s="200"/>
    </row>
    <row r="24" spans="1:20" ht="14.25" customHeight="1" x14ac:dyDescent="0.45">
      <c r="A24" s="353" t="s">
        <v>353</v>
      </c>
      <c r="B24" s="353"/>
      <c r="C24" s="353"/>
      <c r="D24" s="353"/>
      <c r="E24" s="353"/>
      <c r="F24" s="353"/>
      <c r="G24" s="353"/>
      <c r="H24" s="353"/>
      <c r="I24" s="353"/>
    </row>
    <row r="25" spans="1:20" ht="14.25" customHeight="1" x14ac:dyDescent="0.45">
      <c r="A25" s="349" t="s">
        <v>269</v>
      </c>
      <c r="B25" s="349"/>
      <c r="C25" s="349"/>
      <c r="D25" s="349"/>
      <c r="E25" s="349"/>
      <c r="F25" s="349"/>
      <c r="G25" s="349"/>
      <c r="H25" s="349"/>
      <c r="I25" s="349"/>
      <c r="J25" s="201"/>
    </row>
    <row r="26" spans="1:20" ht="15" customHeight="1" thickBot="1" x14ac:dyDescent="0.5">
      <c r="A26" s="350" t="s">
        <v>374</v>
      </c>
      <c r="B26" s="350"/>
      <c r="C26" s="350"/>
      <c r="D26" s="350"/>
      <c r="E26" s="350"/>
      <c r="F26" s="350"/>
      <c r="G26" s="350"/>
      <c r="H26" s="350"/>
      <c r="I26" s="350"/>
      <c r="J26" s="11"/>
    </row>
    <row r="27" spans="1:20" x14ac:dyDescent="0.45">
      <c r="A27" s="29"/>
      <c r="B27" s="30"/>
      <c r="C27" s="30"/>
      <c r="D27" s="30"/>
      <c r="E27" s="30"/>
      <c r="F27" s="30"/>
      <c r="G27" s="30"/>
      <c r="S27" s="37"/>
      <c r="T27" s="37"/>
    </row>
    <row r="28" spans="1:20" x14ac:dyDescent="0.45">
      <c r="A28" s="351" t="s">
        <v>274</v>
      </c>
      <c r="B28" s="351"/>
      <c r="C28" s="30"/>
      <c r="D28" s="30"/>
      <c r="E28" s="30"/>
      <c r="F28" s="30"/>
      <c r="G28" s="31"/>
      <c r="S28" s="37"/>
      <c r="T28" s="37"/>
    </row>
    <row r="29" spans="1:20" x14ac:dyDescent="0.45">
      <c r="A29" s="11"/>
      <c r="B29" s="30"/>
      <c r="C29" s="30"/>
      <c r="D29" s="30"/>
      <c r="E29" s="30"/>
      <c r="F29" s="30"/>
      <c r="S29" s="37"/>
      <c r="T29" s="37"/>
    </row>
    <row r="30" spans="1:20" x14ac:dyDescent="0.45">
      <c r="A30" s="20"/>
      <c r="B30" s="47"/>
      <c r="C30" s="47"/>
      <c r="D30" s="47"/>
      <c r="E30" s="47"/>
      <c r="F30" s="47"/>
      <c r="G30" s="44"/>
      <c r="H30" s="44"/>
      <c r="I30" s="44"/>
      <c r="J30" s="44"/>
      <c r="K30" s="44"/>
      <c r="L30" s="44"/>
      <c r="M30" s="44"/>
      <c r="S30" s="37"/>
      <c r="T30" s="37"/>
    </row>
    <row r="31" spans="1:20" x14ac:dyDescent="0.45">
      <c r="A31" s="44"/>
      <c r="B31" s="44"/>
      <c r="C31" s="44"/>
      <c r="D31" s="44"/>
      <c r="E31" s="44"/>
      <c r="F31" s="44"/>
      <c r="G31" s="44"/>
      <c r="H31" s="44"/>
      <c r="I31" s="44"/>
      <c r="J31" s="44"/>
      <c r="K31" s="44"/>
      <c r="L31" s="44"/>
      <c r="M31" s="44"/>
      <c r="N31" s="37"/>
      <c r="O31" s="37"/>
      <c r="P31" s="37"/>
      <c r="Q31" s="37"/>
      <c r="R31" s="37"/>
      <c r="S31" s="37"/>
      <c r="T31" s="37"/>
    </row>
    <row r="32" spans="1:20" x14ac:dyDescent="0.45">
      <c r="A32" s="44"/>
      <c r="B32" s="21"/>
      <c r="C32" s="44"/>
      <c r="D32" s="44"/>
      <c r="E32" s="44"/>
      <c r="F32" s="44"/>
      <c r="G32" s="44"/>
      <c r="H32" s="44"/>
      <c r="I32" s="44"/>
      <c r="J32" s="44"/>
      <c r="K32" s="44"/>
      <c r="L32" s="44"/>
      <c r="M32" s="44"/>
      <c r="N32" s="44"/>
      <c r="O32" s="37"/>
      <c r="P32" s="37"/>
      <c r="Q32" s="37"/>
      <c r="R32" s="37"/>
      <c r="S32" s="37"/>
      <c r="T32" s="37"/>
    </row>
    <row r="33" spans="1:20" x14ac:dyDescent="0.45">
      <c r="A33" s="44"/>
      <c r="B33" s="21"/>
      <c r="C33" s="44"/>
      <c r="D33" s="44"/>
      <c r="E33" s="44"/>
      <c r="F33" s="44"/>
      <c r="G33" s="44"/>
      <c r="H33" s="44"/>
      <c r="I33" s="44"/>
      <c r="J33" s="44"/>
      <c r="K33" s="44"/>
      <c r="L33" s="44"/>
      <c r="M33" s="44"/>
      <c r="N33" s="44"/>
      <c r="O33" s="37"/>
      <c r="P33" s="37"/>
      <c r="Q33" s="37"/>
      <c r="R33" s="37"/>
      <c r="S33" s="37"/>
      <c r="T33" s="37"/>
    </row>
    <row r="34" spans="1:20" x14ac:dyDescent="0.45">
      <c r="A34" s="48"/>
      <c r="B34" s="44"/>
      <c r="C34" s="44"/>
      <c r="D34" s="44"/>
      <c r="E34" s="44"/>
      <c r="F34" s="44"/>
      <c r="G34" s="44"/>
      <c r="H34" s="44"/>
      <c r="I34" s="44"/>
      <c r="J34" s="44"/>
      <c r="K34" s="44"/>
      <c r="L34" s="44"/>
      <c r="M34" s="44"/>
      <c r="N34" s="44"/>
      <c r="O34" s="37"/>
      <c r="P34" s="37"/>
      <c r="Q34" s="37"/>
      <c r="R34" s="37"/>
      <c r="S34" s="37"/>
      <c r="T34" s="37"/>
    </row>
    <row r="35" spans="1:20" x14ac:dyDescent="0.45">
      <c r="A35" s="48"/>
      <c r="B35" s="44"/>
      <c r="C35" s="44"/>
      <c r="D35" s="44"/>
      <c r="E35" s="44"/>
      <c r="F35" s="44"/>
      <c r="G35" s="44"/>
      <c r="H35" s="44"/>
      <c r="I35" s="44"/>
      <c r="J35" s="44"/>
      <c r="K35" s="44"/>
      <c r="L35" s="44"/>
      <c r="M35" s="44"/>
      <c r="N35" s="44"/>
      <c r="O35" s="37"/>
      <c r="P35" s="37"/>
      <c r="Q35" s="37"/>
      <c r="R35" s="37"/>
      <c r="S35" s="37"/>
      <c r="T35" s="37"/>
    </row>
    <row r="36" spans="1:20" x14ac:dyDescent="0.45">
      <c r="A36" s="48"/>
      <c r="B36" s="44"/>
      <c r="C36" s="44"/>
      <c r="D36" s="44"/>
      <c r="E36" s="44"/>
      <c r="F36" s="44"/>
      <c r="G36" s="44"/>
      <c r="H36" s="44"/>
      <c r="I36" s="44"/>
      <c r="J36" s="44"/>
      <c r="K36" s="44"/>
      <c r="L36" s="44"/>
      <c r="M36" s="44"/>
      <c r="N36" s="44"/>
      <c r="O36" s="37"/>
      <c r="P36" s="37"/>
      <c r="Q36" s="37"/>
      <c r="R36" s="37"/>
      <c r="S36" s="37"/>
      <c r="T36" s="37"/>
    </row>
    <row r="37" spans="1:20" x14ac:dyDescent="0.45">
      <c r="A37" s="48"/>
      <c r="B37" s="44"/>
      <c r="C37" s="44"/>
      <c r="D37" s="44"/>
      <c r="E37" s="44"/>
      <c r="F37" s="44"/>
      <c r="G37" s="44"/>
      <c r="H37" s="44"/>
      <c r="I37" s="44"/>
      <c r="J37" s="44"/>
      <c r="K37" s="44"/>
      <c r="L37" s="44"/>
      <c r="M37" s="44"/>
      <c r="N37" s="44"/>
      <c r="O37" s="37"/>
      <c r="P37" s="37"/>
      <c r="Q37" s="37"/>
      <c r="R37" s="37"/>
      <c r="S37" s="37"/>
      <c r="T37" s="37"/>
    </row>
    <row r="38" spans="1:20" x14ac:dyDescent="0.45">
      <c r="A38" s="48"/>
      <c r="B38" s="44"/>
      <c r="C38" s="44"/>
      <c r="D38" s="44"/>
      <c r="E38" s="44"/>
      <c r="F38" s="44"/>
      <c r="G38" s="44"/>
      <c r="H38" s="44"/>
      <c r="I38" s="44"/>
      <c r="J38" s="44"/>
      <c r="K38" s="44"/>
      <c r="L38" s="44"/>
      <c r="M38" s="44"/>
      <c r="N38" s="44"/>
      <c r="O38" s="37"/>
      <c r="P38" s="37"/>
      <c r="Q38" s="37"/>
      <c r="R38" s="37"/>
      <c r="S38" s="37"/>
      <c r="T38" s="37"/>
    </row>
    <row r="39" spans="1:20" x14ac:dyDescent="0.45">
      <c r="A39" s="48"/>
      <c r="B39" s="44"/>
      <c r="C39" s="44"/>
      <c r="D39" s="44"/>
      <c r="E39" s="44"/>
      <c r="F39" s="44"/>
      <c r="G39" s="44"/>
      <c r="H39" s="44"/>
      <c r="I39" s="44"/>
      <c r="J39" s="44"/>
      <c r="K39" s="44"/>
      <c r="L39" s="44"/>
      <c r="M39" s="44"/>
      <c r="N39" s="44"/>
      <c r="O39" s="37"/>
      <c r="P39" s="37"/>
      <c r="Q39" s="37"/>
      <c r="R39" s="37"/>
      <c r="S39" s="37"/>
      <c r="T39" s="37"/>
    </row>
    <row r="40" spans="1:20" x14ac:dyDescent="0.45">
      <c r="A40" s="48"/>
      <c r="B40" s="44"/>
      <c r="C40" s="44"/>
      <c r="D40" s="44"/>
      <c r="E40" s="44"/>
      <c r="F40" s="44"/>
      <c r="G40" s="44"/>
      <c r="H40" s="44"/>
      <c r="I40" s="44"/>
      <c r="J40" s="44"/>
      <c r="K40" s="44"/>
      <c r="L40" s="44"/>
      <c r="M40" s="44"/>
      <c r="N40" s="44"/>
      <c r="O40" s="37"/>
      <c r="P40" s="37"/>
      <c r="Q40" s="37"/>
      <c r="R40" s="37"/>
      <c r="S40" s="37"/>
      <c r="T40" s="37"/>
    </row>
    <row r="41" spans="1:20" x14ac:dyDescent="0.45">
      <c r="A41" s="48"/>
      <c r="B41" s="44"/>
      <c r="C41" s="44"/>
      <c r="D41" s="44"/>
      <c r="E41" s="44"/>
      <c r="F41" s="44"/>
      <c r="G41" s="44"/>
      <c r="H41" s="44"/>
      <c r="I41" s="44"/>
      <c r="J41" s="44"/>
      <c r="K41" s="44"/>
      <c r="L41" s="44"/>
      <c r="M41" s="44"/>
      <c r="N41" s="44"/>
      <c r="O41" s="37"/>
      <c r="P41" s="37"/>
      <c r="Q41" s="37"/>
      <c r="R41" s="37"/>
      <c r="S41" s="37"/>
      <c r="T41" s="37"/>
    </row>
    <row r="42" spans="1:20" x14ac:dyDescent="0.45">
      <c r="A42" s="48"/>
      <c r="B42" s="44"/>
      <c r="C42" s="44"/>
      <c r="D42" s="44"/>
      <c r="E42" s="44"/>
      <c r="F42" s="44"/>
      <c r="G42" s="44"/>
      <c r="H42" s="44"/>
      <c r="I42" s="44"/>
      <c r="J42" s="44"/>
      <c r="K42" s="44"/>
      <c r="L42" s="44"/>
      <c r="M42" s="44"/>
      <c r="N42" s="44"/>
      <c r="O42" s="37"/>
      <c r="P42" s="37"/>
      <c r="Q42" s="37"/>
      <c r="R42" s="37"/>
      <c r="S42" s="37"/>
      <c r="T42" s="37"/>
    </row>
    <row r="43" spans="1:20" x14ac:dyDescent="0.45">
      <c r="A43" s="48"/>
      <c r="B43" s="44"/>
      <c r="C43" s="44"/>
      <c r="D43" s="44"/>
      <c r="E43" s="44"/>
      <c r="F43" s="44"/>
      <c r="G43" s="44"/>
      <c r="H43" s="44"/>
      <c r="I43" s="44"/>
      <c r="J43" s="44"/>
      <c r="K43" s="44"/>
      <c r="L43" s="44"/>
      <c r="M43" s="44"/>
      <c r="N43" s="44"/>
      <c r="O43" s="37"/>
      <c r="P43" s="37"/>
      <c r="Q43" s="37"/>
      <c r="R43" s="37"/>
      <c r="S43" s="37"/>
      <c r="T43" s="37"/>
    </row>
    <row r="44" spans="1:20" x14ac:dyDescent="0.45">
      <c r="A44" s="48"/>
      <c r="B44" s="44"/>
      <c r="C44" s="44"/>
      <c r="D44" s="44"/>
      <c r="E44" s="44"/>
      <c r="F44" s="44"/>
      <c r="G44" s="44"/>
      <c r="H44" s="44"/>
      <c r="I44" s="44"/>
      <c r="J44" s="44"/>
      <c r="K44" s="44"/>
      <c r="L44" s="44"/>
      <c r="M44" s="44"/>
      <c r="N44" s="44"/>
      <c r="O44" s="37"/>
      <c r="P44" s="37"/>
      <c r="Q44" s="37"/>
      <c r="R44" s="37"/>
      <c r="S44" s="37"/>
      <c r="T44" s="37"/>
    </row>
    <row r="45" spans="1:20" x14ac:dyDescent="0.45">
      <c r="A45" s="48"/>
      <c r="B45" s="44"/>
      <c r="C45" s="44"/>
      <c r="D45" s="44"/>
      <c r="E45" s="44"/>
      <c r="F45" s="44"/>
      <c r="G45" s="44"/>
      <c r="H45" s="44"/>
      <c r="I45" s="44"/>
      <c r="J45" s="44"/>
      <c r="K45" s="44"/>
      <c r="L45" s="44"/>
      <c r="M45" s="44"/>
      <c r="N45" s="44"/>
      <c r="O45" s="37"/>
      <c r="P45" s="37"/>
      <c r="Q45" s="37"/>
      <c r="R45" s="37"/>
    </row>
    <row r="46" spans="1:20" x14ac:dyDescent="0.45">
      <c r="A46" s="44"/>
      <c r="B46" s="44"/>
      <c r="C46" s="44"/>
      <c r="D46" s="44"/>
      <c r="E46" s="44"/>
      <c r="F46" s="44"/>
      <c r="G46" s="44"/>
      <c r="H46" s="44"/>
      <c r="I46" s="44"/>
      <c r="J46" s="44"/>
      <c r="K46" s="44"/>
      <c r="L46" s="44"/>
      <c r="M46" s="44"/>
      <c r="N46" s="44"/>
      <c r="O46" s="37"/>
      <c r="P46" s="37"/>
      <c r="Q46" s="37"/>
      <c r="R46" s="37"/>
    </row>
    <row r="47" spans="1:20" x14ac:dyDescent="0.45">
      <c r="A47" s="44"/>
      <c r="B47" s="44"/>
      <c r="C47" s="44"/>
      <c r="D47" s="44"/>
      <c r="E47" s="44"/>
      <c r="F47" s="44"/>
      <c r="G47" s="44"/>
      <c r="H47" s="44"/>
      <c r="I47" s="44"/>
      <c r="J47" s="44"/>
      <c r="K47" s="44"/>
      <c r="L47" s="44"/>
      <c r="M47" s="44"/>
      <c r="N47" s="44"/>
      <c r="O47" s="37"/>
      <c r="P47" s="37"/>
      <c r="Q47" s="37"/>
      <c r="R47" s="37"/>
    </row>
    <row r="48" spans="1:20" x14ac:dyDescent="0.45">
      <c r="A48" s="44"/>
      <c r="B48" s="44"/>
      <c r="C48" s="44"/>
      <c r="D48" s="44"/>
      <c r="E48" s="44"/>
      <c r="F48" s="44"/>
      <c r="G48" s="44"/>
      <c r="H48" s="44"/>
      <c r="I48" s="44"/>
      <c r="J48" s="44"/>
      <c r="K48" s="44"/>
      <c r="L48" s="44"/>
      <c r="M48" s="44"/>
      <c r="N48" s="44"/>
      <c r="O48" s="37"/>
      <c r="P48" s="37"/>
      <c r="Q48" s="37"/>
      <c r="R48" s="37"/>
    </row>
    <row r="49" spans="1:13" x14ac:dyDescent="0.45">
      <c r="A49" s="44"/>
      <c r="B49" s="44"/>
      <c r="G49" s="44"/>
      <c r="H49" s="44"/>
      <c r="I49" s="44"/>
      <c r="J49" s="44"/>
      <c r="K49" s="44"/>
      <c r="L49" s="44"/>
      <c r="M49" s="44"/>
    </row>
    <row r="50" spans="1:13" x14ac:dyDescent="0.45">
      <c r="A50" s="44"/>
      <c r="B50" s="44"/>
      <c r="G50" s="44"/>
      <c r="H50" s="44"/>
      <c r="I50" s="44"/>
      <c r="J50" s="44"/>
      <c r="K50" s="44"/>
      <c r="L50" s="44"/>
      <c r="M50" s="44"/>
    </row>
    <row r="51" spans="1:13" x14ac:dyDescent="0.45">
      <c r="A51" s="44"/>
      <c r="B51" s="44"/>
      <c r="G51" s="44"/>
      <c r="H51" s="44"/>
      <c r="I51" s="44"/>
      <c r="J51" s="44"/>
      <c r="K51" s="44"/>
      <c r="L51" s="44"/>
      <c r="M51" s="44"/>
    </row>
    <row r="52" spans="1:13" x14ac:dyDescent="0.45">
      <c r="A52" s="44"/>
      <c r="B52" s="44"/>
      <c r="G52" s="44"/>
      <c r="H52" s="44"/>
      <c r="I52" s="44"/>
      <c r="J52" s="44"/>
      <c r="K52" s="44"/>
      <c r="L52" s="44"/>
      <c r="M52" s="44"/>
    </row>
  </sheetData>
  <mergeCells count="10">
    <mergeCell ref="A28:B28"/>
    <mergeCell ref="A2:I2"/>
    <mergeCell ref="A19:I19"/>
    <mergeCell ref="A20:I20"/>
    <mergeCell ref="A22:I22"/>
    <mergeCell ref="A23:I23"/>
    <mergeCell ref="A24:I24"/>
    <mergeCell ref="A25:I25"/>
    <mergeCell ref="A26:I26"/>
    <mergeCell ref="A3:I3"/>
  </mergeCells>
  <hyperlinks>
    <hyperlink ref="A25:F25" r:id="rId1" display="Contact via enquiries@NHSDigital.nhs.uk or 0300 303 5678" xr:uid="{00000000-0004-0000-0D00-000000000000}"/>
    <hyperlink ref="A28" location="Contents!A1" display="Return to Contents" xr:uid="{00000000-0004-0000-0D00-000001000000}"/>
    <hyperlink ref="A20" r:id="rId2" xr:uid="{D127DF73-F7B1-4341-B7C2-D35D843EBBDA}"/>
  </hyperlinks>
  <pageMargins left="0.7" right="0.7" top="0.75" bottom="0.75" header="0.3" footer="0.3"/>
  <pageSetup paperSize="9"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S51"/>
  <sheetViews>
    <sheetView workbookViewId="0">
      <selection activeCell="M9" sqref="M9"/>
    </sheetView>
  </sheetViews>
  <sheetFormatPr defaultColWidth="9.109375" defaultRowHeight="13.8" x14ac:dyDescent="0.45"/>
  <cols>
    <col min="1" max="1" width="11.44140625" style="28" customWidth="1"/>
    <col min="2" max="13" width="12.88671875" style="28" customWidth="1"/>
    <col min="14" max="16384" width="9.109375" style="28"/>
  </cols>
  <sheetData>
    <row r="1" spans="1:16" ht="15" customHeight="1" x14ac:dyDescent="0.45"/>
    <row r="2" spans="1:16" ht="48.75" customHeight="1" x14ac:dyDescent="0.45">
      <c r="A2" s="355" t="s">
        <v>515</v>
      </c>
      <c r="B2" s="355"/>
      <c r="C2" s="355"/>
      <c r="D2" s="355"/>
      <c r="E2" s="355"/>
      <c r="F2" s="355"/>
      <c r="G2" s="355"/>
      <c r="H2" s="355"/>
      <c r="I2" s="355"/>
      <c r="J2" s="355"/>
      <c r="K2" s="107"/>
    </row>
    <row r="3" spans="1:16" ht="30" customHeight="1" x14ac:dyDescent="0.45">
      <c r="A3" s="361" t="s">
        <v>359</v>
      </c>
      <c r="B3" s="361"/>
      <c r="C3" s="361"/>
      <c r="D3" s="361"/>
      <c r="E3" s="361"/>
      <c r="F3" s="361"/>
      <c r="G3" s="361"/>
      <c r="H3" s="361"/>
      <c r="I3" s="361"/>
      <c r="J3" s="361"/>
      <c r="K3" s="361"/>
    </row>
    <row r="4" spans="1:16" ht="13.5" customHeight="1" thickBot="1" x14ac:dyDescent="0.5"/>
    <row r="5" spans="1:16" ht="13.5" customHeight="1" thickBot="1" x14ac:dyDescent="0.5">
      <c r="B5" s="376" t="s">
        <v>268</v>
      </c>
      <c r="C5" s="377"/>
      <c r="D5" s="378"/>
      <c r="E5" s="376" t="s">
        <v>291</v>
      </c>
      <c r="F5" s="377"/>
      <c r="G5" s="378"/>
      <c r="H5" s="376" t="s">
        <v>373</v>
      </c>
      <c r="I5" s="377"/>
      <c r="J5" s="378"/>
    </row>
    <row r="6" spans="1:16" ht="45" customHeight="1" thickBot="1" x14ac:dyDescent="0.5">
      <c r="A6" s="214" t="s">
        <v>360</v>
      </c>
      <c r="B6" s="161" t="s">
        <v>357</v>
      </c>
      <c r="C6" s="164" t="s">
        <v>355</v>
      </c>
      <c r="D6" s="165" t="s">
        <v>356</v>
      </c>
      <c r="E6" s="163" t="s">
        <v>357</v>
      </c>
      <c r="F6" s="164" t="s">
        <v>355</v>
      </c>
      <c r="G6" s="162" t="s">
        <v>356</v>
      </c>
      <c r="H6" s="163" t="s">
        <v>357</v>
      </c>
      <c r="I6" s="164" t="s">
        <v>355</v>
      </c>
      <c r="J6" s="162" t="s">
        <v>356</v>
      </c>
    </row>
    <row r="7" spans="1:16" ht="15" customHeight="1" x14ac:dyDescent="0.45">
      <c r="A7" s="76" t="s">
        <v>7</v>
      </c>
      <c r="B7" s="166">
        <v>332366.8571428571</v>
      </c>
      <c r="C7" s="156">
        <v>1873167.7142857148</v>
      </c>
      <c r="D7" s="157">
        <v>0.17743571737226788</v>
      </c>
      <c r="E7" s="166">
        <v>338213</v>
      </c>
      <c r="F7" s="156">
        <v>1867781</v>
      </c>
      <c r="G7" s="157">
        <v>0.18107743895028378</v>
      </c>
      <c r="H7" s="166">
        <v>352565</v>
      </c>
      <c r="I7" s="156">
        <v>1949762</v>
      </c>
      <c r="J7" s="157">
        <v>0.18082463398096793</v>
      </c>
      <c r="K7" s="44"/>
      <c r="L7" s="44"/>
      <c r="M7" s="44"/>
      <c r="N7" s="44"/>
      <c r="O7" s="44"/>
      <c r="P7" s="44"/>
    </row>
    <row r="8" spans="1:16" ht="15" customHeight="1" x14ac:dyDescent="0.45">
      <c r="A8" s="77" t="s">
        <v>8</v>
      </c>
      <c r="B8" s="167">
        <v>345372.42857142864</v>
      </c>
      <c r="C8" s="155">
        <v>1937468.8571428577</v>
      </c>
      <c r="D8" s="158">
        <v>0.17825960262439608</v>
      </c>
      <c r="E8" s="167">
        <v>364380</v>
      </c>
      <c r="F8" s="155">
        <v>2070340</v>
      </c>
      <c r="G8" s="158">
        <v>0.17600007728199232</v>
      </c>
      <c r="H8" s="167">
        <v>374470</v>
      </c>
      <c r="I8" s="155">
        <v>2066789</v>
      </c>
      <c r="J8" s="158">
        <v>0.18118443634062306</v>
      </c>
      <c r="K8" s="44"/>
      <c r="L8" s="44"/>
      <c r="M8" s="44"/>
      <c r="N8" s="44"/>
      <c r="O8" s="44"/>
      <c r="P8" s="44"/>
    </row>
    <row r="9" spans="1:16" ht="15" customHeight="1" x14ac:dyDescent="0.45">
      <c r="A9" s="77" t="s">
        <v>9</v>
      </c>
      <c r="B9" s="167">
        <v>333981</v>
      </c>
      <c r="C9" s="155">
        <v>1911209</v>
      </c>
      <c r="D9" s="158">
        <v>0.17474854921675234</v>
      </c>
      <c r="E9" s="167">
        <v>350960</v>
      </c>
      <c r="F9" s="155">
        <v>1958802</v>
      </c>
      <c r="G9" s="158">
        <v>0.17917073803273634</v>
      </c>
      <c r="H9" s="167">
        <v>361193</v>
      </c>
      <c r="I9" s="155">
        <v>1994056</v>
      </c>
      <c r="J9" s="158">
        <v>0.18113483272285233</v>
      </c>
      <c r="K9" s="44"/>
      <c r="L9" s="44"/>
      <c r="M9" s="44"/>
      <c r="N9" s="44"/>
      <c r="O9" s="44"/>
      <c r="P9" s="44"/>
    </row>
    <row r="10" spans="1:16" ht="15" customHeight="1" x14ac:dyDescent="0.45">
      <c r="A10" s="77" t="s">
        <v>10</v>
      </c>
      <c r="B10" s="167">
        <v>344041</v>
      </c>
      <c r="C10" s="155">
        <v>1952895</v>
      </c>
      <c r="D10" s="158">
        <v>0.17616973774831723</v>
      </c>
      <c r="E10" s="167">
        <v>361779</v>
      </c>
      <c r="F10" s="155">
        <v>2079034</v>
      </c>
      <c r="G10" s="158">
        <v>0.17401302720398032</v>
      </c>
      <c r="H10" s="167">
        <v>370507</v>
      </c>
      <c r="I10" s="155">
        <v>2073944</v>
      </c>
      <c r="J10" s="158">
        <v>0.17864850738496313</v>
      </c>
      <c r="K10" s="44"/>
      <c r="L10" s="44"/>
      <c r="M10" s="44"/>
      <c r="N10" s="44"/>
      <c r="O10" s="44"/>
      <c r="P10" s="44"/>
    </row>
    <row r="11" spans="1:16" ht="15" customHeight="1" x14ac:dyDescent="0.45">
      <c r="A11" s="77" t="s">
        <v>11</v>
      </c>
      <c r="B11" s="167">
        <v>337129</v>
      </c>
      <c r="C11" s="155">
        <v>1865139</v>
      </c>
      <c r="D11" s="158">
        <v>0.18075274818659628</v>
      </c>
      <c r="E11" s="167">
        <v>347685</v>
      </c>
      <c r="F11" s="155">
        <v>1932901</v>
      </c>
      <c r="G11" s="158">
        <v>0.17987729324988708</v>
      </c>
      <c r="H11" s="167">
        <v>360985</v>
      </c>
      <c r="I11" s="155">
        <v>1924663</v>
      </c>
      <c r="J11" s="158">
        <v>0.18755751006799631</v>
      </c>
      <c r="K11" s="44"/>
      <c r="L11" s="44"/>
      <c r="M11" s="44"/>
      <c r="N11" s="44"/>
      <c r="O11" s="44"/>
      <c r="P11" s="44"/>
    </row>
    <row r="12" spans="1:16" ht="15" customHeight="1" x14ac:dyDescent="0.45">
      <c r="A12" s="77" t="s">
        <v>12</v>
      </c>
      <c r="B12" s="167">
        <v>338081</v>
      </c>
      <c r="C12" s="155">
        <v>1859979</v>
      </c>
      <c r="D12" s="158">
        <v>0.18176603069174438</v>
      </c>
      <c r="E12" s="167">
        <v>350152</v>
      </c>
      <c r="F12" s="155">
        <v>1952464</v>
      </c>
      <c r="G12" s="158">
        <v>0.17933851789328767</v>
      </c>
      <c r="H12" s="167">
        <v>360998</v>
      </c>
      <c r="I12" s="155">
        <v>1925961</v>
      </c>
      <c r="J12" s="158">
        <v>0.18743785569905103</v>
      </c>
      <c r="K12" s="44"/>
      <c r="L12" s="44"/>
      <c r="M12" s="44"/>
      <c r="N12" s="44"/>
      <c r="O12" s="44"/>
      <c r="P12" s="44"/>
    </row>
    <row r="13" spans="1:16" ht="15" customHeight="1" x14ac:dyDescent="0.45">
      <c r="A13" s="69" t="s">
        <v>13</v>
      </c>
      <c r="B13" s="167">
        <v>351182</v>
      </c>
      <c r="C13" s="155">
        <v>1923108</v>
      </c>
      <c r="D13" s="158">
        <v>0.18261168899510583</v>
      </c>
      <c r="E13" s="167">
        <v>363309</v>
      </c>
      <c r="F13" s="155">
        <v>2001816</v>
      </c>
      <c r="G13" s="158">
        <v>0.18148970734573008</v>
      </c>
      <c r="H13" s="167">
        <v>378811</v>
      </c>
      <c r="I13" s="155">
        <v>2044137</v>
      </c>
      <c r="J13" s="158">
        <v>0.185315857009584</v>
      </c>
      <c r="K13" s="44"/>
      <c r="L13" s="44"/>
      <c r="M13" s="44"/>
      <c r="N13" s="44"/>
      <c r="O13" s="44"/>
      <c r="P13" s="44"/>
    </row>
    <row r="14" spans="1:16" ht="15" customHeight="1" x14ac:dyDescent="0.45">
      <c r="A14" s="69" t="s">
        <v>14</v>
      </c>
      <c r="B14" s="167">
        <v>344908</v>
      </c>
      <c r="C14" s="155">
        <v>1874235</v>
      </c>
      <c r="D14" s="158">
        <v>0.18402601594784004</v>
      </c>
      <c r="E14" s="167">
        <v>356546</v>
      </c>
      <c r="F14" s="155">
        <v>1907871</v>
      </c>
      <c r="G14" s="158">
        <v>0.18688160782358976</v>
      </c>
      <c r="H14" s="167">
        <v>377670</v>
      </c>
      <c r="I14" s="155">
        <v>1976971</v>
      </c>
      <c r="J14" s="158">
        <v>0.19103466869266164</v>
      </c>
      <c r="K14" s="44"/>
      <c r="L14" s="44"/>
      <c r="M14" s="44"/>
      <c r="N14" s="44"/>
      <c r="O14" s="44"/>
      <c r="P14" s="44"/>
    </row>
    <row r="15" spans="1:16" ht="15" customHeight="1" x14ac:dyDescent="0.45">
      <c r="A15" s="69" t="s">
        <v>15</v>
      </c>
      <c r="B15" s="167">
        <v>358131</v>
      </c>
      <c r="C15" s="155">
        <v>1867652</v>
      </c>
      <c r="D15" s="158">
        <v>0.19175467378291031</v>
      </c>
      <c r="E15" s="167">
        <v>370548</v>
      </c>
      <c r="F15" s="155">
        <v>1944567</v>
      </c>
      <c r="G15" s="158">
        <v>0.19055553241415699</v>
      </c>
      <c r="H15" s="167">
        <v>393536</v>
      </c>
      <c r="I15" s="155">
        <v>2003954</v>
      </c>
      <c r="J15" s="158">
        <v>0.19637975721997611</v>
      </c>
      <c r="K15" s="44"/>
      <c r="L15" s="44"/>
      <c r="M15" s="44"/>
      <c r="N15" s="44"/>
      <c r="O15" s="44"/>
      <c r="P15" s="44"/>
    </row>
    <row r="16" spans="1:16" ht="15" customHeight="1" x14ac:dyDescent="0.45">
      <c r="A16" s="69" t="s">
        <v>16</v>
      </c>
      <c r="B16" s="167">
        <v>358968</v>
      </c>
      <c r="C16" s="155">
        <v>1906920.42857143</v>
      </c>
      <c r="D16" s="158">
        <v>0.18824487620016792</v>
      </c>
      <c r="E16" s="167">
        <v>362940</v>
      </c>
      <c r="F16" s="155">
        <v>1895272</v>
      </c>
      <c r="G16" s="158">
        <v>0.19149757923928598</v>
      </c>
      <c r="H16" s="167">
        <v>389727</v>
      </c>
      <c r="I16" s="155">
        <v>2000086</v>
      </c>
      <c r="J16" s="158">
        <v>0.19485512122978713</v>
      </c>
      <c r="K16" s="44"/>
      <c r="L16" s="44"/>
      <c r="M16" s="44"/>
      <c r="N16" s="44"/>
      <c r="O16" s="44"/>
      <c r="P16" s="44"/>
    </row>
    <row r="17" spans="1:19" ht="15" customHeight="1" x14ac:dyDescent="0.45">
      <c r="A17" s="69" t="s">
        <v>17</v>
      </c>
      <c r="B17" s="167">
        <v>338350</v>
      </c>
      <c r="C17" s="155">
        <v>1870776</v>
      </c>
      <c r="D17" s="158">
        <v>0.18086077649061139</v>
      </c>
      <c r="E17" s="167">
        <v>326661</v>
      </c>
      <c r="F17" s="155">
        <v>1735619</v>
      </c>
      <c r="G17" s="158">
        <v>0.18821008527793254</v>
      </c>
      <c r="H17" s="167">
        <v>352702</v>
      </c>
      <c r="I17" s="155">
        <v>1820012</v>
      </c>
      <c r="J17" s="158">
        <v>0.19379102994925307</v>
      </c>
      <c r="K17" s="44"/>
      <c r="L17" s="44"/>
      <c r="M17" s="44"/>
      <c r="N17" s="44"/>
      <c r="O17" s="44"/>
      <c r="P17" s="44"/>
    </row>
    <row r="18" spans="1:19" ht="15" customHeight="1" thickBot="1" x14ac:dyDescent="0.5">
      <c r="A18" s="78" t="s">
        <v>18</v>
      </c>
      <c r="B18" s="169">
        <v>363315</v>
      </c>
      <c r="C18" s="159">
        <v>2087553</v>
      </c>
      <c r="D18" s="160">
        <v>0.1740386950654666</v>
      </c>
      <c r="E18" s="168">
        <v>370103</v>
      </c>
      <c r="F18" s="159">
        <v>2015834</v>
      </c>
      <c r="G18" s="160">
        <v>0.18359795499034146</v>
      </c>
      <c r="H18" s="168">
        <v>391002</v>
      </c>
      <c r="I18" s="159">
        <v>2049785</v>
      </c>
      <c r="J18" s="160">
        <v>0.1907526886966194</v>
      </c>
      <c r="K18" s="44"/>
      <c r="L18" s="44"/>
      <c r="M18" s="44"/>
      <c r="N18" s="44"/>
      <c r="O18" s="44"/>
      <c r="P18" s="44"/>
    </row>
    <row r="19" spans="1:19" x14ac:dyDescent="0.45">
      <c r="A19" s="11"/>
      <c r="B19" s="12"/>
      <c r="C19" s="12"/>
      <c r="D19" s="12"/>
      <c r="E19" s="12"/>
      <c r="F19" s="12"/>
      <c r="G19" s="12"/>
      <c r="H19" s="29"/>
      <c r="I19" s="29"/>
      <c r="J19" s="29"/>
      <c r="K19" s="29"/>
      <c r="L19" s="44"/>
      <c r="M19" s="44"/>
      <c r="N19" s="44"/>
      <c r="O19" s="44"/>
      <c r="P19" s="44"/>
      <c r="Q19" s="44"/>
      <c r="R19" s="44"/>
      <c r="S19" s="44"/>
    </row>
    <row r="20" spans="1:19" x14ac:dyDescent="0.45">
      <c r="A20" s="375" t="s">
        <v>333</v>
      </c>
      <c r="B20" s="375"/>
      <c r="C20" s="375"/>
      <c r="D20" s="375"/>
      <c r="E20" s="375"/>
      <c r="F20" s="375"/>
      <c r="G20" s="375"/>
      <c r="H20" s="375"/>
      <c r="I20" s="100"/>
      <c r="J20" s="100"/>
      <c r="K20" s="39"/>
      <c r="L20" s="39"/>
      <c r="M20" s="39"/>
      <c r="N20" s="39"/>
      <c r="O20" s="39"/>
      <c r="P20" s="39"/>
    </row>
    <row r="21" spans="1:19" ht="28.5" customHeight="1" x14ac:dyDescent="0.45">
      <c r="A21" s="357" t="s">
        <v>383</v>
      </c>
      <c r="B21" s="358"/>
      <c r="C21" s="358"/>
      <c r="D21" s="358"/>
      <c r="E21" s="358"/>
      <c r="F21" s="358"/>
      <c r="G21" s="358"/>
      <c r="H21" s="358"/>
      <c r="I21" s="358"/>
      <c r="J21" s="358"/>
      <c r="K21" s="39"/>
      <c r="L21" s="39"/>
      <c r="M21" s="39"/>
      <c r="N21" s="39"/>
      <c r="O21" s="39"/>
      <c r="P21" s="39"/>
    </row>
    <row r="22" spans="1:19" x14ac:dyDescent="0.45">
      <c r="A22" s="112"/>
      <c r="B22" s="112"/>
      <c r="C22" s="112"/>
      <c r="D22" s="112"/>
      <c r="E22" s="112"/>
      <c r="F22" s="112"/>
      <c r="G22" s="112"/>
      <c r="H22" s="108"/>
      <c r="I22" s="100"/>
      <c r="J22" s="100"/>
      <c r="K22" s="39"/>
      <c r="L22" s="39"/>
      <c r="M22" s="39"/>
      <c r="N22" s="39"/>
      <c r="O22" s="39"/>
      <c r="P22" s="39"/>
    </row>
    <row r="23" spans="1:19" ht="14.1" thickBot="1" x14ac:dyDescent="0.5">
      <c r="A23" s="365" t="s">
        <v>1</v>
      </c>
      <c r="B23" s="365"/>
      <c r="C23" s="365"/>
      <c r="D23" s="365"/>
      <c r="E23" s="365"/>
      <c r="F23" s="365"/>
      <c r="G23" s="365"/>
      <c r="H23" s="365"/>
      <c r="I23" s="365"/>
      <c r="J23" s="365"/>
    </row>
    <row r="24" spans="1:19" x14ac:dyDescent="0.45">
      <c r="A24" s="353" t="s">
        <v>376</v>
      </c>
      <c r="B24" s="353"/>
      <c r="C24" s="353"/>
      <c r="D24" s="353"/>
      <c r="E24" s="353"/>
      <c r="F24" s="353"/>
      <c r="G24" s="353"/>
      <c r="H24" s="353"/>
      <c r="I24" s="353"/>
      <c r="J24" s="353"/>
      <c r="K24" s="205"/>
    </row>
    <row r="25" spans="1:19" x14ac:dyDescent="0.45">
      <c r="A25" s="353" t="s">
        <v>353</v>
      </c>
      <c r="B25" s="353"/>
      <c r="C25" s="353"/>
      <c r="D25" s="353"/>
      <c r="E25" s="353"/>
      <c r="F25" s="353"/>
      <c r="G25" s="353"/>
      <c r="K25" s="108"/>
    </row>
    <row r="26" spans="1:19" x14ac:dyDescent="0.45">
      <c r="A26" s="349" t="s">
        <v>269</v>
      </c>
      <c r="B26" s="349"/>
      <c r="C26" s="349"/>
      <c r="D26" s="349"/>
      <c r="E26" s="349"/>
      <c r="F26" s="349"/>
      <c r="G26" s="349"/>
      <c r="H26" s="349"/>
      <c r="I26" s="349"/>
      <c r="J26" s="349"/>
      <c r="K26" s="108"/>
    </row>
    <row r="27" spans="1:19" ht="14.1" thickBot="1" x14ac:dyDescent="0.5">
      <c r="A27" s="350" t="s">
        <v>374</v>
      </c>
      <c r="B27" s="350"/>
      <c r="C27" s="350"/>
      <c r="D27" s="350"/>
      <c r="E27" s="350"/>
      <c r="F27" s="350"/>
      <c r="G27" s="350"/>
      <c r="H27" s="350"/>
      <c r="I27" s="350"/>
      <c r="J27" s="350"/>
      <c r="K27" s="206"/>
    </row>
    <row r="28" spans="1:19" x14ac:dyDescent="0.45">
      <c r="A28" s="29"/>
      <c r="B28" s="30"/>
      <c r="C28" s="30"/>
      <c r="D28" s="30"/>
      <c r="E28" s="30"/>
      <c r="F28" s="30"/>
      <c r="G28" s="30"/>
    </row>
    <row r="29" spans="1:19" x14ac:dyDescent="0.45">
      <c r="A29" s="351" t="s">
        <v>274</v>
      </c>
      <c r="B29" s="351"/>
      <c r="C29" s="30"/>
      <c r="D29" s="30"/>
      <c r="E29" s="30"/>
      <c r="F29" s="30"/>
      <c r="G29" s="31"/>
    </row>
    <row r="30" spans="1:19" x14ac:dyDescent="0.45">
      <c r="A30" s="11"/>
      <c r="B30" s="30"/>
      <c r="C30" s="30"/>
      <c r="D30" s="30"/>
      <c r="E30" s="30"/>
      <c r="F30" s="30"/>
    </row>
    <row r="51" spans="5:6" x14ac:dyDescent="0.45">
      <c r="E51" s="108"/>
      <c r="F51" s="108"/>
    </row>
  </sheetData>
  <mergeCells count="13">
    <mergeCell ref="A2:J2"/>
    <mergeCell ref="A29:B29"/>
    <mergeCell ref="A3:K3"/>
    <mergeCell ref="A23:J23"/>
    <mergeCell ref="A20:H20"/>
    <mergeCell ref="A21:J21"/>
    <mergeCell ref="A25:G25"/>
    <mergeCell ref="B5:D5"/>
    <mergeCell ref="E5:G5"/>
    <mergeCell ref="A24:J24"/>
    <mergeCell ref="A26:J26"/>
    <mergeCell ref="A27:J27"/>
    <mergeCell ref="H5:J5"/>
  </mergeCells>
  <hyperlinks>
    <hyperlink ref="A26:F26" r:id="rId1" display="Contact via enquiries@NHSDigital.nhs.uk or 0300 303 5678" xr:uid="{00000000-0004-0000-0E00-000000000000}"/>
    <hyperlink ref="A29" location="Contents!A1" display="Return to Contents" xr:uid="{00000000-0004-0000-0E00-000001000000}"/>
    <hyperlink ref="A21" r:id="rId2" xr:uid="{3CD70E84-A2BB-4BBF-8C8B-9A53D79D14C4}"/>
  </hyperlinks>
  <pageMargins left="0.7" right="0.7" top="0.75" bottom="0.75" header="0.3" footer="0.3"/>
  <pageSetup paperSize="9"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V29"/>
  <sheetViews>
    <sheetView workbookViewId="0">
      <selection activeCell="M10" sqref="M10"/>
    </sheetView>
  </sheetViews>
  <sheetFormatPr defaultColWidth="9.109375" defaultRowHeight="13.8" x14ac:dyDescent="0.45"/>
  <cols>
    <col min="1" max="1" width="28.88671875" style="28" bestFit="1" customWidth="1"/>
    <col min="2" max="11" width="11.5546875" style="28" bestFit="1" customWidth="1"/>
    <col min="12" max="12" width="11.5546875" style="28" customWidth="1"/>
    <col min="13" max="16384" width="9.109375" style="28"/>
  </cols>
  <sheetData>
    <row r="1" spans="1:17" ht="15" customHeight="1" x14ac:dyDescent="0.45"/>
    <row r="2" spans="1:17" ht="51" customHeight="1" x14ac:dyDescent="0.45">
      <c r="A2" s="355" t="s">
        <v>516</v>
      </c>
      <c r="B2" s="355"/>
      <c r="C2" s="355"/>
      <c r="D2" s="355"/>
      <c r="E2" s="355"/>
      <c r="F2" s="355"/>
      <c r="G2" s="355"/>
      <c r="H2" s="355"/>
      <c r="I2" s="355"/>
      <c r="J2" s="355"/>
      <c r="K2" s="107"/>
      <c r="L2" s="244"/>
    </row>
    <row r="3" spans="1:17" ht="30" customHeight="1" x14ac:dyDescent="0.45">
      <c r="A3" s="361" t="s">
        <v>359</v>
      </c>
      <c r="B3" s="361"/>
      <c r="C3" s="361"/>
      <c r="D3" s="361"/>
      <c r="E3" s="361"/>
      <c r="F3" s="361"/>
      <c r="G3" s="361"/>
      <c r="H3" s="361"/>
      <c r="I3" s="361"/>
      <c r="J3" s="361"/>
      <c r="K3" s="361"/>
      <c r="L3" s="246"/>
    </row>
    <row r="4" spans="1:17" ht="13.5" customHeight="1" thickBot="1" x14ac:dyDescent="0.5"/>
    <row r="5" spans="1:17" ht="16.5" customHeight="1" thickBot="1" x14ac:dyDescent="0.5">
      <c r="A5" s="212"/>
      <c r="B5" s="180" t="s">
        <v>275</v>
      </c>
      <c r="C5" s="88" t="s">
        <v>276</v>
      </c>
      <c r="D5" s="88" t="s">
        <v>277</v>
      </c>
      <c r="E5" s="89" t="s">
        <v>278</v>
      </c>
      <c r="F5" s="180" t="s">
        <v>279</v>
      </c>
      <c r="G5" s="88" t="s">
        <v>280</v>
      </c>
      <c r="H5" s="88" t="s">
        <v>0</v>
      </c>
      <c r="I5" s="88" t="s">
        <v>268</v>
      </c>
      <c r="J5" s="88" t="s">
        <v>291</v>
      </c>
      <c r="K5" s="90" t="s">
        <v>373</v>
      </c>
      <c r="L5" s="43"/>
    </row>
    <row r="6" spans="1:17" ht="16.5" customHeight="1" x14ac:dyDescent="0.45">
      <c r="A6" s="181" t="s">
        <v>357</v>
      </c>
      <c r="B6" s="172">
        <v>3267839</v>
      </c>
      <c r="C6" s="173">
        <v>3420440</v>
      </c>
      <c r="D6" s="173">
        <v>3564555</v>
      </c>
      <c r="E6" s="174">
        <v>3663756</v>
      </c>
      <c r="F6" s="172">
        <v>3781335</v>
      </c>
      <c r="G6" s="173">
        <v>3836320</v>
      </c>
      <c r="H6" s="173">
        <v>4020138</v>
      </c>
      <c r="I6" s="173">
        <v>4145054</v>
      </c>
      <c r="J6" s="173">
        <v>4263276</v>
      </c>
      <c r="K6" s="175">
        <v>4464166</v>
      </c>
      <c r="L6" s="43"/>
    </row>
    <row r="7" spans="1:17" ht="16.5" customHeight="1" x14ac:dyDescent="0.45">
      <c r="A7" s="182" t="s">
        <v>281</v>
      </c>
      <c r="B7" s="176">
        <v>19588344</v>
      </c>
      <c r="C7" s="177">
        <v>20511908</v>
      </c>
      <c r="D7" s="177">
        <v>21380985</v>
      </c>
      <c r="E7" s="178">
        <v>21481402</v>
      </c>
      <c r="F7" s="176">
        <v>21738637</v>
      </c>
      <c r="G7" s="177">
        <v>21778657</v>
      </c>
      <c r="H7" s="177">
        <v>22354781</v>
      </c>
      <c r="I7" s="177">
        <v>22920435.428571429</v>
      </c>
      <c r="J7" s="177">
        <v>23362301</v>
      </c>
      <c r="K7" s="179">
        <v>23830120</v>
      </c>
      <c r="L7" s="43"/>
    </row>
    <row r="8" spans="1:17" ht="15" customHeight="1" thickBot="1" x14ac:dyDescent="0.5">
      <c r="A8" s="183" t="s">
        <v>358</v>
      </c>
      <c r="B8" s="170">
        <v>0.16682568980818388</v>
      </c>
      <c r="C8" s="170">
        <v>0.16675386804582001</v>
      </c>
      <c r="D8" s="170">
        <v>0.16671612650212325</v>
      </c>
      <c r="E8" s="170">
        <v>0.17055478967341145</v>
      </c>
      <c r="F8" s="170">
        <v>0.1739453582117407</v>
      </c>
      <c r="G8" s="170">
        <v>0.17615043939578093</v>
      </c>
      <c r="H8" s="170">
        <v>0.17983347723245421</v>
      </c>
      <c r="I8" s="170">
        <v>0.18084534270378608</v>
      </c>
      <c r="J8" s="170">
        <v>0.18248527831226899</v>
      </c>
      <c r="K8" s="171">
        <v>0.18733292152956008</v>
      </c>
    </row>
    <row r="9" spans="1:17" x14ac:dyDescent="0.45">
      <c r="A9" s="11"/>
      <c r="B9" s="12"/>
      <c r="C9" s="12"/>
      <c r="D9" s="12"/>
      <c r="E9" s="12"/>
      <c r="F9" s="12"/>
      <c r="G9" s="12"/>
      <c r="H9" s="29"/>
      <c r="I9" s="29"/>
      <c r="J9" s="29"/>
      <c r="K9" s="29"/>
      <c r="L9" s="29"/>
    </row>
    <row r="10" spans="1:17" x14ac:dyDescent="0.45">
      <c r="A10" s="375" t="s">
        <v>333</v>
      </c>
      <c r="B10" s="375"/>
      <c r="C10" s="375"/>
      <c r="D10" s="375"/>
      <c r="E10" s="375"/>
      <c r="F10" s="375"/>
      <c r="G10" s="375"/>
      <c r="H10" s="375"/>
      <c r="I10" s="100"/>
      <c r="J10" s="100"/>
      <c r="K10" s="39"/>
      <c r="L10" s="39"/>
      <c r="M10" s="39"/>
      <c r="N10" s="39"/>
      <c r="O10" s="39"/>
      <c r="P10" s="39"/>
      <c r="Q10" s="39"/>
    </row>
    <row r="11" spans="1:17" ht="28.5" customHeight="1" x14ac:dyDescent="0.45">
      <c r="A11" s="357" t="s">
        <v>383</v>
      </c>
      <c r="B11" s="357"/>
      <c r="C11" s="357"/>
      <c r="D11" s="357"/>
      <c r="E11" s="357"/>
      <c r="F11" s="357"/>
      <c r="G11" s="357"/>
      <c r="H11" s="357"/>
      <c r="I11" s="357"/>
      <c r="J11" s="357"/>
      <c r="K11" s="39"/>
      <c r="L11" s="39"/>
      <c r="M11" s="39"/>
      <c r="N11" s="39"/>
      <c r="O11" s="39"/>
      <c r="P11" s="39"/>
      <c r="Q11" s="39"/>
    </row>
    <row r="12" spans="1:17" x14ac:dyDescent="0.45">
      <c r="A12" s="112"/>
      <c r="B12" s="112"/>
      <c r="C12" s="112"/>
      <c r="D12" s="112"/>
      <c r="E12" s="112"/>
      <c r="F12" s="112"/>
      <c r="G12" s="112"/>
      <c r="H12" s="108"/>
      <c r="I12" s="100"/>
      <c r="J12" s="100"/>
      <c r="K12" s="39"/>
      <c r="L12" s="39"/>
      <c r="M12" s="39"/>
      <c r="N12" s="39"/>
      <c r="O12" s="39"/>
      <c r="P12" s="39"/>
      <c r="Q12" s="39"/>
    </row>
    <row r="13" spans="1:17" ht="14.1" thickBot="1" x14ac:dyDescent="0.5">
      <c r="A13" s="365" t="s">
        <v>1</v>
      </c>
      <c r="B13" s="365"/>
      <c r="C13" s="365"/>
      <c r="D13" s="365"/>
      <c r="E13" s="365"/>
      <c r="F13" s="365"/>
      <c r="G13" s="365"/>
      <c r="H13" s="365"/>
      <c r="I13" s="365"/>
      <c r="J13" s="365"/>
    </row>
    <row r="14" spans="1:17" x14ac:dyDescent="0.45">
      <c r="A14" s="353" t="s">
        <v>376</v>
      </c>
      <c r="B14" s="353"/>
      <c r="C14" s="353"/>
      <c r="D14" s="353"/>
      <c r="E14" s="353"/>
      <c r="F14" s="353"/>
      <c r="G14" s="353"/>
      <c r="H14" s="353"/>
      <c r="I14" s="353"/>
      <c r="J14" s="353"/>
      <c r="K14" s="205"/>
      <c r="L14" s="205"/>
    </row>
    <row r="15" spans="1:17" x14ac:dyDescent="0.45">
      <c r="A15" s="353" t="s">
        <v>353</v>
      </c>
      <c r="B15" s="353"/>
      <c r="C15" s="353"/>
      <c r="D15" s="353"/>
      <c r="E15" s="353"/>
      <c r="F15" s="353"/>
      <c r="G15" s="353"/>
      <c r="K15" s="108"/>
      <c r="L15" s="108"/>
    </row>
    <row r="16" spans="1:17" x14ac:dyDescent="0.45">
      <c r="A16" s="349" t="s">
        <v>269</v>
      </c>
      <c r="B16" s="349"/>
      <c r="C16" s="349"/>
      <c r="D16" s="349"/>
      <c r="E16" s="349"/>
      <c r="F16" s="349"/>
      <c r="G16" s="349"/>
      <c r="H16" s="349"/>
      <c r="I16" s="349"/>
      <c r="J16" s="349"/>
      <c r="K16" s="108"/>
      <c r="L16" s="108"/>
    </row>
    <row r="17" spans="1:22" ht="14.1" thickBot="1" x14ac:dyDescent="0.5">
      <c r="A17" s="350" t="s">
        <v>374</v>
      </c>
      <c r="B17" s="350"/>
      <c r="C17" s="350"/>
      <c r="D17" s="350"/>
      <c r="E17" s="350"/>
      <c r="F17" s="350"/>
      <c r="G17" s="350"/>
      <c r="H17" s="350"/>
      <c r="I17" s="350"/>
      <c r="J17" s="350"/>
      <c r="K17" s="206"/>
      <c r="L17" s="206"/>
      <c r="R17" s="44"/>
      <c r="S17" s="44"/>
      <c r="T17" s="44"/>
      <c r="U17" s="44"/>
      <c r="V17" s="44"/>
    </row>
    <row r="18" spans="1:22" x14ac:dyDescent="0.45">
      <c r="A18" s="29"/>
      <c r="B18" s="30"/>
      <c r="C18" s="30"/>
      <c r="D18" s="30"/>
      <c r="E18" s="30"/>
      <c r="F18" s="30"/>
      <c r="G18" s="30"/>
      <c r="R18" s="44"/>
      <c r="S18" s="44"/>
      <c r="T18" s="44"/>
      <c r="U18" s="44"/>
      <c r="V18" s="44"/>
    </row>
    <row r="19" spans="1:22" x14ac:dyDescent="0.45">
      <c r="A19" s="351" t="s">
        <v>274</v>
      </c>
      <c r="B19" s="351"/>
      <c r="C19" s="30"/>
      <c r="D19" s="30"/>
      <c r="E19" s="30"/>
      <c r="F19" s="30"/>
      <c r="G19" s="31"/>
      <c r="R19" s="44"/>
      <c r="S19" s="44"/>
      <c r="T19" s="44"/>
      <c r="U19" s="44"/>
      <c r="V19" s="44"/>
    </row>
    <row r="20" spans="1:22" x14ac:dyDescent="0.45">
      <c r="A20" s="11"/>
      <c r="B20" s="30"/>
      <c r="C20" s="30"/>
      <c r="D20" s="30"/>
      <c r="E20" s="30"/>
      <c r="F20" s="30"/>
      <c r="R20" s="44"/>
      <c r="S20" s="44"/>
      <c r="T20" s="44"/>
      <c r="U20" s="44"/>
      <c r="V20" s="44"/>
    </row>
    <row r="21" spans="1:22" x14ac:dyDescent="0.45">
      <c r="A21" s="20"/>
      <c r="B21" s="47"/>
      <c r="C21" s="47"/>
      <c r="D21" s="47"/>
      <c r="E21" s="47"/>
      <c r="F21" s="47"/>
      <c r="G21" s="44"/>
      <c r="H21" s="44"/>
      <c r="I21" s="44"/>
      <c r="J21" s="44"/>
      <c r="K21" s="44"/>
      <c r="L21" s="44"/>
      <c r="M21" s="44"/>
      <c r="N21" s="44"/>
      <c r="O21" s="44"/>
      <c r="P21" s="44"/>
      <c r="Q21" s="44"/>
      <c r="R21" s="44"/>
      <c r="S21" s="44"/>
      <c r="T21" s="44"/>
      <c r="U21" s="44"/>
      <c r="V21" s="44"/>
    </row>
    <row r="22" spans="1:22" x14ac:dyDescent="0.45">
      <c r="A22" s="49"/>
      <c r="B22" s="50"/>
      <c r="C22" s="49"/>
      <c r="D22" s="49"/>
      <c r="E22" s="49"/>
      <c r="F22" s="49"/>
      <c r="G22" s="49"/>
      <c r="H22" s="49"/>
      <c r="I22" s="49"/>
      <c r="J22" s="49"/>
      <c r="K22" s="49"/>
      <c r="L22" s="49"/>
      <c r="M22" s="44"/>
      <c r="N22" s="44"/>
      <c r="O22" s="44"/>
      <c r="P22" s="44"/>
      <c r="Q22" s="44"/>
      <c r="R22" s="44"/>
      <c r="S22" s="44"/>
      <c r="T22" s="44"/>
      <c r="U22" s="44"/>
      <c r="V22" s="44"/>
    </row>
    <row r="23" spans="1:22" x14ac:dyDescent="0.45">
      <c r="A23" s="44"/>
      <c r="B23" s="44"/>
      <c r="C23" s="44"/>
      <c r="D23" s="44"/>
      <c r="E23" s="44"/>
      <c r="F23" s="44"/>
      <c r="G23" s="44"/>
      <c r="H23" s="44"/>
      <c r="I23" s="44"/>
      <c r="J23" s="44"/>
      <c r="K23" s="44"/>
      <c r="L23" s="44"/>
      <c r="M23" s="44"/>
      <c r="N23" s="44"/>
      <c r="O23" s="44"/>
      <c r="P23" s="44"/>
      <c r="Q23" s="44"/>
      <c r="R23" s="44"/>
      <c r="S23" s="44"/>
      <c r="T23" s="44"/>
      <c r="U23" s="44"/>
      <c r="V23" s="44"/>
    </row>
    <row r="24" spans="1:22" x14ac:dyDescent="0.45">
      <c r="A24" s="44"/>
      <c r="B24" s="44"/>
      <c r="C24" s="44"/>
      <c r="D24" s="44"/>
      <c r="E24" s="44"/>
      <c r="F24" s="44"/>
      <c r="G24" s="44"/>
      <c r="H24" s="44"/>
      <c r="I24" s="44"/>
      <c r="J24" s="44"/>
      <c r="K24" s="44"/>
      <c r="L24" s="44"/>
      <c r="M24" s="44"/>
      <c r="N24" s="44"/>
      <c r="O24" s="44"/>
      <c r="P24" s="44"/>
      <c r="Q24" s="44"/>
      <c r="R24" s="44"/>
      <c r="S24" s="44"/>
      <c r="T24" s="44"/>
      <c r="U24" s="44"/>
      <c r="V24" s="44"/>
    </row>
    <row r="25" spans="1:22" x14ac:dyDescent="0.45">
      <c r="A25" s="44"/>
      <c r="B25" s="44"/>
      <c r="C25" s="44"/>
      <c r="D25" s="44"/>
      <c r="E25" s="44"/>
      <c r="F25" s="44"/>
      <c r="G25" s="44"/>
      <c r="H25" s="44"/>
      <c r="I25" s="44"/>
      <c r="J25" s="44"/>
      <c r="K25" s="44"/>
      <c r="L25" s="44"/>
      <c r="M25" s="44"/>
      <c r="N25" s="44"/>
      <c r="O25" s="44"/>
      <c r="P25" s="44"/>
      <c r="Q25" s="44"/>
      <c r="R25" s="44"/>
      <c r="S25" s="44"/>
      <c r="T25" s="44"/>
      <c r="U25" s="44"/>
      <c r="V25" s="44"/>
    </row>
    <row r="26" spans="1:22" x14ac:dyDescent="0.45">
      <c r="A26" s="44"/>
      <c r="B26" s="44"/>
      <c r="C26" s="44"/>
      <c r="D26" s="44"/>
      <c r="E26" s="44"/>
      <c r="F26" s="44"/>
      <c r="G26" s="44"/>
      <c r="H26" s="44"/>
      <c r="I26" s="44"/>
      <c r="J26" s="44"/>
      <c r="K26" s="44"/>
      <c r="L26" s="44"/>
      <c r="M26" s="44"/>
      <c r="N26" s="44"/>
      <c r="O26" s="44"/>
      <c r="P26" s="44"/>
      <c r="Q26" s="44"/>
    </row>
    <row r="27" spans="1:22" x14ac:dyDescent="0.45">
      <c r="A27" s="44"/>
      <c r="B27" s="44"/>
      <c r="C27" s="44"/>
      <c r="D27" s="44"/>
      <c r="E27" s="44"/>
      <c r="F27" s="44"/>
      <c r="G27" s="44"/>
      <c r="H27" s="44"/>
      <c r="I27" s="44"/>
      <c r="J27" s="44"/>
      <c r="K27" s="44"/>
      <c r="L27" s="44"/>
      <c r="M27" s="44"/>
      <c r="N27" s="44"/>
      <c r="O27" s="44"/>
      <c r="P27" s="44"/>
      <c r="Q27" s="44"/>
    </row>
    <row r="28" spans="1:22" x14ac:dyDescent="0.45">
      <c r="A28" s="44"/>
      <c r="B28" s="44"/>
      <c r="C28" s="44"/>
      <c r="D28" s="44"/>
      <c r="E28" s="44"/>
      <c r="F28" s="44"/>
      <c r="G28" s="44"/>
      <c r="H28" s="44"/>
      <c r="I28" s="44"/>
      <c r="J28" s="44"/>
      <c r="K28" s="44"/>
      <c r="L28" s="44"/>
      <c r="M28" s="44"/>
      <c r="N28" s="44"/>
      <c r="O28" s="44"/>
      <c r="P28" s="44"/>
      <c r="Q28" s="44"/>
    </row>
    <row r="29" spans="1:22" x14ac:dyDescent="0.45">
      <c r="A29" s="44"/>
      <c r="B29" s="44"/>
      <c r="C29" s="44"/>
      <c r="D29" s="44"/>
      <c r="E29" s="44"/>
      <c r="F29" s="44"/>
      <c r="G29" s="44"/>
      <c r="H29" s="44"/>
      <c r="I29" s="44"/>
      <c r="J29" s="44"/>
      <c r="K29" s="44"/>
      <c r="L29" s="44"/>
      <c r="M29" s="44"/>
      <c r="N29" s="44"/>
      <c r="O29" s="44"/>
      <c r="P29" s="44"/>
      <c r="Q29" s="44"/>
    </row>
  </sheetData>
  <mergeCells count="10">
    <mergeCell ref="A2:J2"/>
    <mergeCell ref="A14:J14"/>
    <mergeCell ref="A16:J16"/>
    <mergeCell ref="A17:J17"/>
    <mergeCell ref="A19:B19"/>
    <mergeCell ref="A3:K3"/>
    <mergeCell ref="A13:J13"/>
    <mergeCell ref="A10:H10"/>
    <mergeCell ref="A11:J11"/>
    <mergeCell ref="A15:G15"/>
  </mergeCells>
  <hyperlinks>
    <hyperlink ref="A16:F16" r:id="rId1" display="Contact via enquiries@NHSDigital.nhs.uk or 0300 303 5678" xr:uid="{00000000-0004-0000-0F00-000000000000}"/>
    <hyperlink ref="A19" location="Contents!A1" display="Return to Contents" xr:uid="{00000000-0004-0000-0F00-000001000000}"/>
    <hyperlink ref="A11" r:id="rId2" xr:uid="{CE9127B9-F9C8-4782-BEF4-FFC7274C75C0}"/>
  </hyperlinks>
  <pageMargins left="0.7" right="0.7" top="0.75" bottom="0.75" header="0.3" footer="0.3"/>
  <pageSetup paperSize="9" orientation="portrait"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P28"/>
  <sheetViews>
    <sheetView workbookViewId="0">
      <selection activeCell="A3" sqref="A3:G3"/>
    </sheetView>
  </sheetViews>
  <sheetFormatPr defaultColWidth="9.109375" defaultRowHeight="13.8" x14ac:dyDescent="0.45"/>
  <cols>
    <col min="1" max="1" width="10" style="28" customWidth="1"/>
    <col min="2" max="4" width="17.88671875" style="28" customWidth="1"/>
    <col min="5" max="5" width="9.109375" style="28"/>
    <col min="6" max="6" width="11.88671875" style="28" bestFit="1" customWidth="1"/>
    <col min="7" max="7" width="13.109375" style="28" bestFit="1" customWidth="1"/>
    <col min="8" max="16384" width="9.109375" style="28"/>
  </cols>
  <sheetData>
    <row r="1" spans="1:13" ht="15" customHeight="1" x14ac:dyDescent="0.45"/>
    <row r="2" spans="1:13" ht="48.75" customHeight="1" x14ac:dyDescent="0.45">
      <c r="A2" s="355" t="s">
        <v>517</v>
      </c>
      <c r="B2" s="355"/>
      <c r="C2" s="355"/>
      <c r="D2" s="355"/>
      <c r="E2" s="355"/>
      <c r="F2" s="355"/>
      <c r="G2" s="355"/>
      <c r="H2" s="107"/>
      <c r="I2" s="107"/>
    </row>
    <row r="3" spans="1:13" ht="30" customHeight="1" x14ac:dyDescent="0.45">
      <c r="A3" s="363" t="s">
        <v>359</v>
      </c>
      <c r="B3" s="363"/>
      <c r="C3" s="363"/>
      <c r="D3" s="363"/>
      <c r="E3" s="363"/>
      <c r="F3" s="363"/>
      <c r="G3" s="363"/>
      <c r="H3" s="11"/>
      <c r="I3" s="11"/>
    </row>
    <row r="4" spans="1:13" ht="13.5" customHeight="1" thickBot="1" x14ac:dyDescent="0.5">
      <c r="A4" s="29"/>
      <c r="B4" s="29"/>
      <c r="C4" s="29"/>
    </row>
    <row r="5" spans="1:13" ht="40.950000000000003" customHeight="1" thickBot="1" x14ac:dyDescent="0.5">
      <c r="A5" s="215"/>
      <c r="B5" s="270" t="s">
        <v>484</v>
      </c>
      <c r="C5" s="271" t="s">
        <v>354</v>
      </c>
      <c r="D5" s="146" t="s">
        <v>489</v>
      </c>
      <c r="E5" s="51"/>
      <c r="F5" s="51"/>
      <c r="G5" s="51"/>
      <c r="H5" s="51"/>
      <c r="I5" s="51"/>
      <c r="J5" s="43"/>
      <c r="K5" s="43"/>
    </row>
    <row r="6" spans="1:13" ht="15" customHeight="1" x14ac:dyDescent="0.45">
      <c r="A6" s="76" t="s">
        <v>275</v>
      </c>
      <c r="B6" s="286">
        <v>964453</v>
      </c>
      <c r="C6" s="79">
        <v>13266413</v>
      </c>
      <c r="D6" s="234">
        <v>7.26988524E-2</v>
      </c>
      <c r="E6" s="233"/>
      <c r="F6" s="44"/>
      <c r="G6" s="44"/>
      <c r="H6" s="233"/>
      <c r="I6" s="233"/>
      <c r="J6" s="44"/>
      <c r="K6" s="44"/>
      <c r="L6" s="44"/>
      <c r="M6" s="44"/>
    </row>
    <row r="7" spans="1:13" ht="15" customHeight="1" x14ac:dyDescent="0.45">
      <c r="A7" s="77" t="s">
        <v>276</v>
      </c>
      <c r="B7" s="287">
        <v>1115759</v>
      </c>
      <c r="C7" s="80">
        <v>15079612</v>
      </c>
      <c r="D7" s="235">
        <v>7.3991227399999998E-2</v>
      </c>
      <c r="E7" s="233"/>
      <c r="F7" s="44"/>
      <c r="G7" s="44"/>
      <c r="H7" s="233"/>
      <c r="I7" s="233"/>
      <c r="J7" s="44"/>
      <c r="K7" s="44"/>
      <c r="L7" s="44"/>
      <c r="M7" s="44"/>
    </row>
    <row r="8" spans="1:13" ht="15" customHeight="1" x14ac:dyDescent="0.45">
      <c r="A8" s="77" t="s">
        <v>277</v>
      </c>
      <c r="B8" s="287">
        <v>1210358</v>
      </c>
      <c r="C8" s="80">
        <v>15818846</v>
      </c>
      <c r="D8" s="235">
        <v>7.6513672399999996E-2</v>
      </c>
      <c r="E8" s="233"/>
      <c r="F8" s="44"/>
      <c r="G8" s="44"/>
      <c r="H8" s="233"/>
      <c r="I8" s="233"/>
      <c r="J8" s="44"/>
      <c r="K8" s="44"/>
      <c r="L8" s="44"/>
      <c r="M8" s="44"/>
    </row>
    <row r="9" spans="1:13" ht="15" customHeight="1" x14ac:dyDescent="0.45">
      <c r="A9" s="77" t="s">
        <v>278</v>
      </c>
      <c r="B9" s="287">
        <v>1298555</v>
      </c>
      <c r="C9" s="80">
        <v>17286648</v>
      </c>
      <c r="D9" s="235">
        <v>7.5118958900000005E-2</v>
      </c>
      <c r="E9" s="233"/>
      <c r="F9" s="44"/>
      <c r="G9" s="44"/>
      <c r="H9" s="233"/>
      <c r="I9" s="233"/>
      <c r="J9" s="44"/>
      <c r="K9" s="44"/>
      <c r="L9" s="44"/>
      <c r="M9" s="44"/>
    </row>
    <row r="10" spans="1:13" ht="15" customHeight="1" x14ac:dyDescent="0.45">
      <c r="A10" s="77" t="s">
        <v>279</v>
      </c>
      <c r="B10" s="287">
        <v>1364382</v>
      </c>
      <c r="C10" s="80">
        <v>18005435</v>
      </c>
      <c r="D10" s="235">
        <v>7.57761198E-2</v>
      </c>
      <c r="E10" s="233"/>
      <c r="F10" s="44"/>
      <c r="G10" s="44"/>
      <c r="H10" s="233"/>
      <c r="I10" s="233"/>
      <c r="J10" s="44"/>
      <c r="K10" s="44"/>
      <c r="L10" s="44"/>
      <c r="M10" s="44"/>
    </row>
    <row r="11" spans="1:13" ht="15" customHeight="1" x14ac:dyDescent="0.45">
      <c r="A11" s="69" t="s">
        <v>280</v>
      </c>
      <c r="B11" s="287">
        <v>1400232</v>
      </c>
      <c r="C11" s="80">
        <v>18197530</v>
      </c>
      <c r="D11" s="235">
        <v>7.6946266900000004E-2</v>
      </c>
      <c r="E11" s="233"/>
      <c r="F11" s="44"/>
      <c r="G11" s="44"/>
      <c r="H11" s="233"/>
      <c r="I11" s="233"/>
      <c r="J11" s="44"/>
      <c r="K11" s="44"/>
      <c r="L11" s="44"/>
      <c r="M11" s="44"/>
    </row>
    <row r="12" spans="1:13" ht="15" customHeight="1" x14ac:dyDescent="0.45">
      <c r="A12" s="69" t="s">
        <v>0</v>
      </c>
      <c r="B12" s="287">
        <v>1499582</v>
      </c>
      <c r="C12" s="80">
        <v>19254853</v>
      </c>
      <c r="D12" s="235">
        <v>7.7880729600000004E-2</v>
      </c>
      <c r="E12" s="233"/>
      <c r="F12" s="44"/>
      <c r="G12" s="44"/>
      <c r="H12" s="233"/>
      <c r="I12" s="233"/>
      <c r="J12" s="44"/>
      <c r="K12" s="44"/>
      <c r="L12" s="44"/>
      <c r="M12" s="44"/>
    </row>
    <row r="13" spans="1:13" ht="15" customHeight="1" x14ac:dyDescent="0.45">
      <c r="A13" s="69" t="s">
        <v>268</v>
      </c>
      <c r="B13" s="287">
        <v>1627031</v>
      </c>
      <c r="C13" s="80">
        <v>20168071</v>
      </c>
      <c r="D13" s="235">
        <v>8.0673605300000006E-2</v>
      </c>
      <c r="E13" s="233"/>
      <c r="F13" s="44"/>
      <c r="G13" s="44"/>
      <c r="H13" s="233"/>
      <c r="I13" s="233"/>
      <c r="J13" s="44"/>
      <c r="K13" s="44"/>
      <c r="L13" s="44"/>
      <c r="M13" s="44"/>
    </row>
    <row r="14" spans="1:13" ht="15" customHeight="1" x14ac:dyDescent="0.45">
      <c r="A14" s="69" t="s">
        <v>291</v>
      </c>
      <c r="B14" s="287">
        <v>1716765</v>
      </c>
      <c r="C14" s="80">
        <v>20603774</v>
      </c>
      <c r="D14" s="235">
        <v>8.3322841699999997E-2</v>
      </c>
      <c r="E14" s="233"/>
      <c r="F14" s="44"/>
      <c r="G14" s="44"/>
      <c r="H14" s="233"/>
      <c r="I14" s="233"/>
      <c r="J14" s="44"/>
      <c r="K14" s="44"/>
      <c r="L14" s="44"/>
      <c r="M14" s="44"/>
    </row>
    <row r="15" spans="1:13" ht="15" customHeight="1" thickBot="1" x14ac:dyDescent="0.5">
      <c r="A15" s="70" t="s">
        <v>373</v>
      </c>
      <c r="B15" s="288">
        <v>1796526</v>
      </c>
      <c r="C15" s="81">
        <v>21011705</v>
      </c>
      <c r="D15" s="236">
        <v>8.5501200402347169E-2</v>
      </c>
      <c r="E15" s="233"/>
      <c r="F15" s="44"/>
      <c r="G15" s="44"/>
      <c r="H15" s="233"/>
      <c r="I15" s="233"/>
      <c r="J15" s="44"/>
      <c r="K15" s="44"/>
      <c r="L15" s="44"/>
      <c r="M15" s="44"/>
    </row>
    <row r="16" spans="1:13" x14ac:dyDescent="0.45">
      <c r="A16" s="11"/>
      <c r="B16" s="12"/>
      <c r="C16" s="12"/>
      <c r="D16" s="12"/>
      <c r="E16" s="12"/>
      <c r="F16" s="12"/>
      <c r="G16" s="12"/>
      <c r="H16" s="12"/>
      <c r="I16" s="29"/>
    </row>
    <row r="17" spans="1:16" ht="13.2" customHeight="1" x14ac:dyDescent="0.45">
      <c r="A17" s="363" t="s">
        <v>527</v>
      </c>
      <c r="B17" s="363"/>
      <c r="C17" s="363"/>
      <c r="D17" s="363"/>
      <c r="E17" s="363"/>
      <c r="F17" s="363"/>
      <c r="G17" s="363"/>
      <c r="H17" s="363"/>
      <c r="I17" s="363"/>
      <c r="J17" s="363"/>
      <c r="K17" s="363"/>
      <c r="L17" s="29"/>
    </row>
    <row r="18" spans="1:16" ht="15" customHeight="1" x14ac:dyDescent="0.45">
      <c r="A18" s="363" t="s">
        <v>528</v>
      </c>
      <c r="B18" s="363"/>
      <c r="C18" s="363"/>
      <c r="D18" s="363"/>
      <c r="E18" s="363"/>
      <c r="F18" s="363"/>
      <c r="G18" s="363"/>
      <c r="H18" s="363"/>
      <c r="I18" s="363"/>
      <c r="J18" s="363"/>
      <c r="K18" s="363"/>
      <c r="L18" s="29"/>
    </row>
    <row r="19" spans="1:16" x14ac:dyDescent="0.45">
      <c r="A19" s="20"/>
      <c r="B19" s="102"/>
      <c r="C19" s="102"/>
      <c r="D19" s="102"/>
      <c r="E19" s="102"/>
      <c r="F19" s="102"/>
      <c r="G19" s="102"/>
      <c r="H19" s="102"/>
      <c r="I19" s="102"/>
      <c r="J19" s="102"/>
      <c r="K19" s="102"/>
      <c r="L19" s="46"/>
      <c r="M19" s="44"/>
      <c r="N19" s="44"/>
      <c r="O19" s="44"/>
      <c r="P19" s="44"/>
    </row>
    <row r="20" spans="1:16" ht="14.1" thickBot="1" x14ac:dyDescent="0.5">
      <c r="A20" s="365" t="s">
        <v>1</v>
      </c>
      <c r="B20" s="365"/>
      <c r="C20" s="365"/>
      <c r="D20" s="365"/>
      <c r="E20" s="365"/>
      <c r="F20" s="365"/>
      <c r="G20" s="365"/>
      <c r="H20" s="352"/>
    </row>
    <row r="21" spans="1:16" ht="14.25" customHeight="1" x14ac:dyDescent="0.45">
      <c r="A21" s="359" t="s">
        <v>376</v>
      </c>
      <c r="B21" s="359"/>
      <c r="C21" s="359"/>
      <c r="D21" s="359"/>
      <c r="E21" s="359"/>
      <c r="F21" s="359"/>
      <c r="G21" s="359"/>
      <c r="H21" s="200"/>
    </row>
    <row r="22" spans="1:16" ht="14.25" customHeight="1" x14ac:dyDescent="0.45">
      <c r="A22" s="353" t="s">
        <v>353</v>
      </c>
      <c r="B22" s="353"/>
      <c r="C22" s="353"/>
      <c r="D22" s="353"/>
      <c r="E22" s="353"/>
      <c r="F22" s="353"/>
      <c r="G22" s="353"/>
    </row>
    <row r="23" spans="1:16" ht="14.25" customHeight="1" x14ac:dyDescent="0.45">
      <c r="A23" s="349" t="s">
        <v>269</v>
      </c>
      <c r="B23" s="349"/>
      <c r="C23" s="349"/>
      <c r="D23" s="349"/>
      <c r="E23" s="349"/>
      <c r="F23" s="349"/>
      <c r="G23" s="349"/>
      <c r="H23" s="201"/>
    </row>
    <row r="24" spans="1:16" ht="15" customHeight="1" thickBot="1" x14ac:dyDescent="0.5">
      <c r="A24" s="350" t="s">
        <v>374</v>
      </c>
      <c r="B24" s="350"/>
      <c r="C24" s="350"/>
      <c r="D24" s="350"/>
      <c r="E24" s="350"/>
      <c r="F24" s="350"/>
      <c r="G24" s="350"/>
      <c r="H24" s="11"/>
    </row>
    <row r="25" spans="1:16" x14ac:dyDescent="0.45">
      <c r="A25" s="29"/>
      <c r="B25" s="30"/>
      <c r="C25" s="30"/>
      <c r="D25" s="30"/>
      <c r="E25" s="30"/>
      <c r="F25" s="30"/>
      <c r="G25" s="30"/>
      <c r="H25" s="108"/>
    </row>
    <row r="26" spans="1:16" x14ac:dyDescent="0.45">
      <c r="A26" s="351" t="s">
        <v>274</v>
      </c>
      <c r="B26" s="351"/>
      <c r="C26" s="30"/>
      <c r="D26" s="30"/>
      <c r="E26" s="30"/>
      <c r="F26" s="30"/>
      <c r="G26" s="31"/>
    </row>
    <row r="27" spans="1:16" x14ac:dyDescent="0.45">
      <c r="A27" s="11"/>
      <c r="B27" s="30"/>
      <c r="C27" s="30"/>
      <c r="D27" s="30"/>
      <c r="E27" s="30"/>
      <c r="F27" s="30"/>
    </row>
    <row r="28" spans="1:16" x14ac:dyDescent="0.45">
      <c r="A28" s="11"/>
      <c r="B28" s="31"/>
      <c r="C28" s="31"/>
      <c r="D28" s="31"/>
      <c r="E28" s="31"/>
      <c r="F28" s="31"/>
    </row>
  </sheetData>
  <mergeCells count="10">
    <mergeCell ref="A26:B26"/>
    <mergeCell ref="A20:H20"/>
    <mergeCell ref="A22:G22"/>
    <mergeCell ref="A2:G2"/>
    <mergeCell ref="A21:G21"/>
    <mergeCell ref="A23:G23"/>
    <mergeCell ref="A24:G24"/>
    <mergeCell ref="A3:G3"/>
    <mergeCell ref="A17:K17"/>
    <mergeCell ref="A18:K18"/>
  </mergeCells>
  <hyperlinks>
    <hyperlink ref="A23:F23" r:id="rId1" display="Contact via enquiries@NHSDigital.nhs.uk or 0300 303 5678" xr:uid="{00000000-0004-0000-1000-000000000000}"/>
    <hyperlink ref="A26" location="Contents!A1" display="Return to Contents" xr:uid="{00000000-0004-0000-1000-000001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P24"/>
  <sheetViews>
    <sheetView workbookViewId="0">
      <selection activeCell="A3" sqref="A3:I3"/>
    </sheetView>
  </sheetViews>
  <sheetFormatPr defaultColWidth="9.109375" defaultRowHeight="13.8" x14ac:dyDescent="0.45"/>
  <cols>
    <col min="1" max="1" width="13.44140625" style="28" customWidth="1"/>
    <col min="2" max="4" width="17.88671875" style="28" customWidth="1"/>
    <col min="5" max="16384" width="9.109375" style="28"/>
  </cols>
  <sheetData>
    <row r="1" spans="1:16" ht="15" customHeight="1" x14ac:dyDescent="0.45"/>
    <row r="2" spans="1:16" ht="48.75" customHeight="1" x14ac:dyDescent="0.45">
      <c r="A2" s="355" t="s">
        <v>485</v>
      </c>
      <c r="B2" s="355"/>
      <c r="C2" s="355"/>
      <c r="D2" s="355"/>
      <c r="E2" s="355"/>
      <c r="F2" s="355"/>
      <c r="G2" s="355"/>
      <c r="H2" s="355"/>
      <c r="I2" s="355"/>
      <c r="J2" s="107"/>
    </row>
    <row r="3" spans="1:16" ht="30" customHeight="1" x14ac:dyDescent="0.45">
      <c r="A3" s="361" t="s">
        <v>359</v>
      </c>
      <c r="B3" s="361"/>
      <c r="C3" s="361"/>
      <c r="D3" s="361"/>
      <c r="E3" s="361"/>
      <c r="F3" s="361"/>
      <c r="G3" s="361"/>
      <c r="H3" s="361"/>
      <c r="I3" s="361"/>
    </row>
    <row r="4" spans="1:16" ht="13.5" customHeight="1" thickBot="1" x14ac:dyDescent="0.5">
      <c r="A4" s="29"/>
      <c r="B4" s="29"/>
      <c r="C4" s="29"/>
    </row>
    <row r="5" spans="1:16" ht="44.25" customHeight="1" thickBot="1" x14ac:dyDescent="0.5">
      <c r="A5" s="216"/>
      <c r="B5" s="270" t="s">
        <v>484</v>
      </c>
      <c r="C5" s="271" t="s">
        <v>354</v>
      </c>
      <c r="D5" s="146" t="s">
        <v>489</v>
      </c>
      <c r="E5" s="51"/>
      <c r="F5" s="51"/>
      <c r="G5" s="51"/>
      <c r="K5" s="43"/>
      <c r="L5" s="43"/>
      <c r="M5" s="43"/>
      <c r="N5" s="43"/>
    </row>
    <row r="6" spans="1:16" ht="15" customHeight="1" x14ac:dyDescent="0.45">
      <c r="A6" s="76" t="s">
        <v>19</v>
      </c>
      <c r="B6" s="195">
        <v>270916</v>
      </c>
      <c r="C6" s="196">
        <v>3292477</v>
      </c>
      <c r="D6" s="234">
        <v>8.2283338653542606E-2</v>
      </c>
      <c r="E6" s="29"/>
    </row>
    <row r="7" spans="1:16" ht="15" customHeight="1" x14ac:dyDescent="0.45">
      <c r="A7" s="77" t="s">
        <v>20</v>
      </c>
      <c r="B7" s="197">
        <v>251915</v>
      </c>
      <c r="C7" s="198">
        <v>3038280</v>
      </c>
      <c r="D7" s="235">
        <v>8.2913688007688557E-2</v>
      </c>
      <c r="E7" s="52"/>
    </row>
    <row r="8" spans="1:16" ht="15" customHeight="1" x14ac:dyDescent="0.45">
      <c r="A8" s="77" t="s">
        <v>21</v>
      </c>
      <c r="B8" s="197">
        <v>245780</v>
      </c>
      <c r="C8" s="198">
        <v>2962034</v>
      </c>
      <c r="D8" s="235">
        <v>8.2976765290337651E-2</v>
      </c>
      <c r="E8" s="29"/>
    </row>
    <row r="9" spans="1:16" ht="15" customHeight="1" x14ac:dyDescent="0.45">
      <c r="A9" s="77" t="s">
        <v>22</v>
      </c>
      <c r="B9" s="197">
        <v>244870</v>
      </c>
      <c r="C9" s="198">
        <v>2926303</v>
      </c>
      <c r="D9" s="235">
        <v>8.367896284151026E-2</v>
      </c>
      <c r="E9" s="29"/>
    </row>
    <row r="10" spans="1:16" ht="15" customHeight="1" x14ac:dyDescent="0.45">
      <c r="A10" s="77" t="s">
        <v>23</v>
      </c>
      <c r="B10" s="197">
        <v>249741</v>
      </c>
      <c r="C10" s="198">
        <v>2893344</v>
      </c>
      <c r="D10" s="235">
        <v>8.6315695610338763E-2</v>
      </c>
      <c r="E10" s="29"/>
    </row>
    <row r="11" spans="1:16" ht="15" customHeight="1" x14ac:dyDescent="0.45">
      <c r="A11" s="77" t="s">
        <v>24</v>
      </c>
      <c r="B11" s="197">
        <v>268437</v>
      </c>
      <c r="C11" s="198">
        <v>2950979</v>
      </c>
      <c r="D11" s="235">
        <v>9.0965405040157862E-2</v>
      </c>
      <c r="E11" s="29"/>
    </row>
    <row r="12" spans="1:16" ht="15" customHeight="1" thickBot="1" x14ac:dyDescent="0.5">
      <c r="A12" s="70" t="s">
        <v>25</v>
      </c>
      <c r="B12" s="199">
        <v>264867</v>
      </c>
      <c r="C12" s="91">
        <v>2948288</v>
      </c>
      <c r="D12" s="236">
        <v>8.9837559967004585E-2</v>
      </c>
      <c r="E12" s="29"/>
    </row>
    <row r="13" spans="1:16" ht="15" x14ac:dyDescent="0.5">
      <c r="A13" s="11"/>
      <c r="B13" s="12"/>
      <c r="C13" s="12"/>
      <c r="D13" s="12"/>
      <c r="E13" s="12"/>
      <c r="G13" s="12"/>
      <c r="H13" s="191"/>
      <c r="I13" s="29"/>
    </row>
    <row r="14" spans="1:16" ht="13.2" customHeight="1" x14ac:dyDescent="0.45">
      <c r="A14" s="363" t="s">
        <v>527</v>
      </c>
      <c r="B14" s="363"/>
      <c r="C14" s="363"/>
      <c r="D14" s="363"/>
      <c r="E14" s="363"/>
      <c r="F14" s="363"/>
      <c r="G14" s="363"/>
      <c r="H14" s="363"/>
      <c r="I14" s="363"/>
      <c r="J14" s="363"/>
      <c r="K14" s="363"/>
      <c r="L14" s="29"/>
    </row>
    <row r="15" spans="1:16" ht="15" customHeight="1" x14ac:dyDescent="0.45">
      <c r="A15" s="363" t="s">
        <v>528</v>
      </c>
      <c r="B15" s="363"/>
      <c r="C15" s="363"/>
      <c r="D15" s="363"/>
      <c r="E15" s="363"/>
      <c r="F15" s="363"/>
      <c r="G15" s="363"/>
      <c r="H15" s="363"/>
      <c r="I15" s="363"/>
      <c r="J15" s="363"/>
      <c r="K15" s="363"/>
      <c r="L15" s="29"/>
    </row>
    <row r="16" spans="1:16" x14ac:dyDescent="0.45">
      <c r="A16" s="20"/>
      <c r="B16" s="102"/>
      <c r="C16" s="102"/>
      <c r="D16" s="102"/>
      <c r="E16" s="102"/>
      <c r="F16" s="102"/>
      <c r="G16" s="102"/>
      <c r="H16" s="102"/>
      <c r="I16" s="102"/>
      <c r="J16" s="102"/>
      <c r="K16" s="102"/>
      <c r="L16" s="46"/>
      <c r="M16" s="44"/>
      <c r="N16" s="44"/>
      <c r="O16" s="44"/>
      <c r="P16" s="44"/>
    </row>
    <row r="17" spans="1:9" ht="14.1" thickBot="1" x14ac:dyDescent="0.5">
      <c r="A17" s="365" t="s">
        <v>1</v>
      </c>
      <c r="B17" s="365"/>
      <c r="C17" s="365"/>
      <c r="D17" s="365"/>
      <c r="E17" s="365"/>
      <c r="F17" s="365"/>
      <c r="G17" s="365"/>
      <c r="H17" s="365"/>
      <c r="I17" s="29"/>
    </row>
    <row r="18" spans="1:9" x14ac:dyDescent="0.45">
      <c r="A18" s="353" t="s">
        <v>376</v>
      </c>
      <c r="B18" s="353"/>
      <c r="C18" s="353"/>
      <c r="D18" s="353"/>
      <c r="E18" s="353"/>
      <c r="F18" s="353"/>
      <c r="G18" s="353"/>
      <c r="H18" s="353"/>
      <c r="I18" s="29"/>
    </row>
    <row r="19" spans="1:9" x14ac:dyDescent="0.45">
      <c r="A19" s="353" t="s">
        <v>353</v>
      </c>
      <c r="B19" s="353"/>
      <c r="C19" s="353"/>
      <c r="D19" s="353"/>
      <c r="E19" s="353"/>
      <c r="F19" s="353"/>
      <c r="G19" s="353"/>
      <c r="I19" s="29"/>
    </row>
    <row r="20" spans="1:9" x14ac:dyDescent="0.45">
      <c r="A20" s="349" t="s">
        <v>269</v>
      </c>
      <c r="B20" s="349"/>
      <c r="C20" s="349"/>
      <c r="D20" s="349"/>
      <c r="E20" s="349"/>
      <c r="F20" s="349"/>
      <c r="G20" s="349"/>
      <c r="H20" s="349"/>
      <c r="I20" s="29"/>
    </row>
    <row r="21" spans="1:9" ht="14.1" thickBot="1" x14ac:dyDescent="0.5">
      <c r="A21" s="350" t="s">
        <v>374</v>
      </c>
      <c r="B21" s="350"/>
      <c r="C21" s="350"/>
      <c r="D21" s="350"/>
      <c r="E21" s="350"/>
      <c r="F21" s="350"/>
      <c r="G21" s="350"/>
      <c r="H21" s="350"/>
      <c r="I21" s="29"/>
    </row>
    <row r="22" spans="1:9" x14ac:dyDescent="0.45">
      <c r="A22" s="29"/>
      <c r="B22" s="30"/>
      <c r="C22" s="30"/>
      <c r="D22" s="30"/>
      <c r="E22" s="30"/>
      <c r="F22" s="30"/>
      <c r="G22" s="30"/>
    </row>
    <row r="23" spans="1:9" x14ac:dyDescent="0.45">
      <c r="A23" s="351" t="s">
        <v>274</v>
      </c>
      <c r="B23" s="351"/>
      <c r="C23" s="30"/>
      <c r="D23" s="30"/>
      <c r="E23" s="30"/>
      <c r="F23" s="30"/>
      <c r="G23" s="31"/>
    </row>
    <row r="24" spans="1:9" x14ac:dyDescent="0.45">
      <c r="A24" s="11"/>
      <c r="B24" s="30"/>
      <c r="C24" s="30"/>
      <c r="D24" s="30"/>
      <c r="E24" s="30"/>
      <c r="F24" s="30"/>
    </row>
  </sheetData>
  <mergeCells count="10">
    <mergeCell ref="A2:I2"/>
    <mergeCell ref="A23:B23"/>
    <mergeCell ref="A3:I3"/>
    <mergeCell ref="A17:H17"/>
    <mergeCell ref="A19:G19"/>
    <mergeCell ref="A18:H18"/>
    <mergeCell ref="A20:H20"/>
    <mergeCell ref="A21:H21"/>
    <mergeCell ref="A14:K14"/>
    <mergeCell ref="A15:K15"/>
  </mergeCells>
  <hyperlinks>
    <hyperlink ref="A20:F20" r:id="rId1" display="Contact via enquiries@NHSDigital.nhs.uk or 0300 303 5678" xr:uid="{00000000-0004-0000-1100-000000000000}"/>
    <hyperlink ref="A23" location="Contents!A1" display="Return to Contents" xr:uid="{00000000-0004-0000-1100-000001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P46"/>
  <sheetViews>
    <sheetView workbookViewId="0">
      <selection activeCell="A3" sqref="A3:H3"/>
    </sheetView>
  </sheetViews>
  <sheetFormatPr defaultColWidth="9.109375" defaultRowHeight="13.8" x14ac:dyDescent="0.45"/>
  <cols>
    <col min="1" max="1" width="9.109375" style="28"/>
    <col min="2" max="7" width="17.88671875" style="28" customWidth="1"/>
    <col min="8" max="11" width="10.21875" style="28" customWidth="1"/>
    <col min="12" max="16384" width="9.109375" style="28"/>
  </cols>
  <sheetData>
    <row r="1" spans="1:11" ht="15" customHeight="1" x14ac:dyDescent="0.45"/>
    <row r="2" spans="1:11" ht="55.2" customHeight="1" x14ac:dyDescent="0.45">
      <c r="A2" s="355" t="s">
        <v>488</v>
      </c>
      <c r="B2" s="355"/>
      <c r="C2" s="355"/>
      <c r="D2" s="355"/>
      <c r="E2" s="355"/>
      <c r="F2" s="355"/>
      <c r="G2" s="355"/>
      <c r="H2" s="355"/>
      <c r="I2" s="107"/>
      <c r="J2" s="107"/>
      <c r="K2" s="107"/>
    </row>
    <row r="3" spans="1:11" ht="30" customHeight="1" x14ac:dyDescent="0.45">
      <c r="A3" s="363" t="s">
        <v>359</v>
      </c>
      <c r="B3" s="363"/>
      <c r="C3" s="363"/>
      <c r="D3" s="363"/>
      <c r="E3" s="363"/>
      <c r="F3" s="363"/>
      <c r="G3" s="363"/>
      <c r="H3" s="363"/>
      <c r="I3" s="11"/>
      <c r="J3" s="11"/>
    </row>
    <row r="4" spans="1:11" ht="13.5" customHeight="1" thickBot="1" x14ac:dyDescent="0.5">
      <c r="A4" s="29"/>
      <c r="B4" s="29"/>
      <c r="C4" s="29"/>
    </row>
    <row r="5" spans="1:11" ht="14.1" thickBot="1" x14ac:dyDescent="0.5">
      <c r="A5" s="11"/>
      <c r="B5" s="379" t="s">
        <v>3</v>
      </c>
      <c r="C5" s="380"/>
      <c r="D5" s="381"/>
      <c r="E5" s="382" t="s">
        <v>4</v>
      </c>
      <c r="F5" s="383"/>
      <c r="G5" s="384"/>
    </row>
    <row r="6" spans="1:11" ht="45.75" customHeight="1" thickBot="1" x14ac:dyDescent="0.5">
      <c r="A6" s="11"/>
      <c r="B6" s="270" t="s">
        <v>484</v>
      </c>
      <c r="C6" s="271" t="s">
        <v>354</v>
      </c>
      <c r="D6" s="146" t="s">
        <v>489</v>
      </c>
      <c r="E6" s="270" t="s">
        <v>484</v>
      </c>
      <c r="F6" s="271" t="s">
        <v>354</v>
      </c>
      <c r="G6" s="146" t="s">
        <v>489</v>
      </c>
    </row>
    <row r="7" spans="1:11" x14ac:dyDescent="0.45">
      <c r="A7" s="272" t="s">
        <v>320</v>
      </c>
      <c r="B7" s="275">
        <v>133205</v>
      </c>
      <c r="C7" s="276">
        <v>1740969</v>
      </c>
      <c r="D7" s="282">
        <v>7.6511988438622405E-2</v>
      </c>
      <c r="E7" s="275">
        <v>103522</v>
      </c>
      <c r="F7" s="276">
        <v>1408486</v>
      </c>
      <c r="G7" s="282">
        <v>7.3498778120620292E-2</v>
      </c>
    </row>
    <row r="8" spans="1:11" x14ac:dyDescent="0.45">
      <c r="A8" s="273" t="s">
        <v>321</v>
      </c>
      <c r="B8" s="184">
        <v>78139</v>
      </c>
      <c r="C8" s="185">
        <v>1150758</v>
      </c>
      <c r="D8" s="283">
        <v>6.7902200115054601E-2</v>
      </c>
      <c r="E8" s="184">
        <v>92991</v>
      </c>
      <c r="F8" s="185">
        <v>1138816</v>
      </c>
      <c r="G8" s="283">
        <v>8.1655860121389229E-2</v>
      </c>
    </row>
    <row r="9" spans="1:11" x14ac:dyDescent="0.45">
      <c r="A9" s="273" t="s">
        <v>322</v>
      </c>
      <c r="B9" s="184">
        <v>140135</v>
      </c>
      <c r="C9" s="185">
        <v>1455141</v>
      </c>
      <c r="D9" s="283">
        <v>9.6303382283916134E-2</v>
      </c>
      <c r="E9" s="184">
        <v>170491</v>
      </c>
      <c r="F9" s="185">
        <v>1710287</v>
      </c>
      <c r="G9" s="283">
        <v>9.9685608321878144E-2</v>
      </c>
    </row>
    <row r="10" spans="1:11" x14ac:dyDescent="0.45">
      <c r="A10" s="273" t="s">
        <v>323</v>
      </c>
      <c r="B10" s="184">
        <v>128273</v>
      </c>
      <c r="C10" s="185">
        <v>1257196</v>
      </c>
      <c r="D10" s="283">
        <v>0.10203102777928023</v>
      </c>
      <c r="E10" s="184">
        <v>124767</v>
      </c>
      <c r="F10" s="185">
        <v>1337014</v>
      </c>
      <c r="G10" s="283">
        <v>9.3317646636460055E-2</v>
      </c>
    </row>
    <row r="11" spans="1:11" x14ac:dyDescent="0.45">
      <c r="A11" s="273" t="s">
        <v>324</v>
      </c>
      <c r="B11" s="184">
        <v>111260</v>
      </c>
      <c r="C11" s="185">
        <v>1101870</v>
      </c>
      <c r="D11" s="283">
        <v>0.10097379908700664</v>
      </c>
      <c r="E11" s="184">
        <v>93638</v>
      </c>
      <c r="F11" s="185">
        <v>1088693</v>
      </c>
      <c r="G11" s="283">
        <v>8.6009554575991576E-2</v>
      </c>
    </row>
    <row r="12" spans="1:11" x14ac:dyDescent="0.45">
      <c r="A12" s="273" t="s">
        <v>325</v>
      </c>
      <c r="B12" s="184">
        <v>105196</v>
      </c>
      <c r="C12" s="185">
        <v>1060315</v>
      </c>
      <c r="D12" s="283">
        <v>9.9212026614732413E-2</v>
      </c>
      <c r="E12" s="184">
        <v>83854</v>
      </c>
      <c r="F12" s="185">
        <v>1077169</v>
      </c>
      <c r="G12" s="283">
        <v>7.7846651732457958E-2</v>
      </c>
    </row>
    <row r="13" spans="1:11" x14ac:dyDescent="0.45">
      <c r="A13" s="273" t="s">
        <v>326</v>
      </c>
      <c r="B13" s="184">
        <v>77278</v>
      </c>
      <c r="C13" s="185">
        <v>845392</v>
      </c>
      <c r="D13" s="283">
        <v>9.1410848458466601E-2</v>
      </c>
      <c r="E13" s="184">
        <v>64312</v>
      </c>
      <c r="F13" s="185">
        <v>847465</v>
      </c>
      <c r="G13" s="283">
        <v>7.5887499778751921E-2</v>
      </c>
    </row>
    <row r="14" spans="1:11" x14ac:dyDescent="0.45">
      <c r="A14" s="273" t="s">
        <v>327</v>
      </c>
      <c r="B14" s="184">
        <v>73661</v>
      </c>
      <c r="C14" s="185">
        <v>821702</v>
      </c>
      <c r="D14" s="283">
        <v>8.9644420970132727E-2</v>
      </c>
      <c r="E14" s="184">
        <v>67301</v>
      </c>
      <c r="F14" s="185">
        <v>875886</v>
      </c>
      <c r="G14" s="283">
        <v>7.6837624987726713E-2</v>
      </c>
    </row>
    <row r="15" spans="1:11" x14ac:dyDescent="0.45">
      <c r="A15" s="273" t="s">
        <v>328</v>
      </c>
      <c r="B15" s="184">
        <v>53894</v>
      </c>
      <c r="C15" s="185">
        <v>632835</v>
      </c>
      <c r="D15" s="283">
        <v>8.5162799149857388E-2</v>
      </c>
      <c r="E15" s="184">
        <v>60963</v>
      </c>
      <c r="F15" s="185">
        <v>815316</v>
      </c>
      <c r="G15" s="283">
        <v>7.4772235550387825E-2</v>
      </c>
    </row>
    <row r="16" spans="1:11" ht="14.1" thickBot="1" x14ac:dyDescent="0.5">
      <c r="A16" s="274" t="s">
        <v>6</v>
      </c>
      <c r="B16" s="186">
        <v>12458</v>
      </c>
      <c r="C16" s="187">
        <v>158811</v>
      </c>
      <c r="D16" s="284">
        <v>7.8445447733469342E-2</v>
      </c>
      <c r="E16" s="186">
        <v>21188</v>
      </c>
      <c r="F16" s="187">
        <v>303903</v>
      </c>
      <c r="G16" s="284">
        <v>6.9719614482252557E-2</v>
      </c>
    </row>
    <row r="17" spans="1:16" x14ac:dyDescent="0.45">
      <c r="A17" s="11"/>
      <c r="B17" s="12"/>
      <c r="C17" s="12"/>
      <c r="D17" s="12"/>
      <c r="E17" s="12"/>
      <c r="F17" s="12"/>
      <c r="G17" s="12"/>
      <c r="H17" s="29"/>
    </row>
    <row r="18" spans="1:16" ht="13.2" customHeight="1" x14ac:dyDescent="0.45">
      <c r="A18" s="363" t="s">
        <v>527</v>
      </c>
      <c r="B18" s="363"/>
      <c r="C18" s="363"/>
      <c r="D18" s="363"/>
      <c r="E18" s="363"/>
      <c r="F18" s="363"/>
      <c r="G18" s="363"/>
      <c r="H18" s="363"/>
      <c r="I18" s="363"/>
      <c r="J18" s="363"/>
      <c r="K18" s="363"/>
      <c r="L18" s="29"/>
    </row>
    <row r="19" spans="1:16" ht="15" customHeight="1" x14ac:dyDescent="0.45">
      <c r="A19" s="363" t="s">
        <v>528</v>
      </c>
      <c r="B19" s="363"/>
      <c r="C19" s="363"/>
      <c r="D19" s="363"/>
      <c r="E19" s="363"/>
      <c r="F19" s="363"/>
      <c r="G19" s="363"/>
      <c r="H19" s="363"/>
      <c r="I19" s="363"/>
      <c r="J19" s="363"/>
      <c r="K19" s="363"/>
      <c r="L19" s="29"/>
    </row>
    <row r="20" spans="1:16" x14ac:dyDescent="0.45">
      <c r="A20" s="20"/>
      <c r="B20" s="102"/>
      <c r="C20" s="102"/>
      <c r="D20" s="102"/>
      <c r="E20" s="102"/>
      <c r="F20" s="102"/>
      <c r="G20" s="102"/>
      <c r="H20" s="102"/>
      <c r="I20" s="102"/>
      <c r="J20" s="102"/>
      <c r="K20" s="102"/>
      <c r="L20" s="46"/>
      <c r="M20" s="44"/>
      <c r="N20" s="44"/>
      <c r="O20" s="44"/>
      <c r="P20" s="44"/>
    </row>
    <row r="21" spans="1:16" ht="14.1" thickBot="1" x14ac:dyDescent="0.5">
      <c r="A21" s="365" t="s">
        <v>1</v>
      </c>
      <c r="B21" s="365"/>
      <c r="C21" s="365"/>
      <c r="D21" s="365"/>
      <c r="E21" s="365"/>
      <c r="F21" s="365"/>
      <c r="G21" s="365"/>
      <c r="H21" s="365"/>
    </row>
    <row r="22" spans="1:16" x14ac:dyDescent="0.45">
      <c r="A22" s="353" t="s">
        <v>376</v>
      </c>
      <c r="B22" s="353"/>
      <c r="C22" s="353"/>
      <c r="D22" s="353"/>
      <c r="E22" s="353"/>
      <c r="F22" s="353"/>
      <c r="G22" s="353"/>
      <c r="H22" s="353"/>
    </row>
    <row r="23" spans="1:16" x14ac:dyDescent="0.45">
      <c r="A23" s="353" t="s">
        <v>353</v>
      </c>
      <c r="B23" s="353"/>
      <c r="C23" s="353"/>
      <c r="D23" s="353"/>
      <c r="E23" s="353"/>
      <c r="F23" s="353"/>
      <c r="G23" s="353"/>
    </row>
    <row r="24" spans="1:16" x14ac:dyDescent="0.45">
      <c r="A24" s="349" t="s">
        <v>269</v>
      </c>
      <c r="B24" s="349"/>
      <c r="C24" s="349"/>
      <c r="D24" s="349"/>
      <c r="E24" s="349"/>
      <c r="F24" s="349"/>
      <c r="G24" s="349"/>
      <c r="H24" s="349"/>
    </row>
    <row r="25" spans="1:16" ht="14.1" thickBot="1" x14ac:dyDescent="0.5">
      <c r="A25" s="350" t="s">
        <v>374</v>
      </c>
      <c r="B25" s="350"/>
      <c r="C25" s="350"/>
      <c r="D25" s="350"/>
      <c r="E25" s="350"/>
      <c r="F25" s="350"/>
      <c r="G25" s="350"/>
      <c r="H25" s="350"/>
    </row>
    <row r="26" spans="1:16" x14ac:dyDescent="0.45">
      <c r="A26" s="29"/>
      <c r="B26" s="30"/>
      <c r="C26" s="30"/>
      <c r="D26" s="30"/>
      <c r="E26" s="30"/>
      <c r="F26" s="30"/>
      <c r="G26" s="30"/>
    </row>
    <row r="27" spans="1:16" x14ac:dyDescent="0.45">
      <c r="A27" s="351" t="s">
        <v>274</v>
      </c>
      <c r="B27" s="351"/>
      <c r="C27" s="30"/>
      <c r="D27" s="30"/>
      <c r="E27" s="30"/>
      <c r="F27" s="30"/>
      <c r="G27" s="31"/>
    </row>
    <row r="28" spans="1:16" x14ac:dyDescent="0.45">
      <c r="A28" s="11"/>
      <c r="B28" s="30"/>
      <c r="C28" s="30"/>
      <c r="D28" s="30"/>
      <c r="E28" s="30"/>
      <c r="F28" s="30"/>
    </row>
    <row r="29" spans="1:16" x14ac:dyDescent="0.45">
      <c r="A29" s="11"/>
      <c r="B29" s="31"/>
      <c r="C29" s="31"/>
      <c r="D29" s="31"/>
      <c r="E29" s="31"/>
      <c r="F29" s="31"/>
    </row>
    <row r="34" spans="3:8" x14ac:dyDescent="0.45">
      <c r="C34" s="106"/>
    </row>
    <row r="36" spans="3:8" x14ac:dyDescent="0.45">
      <c r="H36" s="106"/>
    </row>
    <row r="44" spans="3:8" x14ac:dyDescent="0.45">
      <c r="C44" s="106"/>
    </row>
    <row r="46" spans="3:8" x14ac:dyDescent="0.45">
      <c r="H46" s="106"/>
    </row>
  </sheetData>
  <mergeCells count="12">
    <mergeCell ref="A2:H2"/>
    <mergeCell ref="A3:H3"/>
    <mergeCell ref="A24:H24"/>
    <mergeCell ref="A25:H25"/>
    <mergeCell ref="A27:B27"/>
    <mergeCell ref="A21:H21"/>
    <mergeCell ref="B5:D5"/>
    <mergeCell ref="A23:G23"/>
    <mergeCell ref="E5:G5"/>
    <mergeCell ref="A22:H22"/>
    <mergeCell ref="A18:K18"/>
    <mergeCell ref="A19:K19"/>
  </mergeCells>
  <hyperlinks>
    <hyperlink ref="A24:F24" r:id="rId1" display="Contact via enquiries@NHSDigital.nhs.uk or 0300 303 5678" xr:uid="{00000000-0004-0000-1200-000000000000}"/>
    <hyperlink ref="A27" location="Contents!A1" display="Return to Contents" xr:uid="{00000000-0004-0000-1200-000001000000}"/>
  </hyperlinks>
  <pageMargins left="0.7" right="0.7" top="0.75" bottom="0.75" header="0.3" footer="0.3"/>
  <pageSetup paperSize="9" orientation="portrait" r:id="rId2"/>
  <ignoredErrors>
    <ignoredError sqref="A8" twoDigitTextYear="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DE555-9172-4E36-AB3E-433A3B87D1DE}">
  <dimension ref="A1:P33"/>
  <sheetViews>
    <sheetView workbookViewId="0"/>
  </sheetViews>
  <sheetFormatPr defaultColWidth="9.109375" defaultRowHeight="13.8" x14ac:dyDescent="0.45"/>
  <cols>
    <col min="1" max="1" width="34.88671875" style="28" customWidth="1"/>
    <col min="2" max="4" width="17.88671875" style="28" customWidth="1"/>
    <col min="5" max="16384" width="9.109375" style="28"/>
  </cols>
  <sheetData>
    <row r="1" spans="1:14" ht="15" customHeight="1" x14ac:dyDescent="0.45"/>
    <row r="2" spans="1:14" ht="48.75" customHeight="1" x14ac:dyDescent="0.45">
      <c r="A2" s="355" t="s">
        <v>525</v>
      </c>
      <c r="B2" s="355"/>
      <c r="C2" s="355"/>
      <c r="D2" s="355"/>
      <c r="E2" s="355"/>
      <c r="F2" s="355"/>
      <c r="G2" s="355"/>
      <c r="H2" s="355"/>
      <c r="I2" s="355"/>
      <c r="J2" s="107"/>
    </row>
    <row r="3" spans="1:14" ht="30" customHeight="1" x14ac:dyDescent="0.45">
      <c r="A3" s="361" t="s">
        <v>359</v>
      </c>
      <c r="B3" s="361"/>
      <c r="C3" s="361"/>
      <c r="D3" s="361"/>
      <c r="E3" s="361"/>
      <c r="F3" s="361"/>
      <c r="G3" s="361"/>
      <c r="H3" s="361"/>
      <c r="I3" s="361"/>
    </row>
    <row r="4" spans="1:14" ht="13.5" customHeight="1" thickBot="1" x14ac:dyDescent="0.5">
      <c r="A4" s="29"/>
      <c r="B4" s="29"/>
      <c r="C4" s="29"/>
    </row>
    <row r="5" spans="1:14" ht="30" customHeight="1" thickBot="1" x14ac:dyDescent="0.5">
      <c r="A5" s="314" t="s">
        <v>524</v>
      </c>
      <c r="B5" s="317" t="s">
        <v>373</v>
      </c>
      <c r="C5" s="147" t="s">
        <v>451</v>
      </c>
      <c r="D5" s="318" t="s">
        <v>456</v>
      </c>
      <c r="E5" s="51"/>
      <c r="F5" s="51"/>
      <c r="G5" s="51"/>
      <c r="K5" s="43"/>
      <c r="L5" s="43"/>
      <c r="M5" s="43"/>
      <c r="N5" s="43"/>
    </row>
    <row r="6" spans="1:14" ht="15" customHeight="1" x14ac:dyDescent="0.45">
      <c r="A6" s="316" t="s">
        <v>394</v>
      </c>
      <c r="B6" s="166">
        <v>2974424</v>
      </c>
      <c r="C6" s="156">
        <v>4554157</v>
      </c>
      <c r="D6" s="327">
        <v>65312.285017841939</v>
      </c>
      <c r="E6" s="29"/>
    </row>
    <row r="7" spans="1:14" ht="15" customHeight="1" x14ac:dyDescent="0.45">
      <c r="A7" s="315" t="s">
        <v>390</v>
      </c>
      <c r="B7" s="167">
        <v>2698740</v>
      </c>
      <c r="C7" s="155">
        <v>6103524</v>
      </c>
      <c r="D7" s="328">
        <v>44216.095488442414</v>
      </c>
      <c r="E7" s="52"/>
    </row>
    <row r="8" spans="1:14" ht="15" customHeight="1" x14ac:dyDescent="0.45">
      <c r="A8" s="315" t="s">
        <v>391</v>
      </c>
      <c r="B8" s="167">
        <v>2412949</v>
      </c>
      <c r="C8" s="155">
        <v>3717450</v>
      </c>
      <c r="D8" s="328">
        <v>64908.714306850125</v>
      </c>
      <c r="E8" s="29"/>
    </row>
    <row r="9" spans="1:14" ht="15" customHeight="1" x14ac:dyDescent="0.45">
      <c r="A9" s="315" t="s">
        <v>392</v>
      </c>
      <c r="B9" s="167">
        <v>2210350</v>
      </c>
      <c r="C9" s="155">
        <v>5224615</v>
      </c>
      <c r="D9" s="328">
        <v>42306.466600888292</v>
      </c>
      <c r="E9" s="29"/>
    </row>
    <row r="10" spans="1:14" ht="15" customHeight="1" x14ac:dyDescent="0.45">
      <c r="A10" s="315" t="s">
        <v>393</v>
      </c>
      <c r="B10" s="167">
        <v>2002279</v>
      </c>
      <c r="C10" s="155">
        <v>8791171</v>
      </c>
      <c r="D10" s="328">
        <v>22776.021533422565</v>
      </c>
      <c r="E10" s="29"/>
    </row>
    <row r="11" spans="1:14" ht="15" customHeight="1" x14ac:dyDescent="0.45">
      <c r="A11" s="315" t="s">
        <v>389</v>
      </c>
      <c r="B11" s="167">
        <v>1877730</v>
      </c>
      <c r="C11" s="155">
        <v>5768641</v>
      </c>
      <c r="D11" s="328">
        <v>32550.647544196287</v>
      </c>
      <c r="E11" s="29"/>
    </row>
    <row r="12" spans="1:14" ht="15" customHeight="1" x14ac:dyDescent="0.45">
      <c r="A12" s="315" t="s">
        <v>388</v>
      </c>
      <c r="B12" s="167">
        <v>1738447</v>
      </c>
      <c r="C12" s="155">
        <v>5486709</v>
      </c>
      <c r="D12" s="328">
        <v>31684.694777871398</v>
      </c>
      <c r="E12" s="29"/>
    </row>
    <row r="13" spans="1:14" ht="15" customHeight="1" x14ac:dyDescent="0.45">
      <c r="A13" s="315" t="s">
        <v>387</v>
      </c>
      <c r="B13" s="167">
        <v>1626090</v>
      </c>
      <c r="C13" s="155">
        <v>5495168</v>
      </c>
      <c r="D13" s="328">
        <v>29591.270003028116</v>
      </c>
      <c r="E13" s="29"/>
    </row>
    <row r="14" spans="1:14" ht="15" customHeight="1" x14ac:dyDescent="0.45">
      <c r="A14" s="315" t="s">
        <v>386</v>
      </c>
      <c r="B14" s="167">
        <v>1583744</v>
      </c>
      <c r="C14" s="155">
        <v>4273143</v>
      </c>
      <c r="D14" s="328">
        <v>37062.742810151685</v>
      </c>
      <c r="E14" s="29"/>
    </row>
    <row r="15" spans="1:14" ht="15" customHeight="1" thickBot="1" x14ac:dyDescent="0.5">
      <c r="A15" s="333" t="s">
        <v>385</v>
      </c>
      <c r="B15" s="168">
        <v>1435038</v>
      </c>
      <c r="C15" s="159">
        <v>5853489</v>
      </c>
      <c r="D15" s="334">
        <v>24515.942542985904</v>
      </c>
      <c r="E15" s="29"/>
    </row>
    <row r="16" spans="1:14" ht="15" customHeight="1" x14ac:dyDescent="0.45">
      <c r="A16" s="312"/>
      <c r="B16" s="312"/>
      <c r="C16" s="312"/>
      <c r="D16" s="312"/>
      <c r="E16" s="29"/>
    </row>
    <row r="17" spans="1:16" ht="24" customHeight="1" x14ac:dyDescent="0.45">
      <c r="A17" s="385" t="s">
        <v>458</v>
      </c>
      <c r="B17" s="385"/>
      <c r="C17" s="385"/>
      <c r="D17" s="385"/>
      <c r="E17" s="385"/>
      <c r="F17" s="385"/>
      <c r="G17" s="385"/>
    </row>
    <row r="18" spans="1:16" ht="15" customHeight="1" x14ac:dyDescent="0.45">
      <c r="A18" s="11" t="s">
        <v>460</v>
      </c>
      <c r="B18" s="312"/>
      <c r="C18" s="312"/>
      <c r="D18" s="312"/>
      <c r="E18" s="29"/>
    </row>
    <row r="19" spans="1:16" ht="28.5" customHeight="1" x14ac:dyDescent="0.45">
      <c r="A19" s="386" t="s">
        <v>462</v>
      </c>
      <c r="B19" s="386"/>
      <c r="C19" s="386"/>
      <c r="D19" s="386"/>
      <c r="E19" s="386"/>
      <c r="F19" s="386"/>
      <c r="G19" s="386"/>
    </row>
    <row r="20" spans="1:16" ht="15" customHeight="1" x14ac:dyDescent="0.45">
      <c r="A20" s="312" t="s">
        <v>459</v>
      </c>
      <c r="B20" s="312"/>
      <c r="C20" s="312"/>
      <c r="D20" s="312"/>
      <c r="E20" s="29"/>
    </row>
    <row r="21" spans="1:16" ht="15" customHeight="1" x14ac:dyDescent="0.45">
      <c r="A21" s="335" t="s">
        <v>461</v>
      </c>
      <c r="B21" s="312"/>
      <c r="C21" s="312"/>
      <c r="D21" s="312"/>
      <c r="E21" s="29"/>
    </row>
    <row r="22" spans="1:16" ht="15" x14ac:dyDescent="0.5">
      <c r="A22" s="11"/>
      <c r="B22" s="12"/>
      <c r="C22" s="12"/>
      <c r="D22" s="12"/>
      <c r="E22" s="12"/>
      <c r="G22" s="12"/>
      <c r="H22" s="191"/>
      <c r="I22" s="29"/>
    </row>
    <row r="23" spans="1:16" ht="13.2" customHeight="1" x14ac:dyDescent="0.45">
      <c r="A23" s="363" t="s">
        <v>527</v>
      </c>
      <c r="B23" s="363"/>
      <c r="C23" s="363"/>
      <c r="D23" s="363"/>
      <c r="E23" s="363"/>
      <c r="F23" s="363"/>
      <c r="G23" s="363"/>
      <c r="H23" s="363"/>
      <c r="I23" s="363"/>
      <c r="J23" s="363"/>
      <c r="K23" s="363"/>
      <c r="L23" s="29"/>
    </row>
    <row r="24" spans="1:16" ht="15" customHeight="1" x14ac:dyDescent="0.45">
      <c r="A24" s="363" t="s">
        <v>528</v>
      </c>
      <c r="B24" s="363"/>
      <c r="C24" s="363"/>
      <c r="D24" s="363"/>
      <c r="E24" s="363"/>
      <c r="F24" s="363"/>
      <c r="G24" s="363"/>
      <c r="H24" s="363"/>
      <c r="I24" s="363"/>
      <c r="J24" s="363"/>
      <c r="K24" s="363"/>
      <c r="L24" s="29"/>
    </row>
    <row r="25" spans="1:16" x14ac:dyDescent="0.45">
      <c r="A25" s="20"/>
      <c r="B25" s="102"/>
      <c r="C25" s="102"/>
      <c r="D25" s="102"/>
      <c r="E25" s="102"/>
      <c r="F25" s="102"/>
      <c r="G25" s="102"/>
      <c r="H25" s="102"/>
      <c r="I25" s="102"/>
      <c r="J25" s="102"/>
      <c r="K25" s="102"/>
      <c r="L25" s="46"/>
      <c r="M25" s="44"/>
      <c r="N25" s="44"/>
      <c r="O25" s="44"/>
      <c r="P25" s="44"/>
    </row>
    <row r="26" spans="1:16" ht="14.1" thickBot="1" x14ac:dyDescent="0.5">
      <c r="A26" s="365" t="s">
        <v>1</v>
      </c>
      <c r="B26" s="365"/>
      <c r="C26" s="365"/>
      <c r="D26" s="365"/>
      <c r="E26" s="365"/>
      <c r="F26" s="365"/>
      <c r="G26" s="365"/>
      <c r="H26" s="365"/>
      <c r="I26" s="29"/>
    </row>
    <row r="27" spans="1:16" x14ac:dyDescent="0.45">
      <c r="A27" s="353" t="s">
        <v>376</v>
      </c>
      <c r="B27" s="353"/>
      <c r="C27" s="353"/>
      <c r="D27" s="353"/>
      <c r="E27" s="353"/>
      <c r="F27" s="353"/>
      <c r="G27" s="353"/>
      <c r="H27" s="353"/>
      <c r="I27" s="29"/>
    </row>
    <row r="28" spans="1:16" x14ac:dyDescent="0.45">
      <c r="A28" s="353" t="s">
        <v>353</v>
      </c>
      <c r="B28" s="353"/>
      <c r="C28" s="353"/>
      <c r="D28" s="353"/>
      <c r="E28" s="353"/>
      <c r="F28" s="353"/>
      <c r="G28" s="353"/>
      <c r="I28" s="29"/>
    </row>
    <row r="29" spans="1:16" x14ac:dyDescent="0.45">
      <c r="A29" s="349" t="s">
        <v>269</v>
      </c>
      <c r="B29" s="349"/>
      <c r="C29" s="349"/>
      <c r="D29" s="349"/>
      <c r="E29" s="349"/>
      <c r="F29" s="349"/>
      <c r="G29" s="349"/>
      <c r="H29" s="349"/>
      <c r="I29" s="29"/>
    </row>
    <row r="30" spans="1:16" ht="14.1" thickBot="1" x14ac:dyDescent="0.5">
      <c r="A30" s="350" t="s">
        <v>374</v>
      </c>
      <c r="B30" s="350"/>
      <c r="C30" s="350"/>
      <c r="D30" s="350"/>
      <c r="E30" s="350"/>
      <c r="F30" s="350"/>
      <c r="G30" s="350"/>
      <c r="H30" s="350"/>
      <c r="I30" s="29"/>
    </row>
    <row r="31" spans="1:16" x14ac:dyDescent="0.45">
      <c r="A31" s="29"/>
      <c r="B31" s="30"/>
      <c r="C31" s="30"/>
      <c r="D31" s="30"/>
      <c r="E31" s="30"/>
      <c r="F31" s="30"/>
      <c r="G31" s="30"/>
    </row>
    <row r="32" spans="1:16" x14ac:dyDescent="0.45">
      <c r="A32" s="351" t="s">
        <v>274</v>
      </c>
      <c r="B32" s="351"/>
      <c r="C32" s="30"/>
      <c r="D32" s="30"/>
      <c r="E32" s="30"/>
      <c r="F32" s="30"/>
      <c r="G32" s="31"/>
    </row>
    <row r="33" spans="1:6" x14ac:dyDescent="0.45">
      <c r="A33" s="11"/>
      <c r="B33" s="30"/>
      <c r="C33" s="30"/>
      <c r="D33" s="30"/>
      <c r="E33" s="30"/>
      <c r="F33" s="30"/>
    </row>
  </sheetData>
  <mergeCells count="12">
    <mergeCell ref="A30:H30"/>
    <mergeCell ref="A32:B32"/>
    <mergeCell ref="A2:I2"/>
    <mergeCell ref="A3:I3"/>
    <mergeCell ref="A26:H26"/>
    <mergeCell ref="A27:H27"/>
    <mergeCell ref="A28:G28"/>
    <mergeCell ref="A29:H29"/>
    <mergeCell ref="A17:G17"/>
    <mergeCell ref="A19:G19"/>
    <mergeCell ref="A23:K23"/>
    <mergeCell ref="A24:K24"/>
  </mergeCells>
  <hyperlinks>
    <hyperlink ref="A29:F29" r:id="rId1" display="Contact via enquiries@NHSDigital.nhs.uk or 0300 303 5678" xr:uid="{E36046CF-8737-4589-A430-D835246DCD92}"/>
    <hyperlink ref="A32" location="Contents!A1" display="Return to Contents" xr:uid="{CE8F00A9-4488-4793-81F6-F562FE9FAACB}"/>
    <hyperlink ref="A21" r:id="rId2" xr:uid="{1AAF28D5-57E0-4440-B27F-7F4689EA622B}"/>
    <hyperlink ref="A19:G19" r:id="rId3" display="https://www.ons.gov.uk/peoplepopulationandcommunity/populationandmigration/populationestimates/datasets/lowersuperoutputareamidyearpopulationestimates" xr:uid="{EEBAA3B6-F64A-4C13-A009-56DB7B01FB2C}"/>
  </hyperlinks>
  <pageMargins left="0.7" right="0.7" top="0.75" bottom="0.75" header="0.3" footer="0.3"/>
  <pageSetup paperSize="9" orientation="portrait"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642D6-8EFA-445C-87DD-427A77FBADEF}">
  <dimension ref="A1:M34"/>
  <sheetViews>
    <sheetView topLeftCell="A7" workbookViewId="0">
      <selection activeCell="L8" sqref="L8"/>
    </sheetView>
  </sheetViews>
  <sheetFormatPr defaultColWidth="9.109375" defaultRowHeight="13.8" x14ac:dyDescent="0.45"/>
  <cols>
    <col min="1" max="1" width="32.77734375" style="28" customWidth="1"/>
    <col min="2" max="4" width="17.88671875" style="28" customWidth="1"/>
    <col min="5" max="16384" width="9.109375" style="28"/>
  </cols>
  <sheetData>
    <row r="1" spans="1:13" ht="15" customHeight="1" x14ac:dyDescent="0.45"/>
    <row r="2" spans="1:13" ht="48.75" customHeight="1" x14ac:dyDescent="0.45">
      <c r="A2" s="355" t="s">
        <v>490</v>
      </c>
      <c r="B2" s="355"/>
      <c r="C2" s="355"/>
      <c r="D2" s="355"/>
      <c r="E2" s="355"/>
      <c r="F2" s="355"/>
      <c r="G2" s="355"/>
      <c r="H2" s="355"/>
      <c r="I2" s="107"/>
    </row>
    <row r="3" spans="1:13" ht="30" customHeight="1" x14ac:dyDescent="0.45">
      <c r="A3" s="361" t="s">
        <v>359</v>
      </c>
      <c r="B3" s="361"/>
      <c r="C3" s="361"/>
      <c r="D3" s="361"/>
      <c r="E3" s="361"/>
      <c r="F3" s="361"/>
      <c r="G3" s="361"/>
      <c r="H3" s="361"/>
    </row>
    <row r="4" spans="1:13" ht="13.5" customHeight="1" thickBot="1" x14ac:dyDescent="0.5">
      <c r="A4" s="29"/>
      <c r="B4" s="29"/>
      <c r="C4" s="29"/>
    </row>
    <row r="5" spans="1:13" ht="30" customHeight="1" thickBot="1" x14ac:dyDescent="0.5">
      <c r="A5" s="320" t="s">
        <v>449</v>
      </c>
      <c r="B5" s="317" t="s">
        <v>450</v>
      </c>
      <c r="C5" s="147" t="s">
        <v>451</v>
      </c>
      <c r="D5" s="318" t="s">
        <v>456</v>
      </c>
      <c r="E5" s="51"/>
      <c r="F5" s="51"/>
      <c r="G5" s="51"/>
      <c r="J5" s="43"/>
      <c r="K5" s="43"/>
      <c r="L5" s="43"/>
      <c r="M5" s="43"/>
    </row>
    <row r="6" spans="1:13" ht="15" customHeight="1" x14ac:dyDescent="0.45">
      <c r="A6" s="330" t="s">
        <v>410</v>
      </c>
      <c r="B6" s="321">
        <v>13357378</v>
      </c>
      <c r="C6" s="322">
        <v>43618132.393821448</v>
      </c>
      <c r="D6" s="323">
        <f>B6/C6*100000</f>
        <v>30623.452373884964</v>
      </c>
      <c r="E6" s="29"/>
    </row>
    <row r="7" spans="1:13" ht="15" customHeight="1" x14ac:dyDescent="0.45">
      <c r="A7" s="319" t="s">
        <v>409</v>
      </c>
      <c r="B7" s="324">
        <v>125752</v>
      </c>
      <c r="C7" s="313">
        <v>488856.64097409992</v>
      </c>
      <c r="D7" s="325">
        <f t="shared" ref="D7:D21" si="0">B7/C7*100000</f>
        <v>25723.696777326273</v>
      </c>
      <c r="E7" s="52"/>
    </row>
    <row r="8" spans="1:13" ht="15" customHeight="1" x14ac:dyDescent="0.45">
      <c r="A8" s="319" t="s">
        <v>408</v>
      </c>
      <c r="B8" s="324">
        <v>1345788</v>
      </c>
      <c r="C8" s="313">
        <v>2711450.0425143843</v>
      </c>
      <c r="D8" s="325">
        <f t="shared" si="0"/>
        <v>49633.516343602729</v>
      </c>
      <c r="E8" s="29"/>
    </row>
    <row r="9" spans="1:13" ht="15" customHeight="1" x14ac:dyDescent="0.45">
      <c r="A9" s="319" t="s">
        <v>407</v>
      </c>
      <c r="B9" s="324">
        <v>82554</v>
      </c>
      <c r="C9" s="313">
        <v>509089.73349783517</v>
      </c>
      <c r="D9" s="325">
        <f t="shared" si="0"/>
        <v>16216.001731716526</v>
      </c>
      <c r="E9" s="29"/>
    </row>
    <row r="10" spans="1:13" ht="15" customHeight="1" x14ac:dyDescent="0.45">
      <c r="A10" s="319" t="s">
        <v>406</v>
      </c>
      <c r="B10" s="324">
        <v>41900</v>
      </c>
      <c r="C10" s="313">
        <v>211036.74929383237</v>
      </c>
      <c r="D10" s="325">
        <f t="shared" si="0"/>
        <v>19854.361925212113</v>
      </c>
      <c r="E10" s="29"/>
    </row>
    <row r="11" spans="1:13" ht="15" customHeight="1" x14ac:dyDescent="0.45">
      <c r="A11" s="319" t="s">
        <v>405</v>
      </c>
      <c r="B11" s="324">
        <v>55734</v>
      </c>
      <c r="C11" s="313">
        <v>427472.72202188306</v>
      </c>
      <c r="D11" s="325">
        <f t="shared" si="0"/>
        <v>13038.024914522353</v>
      </c>
      <c r="E11" s="29"/>
      <c r="H11" s="108"/>
    </row>
    <row r="12" spans="1:13" ht="15" customHeight="1" x14ac:dyDescent="0.45">
      <c r="A12" s="319" t="s">
        <v>404</v>
      </c>
      <c r="B12" s="324">
        <v>196255</v>
      </c>
      <c r="C12" s="313">
        <v>353243.22682281898</v>
      </c>
      <c r="D12" s="325">
        <f t="shared" si="0"/>
        <v>55558.036247482902</v>
      </c>
      <c r="E12" s="29"/>
      <c r="H12" s="108"/>
    </row>
    <row r="13" spans="1:13" x14ac:dyDescent="0.45">
      <c r="A13" s="319" t="s">
        <v>403</v>
      </c>
      <c r="B13" s="324">
        <v>422782</v>
      </c>
      <c r="C13" s="313">
        <v>1515993.1304252169</v>
      </c>
      <c r="D13" s="325">
        <f t="shared" si="0"/>
        <v>27888.121094679034</v>
      </c>
      <c r="E13" s="12"/>
      <c r="G13" s="12"/>
      <c r="H13" s="29"/>
    </row>
    <row r="14" spans="1:13" x14ac:dyDescent="0.45">
      <c r="A14" s="319" t="s">
        <v>402</v>
      </c>
      <c r="B14" s="324">
        <v>473974</v>
      </c>
      <c r="C14" s="313">
        <v>1276940.4191435371</v>
      </c>
      <c r="D14" s="325">
        <f t="shared" si="0"/>
        <v>37117.941674827824</v>
      </c>
      <c r="E14" s="12"/>
      <c r="G14" s="12"/>
      <c r="H14" s="29"/>
    </row>
    <row r="15" spans="1:13" x14ac:dyDescent="0.45">
      <c r="A15" s="319" t="s">
        <v>401</v>
      </c>
      <c r="B15" s="324">
        <v>153957</v>
      </c>
      <c r="C15" s="313">
        <v>506347.53402412386</v>
      </c>
      <c r="D15" s="325">
        <f t="shared" si="0"/>
        <v>30405.401360691736</v>
      </c>
      <c r="E15" s="12"/>
      <c r="G15" s="12"/>
      <c r="H15" s="29"/>
    </row>
    <row r="16" spans="1:13" x14ac:dyDescent="0.45">
      <c r="A16" s="319" t="s">
        <v>400</v>
      </c>
      <c r="B16" s="324">
        <v>371587</v>
      </c>
      <c r="C16" s="313">
        <v>907708.41137086658</v>
      </c>
      <c r="D16" s="325">
        <f t="shared" si="0"/>
        <v>40936.824573302205</v>
      </c>
      <c r="E16" s="12"/>
      <c r="G16" s="12"/>
      <c r="H16" s="29"/>
    </row>
    <row r="17" spans="1:8" x14ac:dyDescent="0.45">
      <c r="A17" s="319" t="s">
        <v>399</v>
      </c>
      <c r="B17" s="324">
        <v>207200</v>
      </c>
      <c r="C17" s="313">
        <v>614504.3146863525</v>
      </c>
      <c r="D17" s="325">
        <f t="shared" si="0"/>
        <v>33718.233549874487</v>
      </c>
      <c r="E17" s="12"/>
      <c r="G17" s="12"/>
      <c r="H17" s="29"/>
    </row>
    <row r="18" spans="1:8" x14ac:dyDescent="0.45">
      <c r="A18" s="319" t="s">
        <v>398</v>
      </c>
      <c r="B18" s="324">
        <v>379116</v>
      </c>
      <c r="C18" s="313">
        <v>1127093.6037837099</v>
      </c>
      <c r="D18" s="325">
        <f t="shared" si="0"/>
        <v>33636.602916322874</v>
      </c>
      <c r="E18" s="12"/>
      <c r="G18" s="12"/>
      <c r="H18" s="29"/>
    </row>
    <row r="19" spans="1:8" x14ac:dyDescent="0.45">
      <c r="A19" s="319" t="s">
        <v>397</v>
      </c>
      <c r="B19" s="324">
        <v>198216</v>
      </c>
      <c r="C19" s="313">
        <v>327876.0152069722</v>
      </c>
      <c r="D19" s="325">
        <f t="shared" si="0"/>
        <v>60454.559286648604</v>
      </c>
      <c r="E19" s="12"/>
      <c r="G19" s="12"/>
      <c r="H19" s="29"/>
    </row>
    <row r="20" spans="1:8" x14ac:dyDescent="0.45">
      <c r="A20" s="319" t="s">
        <v>396</v>
      </c>
      <c r="B20" s="324">
        <v>70068</v>
      </c>
      <c r="C20" s="313">
        <v>408805.18369655125</v>
      </c>
      <c r="D20" s="325">
        <f t="shared" si="0"/>
        <v>17139.704385942965</v>
      </c>
      <c r="E20" s="12"/>
      <c r="G20" s="12"/>
      <c r="H20" s="29"/>
    </row>
    <row r="21" spans="1:8" ht="14.1" thickBot="1" x14ac:dyDescent="0.5">
      <c r="A21" s="329" t="s">
        <v>395</v>
      </c>
      <c r="B21" s="326">
        <v>628264</v>
      </c>
      <c r="C21" s="331">
        <v>614879.87871640944</v>
      </c>
      <c r="D21" s="332">
        <f t="shared" si="0"/>
        <v>102176.70503571047</v>
      </c>
      <c r="E21" s="12"/>
      <c r="G21" s="12"/>
      <c r="H21" s="29"/>
    </row>
    <row r="22" spans="1:8" x14ac:dyDescent="0.45">
      <c r="A22" s="11"/>
      <c r="B22" s="12"/>
      <c r="C22" s="12"/>
      <c r="D22" s="12"/>
      <c r="E22" s="12"/>
      <c r="G22" s="12"/>
      <c r="H22" s="29"/>
    </row>
    <row r="23" spans="1:8" ht="75.75" customHeight="1" x14ac:dyDescent="0.45">
      <c r="A23" s="363" t="s">
        <v>455</v>
      </c>
      <c r="B23" s="363"/>
      <c r="C23" s="363"/>
      <c r="D23" s="363"/>
      <c r="E23" s="363"/>
      <c r="F23" s="363"/>
      <c r="G23" s="363"/>
      <c r="H23" s="29"/>
    </row>
    <row r="24" spans="1:8" x14ac:dyDescent="0.45">
      <c r="A24" s="336" t="s">
        <v>463</v>
      </c>
      <c r="B24" s="12"/>
      <c r="C24" s="12"/>
      <c r="D24" s="12"/>
      <c r="E24" s="12"/>
      <c r="G24" s="12"/>
      <c r="H24" s="29"/>
    </row>
    <row r="25" spans="1:8" ht="30" customHeight="1" x14ac:dyDescent="0.45">
      <c r="A25" s="357" t="s">
        <v>457</v>
      </c>
      <c r="B25" s="357"/>
      <c r="C25" s="357"/>
      <c r="D25" s="357"/>
      <c r="E25" s="357"/>
      <c r="F25" s="357"/>
      <c r="G25" s="357"/>
      <c r="H25" s="29"/>
    </row>
    <row r="26" spans="1:8" x14ac:dyDescent="0.45">
      <c r="A26" s="11"/>
      <c r="B26" s="12"/>
      <c r="C26" s="12"/>
      <c r="D26" s="12"/>
      <c r="E26" s="12"/>
      <c r="G26" s="12"/>
      <c r="H26" s="29"/>
    </row>
    <row r="27" spans="1:8" ht="14.1" thickBot="1" x14ac:dyDescent="0.5">
      <c r="A27" s="365" t="s">
        <v>1</v>
      </c>
      <c r="B27" s="365"/>
      <c r="C27" s="365"/>
      <c r="D27" s="365"/>
      <c r="E27" s="365"/>
      <c r="F27" s="365"/>
      <c r="G27" s="365"/>
      <c r="H27" s="29"/>
    </row>
    <row r="28" spans="1:8" x14ac:dyDescent="0.45">
      <c r="A28" s="353" t="s">
        <v>376</v>
      </c>
      <c r="B28" s="353"/>
      <c r="C28" s="353"/>
      <c r="D28" s="353"/>
      <c r="E28" s="353"/>
      <c r="F28" s="353"/>
      <c r="G28" s="353"/>
      <c r="H28" s="29"/>
    </row>
    <row r="29" spans="1:8" x14ac:dyDescent="0.45">
      <c r="A29" s="353" t="s">
        <v>353</v>
      </c>
      <c r="B29" s="353"/>
      <c r="C29" s="353"/>
      <c r="D29" s="353"/>
      <c r="E29" s="353"/>
      <c r="F29" s="353"/>
      <c r="G29" s="353"/>
      <c r="H29" s="29"/>
    </row>
    <row r="30" spans="1:8" x14ac:dyDescent="0.45">
      <c r="A30" s="349" t="s">
        <v>269</v>
      </c>
      <c r="B30" s="349"/>
      <c r="C30" s="349"/>
      <c r="D30" s="349"/>
      <c r="E30" s="349"/>
      <c r="F30" s="349"/>
      <c r="G30" s="349"/>
      <c r="H30" s="29"/>
    </row>
    <row r="31" spans="1:8" ht="14.1" thickBot="1" x14ac:dyDescent="0.5">
      <c r="A31" s="350" t="s">
        <v>374</v>
      </c>
      <c r="B31" s="350"/>
      <c r="C31" s="350"/>
      <c r="D31" s="350"/>
      <c r="E31" s="350"/>
      <c r="F31" s="350"/>
      <c r="G31" s="350"/>
      <c r="H31" s="29"/>
    </row>
    <row r="32" spans="1:8" x14ac:dyDescent="0.45">
      <c r="A32" s="29"/>
      <c r="B32" s="30"/>
      <c r="C32" s="30"/>
      <c r="D32" s="30"/>
      <c r="E32" s="30"/>
      <c r="F32" s="30"/>
      <c r="G32" s="30"/>
    </row>
    <row r="33" spans="1:7" x14ac:dyDescent="0.45">
      <c r="A33" s="351" t="s">
        <v>274</v>
      </c>
      <c r="B33" s="351"/>
      <c r="C33" s="30"/>
      <c r="D33" s="30"/>
      <c r="E33" s="30"/>
      <c r="F33" s="30"/>
      <c r="G33" s="31"/>
    </row>
    <row r="34" spans="1:7" x14ac:dyDescent="0.45">
      <c r="A34" s="11"/>
      <c r="B34" s="30"/>
      <c r="C34" s="30"/>
      <c r="D34" s="30"/>
      <c r="E34" s="30"/>
      <c r="F34" s="30"/>
    </row>
  </sheetData>
  <mergeCells count="10">
    <mergeCell ref="A31:G31"/>
    <mergeCell ref="A33:B33"/>
    <mergeCell ref="A2:H2"/>
    <mergeCell ref="A3:H3"/>
    <mergeCell ref="A27:G27"/>
    <mergeCell ref="A28:G28"/>
    <mergeCell ref="A29:G29"/>
    <mergeCell ref="A30:G30"/>
    <mergeCell ref="A23:G23"/>
    <mergeCell ref="A25:G25"/>
  </mergeCells>
  <hyperlinks>
    <hyperlink ref="A30:F30" r:id="rId1" display="Contact via enquiries@NHSDigital.nhs.uk or 0300 303 5678" xr:uid="{FA1D46A2-4524-49B9-A39B-F3E932553516}"/>
    <hyperlink ref="A33" location="Contents!A1" display="Return to Contents" xr:uid="{EBF4774D-7F07-4A3B-9922-20E00B23405B}"/>
    <hyperlink ref="A25:G25" r:id="rId2" display="https://www.ons.gov.uk/peoplepopulationandcommunity/populationandmigration/populationestimates/adhocs/008780populationdenominatorsbyethnicgroupregionsandcountriesenglandandwales2011to2017" xr:uid="{B48768F8-1B2F-4C90-A384-8741A2E3B7FC}"/>
  </hyperlinks>
  <pageMargins left="0.7" right="0.7" top="0.75" bottom="0.75" header="0.3" footer="0.3"/>
  <pageSetup paperSize="9" orientation="portrait"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21F01-1FE2-4DBC-BC6C-66276413AF1F}">
  <dimension ref="A1:P26"/>
  <sheetViews>
    <sheetView workbookViewId="0"/>
  </sheetViews>
  <sheetFormatPr defaultColWidth="9.109375" defaultRowHeight="13.8" x14ac:dyDescent="0.45"/>
  <cols>
    <col min="1" max="1" width="32.77734375" style="28" customWidth="1"/>
    <col min="2" max="4" width="17.88671875" style="28" customWidth="1"/>
    <col min="5" max="16384" width="9.109375" style="28"/>
  </cols>
  <sheetData>
    <row r="1" spans="1:13" ht="15" customHeight="1" x14ac:dyDescent="0.45"/>
    <row r="2" spans="1:13" ht="48.75" customHeight="1" x14ac:dyDescent="0.45">
      <c r="A2" s="355" t="s">
        <v>490</v>
      </c>
      <c r="B2" s="355"/>
      <c r="C2" s="355"/>
      <c r="D2" s="355"/>
      <c r="E2" s="355"/>
      <c r="F2" s="355"/>
      <c r="G2" s="355"/>
      <c r="H2" s="355"/>
      <c r="I2" s="107"/>
    </row>
    <row r="3" spans="1:13" ht="30" customHeight="1" x14ac:dyDescent="0.45">
      <c r="A3" s="361" t="s">
        <v>359</v>
      </c>
      <c r="B3" s="361"/>
      <c r="C3" s="361"/>
      <c r="D3" s="361"/>
      <c r="E3" s="361"/>
      <c r="F3" s="361"/>
      <c r="G3" s="361"/>
      <c r="H3" s="361"/>
    </row>
    <row r="4" spans="1:13" ht="13.5" customHeight="1" thickBot="1" x14ac:dyDescent="0.5">
      <c r="A4" s="29"/>
      <c r="B4" s="29"/>
      <c r="C4" s="29"/>
    </row>
    <row r="5" spans="1:13" ht="30" customHeight="1" thickBot="1" x14ac:dyDescent="0.5">
      <c r="A5" s="320" t="s">
        <v>449</v>
      </c>
      <c r="B5" s="317" t="s">
        <v>450</v>
      </c>
      <c r="C5" s="147" t="s">
        <v>451</v>
      </c>
      <c r="D5" s="318" t="s">
        <v>456</v>
      </c>
      <c r="E5" s="51"/>
      <c r="F5" s="51"/>
      <c r="G5" s="51"/>
      <c r="J5" s="43"/>
      <c r="K5" s="43"/>
      <c r="L5" s="43"/>
      <c r="M5" s="43"/>
    </row>
    <row r="6" spans="1:13" ht="15" customHeight="1" x14ac:dyDescent="0.45">
      <c r="A6" s="330" t="s">
        <v>519</v>
      </c>
      <c r="B6" s="321">
        <v>14828918</v>
      </c>
      <c r="C6" s="322">
        <v>46818439.077309929</v>
      </c>
      <c r="D6" s="323">
        <v>31673.243047495536</v>
      </c>
      <c r="E6" s="29"/>
    </row>
    <row r="7" spans="1:13" ht="15" customHeight="1" x14ac:dyDescent="0.45">
      <c r="A7" s="319" t="s">
        <v>520</v>
      </c>
      <c r="B7" s="324">
        <v>376443</v>
      </c>
      <c r="C7" s="313">
        <v>1500842.4316363698</v>
      </c>
      <c r="D7" s="325">
        <v>25082.113356134516</v>
      </c>
      <c r="E7" s="52"/>
    </row>
    <row r="8" spans="1:13" ht="15" customHeight="1" x14ac:dyDescent="0.45">
      <c r="A8" s="319" t="s">
        <v>521</v>
      </c>
      <c r="B8" s="324">
        <v>1422300</v>
      </c>
      <c r="C8" s="313">
        <v>4206989.4949637447</v>
      </c>
      <c r="D8" s="325">
        <v>33808.023568935896</v>
      </c>
      <c r="E8" s="29"/>
    </row>
    <row r="9" spans="1:13" ht="15" customHeight="1" x14ac:dyDescent="0.45">
      <c r="A9" s="319" t="s">
        <v>522</v>
      </c>
      <c r="B9" s="324">
        <v>784532</v>
      </c>
      <c r="C9" s="313">
        <v>2069473.9336770345</v>
      </c>
      <c r="D9" s="325">
        <v>37909.730933698986</v>
      </c>
      <c r="E9" s="29"/>
    </row>
    <row r="10" spans="1:13" ht="15" customHeight="1" thickBot="1" x14ac:dyDescent="0.5">
      <c r="A10" s="329" t="s">
        <v>523</v>
      </c>
      <c r="B10" s="326">
        <v>698332</v>
      </c>
      <c r="C10" s="331">
        <v>1023685.0624129607</v>
      </c>
      <c r="D10" s="332">
        <v>68217.465081881674</v>
      </c>
      <c r="E10" s="29"/>
    </row>
    <row r="11" spans="1:13" x14ac:dyDescent="0.45">
      <c r="A11" s="11"/>
      <c r="B11" s="12"/>
      <c r="C11" s="12"/>
      <c r="D11" s="12"/>
      <c r="E11" s="12"/>
      <c r="G11" s="12"/>
      <c r="H11" s="29"/>
    </row>
    <row r="12" spans="1:13" ht="75.75" customHeight="1" x14ac:dyDescent="0.45">
      <c r="A12" s="363" t="s">
        <v>529</v>
      </c>
      <c r="B12" s="363"/>
      <c r="C12" s="363"/>
      <c r="D12" s="363"/>
      <c r="E12" s="363"/>
      <c r="F12" s="363"/>
      <c r="G12" s="363"/>
      <c r="H12" s="29"/>
    </row>
    <row r="13" spans="1:13" x14ac:dyDescent="0.45">
      <c r="A13" s="336" t="s">
        <v>463</v>
      </c>
      <c r="B13" s="12"/>
      <c r="C13" s="12"/>
      <c r="D13" s="12"/>
      <c r="E13" s="12"/>
      <c r="G13" s="12"/>
      <c r="H13" s="29"/>
    </row>
    <row r="14" spans="1:13" ht="30" customHeight="1" x14ac:dyDescent="0.45">
      <c r="A14" s="357" t="s">
        <v>457</v>
      </c>
      <c r="B14" s="357"/>
      <c r="C14" s="357"/>
      <c r="D14" s="357"/>
      <c r="E14" s="357"/>
      <c r="F14" s="357"/>
      <c r="G14" s="357"/>
      <c r="H14" s="29"/>
    </row>
    <row r="15" spans="1:13" x14ac:dyDescent="0.45">
      <c r="A15" s="11"/>
      <c r="B15" s="12"/>
      <c r="C15" s="12"/>
      <c r="D15" s="12"/>
      <c r="E15" s="12"/>
      <c r="G15" s="12"/>
      <c r="H15" s="29"/>
    </row>
    <row r="16" spans="1:13" ht="13.2" customHeight="1" x14ac:dyDescent="0.45">
      <c r="A16" s="363" t="s">
        <v>527</v>
      </c>
      <c r="B16" s="363"/>
      <c r="C16" s="363"/>
      <c r="D16" s="363"/>
      <c r="E16" s="363"/>
      <c r="F16" s="363"/>
      <c r="G16" s="363"/>
      <c r="H16" s="363"/>
      <c r="I16" s="363"/>
      <c r="J16" s="363"/>
      <c r="K16" s="363"/>
      <c r="L16" s="29"/>
    </row>
    <row r="17" spans="1:16" ht="15" customHeight="1" x14ac:dyDescent="0.45">
      <c r="A17" s="363" t="s">
        <v>528</v>
      </c>
      <c r="B17" s="363"/>
      <c r="C17" s="363"/>
      <c r="D17" s="363"/>
      <c r="E17" s="363"/>
      <c r="F17" s="363"/>
      <c r="G17" s="363"/>
      <c r="H17" s="363"/>
      <c r="I17" s="363"/>
      <c r="J17" s="363"/>
      <c r="K17" s="363"/>
      <c r="L17" s="29"/>
    </row>
    <row r="18" spans="1:16" x14ac:dyDescent="0.45">
      <c r="A18" s="20"/>
      <c r="B18" s="102"/>
      <c r="C18" s="102"/>
      <c r="D18" s="102"/>
      <c r="E18" s="102"/>
      <c r="F18" s="102"/>
      <c r="G18" s="102"/>
      <c r="H18" s="102"/>
      <c r="I18" s="102"/>
      <c r="J18" s="102"/>
      <c r="K18" s="102"/>
      <c r="L18" s="46"/>
      <c r="M18" s="44"/>
      <c r="N18" s="44"/>
      <c r="O18" s="44"/>
      <c r="P18" s="44"/>
    </row>
    <row r="19" spans="1:16" ht="14.1" thickBot="1" x14ac:dyDescent="0.5">
      <c r="A19" s="365" t="s">
        <v>1</v>
      </c>
      <c r="B19" s="365"/>
      <c r="C19" s="365"/>
      <c r="D19" s="365"/>
      <c r="E19" s="365"/>
      <c r="F19" s="365"/>
      <c r="G19" s="365"/>
      <c r="H19" s="29"/>
    </row>
    <row r="20" spans="1:16" x14ac:dyDescent="0.45">
      <c r="A20" s="353" t="s">
        <v>376</v>
      </c>
      <c r="B20" s="353"/>
      <c r="C20" s="353"/>
      <c r="D20" s="353"/>
      <c r="E20" s="353"/>
      <c r="F20" s="353"/>
      <c r="G20" s="353"/>
      <c r="H20" s="29"/>
    </row>
    <row r="21" spans="1:16" x14ac:dyDescent="0.45">
      <c r="A21" s="353" t="s">
        <v>353</v>
      </c>
      <c r="B21" s="353"/>
      <c r="C21" s="353"/>
      <c r="D21" s="353"/>
      <c r="E21" s="353"/>
      <c r="F21" s="353"/>
      <c r="G21" s="353"/>
      <c r="H21" s="29"/>
    </row>
    <row r="22" spans="1:16" x14ac:dyDescent="0.45">
      <c r="A22" s="349" t="s">
        <v>269</v>
      </c>
      <c r="B22" s="349"/>
      <c r="C22" s="349"/>
      <c r="D22" s="349"/>
      <c r="E22" s="349"/>
      <c r="F22" s="349"/>
      <c r="G22" s="349"/>
      <c r="H22" s="29"/>
    </row>
    <row r="23" spans="1:16" ht="14.1" thickBot="1" x14ac:dyDescent="0.5">
      <c r="A23" s="350" t="s">
        <v>374</v>
      </c>
      <c r="B23" s="350"/>
      <c r="C23" s="350"/>
      <c r="D23" s="350"/>
      <c r="E23" s="350"/>
      <c r="F23" s="350"/>
      <c r="G23" s="350"/>
      <c r="H23" s="29"/>
    </row>
    <row r="24" spans="1:16" x14ac:dyDescent="0.45">
      <c r="A24" s="29"/>
      <c r="B24" s="30"/>
      <c r="C24" s="30"/>
      <c r="D24" s="30"/>
      <c r="E24" s="30"/>
      <c r="F24" s="30"/>
      <c r="G24" s="30"/>
    </row>
    <row r="25" spans="1:16" x14ac:dyDescent="0.45">
      <c r="A25" s="351" t="s">
        <v>274</v>
      </c>
      <c r="B25" s="351"/>
      <c r="C25" s="30"/>
      <c r="D25" s="30"/>
      <c r="E25" s="30"/>
      <c r="F25" s="30"/>
      <c r="G25" s="31"/>
    </row>
    <row r="26" spans="1:16" x14ac:dyDescent="0.45">
      <c r="A26" s="11"/>
      <c r="B26" s="30"/>
      <c r="C26" s="30"/>
      <c r="D26" s="30"/>
      <c r="E26" s="30"/>
      <c r="F26" s="30"/>
    </row>
  </sheetData>
  <mergeCells count="12">
    <mergeCell ref="A21:G21"/>
    <mergeCell ref="A22:G22"/>
    <mergeCell ref="A23:G23"/>
    <mergeCell ref="A25:B25"/>
    <mergeCell ref="A2:H2"/>
    <mergeCell ref="A3:H3"/>
    <mergeCell ref="A12:G12"/>
    <mergeCell ref="A14:G14"/>
    <mergeCell ref="A19:G19"/>
    <mergeCell ref="A20:G20"/>
    <mergeCell ref="A16:K16"/>
    <mergeCell ref="A17:K17"/>
  </mergeCells>
  <hyperlinks>
    <hyperlink ref="A22:F22" r:id="rId1" display="Contact via enquiries@NHSDigital.nhs.uk or 0300 303 5678" xr:uid="{C188454A-24EE-4C8F-8F71-FB3B1ECB2ACF}"/>
    <hyperlink ref="A25" location="Contents!A1" display="Return to Contents" xr:uid="{76F292D6-E74B-40FC-85FA-002F204650CF}"/>
    <hyperlink ref="A14:G14" r:id="rId2" display="https://www.ons.gov.uk/peoplepopulationandcommunity/populationandmigration/populationestimates/adhocs/008780populationdenominatorsbyethnicgroupregionsandcountriesenglandandwales2011to2017" xr:uid="{D587C7E7-DB92-48D1-A391-51235AECB105}"/>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02C76D2A542664BA465A7EA58DD91D4" ma:contentTypeVersion="0" ma:contentTypeDescription="Create a new document." ma:contentTypeScope="" ma:versionID="80a54869861dfa22dd3d14cb84287fd8">
  <xsd:schema xmlns:xsd="http://www.w3.org/2001/XMLSchema" xmlns:xs="http://www.w3.org/2001/XMLSchema" xmlns:p="http://schemas.microsoft.com/office/2006/metadata/properties" targetNamespace="http://schemas.microsoft.com/office/2006/metadata/properties" ma:root="true" ma:fieldsID="bd04135bce4e19972119f505b583e8b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15B2BC5-EA75-4137-9B15-77537074477E}">
  <ds:schemaRefs>
    <ds:schemaRef ds:uri="http://schemas.microsoft.com/sharepoint/v3/contenttype/forms"/>
  </ds:schemaRefs>
</ds:datastoreItem>
</file>

<file path=customXml/itemProps2.xml><?xml version="1.0" encoding="utf-8"?>
<ds:datastoreItem xmlns:ds="http://schemas.openxmlformats.org/officeDocument/2006/customXml" ds:itemID="{6BABBBEC-B459-4FAA-882B-AF57BCDB9E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153AC959-A0B0-467B-93F6-DC13C1C8E002}">
  <ds:schemaRefs>
    <ds:schemaRef ds:uri="http://schemas.microsoft.com/office/2006/documentManagement/types"/>
    <ds:schemaRef ds:uri="http://schemas.microsoft.com/office/2006/metadata/properties"/>
    <ds:schemaRef ds:uri="http://purl.org/dc/elements/1.1/"/>
    <ds:schemaRef ds:uri="http://purl.org/dc/dcmitype/"/>
    <ds:schemaRef ds:uri="http://schemas.microsoft.com/office/infopath/2007/PartnerControls"/>
    <ds:schemaRef ds:uri="http://www.w3.org/XML/1998/namespace"/>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22</vt:i4>
      </vt:variant>
    </vt:vector>
  </HeadingPairs>
  <TitlesOfParts>
    <vt:vector size="44" baseType="lpstr">
      <vt:lpstr>Title sheet</vt:lpstr>
      <vt:lpstr>Contents</vt:lpstr>
      <vt:lpstr>Summary report 1</vt:lpstr>
      <vt:lpstr>Summary report 2</vt:lpstr>
      <vt:lpstr>Summary report 3</vt:lpstr>
      <vt:lpstr>Summary report 4</vt:lpstr>
      <vt:lpstr>Summary report 5</vt:lpstr>
      <vt:lpstr>Summary report 6</vt:lpstr>
      <vt:lpstr>Summary report 7</vt:lpstr>
      <vt:lpstr>Summary report 8</vt:lpstr>
      <vt:lpstr>Summary report 9-10</vt:lpstr>
      <vt:lpstr>Summary report 11</vt:lpstr>
      <vt:lpstr>Summary report 12</vt:lpstr>
      <vt:lpstr>Summary report 13</vt:lpstr>
      <vt:lpstr>Summary report 14</vt:lpstr>
      <vt:lpstr>Summary report 15</vt:lpstr>
      <vt:lpstr>Summary report 16</vt:lpstr>
      <vt:lpstr>Summary report 17</vt:lpstr>
      <vt:lpstr>Summary report 18</vt:lpstr>
      <vt:lpstr>Summary report 19</vt:lpstr>
      <vt:lpstr>Summary report 20 full</vt:lpstr>
      <vt:lpstr>Summary report 20</vt:lpstr>
      <vt:lpstr>Contents!Print_Area</vt:lpstr>
      <vt:lpstr>'Summary report 1'!Print_Area</vt:lpstr>
      <vt:lpstr>'Summary report 11'!Print_Area</vt:lpstr>
      <vt:lpstr>'Summary report 12'!Print_Area</vt:lpstr>
      <vt:lpstr>'Summary report 13'!Print_Area</vt:lpstr>
      <vt:lpstr>'Summary report 14'!Print_Area</vt:lpstr>
      <vt:lpstr>'Summary report 15'!Print_Area</vt:lpstr>
      <vt:lpstr>'Summary report 16'!Print_Area</vt:lpstr>
      <vt:lpstr>'Summary report 17'!Print_Area</vt:lpstr>
      <vt:lpstr>'Summary report 18'!Print_Area</vt:lpstr>
      <vt:lpstr>'Summary report 19'!Print_Area</vt:lpstr>
      <vt:lpstr>'Summary report 2'!Print_Area</vt:lpstr>
      <vt:lpstr>'Summary report 20'!Print_Area</vt:lpstr>
      <vt:lpstr>'Summary report 20 full'!Print_Area</vt:lpstr>
      <vt:lpstr>'Summary report 3'!Print_Area</vt:lpstr>
      <vt:lpstr>'Summary report 4'!Print_Area</vt:lpstr>
      <vt:lpstr>'Summary report 5'!Print_Area</vt:lpstr>
      <vt:lpstr>'Summary report 6'!Print_Area</vt:lpstr>
      <vt:lpstr>'Summary report 7'!Print_Area</vt:lpstr>
      <vt:lpstr>'Summary report 8'!Print_Area</vt:lpstr>
      <vt:lpstr>'Summary report 9-10'!Print_Area</vt:lpstr>
      <vt:lpstr>'Title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Accident and Emergency Activity, 2015-16: Tables</dc:title>
  <dc:creator/>
  <cp:lastModifiedBy/>
  <dcterms:created xsi:type="dcterms:W3CDTF">2015-10-12T09:44:32Z</dcterms:created>
  <dcterms:modified xsi:type="dcterms:W3CDTF">2018-09-11T21:18:10Z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0x010100202C76D2A542664BA465A7EA58DD91D4</vt:lpwstr>
  </property>
</Properties>
</file>