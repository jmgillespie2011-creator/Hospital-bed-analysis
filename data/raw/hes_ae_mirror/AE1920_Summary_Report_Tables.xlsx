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filterPrivacy="1" codeName="ThisWorkbook" defaultThemeVersion="124226"/>
  <xr:revisionPtr revIDLastSave="0" documentId="13_ncr:1_{53A5E25D-0B0A-42A1-AD42-91A31C73D1C9}" xr6:coauthVersionLast="45" xr6:coauthVersionMax="45" xr10:uidLastSave="{00000000-0000-0000-0000-000000000000}"/>
  <bookViews>
    <workbookView xWindow="-120" yWindow="-120" windowWidth="29040" windowHeight="15840" tabRatio="769" xr2:uid="{00000000-000D-0000-FFFF-FFFF00000000}"/>
  </bookViews>
  <sheets>
    <sheet name="Title sheet" sheetId="111" r:id="rId1"/>
    <sheet name="Contents" sheetId="71" r:id="rId2"/>
    <sheet name="Summary report 1" sheetId="148" r:id="rId3"/>
    <sheet name="Summary report 2" sheetId="149" r:id="rId4"/>
    <sheet name="Summary report 3" sheetId="150" r:id="rId5"/>
    <sheet name="Summary report 4" sheetId="152" r:id="rId6"/>
    <sheet name="Summary report 5" sheetId="183" r:id="rId7"/>
    <sheet name="Summary report 6" sheetId="185" r:id="rId8"/>
    <sheet name="Summary report 7" sheetId="155" r:id="rId9"/>
    <sheet name="Summary report 8" sheetId="157" r:id="rId10"/>
    <sheet name="Summary report 9-10" sheetId="159" r:id="rId11"/>
    <sheet name="Summary report 11" sheetId="161" r:id="rId12"/>
    <sheet name="Summary report 12" sheetId="163" r:id="rId13"/>
    <sheet name="Summary report 13" sheetId="165" r:id="rId14"/>
    <sheet name="Summary report 14" sheetId="166" r:id="rId15"/>
    <sheet name="Summary report 15" sheetId="168" r:id="rId16"/>
    <sheet name="Summary report 16" sheetId="170" r:id="rId17"/>
    <sheet name="Summary report 17" sheetId="172" r:id="rId18"/>
    <sheet name="Summary report 18" sheetId="176" r:id="rId19"/>
    <sheet name="Summary report 19" sheetId="202" r:id="rId20"/>
    <sheet name="Summary report 20 full" sheetId="203" state="hidden" r:id="rId21"/>
    <sheet name="Summary report 20" sheetId="204" r:id="rId22"/>
  </sheets>
  <definedNames>
    <definedName name="_xlnm.Print_Area" localSheetId="1">Contents!$A$1:$I$106</definedName>
    <definedName name="_xlnm.Print_Area" localSheetId="2">'Summary report 1'!$A$1:$L$23</definedName>
    <definedName name="_xlnm.Print_Area" localSheetId="11">'Summary report 11'!$A$1:$Z$22</definedName>
    <definedName name="_xlnm.Print_Area" localSheetId="12">'Summary report 12'!$A$1:$Z$18</definedName>
    <definedName name="_xlnm.Print_Area" localSheetId="13">'Summary report 13'!$A$1:$J$27</definedName>
    <definedName name="_xlnm.Print_Area" localSheetId="14">'Summary report 14'!$A$1:$K$28</definedName>
    <definedName name="_xlnm.Print_Area" localSheetId="15">'Summary report 15'!$A$1:$L$18</definedName>
    <definedName name="_xlnm.Print_Area" localSheetId="16">'Summary report 16'!$A$1:$H$25</definedName>
    <definedName name="_xlnm.Print_Area" localSheetId="17">'Summary report 17'!$A$1:$I$22</definedName>
    <definedName name="_xlnm.Print_Area" localSheetId="18">'Summary report 18'!$A$1:$I$26</definedName>
    <definedName name="_xlnm.Print_Area" localSheetId="19">'Summary report 19'!$A$1:$I$31</definedName>
    <definedName name="_xlnm.Print_Area" localSheetId="3">'Summary report 2'!$A$1:$L$17</definedName>
    <definedName name="_xlnm.Print_Area" localSheetId="21">'Summary report 20'!$A$1:$H$23</definedName>
    <definedName name="_xlnm.Print_Area" localSheetId="20">'Summary report 20 full'!$A$1:$H$31</definedName>
    <definedName name="_xlnm.Print_Area" localSheetId="4">'Summary report 3'!$A$1:$L$30</definedName>
    <definedName name="_xlnm.Print_Area" localSheetId="5">'Summary report 4'!$A$1:$L$22</definedName>
    <definedName name="_xlnm.Print_Area" localSheetId="6">'Summary report 5'!$A$1:$H$88</definedName>
    <definedName name="_xlnm.Print_Area" localSheetId="7">'Summary report 6'!$A$1:$H$103</definedName>
    <definedName name="_xlnm.Print_Area" localSheetId="8">'Summary report 7'!$A$1:$G$138</definedName>
    <definedName name="_xlnm.Print_Area" localSheetId="9">'Summary report 8'!$A$1:$Z$28</definedName>
    <definedName name="_xlnm.Print_Area" localSheetId="10">'Summary report 9-10'!$A$1:$L$25</definedName>
    <definedName name="_xlnm.Print_Area" localSheetId="0">'Title sheet'!$A$1:$I$26</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6" i="150" l="1"/>
  <c r="C16" i="150"/>
  <c r="D16" i="150"/>
  <c r="E16" i="150"/>
  <c r="F16" i="150"/>
  <c r="G16" i="150"/>
  <c r="H16" i="150"/>
  <c r="I16" i="150"/>
  <c r="J16" i="150"/>
  <c r="K16" i="150"/>
  <c r="B17" i="150"/>
  <c r="C17" i="150"/>
  <c r="D17" i="150"/>
  <c r="E17" i="150"/>
  <c r="F17" i="150"/>
  <c r="G17" i="150"/>
  <c r="H17" i="150"/>
  <c r="I17" i="150"/>
  <c r="J17" i="150"/>
  <c r="K17" i="150"/>
  <c r="B18" i="150"/>
  <c r="C18" i="150"/>
  <c r="D18" i="150"/>
  <c r="E18" i="150"/>
  <c r="F18" i="150"/>
  <c r="G18" i="150"/>
  <c r="H18" i="150"/>
  <c r="I18" i="150"/>
  <c r="J18" i="150"/>
  <c r="K18" i="150"/>
  <c r="B19" i="150"/>
  <c r="C19" i="150"/>
  <c r="D19" i="150"/>
  <c r="E19" i="150"/>
  <c r="F19" i="150"/>
  <c r="G19" i="150"/>
  <c r="H19" i="150"/>
  <c r="I19" i="150"/>
  <c r="J19" i="150"/>
  <c r="K19" i="150"/>
  <c r="B20" i="150"/>
  <c r="C20" i="150"/>
  <c r="D20" i="150"/>
  <c r="E20" i="150"/>
  <c r="F20" i="150"/>
  <c r="G20" i="150"/>
  <c r="H20" i="150"/>
  <c r="I20" i="150"/>
  <c r="J20" i="150"/>
  <c r="K20" i="150"/>
  <c r="B21" i="150"/>
  <c r="C21" i="150"/>
  <c r="D21" i="150"/>
  <c r="E21" i="150"/>
  <c r="F21" i="150"/>
  <c r="G21" i="150"/>
  <c r="H21" i="150"/>
  <c r="I21" i="150"/>
  <c r="J21" i="150"/>
  <c r="K21" i="150"/>
  <c r="D21" i="203" l="1"/>
  <c r="D20" i="203"/>
  <c r="D19" i="203"/>
  <c r="D18" i="203"/>
  <c r="D17" i="203"/>
  <c r="D16" i="203"/>
  <c r="D15" i="203"/>
  <c r="D14" i="203"/>
  <c r="D13" i="203"/>
  <c r="D12" i="203"/>
  <c r="D11" i="203"/>
  <c r="D10" i="203"/>
  <c r="D9" i="203"/>
  <c r="D8" i="203"/>
  <c r="D7" i="203"/>
  <c r="D6" i="203"/>
</calcChain>
</file>

<file path=xl/sharedStrings.xml><?xml version="1.0" encoding="utf-8"?>
<sst xmlns="http://schemas.openxmlformats.org/spreadsheetml/2006/main" count="857" uniqueCount="511">
  <si>
    <t>2014-15</t>
  </si>
  <si>
    <t>Responsible statistician:</t>
  </si>
  <si>
    <t>% of total attendances</t>
  </si>
  <si>
    <t>Male</t>
  </si>
  <si>
    <t>Female</t>
  </si>
  <si>
    <t>Total</t>
  </si>
  <si>
    <t>90+</t>
  </si>
  <si>
    <t>April</t>
  </si>
  <si>
    <t>May</t>
  </si>
  <si>
    <t>June</t>
  </si>
  <si>
    <t>July</t>
  </si>
  <si>
    <t>August</t>
  </si>
  <si>
    <t>September</t>
  </si>
  <si>
    <t>October</t>
  </si>
  <si>
    <t>November</t>
  </si>
  <si>
    <t>December</t>
  </si>
  <si>
    <t>January</t>
  </si>
  <si>
    <t>February</t>
  </si>
  <si>
    <t>March</t>
  </si>
  <si>
    <t>Monday</t>
  </si>
  <si>
    <t>Tuesday</t>
  </si>
  <si>
    <t>Wednesday</t>
  </si>
  <si>
    <t>Thursday</t>
  </si>
  <si>
    <t>Friday</t>
  </si>
  <si>
    <t>Saturday</t>
  </si>
  <si>
    <t>Sunday</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</si>
  <si>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</si>
  <si>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</si>
  <si>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</si>
  <si>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</si>
  <si>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</si>
  <si>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</si>
  <si>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</si>
  <si>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</si>
  <si>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</si>
  <si>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</si>
  <si>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</si>
  <si>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</si>
  <si>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</si>
  <si>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</si>
  <si>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</si>
  <si>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</si>
  <si>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</si>
  <si>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</si>
  <si>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</si>
  <si>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</si>
  <si>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</si>
  <si>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</si>
  <si>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</si>
  <si>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</si>
  <si>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REM</t>
  </si>
  <si>
    <t>RCF</t>
  </si>
  <si>
    <t>RBS</t>
  </si>
  <si>
    <t>RTK</t>
  </si>
  <si>
    <t>RF4</t>
  </si>
  <si>
    <t>RFF</t>
  </si>
  <si>
    <t>R1H</t>
  </si>
  <si>
    <t>RDD</t>
  </si>
  <si>
    <t>RC1</t>
  </si>
  <si>
    <t>RQ3</t>
  </si>
  <si>
    <t>RXL</t>
  </si>
  <si>
    <t>RMC</t>
  </si>
  <si>
    <t>RAE</t>
  </si>
  <si>
    <t>RXH</t>
  </si>
  <si>
    <t>RXQ</t>
  </si>
  <si>
    <t>RWY</t>
  </si>
  <si>
    <t>RFS</t>
  </si>
  <si>
    <t>RDE</t>
  </si>
  <si>
    <t>RJR</t>
  </si>
  <si>
    <t>RXP</t>
  </si>
  <si>
    <t>RJ6</t>
  </si>
  <si>
    <t>RTG</t>
  </si>
  <si>
    <t>RP5</t>
  </si>
  <si>
    <t>RBD</t>
  </si>
  <si>
    <t>RWH</t>
  </si>
  <si>
    <t>RJN</t>
  </si>
  <si>
    <t>RVV</t>
  </si>
  <si>
    <t>RXR</t>
  </si>
  <si>
    <t>RXC</t>
  </si>
  <si>
    <t>RLT</t>
  </si>
  <si>
    <t>RTE</t>
  </si>
  <si>
    <t>RN3</t>
  </si>
  <si>
    <t>RCD</t>
  </si>
  <si>
    <t>RQX</t>
  </si>
  <si>
    <t>RWA</t>
  </si>
  <si>
    <t>RGP</t>
  </si>
  <si>
    <t>RJZ</t>
  </si>
  <si>
    <t>RAX</t>
  </si>
  <si>
    <t>RXN</t>
  </si>
  <si>
    <t>RR8</t>
  </si>
  <si>
    <t>RJ2</t>
  </si>
  <si>
    <t>R1K</t>
  </si>
  <si>
    <t>RWF</t>
  </si>
  <si>
    <t>RPA</t>
  </si>
  <si>
    <t>RBT</t>
  </si>
  <si>
    <t>RQ8</t>
  </si>
  <si>
    <t>RD8</t>
  </si>
  <si>
    <t>RM1</t>
  </si>
  <si>
    <t>RNL</t>
  </si>
  <si>
    <t>RAP</t>
  </si>
  <si>
    <t>RNS</t>
  </si>
  <si>
    <t>RBZ</t>
  </si>
  <si>
    <t>RTF</t>
  </si>
  <si>
    <t>RTH</t>
  </si>
  <si>
    <t>RW6</t>
  </si>
  <si>
    <t>RGN</t>
  </si>
  <si>
    <t>RHW</t>
  </si>
  <si>
    <t>RH8</t>
  </si>
  <si>
    <t>RAL</t>
  </si>
  <si>
    <t>RQ6</t>
  </si>
  <si>
    <t>RA2</t>
  </si>
  <si>
    <t>RD1</t>
  </si>
  <si>
    <t>RM3</t>
  </si>
  <si>
    <t>RNZ</t>
  </si>
  <si>
    <t>RCU</t>
  </si>
  <si>
    <t>RHQ</t>
  </si>
  <si>
    <t>RK5</t>
  </si>
  <si>
    <t>RXW</t>
  </si>
  <si>
    <t>RA9</t>
  </si>
  <si>
    <t>RTR</t>
  </si>
  <si>
    <t>RJC</t>
  </si>
  <si>
    <t>RAJ</t>
  </si>
  <si>
    <t>RVY</t>
  </si>
  <si>
    <t>RJ7</t>
  </si>
  <si>
    <t>RBN</t>
  </si>
  <si>
    <t>RWJ</t>
  </si>
  <si>
    <t>RTP</t>
  </si>
  <si>
    <t>RMP</t>
  </si>
  <si>
    <t>RBA</t>
  </si>
  <si>
    <t>RNA</t>
  </si>
  <si>
    <t>RAS</t>
  </si>
  <si>
    <t>RTD</t>
  </si>
  <si>
    <t>RQW</t>
  </si>
  <si>
    <t>RCX</t>
  </si>
  <si>
    <t>RDZ</t>
  </si>
  <si>
    <t>RL4</t>
  </si>
  <si>
    <t>RKE</t>
  </si>
  <si>
    <t>RWD</t>
  </si>
  <si>
    <t>RRV</t>
  </si>
  <si>
    <t>RHM</t>
  </si>
  <si>
    <t>RA7</t>
  </si>
  <si>
    <t>RKB</t>
  </si>
  <si>
    <t>RWE</t>
  </si>
  <si>
    <t>RTX</t>
  </si>
  <si>
    <t>RJE</t>
  </si>
  <si>
    <t>RBK</t>
  </si>
  <si>
    <t>RWW</t>
  </si>
  <si>
    <t>RWG</t>
  </si>
  <si>
    <t>RA3</t>
  </si>
  <si>
    <t>RBL</t>
  </si>
  <si>
    <t>RRF</t>
  </si>
  <si>
    <t>RLQ</t>
  </si>
  <si>
    <t>RA4</t>
  </si>
  <si>
    <t>RCB</t>
  </si>
  <si>
    <t>All data tables include information from Major A&amp;E departments, minor injuries units and walk in centres unless otherwise stated.</t>
  </si>
  <si>
    <t>2015-16</t>
  </si>
  <si>
    <t>Contact via enquiries@NHSDigital.nhs.uk or 0300 303 5678</t>
  </si>
  <si>
    <t>Return to Contents</t>
  </si>
  <si>
    <t>2010-11</t>
  </si>
  <si>
    <t>2011-12</t>
  </si>
  <si>
    <t>2012-13</t>
  </si>
  <si>
    <t>2013-14</t>
  </si>
  <si>
    <t>Total attendances</t>
  </si>
  <si>
    <t>Published by NHS Digital part of the Government Statistical Service</t>
  </si>
  <si>
    <t>NHS Digital is the trading name of the Health and Social Care Information Centre</t>
  </si>
  <si>
    <t>Contact details</t>
  </si>
  <si>
    <t>Author: Secondary Care Analysis, NHS Digital</t>
  </si>
  <si>
    <t>Public enquiries: Telephone: 0300 303 5678</t>
  </si>
  <si>
    <t>Email: enquiries@nhsdigital.nhs.uk</t>
  </si>
  <si>
    <t>Press enquiries should be made to: Media Relations Manager: telephone 0300 303 3888</t>
  </si>
  <si>
    <t>The tables should be referenced alongside the Annual Summary Report.</t>
  </si>
  <si>
    <t>Introduction</t>
  </si>
  <si>
    <t>2016-17</t>
  </si>
  <si>
    <t>Major A&amp;E Departments</t>
  </si>
  <si>
    <t>Minor injuries and Walk In Centres</t>
  </si>
  <si>
    <t>MSitAE</t>
  </si>
  <si>
    <t>Provider code</t>
  </si>
  <si>
    <t>Provider name</t>
  </si>
  <si>
    <t>A&amp;E Attendances</t>
  </si>
  <si>
    <t>RN7</t>
  </si>
  <si>
    <t>RVR</t>
  </si>
  <si>
    <t>RR7</t>
  </si>
  <si>
    <t>RJ1</t>
  </si>
  <si>
    <t>RN5</t>
  </si>
  <si>
    <t>R1F</t>
  </si>
  <si>
    <t>RVJ</t>
  </si>
  <si>
    <t>RJL</t>
  </si>
  <si>
    <t>REF</t>
  </si>
  <si>
    <t>RXK</t>
  </si>
  <si>
    <t>RRK</t>
  </si>
  <si>
    <t>RYR</t>
  </si>
  <si>
    <t>RWP</t>
  </si>
  <si>
    <t>Over 4 hours</t>
  </si>
  <si>
    <t>1 hour or less</t>
  </si>
  <si>
    <t>Over 1 hour to 2 hours</t>
  </si>
  <si>
    <t>Over 2 hours to 3 hours</t>
  </si>
  <si>
    <t>Over 3 hours to 4 hours</t>
  </si>
  <si>
    <t>00-09</t>
  </si>
  <si>
    <t>10-19</t>
  </si>
  <si>
    <t>20-29</t>
  </si>
  <si>
    <t>30-39</t>
  </si>
  <si>
    <t>40-49</t>
  </si>
  <si>
    <t>50-59</t>
  </si>
  <si>
    <t>60-69</t>
  </si>
  <si>
    <t>70-79</t>
  </si>
  <si>
    <t>80-89</t>
  </si>
  <si>
    <t>Summary of A&amp;E Attendances</t>
  </si>
  <si>
    <t>Performance Times and Waits for Admission</t>
  </si>
  <si>
    <t>Time of Day / Calendar Distribution</t>
  </si>
  <si>
    <t>Re-attendances Within 7 Days to A&amp;E:</t>
  </si>
  <si>
    <t>Summary report 1</t>
  </si>
  <si>
    <t>Summary report 2</t>
  </si>
  <si>
    <t>Summary report 3</t>
  </si>
  <si>
    <t>Summary report 5</t>
  </si>
  <si>
    <t>Summary report 6</t>
  </si>
  <si>
    <t>Summary report 7</t>
  </si>
  <si>
    <t>Summary report 8</t>
  </si>
  <si>
    <t>Summary report 9</t>
  </si>
  <si>
    <t>Summary report 10</t>
  </si>
  <si>
    <t>Summary report 11</t>
  </si>
  <si>
    <t>Summary report 12</t>
  </si>
  <si>
    <t>Summary report 13</t>
  </si>
  <si>
    <t>Summary report 14</t>
  </si>
  <si>
    <t>Summary report 15</t>
  </si>
  <si>
    <t>Summary report 16</t>
  </si>
  <si>
    <t>Summary report 4</t>
  </si>
  <si>
    <t>Over 12 hours wait</t>
  </si>
  <si>
    <t>Summary report 17</t>
  </si>
  <si>
    <t>Summary report 18</t>
  </si>
  <si>
    <t>This is a joint publication between NHS Digital and NHS England</t>
  </si>
  <si>
    <t>Total unplanned attendances</t>
  </si>
  <si>
    <t>Total Attendances</t>
  </si>
  <si>
    <t>Percentage Admitted</t>
  </si>
  <si>
    <t>Emergency Admissions via A&amp;E</t>
  </si>
  <si>
    <t>Percentage attendances via A&amp;E</t>
  </si>
  <si>
    <t>Activity in English NHS Hospitals and English NHS commissioned activity in the independent sector. </t>
  </si>
  <si>
    <t>Month</t>
  </si>
  <si>
    <t>Percentage waiting 4 hours or less</t>
  </si>
  <si>
    <t>Attendances waiting 4 hours or less</t>
  </si>
  <si>
    <t>Contains public sector information licensed under the Open Government Licence v3.0</t>
  </si>
  <si>
    <t xml:space="preserve">These counts are the mid-year population estimates for England taken from Office for National Statistics (ONS) </t>
  </si>
  <si>
    <t>Population estimates</t>
  </si>
  <si>
    <t xml:space="preserve">Link to publication: </t>
  </si>
  <si>
    <t>2017-18</t>
  </si>
  <si>
    <t>Copyright © 2018, NHS Digital. All Rights Reserved.</t>
  </si>
  <si>
    <t>R0A</t>
  </si>
  <si>
    <t>Dominic Gair, Secondary Care Analysis Section Head</t>
  </si>
  <si>
    <t>Contact via enquiries@NHSDigital.NHS.uk or 0300 303 5678</t>
  </si>
  <si>
    <r>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t>
    </r>
    <r>
      <rPr>
        <u/>
        <sz val="10"/>
        <color rgb="FF005EB8"/>
        <rFont val="Arial"/>
        <family val="2"/>
      </rPr>
      <t>psi.nationalarchives.gsi.gov.uk</t>
    </r>
    <r>
      <rPr>
        <sz val="10"/>
        <color indexed="8"/>
        <rFont val="Arial"/>
        <family val="2"/>
      </rPr>
      <t xml:space="preserve">
</t>
    </r>
  </si>
  <si>
    <t>https://www.ons.gov.uk/peoplepopulationandcommunity/populationandmigration/populationestimates/datasets/populationestimatesforukenglandandwalesscotlandandnorthernireland</t>
  </si>
  <si>
    <t>Least deprived 10%</t>
  </si>
  <si>
    <t>Less deprived 10-20%</t>
  </si>
  <si>
    <t>Less deprived 20-30%</t>
  </si>
  <si>
    <t>Less deprived 30-40%</t>
  </si>
  <si>
    <t>Less deprived 40-50%</t>
  </si>
  <si>
    <t>More deprived 10-20%</t>
  </si>
  <si>
    <t>More deprived 20-30%</t>
  </si>
  <si>
    <t>More deprived 30-40%</t>
  </si>
  <si>
    <t>More deprived 40-50%</t>
  </si>
  <si>
    <t>Most deprived 10%</t>
  </si>
  <si>
    <t>Any other ethnic group</t>
  </si>
  <si>
    <t>Chinese (other ethnic group)</t>
  </si>
  <si>
    <t>Any other Black background</t>
  </si>
  <si>
    <t>African (Black or Black British)</t>
  </si>
  <si>
    <t>Caribbean (Black or Black British)</t>
  </si>
  <si>
    <t>Any other Asian background</t>
  </si>
  <si>
    <t>Bangladeshi (Asian or Asian British)</t>
  </si>
  <si>
    <t>Pakistani (Asian or Asian British)</t>
  </si>
  <si>
    <t>Indian (Asian or Asian British)</t>
  </si>
  <si>
    <t>Any other Mixed background</t>
  </si>
  <si>
    <t>White and Asian (Mixed)</t>
  </si>
  <si>
    <t>White and Black African (Mixed)</t>
  </si>
  <si>
    <t>White and Black Caribbean (Mixed)</t>
  </si>
  <si>
    <t>Any other White background</t>
  </si>
  <si>
    <t>Irish (White)</t>
  </si>
  <si>
    <t>British (White)</t>
  </si>
  <si>
    <t>Activity in English NHS Hospitals and English NHS commissioned activity in the independent sector. 
Major A&amp;E Departments only (Type 1)</t>
  </si>
  <si>
    <t>Attendance by IMD and Ethnicity</t>
  </si>
  <si>
    <t>Ethnicity</t>
  </si>
  <si>
    <t>A&amp;E attendances</t>
  </si>
  <si>
    <t>Population</t>
  </si>
  <si>
    <t>Summary report 19</t>
  </si>
  <si>
    <t>Summary report 20</t>
  </si>
  <si>
    <t>Summary Report Excel tables</t>
  </si>
  <si>
    <t>*Population rates are calculated using Office for National (ONS) data. The ONS data is the population estimate for 2017. ONS contains additional ethnic categories that are not defined in HES, therefore it was necessary to merge certain groupings to match those in HES. This affects the following categories:
‘Gypsy or Irish Traveller’ merged with ‘Any other white’
‘Arab merged’ with ‘Any other ethnic group’</t>
  </si>
  <si>
    <t>Rate per 100,000 population*</t>
  </si>
  <si>
    <t>https://www.ons.gov.uk/peoplepopulationandcommunity/populationandmigration/populationestimates/adhocs/008780populationdenominatorsbyethnicgroupregionsandcountriesenglandandwales2011to2017</t>
  </si>
  <si>
    <t>IMD data published by ONS;</t>
  </si>
  <si>
    <t>population data publshed by ONS;</t>
  </si>
  <si>
    <t>https://www.gov.uk/government/statistics/english-indices-of-deprivation-2015</t>
  </si>
  <si>
    <t>population data published by ONS;</t>
  </si>
  <si>
    <t>00 to 04 years</t>
  </si>
  <si>
    <t>05 to 14 years</t>
  </si>
  <si>
    <t>15 to 34 years</t>
  </si>
  <si>
    <t>35 to 64 years</t>
  </si>
  <si>
    <t>65 to 79 years</t>
  </si>
  <si>
    <t>80+ years</t>
  </si>
  <si>
    <t>% 4 Hours or Less</t>
  </si>
  <si>
    <t>Attendances per day with a duration under 4 hours</t>
  </si>
  <si>
    <t>Monthly Average</t>
  </si>
  <si>
    <t>12 Month Rolling Average</t>
  </si>
  <si>
    <t>Attendances per day with a duration over 4 hours</t>
  </si>
  <si>
    <t>Number of A&amp;E attendances where patient arrived by ambulance</t>
  </si>
  <si>
    <t>Reattendances</t>
  </si>
  <si>
    <t>% of attendances that are reattendances</t>
  </si>
  <si>
    <t xml:space="preserve">Summary report 20: A&amp;E attendances by Ethnicity and rate per 100,000 population, 2017-18 (HES, ONS)						</t>
  </si>
  <si>
    <t>White</t>
  </si>
  <si>
    <t>Mixed</t>
  </si>
  <si>
    <t>Asian or Asian British</t>
  </si>
  <si>
    <t>Black or Black British</t>
  </si>
  <si>
    <t>Other Ethnic Groups</t>
  </si>
  <si>
    <t>English Indices of Deprivation decile</t>
  </si>
  <si>
    <t>For more information on data quality please see the data quality note accompanying this publication.</t>
  </si>
  <si>
    <t>2018-19</t>
  </si>
  <si>
    <t>MANCHESTER UNIVERSITY NHS FOUNDATION TRUST</t>
  </si>
  <si>
    <t>ISLE OF WIGHT NHS TRUST</t>
  </si>
  <si>
    <t>BARTS HEALTH NHS TRUST</t>
  </si>
  <si>
    <t>LONDON NORTH WEST UNIVERSITY HEALTHCARE NHS TRUST</t>
  </si>
  <si>
    <t>ROYAL SURREY COUNTY HOSPITAL NHS FOUNDATION TRUST</t>
  </si>
  <si>
    <t>WESTON AREA HEALTH NHS TRUST</t>
  </si>
  <si>
    <t>YEOVIL DISTRICT HOSPITAL NHS FOUNDATION TRUST</t>
  </si>
  <si>
    <t>UNIVERSITY HOSPITALS BRISTOL NHS FOUNDATION TRUST</t>
  </si>
  <si>
    <t>TORBAY AND SOUTH DEVON NHS FOUNDATION TRUST</t>
  </si>
  <si>
    <t>BRADFORD TEACHING HOSPITALS NHS FOUNDATION TRUST</t>
  </si>
  <si>
    <t>SOUTHEND UNIVERSITY HOSPITAL NHS FOUNDATION TRUST</t>
  </si>
  <si>
    <t>ROYAL FREE LONDON NHS FOUNDATION TRUST</t>
  </si>
  <si>
    <t>NORTH MIDDLESEX UNIVERSITY HOSPITAL NHS TRUST</t>
  </si>
  <si>
    <t>THE HILLINGDON HOSPITALS NHS FOUNDATION TRUST</t>
  </si>
  <si>
    <t>KINGSTON HOSPITAL NHS FOUNDATION TRUST</t>
  </si>
  <si>
    <t>TAUNTON AND SOMERSET NHS FOUNDATION TRUST</t>
  </si>
  <si>
    <t>DORSET COUNTY HOSPITAL NHS FOUNDATION TRUST</t>
  </si>
  <si>
    <t>WALSALL HEALTHCARE NHS TRUST</t>
  </si>
  <si>
    <t>WIRRAL UNIVERSITY TEACHING HOSPITAL NHS FOUNDATION TRUST</t>
  </si>
  <si>
    <t>ALDER HEY CHILDREN'S NHS FOUNDATION TRUST</t>
  </si>
  <si>
    <t>MID CHESHIRE HOSPITALS NHS FOUNDATION TRUST</t>
  </si>
  <si>
    <t>NORTHERN DEVON HEALTHCARE NHS TRUST</t>
  </si>
  <si>
    <t>BEDFORD HOSPITAL NHS TRUST</t>
  </si>
  <si>
    <t>YORK TEACHING HOSPITAL NHS FOUNDATION TRUST</t>
  </si>
  <si>
    <t>HARROGATE AND DISTRICT NHS FOUNDATION TRUST</t>
  </si>
  <si>
    <t>AIREDALE NHS FOUNDATION TRUST</t>
  </si>
  <si>
    <t>SHEFFIELD CHILDREN'S NHS FOUNDATION TRUST</t>
  </si>
  <si>
    <t>THE QUEEN ELIZABETH HOSPITAL, KING'S LYNN, NHS FOUNDATION TRUST</t>
  </si>
  <si>
    <t>ROYAL UNITED HOSPITALS BATH NHS FOUNDATION TRUST</t>
  </si>
  <si>
    <t>MILTON KEYNES UNIVERSITY HOSPITAL NHS FOUNDATION TRUST</t>
  </si>
  <si>
    <t>BASILDON AND THURROCK UNIVERSITY HOSPITALS NHS FOUNDATION TRUST</t>
  </si>
  <si>
    <t>EAST SUFFOLK AND NORTH ESSEX NHS FOUNDATION TRUST</t>
  </si>
  <si>
    <t>THE ROYAL BOURNEMOUTH AND CHRISTCHURCH HOSPITALS NHS FOUNDATION TRUST</t>
  </si>
  <si>
    <t>ROYAL CORNWALL HOSPITALS NHS TRUST</t>
  </si>
  <si>
    <t>BARKING, HAVERING AND REDBRIDGE UNIVERSITY HOSPITALS NHS TRUST</t>
  </si>
  <si>
    <t>BARNSLEY HOSPITAL NHS FOUNDATION TRUST</t>
  </si>
  <si>
    <t>CHESTERFIELD ROYAL HOSPITAL NHS FOUNDATION TRUST</t>
  </si>
  <si>
    <t>NORTH WEST ANGLIA NHS FOUNDATION TRUST</t>
  </si>
  <si>
    <t>JAMES PAGET UNIVERSITY HOSPITALS NHS FOUNDATION TRUST</t>
  </si>
  <si>
    <t>ROYAL DEVON AND EXETER NHS FOUNDATION TRUST</t>
  </si>
  <si>
    <t>UNIVERSITY HOSPITAL SOUTHAMPTON NHS FOUNDATION TRUST</t>
  </si>
  <si>
    <t>SHEFFIELD TEACHING HOSPITALS NHS FOUNDATION TRUST</t>
  </si>
  <si>
    <t>ROYAL BERKSHIRE NHS FOUNDATION TRUST</t>
  </si>
  <si>
    <t>GUY'S AND ST THOMAS' NHS FOUNDATION TRUST</t>
  </si>
  <si>
    <t>LEWISHAM AND GREENWICH NHS TRUST</t>
  </si>
  <si>
    <t>CROYDON HEALTH SERVICES NHS TRUST</t>
  </si>
  <si>
    <t>ST GEORGE'S UNIVERSITY HOSPITALS NHS FOUNDATION TRUST</t>
  </si>
  <si>
    <t>SOUTH WARWICKSHIRE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</si>
  <si>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</si>
  <si>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</si>
  <si>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</si>
  <si>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</si>
  <si>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</si>
  <si>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SHERWOOD FOREST HOSPITALS NHS FOUNDATION TRUST</t>
  </si>
  <si>
    <t>UNIVERSITY HOSPITALS COVENTRY AND WARWICKSHIRE NHS TRUST</t>
  </si>
  <si>
    <t>WHITTINGTON HEALTH NHS TRUST</t>
  </si>
  <si>
    <t>THE ROYAL WOLVERHAMPTON NHS TRUST</t>
  </si>
  <si>
    <t>WYE VALLEY NHS TRUST</t>
  </si>
  <si>
    <t>GEORGE ELIOT HOSPITAL NHS TRUST</t>
  </si>
  <si>
    <t>NORFOLK AND NORWICH UNIVERSITY HOSPITALS NHS FOUNDATION TRUST</t>
  </si>
  <si>
    <t>SALFORD ROYAL NHS FOUNDATION TRUST</t>
  </si>
  <si>
    <t>BOLTON NHS FOUNDATION TRUST</t>
  </si>
  <si>
    <t>GREAT WESTERN HOSPITALS NHS FOUNDATION TRUST</t>
  </si>
  <si>
    <t>HAMPSHIRE HOSPITALS NHS FOUNDATION TRUST</t>
  </si>
  <si>
    <t>DARTFORD AND GRAVESHAM NHS TRUST</t>
  </si>
  <si>
    <t>THE DUDLEY GROUP NHS FOUNDATION TRUST</t>
  </si>
  <si>
    <t>NORTH CUMBRIA UNIVERSITY HOSPITALS NHS TRUST</t>
  </si>
  <si>
    <t>NORTHAMPTON GENERAL HOSPITAL NHS TRUST</t>
  </si>
  <si>
    <t>SALISBURY NHS FOUNDATION TRUST</t>
  </si>
  <si>
    <t>DONCASTER AND BASSETLAW TEACHING HOSPITALS NHS FOUNDATION TRUST</t>
  </si>
  <si>
    <t>MEDWAY NHS FOUNDATION TRUST</t>
  </si>
  <si>
    <t>BIRMINGHAM WOMEN'S AND CHILDREN'S NHS FOUNDATION TRUST</t>
  </si>
  <si>
    <t>ROYAL LIVERPOOL AND BROADGREEN UNIVERSITY HOSPITALS NHS TRUST</t>
  </si>
  <si>
    <t>MID ESSEX HOSPITAL SERVICES NHS TRUST</t>
  </si>
  <si>
    <t>THE PRINCESS ALEXANDRA HOSPITAL NHS TRUST</t>
  </si>
  <si>
    <t>HOMERTON UNIVERSITY HOSPITAL NHS FOUNDATION TRUST</t>
  </si>
  <si>
    <t>GATESHEAD HEALTH NHS FOUNDATION TRUST</t>
  </si>
  <si>
    <t>LEEDS TEACHING HOSPITALS NHS TRUST</t>
  </si>
  <si>
    <t>WRIGHTINGTON, WIGAN AND LEIGH NHS FOUNDATION TRUST</t>
  </si>
  <si>
    <t>UNIVERSITY HOSPITALS BIRMINGHAM NHS FOUNDATION TRUST</t>
  </si>
  <si>
    <t>UNIVERSITY COLLEGE LONDON HOSPITALS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</si>
  <si>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</si>
  <si>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</si>
  <si>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</si>
  <si>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</si>
  <si>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</si>
  <si>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</si>
  <si>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SURREY AND SUSSEX HEALTHCARE NHS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</si>
  <si>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</si>
  <si>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</si>
  <si>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</si>
  <si>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</si>
  <si>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</si>
  <si>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SOUTHPORT AND ORMSKIRK HOSPITAL NHS TRUST</t>
  </si>
  <si>
    <t>PENNINE ACUTE HOSPITALS NHS TRUST</t>
  </si>
  <si>
    <t>UNITED LINCOLNSHIRE HOSPITALS NHS TRUST</t>
  </si>
  <si>
    <t>UNIVERSITY HOSPITALS OF LEICESTER NHS TRUST</t>
  </si>
  <si>
    <t>MAIDSTONE AND TUNBRIDGE WELLS NHS TRUST</t>
  </si>
  <si>
    <t>WEST HERTFORDSHIRE HOSPITALS NHS TRUST</t>
  </si>
  <si>
    <t>EAST AND NORTH HERTFORDSHIRE NHS TRUST</t>
  </si>
  <si>
    <t>STOCKPORT NHS FOUNDATION TRUST</t>
  </si>
  <si>
    <t>WORCESTERSHIRE ACUTE HOSPITALS NHS TRUST</t>
  </si>
  <si>
    <t>CALDERDALE AND HUDDERSFIELD NHS FOUNDATION TRUST</t>
  </si>
  <si>
    <t>EAST SUSSEX HEALTHCARE NHS TRUST</t>
  </si>
  <si>
    <t>BRIGHTON AND SUSSEX UNIVERSITY HOSPITALS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</si>
  <si>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</si>
  <si>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</si>
  <si>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</si>
  <si>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</si>
  <si>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</si>
  <si>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EAST LANCASHIRE HOSPITALS NHS TRUST</t>
  </si>
  <si>
    <t>SHREWSBURY AND TELFORD HOSPITAL NHS TRUST</t>
  </si>
  <si>
    <t>WESTERN SUSSEX HOSPITALS NHS FOUNDATION TRUST</t>
  </si>
  <si>
    <t>Responsible Statistician: Michael Barnes, Secondary Care Analysis Section Head</t>
  </si>
  <si>
    <t>Michael Barnes, Secondary Care Analysis Section Head</t>
  </si>
  <si>
    <r>
      <t xml:space="preserve">% Standard </t>
    </r>
    <r>
      <rPr>
        <vertAlign val="superscript"/>
        <sz val="10"/>
        <color rgb="FF000000"/>
        <rFont val="Arial"/>
        <family val="2"/>
      </rPr>
      <t>1</t>
    </r>
  </si>
  <si>
    <r>
      <rPr>
        <vertAlign val="superscript"/>
        <sz val="10"/>
        <rFont val="Arial"/>
        <family val="2"/>
      </rPr>
      <t xml:space="preserve">1 </t>
    </r>
    <r>
      <rPr>
        <sz val="10"/>
        <rFont val="Arial"/>
        <family val="2"/>
      </rPr>
      <t>The standard set in the NHS Constitution is the percentage of attendances discharged, admitted or transferred spending 4 hours or less in A&amp;E. This was 98% up to quarter 1 (end June) 2010; from quarter 2 (July) 2010 this was reduced to 95%</t>
    </r>
  </si>
  <si>
    <t>Includes activity for planned and unplanned A&amp;E attendances.</t>
  </si>
  <si>
    <t>Planned A&amp;E attendances are excluded.</t>
  </si>
  <si>
    <t>Includes major A&amp;E consultant led departments (types 1 and 2) only. Planned A&amp;E attendances are excluded.</t>
  </si>
  <si>
    <t>HULL UNIVERSITY TEACHING HOSPITALS NHS TRUST</t>
  </si>
  <si>
    <t xml:space="preserve">This is a joint publication between NHS Digital and NHS England and NHS Improvement providing a collective and coherent release between the two organisations.  This enables a wider set of breakdowns and measures in the detailed reports.  
The data sources for this publication are:
• Hospital Episode Statistics (HES)
• A&amp;E Attendances and Emergency Admissions Monthly Situation Reports (MSitAE) 
</t>
  </si>
  <si>
    <t>MSitAE data published by NHS England and NHS Improvement</t>
  </si>
  <si>
    <t>*Population rates are calculated using Office for National (ONS) data. The ONS data is the population estimate for 2018. ONS contains additional ethnic categories that are not defined in HES, therefore it was necessary to merge certain groupings to match those in HES. This affects the following categories:
‘Gypsy or Irish Traveller’ merged with ‘White’
‘Arab' merged with ‘Any other ethnic group’</t>
  </si>
  <si>
    <t>https://www.ons.gov.uk/peoplepopulationandcommunity/populationandmigration/populationestimates/adhocs/008780populationdenominatorsbyethnicgroupregionsandcountriesenglandandwales2011to2018</t>
  </si>
  <si>
    <t>Publication date: 10th September 2020</t>
  </si>
  <si>
    <t>2019-20</t>
  </si>
  <si>
    <t xml:space="preserve">NHS Digital, Hospital Episode Statistics for England.  Accident &amp; Emergency Statistics, 2019-20     </t>
  </si>
  <si>
    <t>Copyright © 2020, NHS Digital. All Rights Reserved.</t>
  </si>
  <si>
    <t>Summary report 3: A&amp;E Attendances by Age Band, 2010-11 to 2019-20 (HES)</t>
  </si>
  <si>
    <t xml:space="preserve">Summary report 9: Attendances for Patients Spending Over 12 Hours in A&amp;E From Arrival, 2013-14 to 2019-20 (HES) </t>
  </si>
  <si>
    <t xml:space="preserve">NHS Digital, Hospital Episode Statistics for England.  Accident &amp; Emergency Statistics, 2019-20        </t>
  </si>
  <si>
    <t xml:space="preserve">Summary report 10: Attendances for Patients Waiting Over 12 Hours From Decision to Admit to Admission to a Ward, 2013-14 to 2019-20 (MSitAE) </t>
  </si>
  <si>
    <t xml:space="preserve">Summary report 12: A&amp;E Attendances Where Patient Arrived by Ambulance, by Hour of Arrival, 2019-20 (HES) </t>
  </si>
  <si>
    <t xml:space="preserve">NHS Digital, Hospital Episode Statistics for England.  Accident &amp; Emergency Statistics, 2019-20         </t>
  </si>
  <si>
    <t xml:space="preserve">Summary report 16: Number and Percentage of A&amp;E 
Reattendances, 2010-11 to 2019-20 (HES) </t>
  </si>
  <si>
    <t xml:space="preserve">NHS Digital, Hospital Episode Statistics for England.  Accident &amp; Emergency Statistics, 2019-20          </t>
  </si>
  <si>
    <t>Accident and Emergency Annual Report 2019-20: Table of contents</t>
  </si>
  <si>
    <t>Total Time in A&amp;E from Hour of Arrival to Transfer, Admission or Discharge, 2019-20</t>
  </si>
  <si>
    <t>A&amp;E Attendances by Time of Arrival and Day of Week, 2019-20</t>
  </si>
  <si>
    <t>A&amp;E Attendances Where Patient Arrived by Ambulance, by Hour of Arrival, 2019-20</t>
  </si>
  <si>
    <t>Percentage of Reattendances by Day of Week of First Attendance, 2019-20</t>
  </si>
  <si>
    <t>Percentage of Reattendances by Age and Sex, 2019-20</t>
  </si>
  <si>
    <t>A&amp;E Attendances by Index of Multiple Deprivation and Rate per 100,000 Population, 2019-20</t>
  </si>
  <si>
    <t>A&amp;E Attendances by Ethnicity and Rate per 100,000 Population, 2019-20</t>
  </si>
  <si>
    <t>Summary of A&amp;E Attendances, 2010-11 to 2019-20</t>
  </si>
  <si>
    <t>A&amp;E Attendances by Department Type, 2010-11 to 2019-20</t>
  </si>
  <si>
    <t>A&amp;E Attendances by Age Band, 2010-11 to 2019-20</t>
  </si>
  <si>
    <t>Percentage of Patient Attendances Spending 4 Hours or Less in A&amp;E, 2010-11 to 2019-20</t>
  </si>
  <si>
    <t>Percentage of Attendances Admitted from A&amp;E by Year, 2010-11 to 2019-20</t>
  </si>
  <si>
    <t>Number and Percentage of A&amp;E Reattendances, 2010-11 to 2019-20</t>
  </si>
  <si>
    <t xml:space="preserve">Summary report 8: Total Time in A&amp;E from Hour of Arrival to Transfer, Admission or Discharge, 2019-20 (HES) </t>
  </si>
  <si>
    <t xml:space="preserve">NHS Digital, Hospital Episode Statistics for England.  Accident &amp; Emergency Statistics, 2019-20       </t>
  </si>
  <si>
    <t xml:space="preserve">Summary report 11: A&amp;E Attendances by Time of Arrival and Day of Week, 2019-20 (HES) </t>
  </si>
  <si>
    <t xml:space="preserve">Summary report 17: Percentage of Reattendances by Day of Week of First Attendance, 2019-20 (HES) </t>
  </si>
  <si>
    <t xml:space="preserve">Summary report 18: Percentage of Reattendances by Age and Sex, 2019-20 (HES) </t>
  </si>
  <si>
    <r>
      <t>Hospital Accident and Emergency Activity - 2019-20</t>
    </r>
    <r>
      <rPr>
        <sz val="27"/>
        <color rgb="FF005EB8"/>
        <rFont val="Arial"/>
        <family val="2"/>
      </rPr>
      <t xml:space="preserve">
</t>
    </r>
  </si>
  <si>
    <t>Copyright © 2020</t>
  </si>
  <si>
    <t>This file provides some high level analyses of both HES and MSitAE data relating to A&amp;E attendances in NHS hospitals, minor injury units and walk-in centres. This document provides data tables to support the summary report and to provide additional analysis. The annual publication covers the financial year ending March 2020 as well as earlier time periods.</t>
  </si>
  <si>
    <t>Summary report 1: Summary of A&amp;E Attendances, 2010-11 to 2019-20 (MSitAE)</t>
  </si>
  <si>
    <t>Summary report 2: A&amp;E Attendances by Department Type, 2010-11 to 2019-20 (MSitAE)</t>
  </si>
  <si>
    <t>Summary report 4: Percentage of Patient Attendances Spending 4 Hours or Less in A&amp;E, 2010-11 to 2019-20 (MSitAE)</t>
  </si>
  <si>
    <t xml:space="preserve">Summary report 15: Percentage of Attendances Admitted from A&amp;E by Year, 2010-11 to 2019-20 (MSitAE) </t>
  </si>
  <si>
    <t xml:space="preserve">Summary report 6: Average Number of Attendances Over 4 Hours, 2013-14 to 2019-20 (MSitAE) 
</t>
  </si>
  <si>
    <t xml:space="preserve">Summary report 5: Average Number of Attendances of 4 Hours or Less, 2013-14 to 2019-20 (MSitAE) </t>
  </si>
  <si>
    <t xml:space="preserve">Summary report 13: Average Number of Attendances per Day by Month, 2017-18 to 2019-20 (MSitAE) </t>
  </si>
  <si>
    <t xml:space="preserve">Summary report 14: Percentage of Attendances Admitted from A&amp;E by Month, 2017-18 to 2019-20 (MSitAE) </t>
  </si>
  <si>
    <t xml:space="preserve">Summary report 19: A&amp;E attendances by Index of Multiple Deprivation decile and rate per 100,000 population, 2019-20 (HES, ONS)								</t>
  </si>
  <si>
    <t xml:space="preserve">Summary report 20: A&amp;E attendances by Ethnicity and rate per 100,000 population, 2019-20 (HES, ONS)						</t>
  </si>
  <si>
    <t>Average Number of Attendances of 4 Hours or Less, 2013-14 to 2019-20</t>
  </si>
  <si>
    <t>Average Number of Attendances Over 4 Hours, 2013-14 to 2019-20</t>
  </si>
  <si>
    <t>Patients Spending Over 12 Hours in A&amp;E From Arrival, 2013-14 to 2019-20</t>
  </si>
  <si>
    <t>Patients Waiting Over 12 Hours From Decision to Admit to Admission to a Ward, 2013-14 to 2019-20</t>
  </si>
  <si>
    <t>Average Number of Attendances per Day by Month, 2017-18 to 2019-20</t>
  </si>
  <si>
    <t>Percentage of Attendances Admitted from A&amp;E by Month, 2017-18 to 2019-20</t>
  </si>
  <si>
    <t>R0B</t>
  </si>
  <si>
    <t>SOUTH TYNESIDE AND SUNDERLAND NHS FOUNDATION TRUST</t>
  </si>
  <si>
    <t>ST HELENS AND KNOWSLEY TEACHING HOSPITALS NHS TRUST</t>
  </si>
  <si>
    <t>LIVERPOOL UNIVERSITY HOSPITALS NHS FOUNDATION TRUST</t>
  </si>
  <si>
    <t>TAMESIDE AND GLOSSOP INTEGRATED CARE NHS FOUNDATION TRUST</t>
  </si>
  <si>
    <t>RNN</t>
  </si>
  <si>
    <t>NORTH CUMBRIA INTEGRATED CARE NHS FOUNDATION TRUST</t>
  </si>
  <si>
    <t>WARRINGTON AND HALTON TEACHING HOSPITALS NHS FOUNDATION TRUST</t>
  </si>
  <si>
    <t>*Population rates are calculated using Office for National (ONS) data using population estimates for Lower Layer Super Output Areas (LSOA) combined with the Index of Multiple Deprivation (IMD). The population esitmates are for England 2018 and IMD is using the 2015 version.</t>
  </si>
  <si>
    <t>https://www.ons.gov.uk/peoplepopulationandcommunity/birthsdeathsandmarriages/deaths/adhocs/11169deathregistrationsandpopulationsbyindexofmultipledeprivationengland2001to2018</t>
  </si>
  <si>
    <t>https://www.england.nhs.uk/statistics/statistical-work-areas/ae-waiting-times-and-activity/ae-attendances-and-emergency-admissions-2019-20/</t>
  </si>
  <si>
    <t>https://digital.nhs.uk/data-and-information/publications/statistical/hospital-accident--emergency-activity/2019-20</t>
  </si>
  <si>
    <t>Attendances 4 hours or less</t>
  </si>
  <si>
    <t>Attendances over 4 hours</t>
  </si>
  <si>
    <t>Users should note there was a reduction in attendances from March 2020, at the start of the COVID-19 outbreak.</t>
  </si>
  <si>
    <t>https://www.england.nhs.uk/statistics/wp-content/uploads/sites/2/2019/06/Publication-of-May-AE-data.pdf</t>
  </si>
  <si>
    <t>Fourteen hospital trusts are excluded from the ‘Number and percentage attendances 4 hours or less / over 4 hours’ due to their involvement with testing new proposal standards for emergency care, which has made them exempt from this measure. More details can be found on the link below:</t>
  </si>
  <si>
    <t>Fourteen hospital trusts are excluded from this table due to their involvement with testing new proposal standards for emergency care, which has made them exempt from this measure. More details can be found on the link below:</t>
  </si>
  <si>
    <t>Attendances waiting  over 4 hours</t>
  </si>
  <si>
    <t xml:space="preserve">Summary report 7: Percentage of Patient Attendances Spending 4 Hours or Less / Over 4 Hours in A&amp;E by Provider, 2019-20 (MSitAE) </t>
  </si>
  <si>
    <t>Percentage of Patient Attendances Spending 4 Hours or Less / Over 4 Hours in A&amp;E by Provider, 2019-20</t>
  </si>
  <si>
    <t>This is a joint publication between NHS Digital and NHS England and NHS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</si>
</sst>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10409]#,##0;\(#,##0\)"/>
    <numFmt numFmtId="166" formatCode="0.0%"/>
    <numFmt numFmtId="167" formatCode="_(* #,##0_);_(* \(#,##0\);_(* &quot;-&quot;??_);_(@_)"/>
    <numFmt numFmtId="168" formatCode="_-* #,##0_-;\-* #,##0_-;_-* &quot;-&quot;??_-;_-@_-"/>
    <numFmt numFmtId="169" formatCode="0.00000000%"/>
    <numFmt numFmtId="170" formatCode="#,##0_ ;\-#,##0\ "/>
    <numFmt numFmtId="171" formatCode="#,##0.0"/>
    <numFmt numFmtId="172" formatCode="0.000000"/>
  </numFmts>
  <fonts count="59"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b/>
      <sz val="10"/>
      <color indexed="8"/>
      <name val="Arial"/>
      <family val="2"/>
    </font>
    <font>
      <sz val="10"/>
      <name val="Arial"/>
      <family val="2"/>
    </font>
    <font>
      <sz val="10"/>
      <name val="Arial"/>
      <family val="2"/>
    </font>
    <font>
      <i/>
      <sz val="10"/>
      <name val="Arial"/>
      <family val="2"/>
    </font>
    <font>
      <b/>
      <sz val="10"/>
      <name val="Arial"/>
      <family val="2"/>
    </font>
    <font>
      <u/>
      <sz val="10"/>
      <color indexed="12"/>
      <name val="Arial"/>
      <family val="2"/>
    </font>
    <font>
      <sz val="11"/>
      <color theme="1"/>
      <name val="Calibri"/>
      <family val="2"/>
      <scheme val="minor"/>
    </font>
    <font>
      <u/>
      <sz val="10"/>
      <color theme="10"/>
      <name val="Arial"/>
      <family val="2"/>
    </font>
    <font>
      <u/>
      <sz val="10"/>
      <color theme="10"/>
      <name val="Arial"/>
      <family val="2"/>
    </font>
    <font>
      <b/>
      <sz val="18"/>
      <color rgb="FF005EB8"/>
      <name val="Arial"/>
      <family val="2"/>
    </font>
    <font>
      <sz val="10"/>
      <color rgb="FFFF0000"/>
      <name val="Arial"/>
      <family val="2"/>
    </font>
    <font>
      <sz val="11"/>
      <color theme="1"/>
      <name val="Arial"/>
      <family val="2"/>
    </font>
    <font>
      <sz val="10"/>
      <color theme="1"/>
      <name val="Arial"/>
      <family val="2"/>
    </font>
    <font>
      <b/>
      <sz val="10"/>
      <color theme="1"/>
      <name val="Arial"/>
      <family val="2"/>
    </font>
    <font>
      <b/>
      <sz val="11.95"/>
      <color indexed="8"/>
      <name val="Arial"/>
      <family val="2"/>
    </font>
    <font>
      <b/>
      <sz val="20"/>
      <color theme="1" tint="0.34998626667073579"/>
      <name val="Arial"/>
      <family val="2"/>
    </font>
    <font>
      <u/>
      <sz val="11"/>
      <color theme="10"/>
      <name val="Calibri"/>
      <family val="2"/>
    </font>
    <font>
      <u/>
      <sz val="12"/>
      <color rgb="FF004488"/>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3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2"/>
      <color indexed="8"/>
      <name val="Arial"/>
      <family val="2"/>
    </font>
    <font>
      <b/>
      <sz val="11"/>
      <color rgb="FF3F3F3F"/>
      <name val="Calibri"/>
      <family val="2"/>
      <scheme val="minor"/>
    </font>
    <font>
      <sz val="11"/>
      <color theme="1"/>
      <name val="Calibri"/>
      <family val="2"/>
    </font>
    <font>
      <b/>
      <sz val="11"/>
      <color theme="1"/>
      <name val="Calibri"/>
      <family val="2"/>
      <scheme val="minor"/>
    </font>
    <font>
      <sz val="11"/>
      <color rgb="FFFF0000"/>
      <name val="Calibri"/>
      <family val="2"/>
      <scheme val="minor"/>
    </font>
    <font>
      <b/>
      <sz val="18"/>
      <color theme="3"/>
      <name val="Cambria"/>
      <family val="2"/>
      <scheme val="major"/>
    </font>
    <font>
      <sz val="11"/>
      <name val="Arial"/>
      <family val="2"/>
    </font>
    <font>
      <sz val="8"/>
      <color theme="1"/>
      <name val="Arial"/>
      <family val="2"/>
    </font>
    <font>
      <b/>
      <sz val="27"/>
      <color rgb="FF005EB8"/>
      <name val="Arial"/>
      <family val="2"/>
    </font>
    <font>
      <sz val="27"/>
      <color rgb="FF005EB8"/>
      <name val="Arial"/>
      <family val="2"/>
    </font>
    <font>
      <sz val="12"/>
      <color theme="1"/>
      <name val="Arial"/>
      <family val="2"/>
    </font>
    <font>
      <u/>
      <sz val="10"/>
      <color rgb="FF005EB8"/>
      <name val="Arial"/>
      <family val="2"/>
    </font>
    <font>
      <sz val="8"/>
      <name val="Arial"/>
      <family val="2"/>
    </font>
    <font>
      <vertAlign val="superscript"/>
      <sz val="10"/>
      <color rgb="FF000000"/>
      <name val="Arial"/>
      <family val="2"/>
    </font>
    <font>
      <vertAlign val="superscript"/>
      <sz val="10"/>
      <name val="Arial"/>
      <family val="2"/>
    </font>
    <font>
      <sz val="8"/>
      <name val="Arial"/>
      <family val="2"/>
    </font>
    <font>
      <u/>
      <sz val="11"/>
      <color theme="10"/>
      <name val="Arial"/>
      <family val="2"/>
    </font>
  </fonts>
  <fills count="3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indexed="9"/>
        <bgColor indexed="64"/>
      </patternFill>
    </fill>
  </fills>
  <borders count="88">
    <border>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top style="medium">
        <color indexed="64"/>
      </top>
      <bottom style="medium">
        <color indexed="64"/>
      </bottom>
      <diagonal/>
    </border>
    <border>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medium">
        <color indexed="64"/>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right style="dotted">
        <color indexed="64"/>
      </right>
      <top style="medium">
        <color indexed="64"/>
      </top>
      <bottom style="dotted">
        <color indexed="64"/>
      </bottom>
      <diagonal/>
    </border>
    <border>
      <left style="medium">
        <color indexed="64"/>
      </left>
      <right style="medium">
        <color indexed="64"/>
      </right>
      <top style="dotted">
        <color indexed="64"/>
      </top>
      <bottom/>
      <diagonal/>
    </border>
    <border>
      <left style="medium">
        <color indexed="64"/>
      </left>
      <right style="dotted">
        <color indexed="64"/>
      </right>
      <top style="medium">
        <color indexed="64"/>
      </top>
      <bottom style="medium">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dotted">
        <color indexed="64"/>
      </left>
      <right/>
      <top style="medium">
        <color indexed="64"/>
      </top>
      <bottom style="medium">
        <color indexed="64"/>
      </bottom>
      <diagonal/>
    </border>
    <border>
      <left/>
      <right style="medium">
        <color indexed="64"/>
      </right>
      <top style="medium">
        <color indexed="64"/>
      </top>
      <bottom/>
      <diagonal/>
    </border>
    <border>
      <left style="dashed">
        <color indexed="64"/>
      </left>
      <right style="medium">
        <color indexed="64"/>
      </right>
      <top style="dashed">
        <color indexed="64"/>
      </top>
      <bottom style="medium">
        <color indexed="64"/>
      </bottom>
      <diagonal/>
    </border>
    <border>
      <left style="medium">
        <color indexed="64"/>
      </left>
      <right style="dashed">
        <color indexed="64"/>
      </right>
      <top style="dashed">
        <color indexed="64"/>
      </top>
      <bottom style="medium">
        <color indexed="64"/>
      </bottom>
      <diagonal/>
    </border>
    <border>
      <left style="medium">
        <color indexed="64"/>
      </left>
      <right style="medium">
        <color indexed="64"/>
      </right>
      <top style="dashed">
        <color indexed="64"/>
      </top>
      <bottom style="medium">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medium">
        <color indexed="64"/>
      </right>
      <top style="dashed">
        <color indexed="64"/>
      </top>
      <bottom style="dashed">
        <color indexed="64"/>
      </bottom>
      <diagonal/>
    </border>
    <border>
      <left style="dashed">
        <color indexed="64"/>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medium">
        <color indexed="64"/>
      </right>
      <top style="medium">
        <color indexed="64"/>
      </top>
      <bottom style="dashed">
        <color indexed="64"/>
      </bottom>
      <diagonal/>
    </border>
    <border>
      <left style="dotted">
        <color indexed="64"/>
      </left>
      <right style="dotted">
        <color indexed="64"/>
      </right>
      <top/>
      <bottom/>
      <diagonal/>
    </border>
    <border>
      <left style="dotted">
        <color indexed="64"/>
      </left>
      <right style="medium">
        <color indexed="64"/>
      </right>
      <top/>
      <bottom/>
      <diagonal/>
    </border>
    <border>
      <left/>
      <right/>
      <top style="medium">
        <color indexed="64"/>
      </top>
      <bottom style="dotted">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top style="medium">
        <color indexed="64"/>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top/>
      <bottom style="dotted">
        <color indexed="64"/>
      </bottom>
      <diagonal/>
    </border>
    <border>
      <left style="dotted">
        <color indexed="64"/>
      </left>
      <right/>
      <top/>
      <bottom style="dotted">
        <color indexed="64"/>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right/>
      <top/>
      <bottom style="medium">
        <color auto="1"/>
      </bottom>
      <diagonal/>
    </border>
    <border>
      <left/>
      <right style="medium">
        <color indexed="64"/>
      </right>
      <top/>
      <bottom style="medium">
        <color indexed="64"/>
      </bottom>
      <diagonal/>
    </border>
    <border>
      <left style="dotted">
        <color indexed="64"/>
      </left>
      <right style="medium">
        <color indexed="64"/>
      </right>
      <top style="medium">
        <color indexed="64"/>
      </top>
      <bottom/>
      <diagonal/>
    </border>
    <border>
      <left/>
      <right style="medium">
        <color indexed="64"/>
      </right>
      <top/>
      <bottom/>
      <diagonal/>
    </border>
    <border>
      <left style="dotted">
        <color indexed="64"/>
      </left>
      <right/>
      <top style="medium">
        <color indexed="64"/>
      </top>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dotted">
        <color indexed="64"/>
      </right>
      <top/>
      <bottom/>
      <diagonal/>
    </border>
    <border>
      <left/>
      <right style="medium">
        <color indexed="64"/>
      </right>
      <top style="medium">
        <color indexed="64"/>
      </top>
      <bottom style="dotted">
        <color indexed="64"/>
      </bottom>
      <diagonal/>
    </border>
    <border>
      <left style="dashed">
        <color auto="1"/>
      </left>
      <right style="dashed">
        <color auto="1"/>
      </right>
      <top style="dashed">
        <color auto="1"/>
      </top>
      <bottom style="dashed">
        <color auto="1"/>
      </bottom>
      <diagonal/>
    </border>
    <border>
      <left style="dashed">
        <color auto="1"/>
      </left>
      <right style="dashed">
        <color auto="1"/>
      </right>
      <top style="medium">
        <color indexed="64"/>
      </top>
      <bottom style="dashed">
        <color auto="1"/>
      </bottom>
      <diagonal/>
    </border>
    <border>
      <left style="dashed">
        <color auto="1"/>
      </left>
      <right style="dashed">
        <color auto="1"/>
      </right>
      <top style="dashed">
        <color auto="1"/>
      </top>
      <bottom style="medium">
        <color indexed="64"/>
      </bottom>
      <diagonal/>
    </border>
    <border>
      <left style="dashed">
        <color indexed="64"/>
      </left>
      <right style="medium">
        <color indexed="64"/>
      </right>
      <top style="medium">
        <color indexed="64"/>
      </top>
      <bottom style="hair">
        <color indexed="64"/>
      </bottom>
      <diagonal/>
    </border>
    <border>
      <left style="dashed">
        <color indexed="64"/>
      </left>
      <right style="medium">
        <color indexed="64"/>
      </right>
      <top style="hair">
        <color indexed="64"/>
      </top>
      <bottom style="hair">
        <color indexed="64"/>
      </bottom>
      <diagonal/>
    </border>
    <border>
      <left style="dashed">
        <color indexed="64"/>
      </left>
      <right style="medium">
        <color indexed="64"/>
      </right>
      <top style="hair">
        <color indexed="64"/>
      </top>
      <bottom style="medium">
        <color indexed="64"/>
      </bottom>
      <diagonal/>
    </border>
    <border>
      <left style="medium">
        <color indexed="64"/>
      </left>
      <right/>
      <top/>
      <bottom/>
      <diagonal/>
    </border>
    <border>
      <left style="dotted">
        <color indexed="64"/>
      </left>
      <right/>
      <top style="dotted">
        <color indexed="64"/>
      </top>
      <bottom style="dotted">
        <color indexed="64"/>
      </bottom>
      <diagonal/>
    </border>
    <border>
      <left style="dotted">
        <color indexed="64"/>
      </left>
      <right/>
      <top style="dotted">
        <color indexed="64"/>
      </top>
      <bottom style="medium">
        <color indexed="64"/>
      </bottom>
      <diagonal/>
    </border>
  </borders>
  <cellStyleXfs count="273">
    <xf numFmtId="0" fontId="0" fillId="0" borderId="0"/>
    <xf numFmtId="164" fontId="9" fillId="0" borderId="0" applyFont="0" applyFill="0" applyBorder="0" applyAlignment="0" applyProtection="0"/>
    <xf numFmtId="164" fontId="12" fillId="0" borderId="0" applyFont="0" applyFill="0" applyBorder="0" applyAlignment="0" applyProtection="0"/>
    <xf numFmtId="0" fontId="18" fillId="0" borderId="0" applyNumberFormat="0" applyFill="0" applyBorder="0" applyAlignment="0" applyProtection="0"/>
    <xf numFmtId="0" fontId="13" fillId="0" borderId="0"/>
    <xf numFmtId="0" fontId="12" fillId="0" borderId="0"/>
    <xf numFmtId="0" fontId="17" fillId="0" borderId="0"/>
    <xf numFmtId="9" fontId="9" fillId="0" borderId="0" applyFont="0" applyFill="0" applyBorder="0" applyAlignment="0" applyProtection="0"/>
    <xf numFmtId="9" fontId="13" fillId="0" borderId="0" applyFont="0" applyFill="0" applyBorder="0" applyAlignment="0" applyProtection="0"/>
    <xf numFmtId="0" fontId="19" fillId="0" borderId="0" applyNumberFormat="0" applyFill="0" applyBorder="0" applyAlignment="0" applyProtection="0"/>
    <xf numFmtId="164" fontId="13" fillId="0" borderId="0" applyFont="0" applyFill="0" applyBorder="0" applyAlignment="0" applyProtection="0"/>
    <xf numFmtId="0" fontId="22" fillId="0" borderId="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6" fillId="0" borderId="0" applyNumberFormat="0" applyFill="0" applyBorder="0" applyAlignment="0" applyProtection="0">
      <alignment vertical="top"/>
      <protection locked="0"/>
    </xf>
    <xf numFmtId="0" fontId="19" fillId="0" borderId="0" applyNumberFormat="0" applyFill="0" applyBorder="0" applyAlignment="0" applyProtection="0"/>
    <xf numFmtId="0" fontId="13" fillId="0" borderId="0"/>
    <xf numFmtId="0" fontId="13" fillId="0" borderId="0"/>
    <xf numFmtId="0" fontId="8" fillId="0" borderId="0"/>
    <xf numFmtId="0" fontId="13" fillId="0" borderId="0"/>
    <xf numFmtId="0" fontId="13" fillId="0" borderId="0"/>
    <xf numFmtId="0" fontId="8" fillId="0" borderId="0"/>
    <xf numFmtId="0" fontId="8" fillId="0" borderId="0"/>
    <xf numFmtId="0" fontId="13" fillId="0" borderId="0"/>
    <xf numFmtId="0" fontId="8" fillId="0" borderId="0"/>
    <xf numFmtId="0" fontId="8" fillId="0" borderId="0"/>
    <xf numFmtId="0" fontId="13" fillId="0" borderId="0"/>
    <xf numFmtId="9" fontId="1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22" fillId="0" borderId="0" applyFont="0" applyFill="0" applyBorder="0" applyAlignment="0" applyProtection="0"/>
    <xf numFmtId="43" fontId="22" fillId="0" borderId="0" applyFont="0" applyFill="0" applyBorder="0" applyAlignment="0" applyProtection="0"/>
    <xf numFmtId="0" fontId="13"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8" fillId="0" borderId="0"/>
    <xf numFmtId="0" fontId="8" fillId="0" borderId="0"/>
    <xf numFmtId="0" fontId="8" fillId="0" borderId="0"/>
    <xf numFmtId="0" fontId="9" fillId="0" borderId="0"/>
    <xf numFmtId="0" fontId="8" fillId="0" borderId="0"/>
    <xf numFmtId="0" fontId="27" fillId="0" borderId="0" applyNumberFormat="0" applyFill="0" applyBorder="0" applyAlignment="0" applyProtection="0"/>
    <xf numFmtId="0" fontId="18" fillId="0" borderId="0" applyNumberFormat="0" applyFill="0" applyBorder="0" applyAlignment="0" applyProtection="0"/>
    <xf numFmtId="0" fontId="28" fillId="0" borderId="0" applyNumberFormat="0" applyFill="0" applyBorder="0" applyAlignment="0" applyProtection="0"/>
    <xf numFmtId="0" fontId="8" fillId="11" borderId="0" applyNumberFormat="0" applyBorder="0" applyAlignment="0" applyProtection="0"/>
    <xf numFmtId="0" fontId="8" fillId="15" borderId="0" applyNumberFormat="0" applyBorder="0" applyAlignment="0" applyProtection="0"/>
    <xf numFmtId="0" fontId="8" fillId="19" borderId="0" applyNumberFormat="0" applyBorder="0" applyAlignment="0" applyProtection="0"/>
    <xf numFmtId="0" fontId="8" fillId="23"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12" borderId="0" applyNumberFormat="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29" fillId="10" borderId="0" applyNumberFormat="0" applyBorder="0" applyAlignment="0" applyProtection="0"/>
    <xf numFmtId="0" fontId="29" fillId="14" borderId="0" applyNumberFormat="0" applyBorder="0" applyAlignment="0" applyProtection="0"/>
    <xf numFmtId="0" fontId="29" fillId="18" borderId="0" applyNumberFormat="0" applyBorder="0" applyAlignment="0" applyProtection="0"/>
    <xf numFmtId="0" fontId="29" fillId="22" borderId="0" applyNumberFormat="0" applyBorder="0" applyAlignment="0" applyProtection="0"/>
    <xf numFmtId="0" fontId="29" fillId="26" borderId="0" applyNumberFormat="0" applyBorder="0" applyAlignment="0" applyProtection="0"/>
    <xf numFmtId="0" fontId="29" fillId="30" borderId="0" applyNumberFormat="0" applyBorder="0" applyAlignment="0" applyProtection="0"/>
    <xf numFmtId="0" fontId="30" fillId="4" borderId="0" applyNumberFormat="0" applyBorder="0" applyAlignment="0" applyProtection="0"/>
    <xf numFmtId="0" fontId="31" fillId="7" borderId="34" applyNumberFormat="0" applyAlignment="0" applyProtection="0"/>
    <xf numFmtId="0" fontId="32" fillId="8" borderId="37"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3" fillId="0" borderId="0" applyNumberFormat="0" applyFill="0" applyBorder="0" applyAlignment="0" applyProtection="0"/>
    <xf numFmtId="0" fontId="34" fillId="3" borderId="0" applyNumberFormat="0" applyBorder="0" applyAlignment="0" applyProtection="0"/>
    <xf numFmtId="0" fontId="35" fillId="0" borderId="31" applyNumberFormat="0" applyFill="0" applyAlignment="0" applyProtection="0"/>
    <xf numFmtId="0" fontId="36" fillId="0" borderId="32" applyNumberFormat="0" applyFill="0" applyAlignment="0" applyProtection="0"/>
    <xf numFmtId="0" fontId="37" fillId="0" borderId="33"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alignment vertical="top"/>
      <protection locked="0"/>
    </xf>
    <xf numFmtId="0" fontId="39" fillId="6" borderId="34" applyNumberFormat="0" applyAlignment="0" applyProtection="0"/>
    <xf numFmtId="0" fontId="40" fillId="0" borderId="36" applyNumberFormat="0" applyFill="0" applyAlignment="0" applyProtection="0"/>
    <xf numFmtId="0" fontId="41" fillId="5" borderId="0" applyNumberFormat="0" applyBorder="0" applyAlignment="0" applyProtection="0"/>
    <xf numFmtId="0" fontId="6" fillId="0" borderId="0"/>
    <xf numFmtId="0" fontId="9" fillId="0" borderId="0"/>
    <xf numFmtId="0" fontId="8" fillId="9" borderId="38" applyNumberFormat="0" applyFont="0" applyAlignment="0" applyProtection="0"/>
    <xf numFmtId="0" fontId="42" fillId="9" borderId="38" applyNumberFormat="0" applyFont="0" applyAlignment="0" applyProtection="0"/>
    <xf numFmtId="0" fontId="42" fillId="34" borderId="40" applyNumberFormat="0" applyFont="0" applyAlignment="0" applyProtection="0"/>
    <xf numFmtId="0" fontId="43" fillId="7" borderId="35"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44" fillId="0" borderId="0" applyFont="0" applyFill="0" applyBorder="0" applyAlignment="0" applyProtection="0"/>
    <xf numFmtId="0" fontId="45" fillId="0" borderId="39" applyNumberFormat="0" applyFill="0" applyAlignment="0" applyProtection="0"/>
    <xf numFmtId="0" fontId="46" fillId="0" borderId="0" applyNumberFormat="0" applyFill="0" applyBorder="0" applyAlignment="0" applyProtection="0"/>
    <xf numFmtId="0" fontId="9" fillId="0" borderId="0"/>
    <xf numFmtId="164" fontId="9" fillId="0" borderId="0" applyFont="0" applyFill="0" applyBorder="0" applyAlignment="0" applyProtection="0"/>
    <xf numFmtId="164" fontId="9" fillId="0" borderId="0" applyFont="0" applyFill="0" applyBorder="0" applyAlignment="0" applyProtection="0"/>
    <xf numFmtId="0" fontId="8" fillId="0" borderId="0"/>
    <xf numFmtId="164" fontId="9" fillId="0" borderId="0" applyFont="0" applyFill="0" applyBorder="0" applyAlignment="0" applyProtection="0"/>
    <xf numFmtId="0" fontId="6" fillId="0" borderId="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8" fillId="0" borderId="0" applyNumberFormat="0" applyFill="0" applyBorder="0" applyAlignment="0" applyProtection="0"/>
    <xf numFmtId="0" fontId="18" fillId="0" borderId="0" applyNumberFormat="0" applyFill="0" applyBorder="0" applyAlignment="0" applyProtection="0"/>
    <xf numFmtId="0" fontId="9" fillId="0" borderId="0"/>
    <xf numFmtId="0" fontId="9" fillId="0" borderId="0"/>
    <xf numFmtId="0" fontId="8" fillId="0" borderId="0"/>
    <xf numFmtId="0" fontId="8" fillId="0" borderId="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43" fontId="6" fillId="0" borderId="0" applyFont="0" applyFill="0" applyBorder="0" applyAlignment="0" applyProtection="0"/>
    <xf numFmtId="0" fontId="47"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4" fillId="0" borderId="0"/>
    <xf numFmtId="164" fontId="9"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9" fillId="0" borderId="0"/>
    <xf numFmtId="0" fontId="2" fillId="0" borderId="0"/>
    <xf numFmtId="0" fontId="2" fillId="0" borderId="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58" fillId="0" borderId="0" applyNumberFormat="0" applyFill="0" applyBorder="0" applyAlignment="0" applyProtection="0"/>
    <xf numFmtId="43" fontId="1" fillId="0" borderId="0" applyFont="0" applyFill="0" applyBorder="0" applyAlignment="0" applyProtection="0"/>
    <xf numFmtId="43" fontId="9" fillId="0" borderId="0" applyFont="0" applyFill="0" applyBorder="0" applyAlignment="0" applyProtection="0"/>
  </cellStyleXfs>
  <cellXfs count="443">
    <xf numFmtId="0" fontId="0" fillId="0" borderId="0" xfId="0"/>
    <xf numFmtId="0" fontId="21" fillId="0" borderId="0" xfId="0" applyFont="1" applyAlignment="1"/>
    <xf numFmtId="0" fontId="21" fillId="0" borderId="0" xfId="0" applyFont="1"/>
    <xf numFmtId="0" fontId="15" fillId="0" borderId="0" xfId="0" applyFont="1"/>
    <xf numFmtId="0" fontId="15" fillId="0" borderId="0" xfId="0" applyFont="1" applyAlignment="1">
      <alignment horizontal="left"/>
    </xf>
    <xf numFmtId="0" fontId="18" fillId="0" borderId="0" xfId="9" applyFont="1" applyAlignment="1" applyProtection="1">
      <alignment vertical="top" wrapText="1" readingOrder="1"/>
      <protection locked="0"/>
    </xf>
    <xf numFmtId="0" fontId="18" fillId="0" borderId="0" xfId="9" applyFont="1" applyAlignment="1" applyProtection="1">
      <alignment vertical="top" readingOrder="1"/>
      <protection locked="0"/>
    </xf>
    <xf numFmtId="0" fontId="9" fillId="2" borderId="0" xfId="0" applyFont="1" applyFill="1"/>
    <xf numFmtId="0" fontId="11" fillId="2" borderId="17" xfId="70" applyFont="1" applyFill="1" applyBorder="1" applyAlignment="1" applyProtection="1">
      <alignment horizontal="center" vertical="center" wrapText="1" readingOrder="1"/>
      <protection locked="0"/>
    </xf>
    <xf numFmtId="0" fontId="11" fillId="2" borderId="18" xfId="70" applyFont="1" applyFill="1" applyBorder="1" applyAlignment="1" applyProtection="1">
      <alignment horizontal="center" vertical="center" wrapText="1" readingOrder="1"/>
      <protection locked="0"/>
    </xf>
    <xf numFmtId="0" fontId="11" fillId="2" borderId="19" xfId="70" applyFont="1" applyFill="1" applyBorder="1" applyAlignment="1" applyProtection="1">
      <alignment horizontal="center" vertical="center" wrapText="1" readingOrder="1"/>
      <protection locked="0"/>
    </xf>
    <xf numFmtId="0" fontId="10" fillId="2" borderId="0" xfId="70" applyFont="1" applyFill="1" applyBorder="1" applyAlignment="1" applyProtection="1">
      <alignment vertical="top" wrapText="1" readingOrder="1"/>
      <protection locked="0"/>
    </xf>
    <xf numFmtId="165" fontId="10" fillId="2" borderId="0" xfId="70" applyNumberFormat="1" applyFont="1" applyFill="1" applyBorder="1" applyAlignment="1" applyProtection="1">
      <alignment vertical="top" wrapText="1" readingOrder="1"/>
      <protection locked="0"/>
    </xf>
    <xf numFmtId="0" fontId="11" fillId="2" borderId="43" xfId="70" applyFont="1" applyFill="1" applyBorder="1" applyAlignment="1" applyProtection="1">
      <alignment horizontal="left" vertical="center" wrapText="1" readingOrder="1"/>
      <protection locked="0"/>
    </xf>
    <xf numFmtId="0" fontId="11" fillId="2" borderId="23" xfId="70" applyFont="1" applyFill="1" applyBorder="1" applyAlignment="1" applyProtection="1">
      <alignment horizontal="center" vertical="center" wrapText="1" readingOrder="1"/>
      <protection locked="0"/>
    </xf>
    <xf numFmtId="0" fontId="10" fillId="2" borderId="0" xfId="70" applyFont="1" applyFill="1" applyAlignment="1" applyProtection="1">
      <alignment vertical="top" wrapText="1" readingOrder="1"/>
      <protection locked="0"/>
    </xf>
    <xf numFmtId="10" fontId="10" fillId="2" borderId="0" xfId="195" applyNumberFormat="1" applyFont="1" applyFill="1" applyBorder="1" applyAlignment="1" applyProtection="1">
      <alignment horizontal="right" vertical="top" readingOrder="1"/>
      <protection locked="0"/>
    </xf>
    <xf numFmtId="10" fontId="10" fillId="2" borderId="0" xfId="195" applyNumberFormat="1" applyFont="1" applyFill="1" applyBorder="1" applyAlignment="1" applyProtection="1">
      <alignment horizontal="right" vertical="top" wrapText="1" readingOrder="1"/>
      <protection locked="0"/>
    </xf>
    <xf numFmtId="1" fontId="10" fillId="2" borderId="0" xfId="70" applyNumberFormat="1" applyFont="1" applyFill="1" applyBorder="1" applyAlignment="1" applyProtection="1">
      <alignment vertical="top" wrapText="1" readingOrder="1"/>
      <protection locked="0"/>
    </xf>
    <xf numFmtId="1" fontId="49" fillId="2" borderId="0" xfId="193" applyNumberFormat="1" applyFont="1" applyFill="1"/>
    <xf numFmtId="0" fontId="10" fillId="2" borderId="0" xfId="70" applyNumberFormat="1" applyFont="1" applyFill="1" applyBorder="1" applyAlignment="1" applyProtection="1">
      <alignment vertical="top" wrapText="1" readingOrder="1"/>
      <protection locked="0"/>
    </xf>
    <xf numFmtId="0" fontId="49" fillId="2" borderId="0" xfId="193" applyNumberFormat="1" applyFont="1" applyFill="1"/>
    <xf numFmtId="0" fontId="9" fillId="0" borderId="0" xfId="0" applyFont="1" applyAlignment="1">
      <alignment horizontal="left"/>
    </xf>
    <xf numFmtId="0" fontId="25" fillId="0" borderId="0" xfId="0" applyFont="1" applyAlignment="1" applyProtection="1">
      <alignmen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0" fontId="14" fillId="2" borderId="0" xfId="70" applyFont="1" applyFill="1" applyAlignment="1" applyProtection="1">
      <alignment horizontal="left" vertical="top" wrapText="1" readingOrder="1"/>
      <protection locked="0"/>
    </xf>
    <xf numFmtId="0" fontId="2" fillId="2" borderId="0" xfId="193" applyFont="1" applyFill="1"/>
    <xf numFmtId="0" fontId="2" fillId="2" borderId="0" xfId="196" applyFont="1" applyFill="1" applyBorder="1"/>
    <xf numFmtId="165" fontId="2" fillId="2" borderId="0" xfId="196" applyNumberFormat="1" applyFont="1" applyFill="1"/>
    <xf numFmtId="166" fontId="9" fillId="2" borderId="0" xfId="197" applyNumberFormat="1" applyFont="1" applyFill="1"/>
    <xf numFmtId="0" fontId="9" fillId="0" borderId="0" xfId="0" applyFont="1" applyAlignment="1"/>
    <xf numFmtId="0" fontId="9" fillId="0" borderId="0" xfId="0" applyFont="1"/>
    <xf numFmtId="0" fontId="18" fillId="0" borderId="0" xfId="3" applyFont="1" applyAlignment="1" applyProtection="1">
      <alignment vertical="top" wrapText="1" readingOrder="1"/>
      <protection locked="0"/>
    </xf>
    <xf numFmtId="0" fontId="18" fillId="0" borderId="0" xfId="3" applyFont="1"/>
    <xf numFmtId="0" fontId="10" fillId="0" borderId="0" xfId="0" applyFont="1" applyAlignment="1" applyProtection="1">
      <alignment vertical="top" readingOrder="1"/>
      <protection locked="0"/>
    </xf>
    <xf numFmtId="1" fontId="2" fillId="2" borderId="0" xfId="193" applyNumberFormat="1" applyFont="1" applyFill="1"/>
    <xf numFmtId="1" fontId="9" fillId="2" borderId="0" xfId="197" applyNumberFormat="1" applyFont="1" applyFill="1"/>
    <xf numFmtId="0" fontId="2" fillId="2" borderId="0" xfId="199" applyFont="1" applyFill="1"/>
    <xf numFmtId="0" fontId="2" fillId="2" borderId="0" xfId="200" applyFont="1" applyFill="1" applyBorder="1"/>
    <xf numFmtId="165" fontId="2" fillId="2" borderId="0" xfId="200" applyNumberFormat="1" applyFont="1" applyFill="1"/>
    <xf numFmtId="166" fontId="9" fillId="2" borderId="0" xfId="201" applyNumberFormat="1" applyFont="1" applyFill="1"/>
    <xf numFmtId="0" fontId="2" fillId="2" borderId="0" xfId="193" applyFont="1" applyFill="1" applyAlignment="1">
      <alignment horizontal="center"/>
    </xf>
    <xf numFmtId="0" fontId="2" fillId="2" borderId="0" xfId="193" applyNumberFormat="1" applyFont="1" applyFill="1"/>
    <xf numFmtId="20" fontId="2" fillId="2" borderId="0" xfId="193" applyNumberFormat="1" applyFont="1" applyFill="1"/>
    <xf numFmtId="0" fontId="2" fillId="2" borderId="0" xfId="196" applyNumberFormat="1" applyFont="1" applyFill="1" applyBorder="1"/>
    <xf numFmtId="0" fontId="9" fillId="2" borderId="0" xfId="197" applyNumberFormat="1" applyFont="1" applyFill="1"/>
    <xf numFmtId="0" fontId="9" fillId="2" borderId="0" xfId="0" applyNumberFormat="1" applyFont="1" applyFill="1" applyBorder="1"/>
    <xf numFmtId="0" fontId="2" fillId="2" borderId="0" xfId="7" applyNumberFormat="1" applyFont="1" applyFill="1"/>
    <xf numFmtId="0" fontId="9" fillId="35" borderId="0" xfId="7" applyNumberFormat="1" applyFont="1" applyFill="1" applyBorder="1"/>
    <xf numFmtId="0" fontId="2" fillId="2" borderId="0" xfId="196" applyFont="1" applyFill="1" applyBorder="1" applyAlignment="1">
      <alignment horizontal="center"/>
    </xf>
    <xf numFmtId="0" fontId="9" fillId="2" borderId="0" xfId="196" applyFont="1" applyFill="1" applyBorder="1"/>
    <xf numFmtId="167" fontId="10" fillId="2" borderId="14" xfId="185" applyNumberFormat="1" applyFont="1" applyFill="1" applyBorder="1" applyAlignment="1" applyProtection="1">
      <alignment horizontal="right" vertical="center" wrapText="1" readingOrder="1"/>
      <protection locked="0"/>
    </xf>
    <xf numFmtId="0" fontId="10" fillId="2" borderId="12" xfId="70" applyFont="1" applyFill="1" applyBorder="1" applyAlignment="1" applyProtection="1">
      <alignment horizontal="left" vertical="center" wrapText="1" readingOrder="1"/>
      <protection locked="0"/>
    </xf>
    <xf numFmtId="0" fontId="10" fillId="2" borderId="5" xfId="70" applyFont="1" applyFill="1" applyBorder="1" applyAlignment="1" applyProtection="1">
      <alignment horizontal="left" vertical="center" wrapText="1" readingOrder="1"/>
      <protection locked="0"/>
    </xf>
    <xf numFmtId="167" fontId="10" fillId="2" borderId="6" xfId="185" applyNumberFormat="1" applyFont="1" applyFill="1" applyBorder="1" applyAlignment="1" applyProtection="1">
      <alignment horizontal="right" vertical="center" wrapText="1" readingOrder="1"/>
      <protection locked="0"/>
    </xf>
    <xf numFmtId="0" fontId="2" fillId="2" borderId="0" xfId="193" applyFont="1" applyFill="1" applyAlignment="1">
      <alignment horizontal="right"/>
    </xf>
    <xf numFmtId="166" fontId="10" fillId="2" borderId="14" xfId="195" applyNumberFormat="1" applyFont="1" applyFill="1" applyBorder="1" applyAlignment="1" applyProtection="1">
      <alignment horizontal="right" vertical="center" wrapText="1" readingOrder="1"/>
      <protection locked="0"/>
    </xf>
    <xf numFmtId="166" fontId="10" fillId="2" borderId="15" xfId="195" applyNumberFormat="1" applyFont="1" applyFill="1" applyBorder="1" applyAlignment="1" applyProtection="1">
      <alignment horizontal="right" vertical="center" wrapText="1" readingOrder="1"/>
      <protection locked="0"/>
    </xf>
    <xf numFmtId="0" fontId="10" fillId="2" borderId="8" xfId="70" applyFont="1" applyFill="1" applyBorder="1" applyAlignment="1" applyProtection="1">
      <alignment horizontal="left" vertical="center" wrapText="1" readingOrder="1"/>
      <protection locked="0"/>
    </xf>
    <xf numFmtId="0" fontId="10" fillId="2" borderId="4" xfId="70" applyFont="1" applyFill="1" applyBorder="1" applyAlignment="1" applyProtection="1">
      <alignment vertical="center" wrapText="1" readingOrder="1"/>
      <protection locked="0"/>
    </xf>
    <xf numFmtId="0" fontId="10" fillId="2" borderId="4" xfId="70" applyFont="1" applyFill="1" applyBorder="1" applyAlignment="1" applyProtection="1">
      <alignment horizontal="left" vertical="center" wrapText="1" readingOrder="1"/>
      <protection locked="0"/>
    </xf>
    <xf numFmtId="168" fontId="10" fillId="2" borderId="18" xfId="194" applyNumberFormat="1" applyFont="1" applyFill="1" applyBorder="1" applyAlignment="1" applyProtection="1">
      <alignment horizontal="right" vertical="center" wrapText="1" readingOrder="1"/>
      <protection locked="0"/>
    </xf>
    <xf numFmtId="168" fontId="10" fillId="2" borderId="19" xfId="194" applyNumberFormat="1" applyFont="1" applyFill="1" applyBorder="1" applyAlignment="1" applyProtection="1">
      <alignment horizontal="right" vertical="center" wrapText="1" readingOrder="1"/>
      <protection locked="0"/>
    </xf>
    <xf numFmtId="0" fontId="10" fillId="2" borderId="8" xfId="194" applyNumberFormat="1" applyFont="1" applyFill="1" applyBorder="1" applyAlignment="1" applyProtection="1">
      <alignment horizontal="left" vertical="center" wrapText="1" readingOrder="1"/>
      <protection locked="0"/>
    </xf>
    <xf numFmtId="0" fontId="10" fillId="2" borderId="12" xfId="194" applyNumberFormat="1" applyFont="1" applyFill="1" applyBorder="1" applyAlignment="1" applyProtection="1">
      <alignment horizontal="left" vertical="center" wrapText="1" readingOrder="1"/>
      <protection locked="0"/>
    </xf>
    <xf numFmtId="0" fontId="10" fillId="2" borderId="5" xfId="194" applyNumberFormat="1" applyFont="1" applyFill="1" applyBorder="1" applyAlignment="1" applyProtection="1">
      <alignment vertical="center" wrapText="1" readingOrder="1"/>
      <protection locked="0"/>
    </xf>
    <xf numFmtId="0" fontId="10" fillId="2" borderId="8" xfId="194" applyNumberFormat="1" applyFont="1" applyFill="1" applyBorder="1" applyAlignment="1" applyProtection="1">
      <alignment vertical="center" wrapText="1" readingOrder="1"/>
      <protection locked="0"/>
    </xf>
    <xf numFmtId="0" fontId="10" fillId="2" borderId="12" xfId="194" applyNumberFormat="1" applyFont="1" applyFill="1" applyBorder="1" applyAlignment="1" applyProtection="1">
      <alignment vertical="center" wrapText="1" readingOrder="1"/>
      <protection locked="0"/>
    </xf>
    <xf numFmtId="3" fontId="10" fillId="2" borderId="6" xfId="1" applyNumberFormat="1" applyFont="1" applyFill="1" applyBorder="1" applyAlignment="1" applyProtection="1">
      <alignment horizontal="right" vertical="center" wrapText="1" readingOrder="1"/>
      <protection locked="0"/>
    </xf>
    <xf numFmtId="3" fontId="10" fillId="2" borderId="7" xfId="1" applyNumberFormat="1" applyFont="1" applyFill="1" applyBorder="1" applyAlignment="1" applyProtection="1">
      <alignment horizontal="right" vertical="center" wrapText="1" readingOrder="1"/>
      <protection locked="0"/>
    </xf>
    <xf numFmtId="0" fontId="10" fillId="2" borderId="30" xfId="194" applyNumberFormat="1" applyFont="1" applyFill="1" applyBorder="1" applyAlignment="1" applyProtection="1">
      <alignment horizontal="left" vertical="center" wrapText="1" readingOrder="1"/>
      <protection locked="0"/>
    </xf>
    <xf numFmtId="0" fontId="10" fillId="2" borderId="42" xfId="194" applyNumberFormat="1" applyFont="1" applyFill="1" applyBorder="1" applyAlignment="1" applyProtection="1">
      <alignment horizontal="left" vertical="center" wrapText="1" readingOrder="1"/>
      <protection locked="0"/>
    </xf>
    <xf numFmtId="0" fontId="10" fillId="2" borderId="25" xfId="194" applyNumberFormat="1" applyFont="1" applyFill="1" applyBorder="1" applyAlignment="1" applyProtection="1">
      <alignment horizontal="left" vertical="center" wrapText="1" readingOrder="1"/>
      <protection locked="0"/>
    </xf>
    <xf numFmtId="170" fontId="10" fillId="2" borderId="41" xfId="194" applyNumberFormat="1" applyFont="1" applyFill="1" applyBorder="1" applyAlignment="1" applyProtection="1">
      <alignment horizontal="right" vertical="center" readingOrder="1"/>
      <protection locked="0"/>
    </xf>
    <xf numFmtId="170" fontId="10" fillId="2" borderId="9" xfId="194" applyNumberFormat="1" applyFont="1" applyFill="1" applyBorder="1" applyAlignment="1" applyProtection="1">
      <alignment horizontal="right" vertical="center" readingOrder="1"/>
      <protection locked="0"/>
    </xf>
    <xf numFmtId="170" fontId="10" fillId="2" borderId="13" xfId="194" applyNumberFormat="1" applyFont="1" applyFill="1" applyBorder="1" applyAlignment="1" applyProtection="1">
      <alignment horizontal="right" vertical="center" readingOrder="1"/>
      <protection locked="0"/>
    </xf>
    <xf numFmtId="17" fontId="23" fillId="2" borderId="53" xfId="81" applyNumberFormat="1" applyFont="1" applyFill="1" applyBorder="1" applyAlignment="1">
      <alignment horizontal="left" vertical="center"/>
    </xf>
    <xf numFmtId="17" fontId="9" fillId="2" borderId="53" xfId="81" applyNumberFormat="1" applyFont="1" applyFill="1" applyBorder="1" applyAlignment="1">
      <alignment horizontal="left" vertical="center"/>
    </xf>
    <xf numFmtId="17" fontId="23" fillId="2" borderId="50" xfId="81" applyNumberFormat="1" applyFont="1" applyFill="1" applyBorder="1" applyAlignment="1">
      <alignment horizontal="left" vertical="center"/>
    </xf>
    <xf numFmtId="20" fontId="15" fillId="2" borderId="43" xfId="194" applyNumberFormat="1" applyFont="1" applyFill="1" applyBorder="1" applyAlignment="1">
      <alignment horizontal="center" vertical="center"/>
    </xf>
    <xf numFmtId="20" fontId="15" fillId="2" borderId="2" xfId="194" applyNumberFormat="1" applyFont="1" applyFill="1" applyBorder="1" applyAlignment="1">
      <alignment horizontal="center" vertical="center"/>
    </xf>
    <xf numFmtId="20" fontId="15" fillId="2" borderId="46" xfId="194" applyNumberFormat="1" applyFont="1" applyFill="1" applyBorder="1" applyAlignment="1">
      <alignment horizontal="center" vertical="center"/>
    </xf>
    <xf numFmtId="20" fontId="15" fillId="2" borderId="18" xfId="194" applyNumberFormat="1" applyFont="1" applyFill="1" applyBorder="1" applyAlignment="1">
      <alignment horizontal="center" vertical="center"/>
    </xf>
    <xf numFmtId="20" fontId="15" fillId="2" borderId="19" xfId="194" applyNumberFormat="1" applyFont="1" applyFill="1" applyBorder="1" applyAlignment="1">
      <alignment horizontal="center" vertical="center"/>
    </xf>
    <xf numFmtId="3" fontId="10" fillId="2" borderId="14" xfId="194" applyNumberFormat="1" applyFont="1" applyFill="1" applyBorder="1" applyAlignment="1" applyProtection="1">
      <alignment horizontal="right" vertical="center" wrapText="1" readingOrder="1"/>
      <protection locked="0"/>
    </xf>
    <xf numFmtId="171" fontId="23" fillId="2" borderId="52" xfId="1" applyNumberFormat="1" applyFont="1" applyFill="1" applyBorder="1" applyAlignment="1">
      <alignment horizontal="right" vertical="center"/>
    </xf>
    <xf numFmtId="171" fontId="23" fillId="2" borderId="51" xfId="1" applyNumberFormat="1" applyFont="1" applyFill="1" applyBorder="1" applyAlignment="1">
      <alignment horizontal="right" vertical="center"/>
    </xf>
    <xf numFmtId="0" fontId="18" fillId="2" borderId="0" xfId="3" applyFont="1" applyFill="1" applyBorder="1" applyAlignment="1" applyProtection="1">
      <alignment horizontal="left" vertical="top" wrapText="1" readingOrder="1"/>
      <protection locked="0"/>
    </xf>
    <xf numFmtId="0" fontId="18" fillId="2" borderId="0" xfId="3" applyFont="1" applyFill="1" applyAlignment="1" applyProtection="1">
      <alignment vertical="top" wrapText="1" readingOrder="1"/>
      <protection locked="0"/>
    </xf>
    <xf numFmtId="0" fontId="2" fillId="2" borderId="0" xfId="199" applyFont="1" applyFill="1" applyBorder="1"/>
    <xf numFmtId="10" fontId="2" fillId="2" borderId="0" xfId="7" applyNumberFormat="1" applyFont="1" applyFill="1"/>
    <xf numFmtId="0" fontId="10" fillId="2" borderId="0" xfId="195" applyNumberFormat="1" applyFont="1" applyFill="1" applyBorder="1" applyAlignment="1" applyProtection="1">
      <alignment horizontal="right" vertical="top" readingOrder="1"/>
      <protection locked="0"/>
    </xf>
    <xf numFmtId="0" fontId="10" fillId="2" borderId="0" xfId="195" applyNumberFormat="1" applyFont="1" applyFill="1" applyBorder="1" applyAlignment="1" applyProtection="1">
      <alignment horizontal="right" vertical="top" wrapText="1" readingOrder="1"/>
      <protection locked="0"/>
    </xf>
    <xf numFmtId="1" fontId="23" fillId="2" borderId="0" xfId="196" applyNumberFormat="1" applyFont="1" applyFill="1"/>
    <xf numFmtId="1" fontId="23" fillId="2" borderId="0" xfId="193" applyNumberFormat="1" applyFont="1" applyFill="1"/>
    <xf numFmtId="17" fontId="2" fillId="2" borderId="0" xfId="193" applyNumberFormat="1" applyFont="1" applyFill="1"/>
    <xf numFmtId="0" fontId="20" fillId="2" borderId="0" xfId="70" applyFont="1" applyFill="1" applyAlignment="1" applyProtection="1">
      <alignment vertical="top" wrapText="1" readingOrder="1"/>
      <protection locked="0"/>
    </xf>
    <xf numFmtId="0" fontId="2" fillId="2" borderId="0" xfId="193" applyFont="1" applyFill="1" applyBorder="1"/>
    <xf numFmtId="0" fontId="18" fillId="0" borderId="0" xfId="3"/>
    <xf numFmtId="0" fontId="9" fillId="0" borderId="0" xfId="0" applyFont="1"/>
    <xf numFmtId="0" fontId="9" fillId="0" borderId="0" xfId="0" applyFont="1" applyAlignment="1"/>
    <xf numFmtId="0" fontId="14" fillId="2" borderId="0" xfId="70" applyFont="1" applyFill="1" applyBorder="1" applyAlignment="1" applyProtection="1">
      <alignment horizontal="left" vertical="top" wrapText="1" readingOrder="1"/>
      <protection locked="0"/>
    </xf>
    <xf numFmtId="0" fontId="10" fillId="0" borderId="0" xfId="0" applyFont="1" applyAlignment="1" applyProtection="1">
      <alignment vertical="top" wrapText="1" readingOrder="1"/>
      <protection locked="0"/>
    </xf>
    <xf numFmtId="0" fontId="18" fillId="0" borderId="0" xfId="3" applyAlignment="1" applyProtection="1">
      <alignment vertical="top" wrapText="1" readingOrder="1"/>
      <protection locked="0"/>
    </xf>
    <xf numFmtId="0" fontId="18" fillId="0" borderId="0" xfId="3"/>
    <xf numFmtId="169" fontId="24" fillId="2" borderId="16" xfId="81" applyNumberFormat="1" applyFont="1" applyFill="1" applyBorder="1" applyAlignment="1">
      <alignment horizontal="center" vertical="center" wrapText="1"/>
    </xf>
    <xf numFmtId="169" fontId="24" fillId="2" borderId="19" xfId="81" applyNumberFormat="1" applyFont="1" applyFill="1" applyBorder="1" applyAlignment="1">
      <alignment horizontal="center" vertical="center" wrapText="1"/>
    </xf>
    <xf numFmtId="171" fontId="10" fillId="2" borderId="41" xfId="194" applyNumberFormat="1" applyFont="1" applyFill="1" applyBorder="1" applyAlignment="1" applyProtection="1">
      <alignment horizontal="right" vertical="center" readingOrder="1"/>
      <protection locked="0"/>
    </xf>
    <xf numFmtId="171" fontId="10" fillId="2" borderId="7" xfId="194" applyNumberFormat="1" applyFont="1" applyFill="1" applyBorder="1" applyAlignment="1" applyProtection="1">
      <alignment horizontal="right" vertical="center" readingOrder="1"/>
      <protection locked="0"/>
    </xf>
    <xf numFmtId="171" fontId="10" fillId="2" borderId="9" xfId="194" applyNumberFormat="1" applyFont="1" applyFill="1" applyBorder="1" applyAlignment="1" applyProtection="1">
      <alignment horizontal="right" vertical="center" readingOrder="1"/>
      <protection locked="0"/>
    </xf>
    <xf numFmtId="171" fontId="10" fillId="2" borderId="11" xfId="194" applyNumberFormat="1" applyFont="1" applyFill="1" applyBorder="1" applyAlignment="1" applyProtection="1">
      <alignment horizontal="right" vertical="center" readingOrder="1"/>
      <protection locked="0"/>
    </xf>
    <xf numFmtId="171" fontId="10" fillId="2" borderId="13" xfId="194" applyNumberFormat="1" applyFont="1" applyFill="1" applyBorder="1" applyAlignment="1" applyProtection="1">
      <alignment horizontal="right" vertical="center" readingOrder="1"/>
      <protection locked="0"/>
    </xf>
    <xf numFmtId="171" fontId="10" fillId="2" borderId="15" xfId="194" applyNumberFormat="1" applyFont="1" applyFill="1" applyBorder="1" applyAlignment="1" applyProtection="1">
      <alignment horizontal="right" vertical="center" readingOrder="1"/>
      <protection locked="0"/>
    </xf>
    <xf numFmtId="0" fontId="21" fillId="0" borderId="0" xfId="0" applyFont="1" applyAlignment="1">
      <alignment horizontal="left"/>
    </xf>
    <xf numFmtId="0" fontId="1" fillId="2" borderId="0" xfId="193" applyFont="1" applyFill="1"/>
    <xf numFmtId="168" fontId="2" fillId="2" borderId="0" xfId="196" applyNumberFormat="1" applyFont="1" applyFill="1" applyBorder="1"/>
    <xf numFmtId="166" fontId="2" fillId="2" borderId="0" xfId="7" applyNumberFormat="1" applyFont="1" applyFill="1" applyBorder="1"/>
    <xf numFmtId="3" fontId="10" fillId="2" borderId="57" xfId="1" applyNumberFormat="1" applyFont="1" applyFill="1" applyBorder="1" applyAlignment="1" applyProtection="1">
      <alignment horizontal="right" vertical="center" wrapText="1" readingOrder="1"/>
      <protection locked="0"/>
    </xf>
    <xf numFmtId="3" fontId="10" fillId="2" borderId="58" xfId="1" applyNumberFormat="1" applyFont="1" applyFill="1" applyBorder="1" applyAlignment="1" applyProtection="1">
      <alignment horizontal="right" vertical="center" wrapText="1" readingOrder="1"/>
      <protection locked="0"/>
    </xf>
    <xf numFmtId="0" fontId="10" fillId="2" borderId="2" xfId="70" applyFont="1" applyFill="1" applyBorder="1" applyAlignment="1" applyProtection="1">
      <alignment vertical="top" wrapText="1" readingOrder="1"/>
      <protection locked="0"/>
    </xf>
    <xf numFmtId="165" fontId="10" fillId="2" borderId="2" xfId="70" applyNumberFormat="1" applyFont="1" applyFill="1" applyBorder="1" applyAlignment="1" applyProtection="1">
      <alignment vertical="top" wrapText="1" readingOrder="1"/>
      <protection locked="0"/>
    </xf>
    <xf numFmtId="0" fontId="2" fillId="2" borderId="2" xfId="196" applyFont="1" applyFill="1" applyBorder="1"/>
    <xf numFmtId="3" fontId="10" fillId="2" borderId="6" xfId="195" applyNumberFormat="1" applyFont="1" applyFill="1" applyBorder="1" applyAlignment="1" applyProtection="1">
      <alignment horizontal="right" vertical="center" wrapText="1" readingOrder="1"/>
      <protection locked="0"/>
    </xf>
    <xf numFmtId="3" fontId="10" fillId="2" borderId="7" xfId="195" applyNumberFormat="1" applyFont="1" applyFill="1" applyBorder="1" applyAlignment="1" applyProtection="1">
      <alignment horizontal="right" vertical="center" wrapText="1" readingOrder="1"/>
      <protection locked="0"/>
    </xf>
    <xf numFmtId="3" fontId="10" fillId="2" borderId="10" xfId="195" applyNumberFormat="1" applyFont="1" applyFill="1" applyBorder="1" applyAlignment="1" applyProtection="1">
      <alignment horizontal="right" vertical="center" wrapText="1" readingOrder="1"/>
      <protection locked="0"/>
    </xf>
    <xf numFmtId="3" fontId="10" fillId="2" borderId="11" xfId="195" applyNumberFormat="1" applyFont="1" applyFill="1" applyBorder="1" applyAlignment="1" applyProtection="1">
      <alignment horizontal="right" vertical="center" wrapText="1" readingOrder="1"/>
      <protection locked="0"/>
    </xf>
    <xf numFmtId="3" fontId="10" fillId="2" borderId="14" xfId="195" applyNumberFormat="1" applyFont="1" applyFill="1" applyBorder="1" applyAlignment="1" applyProtection="1">
      <alignment horizontal="right" vertical="center" wrapText="1" readingOrder="1"/>
      <protection locked="0"/>
    </xf>
    <xf numFmtId="3" fontId="10" fillId="2" borderId="15" xfId="195" applyNumberFormat="1" applyFont="1" applyFill="1" applyBorder="1" applyAlignment="1" applyProtection="1">
      <alignment horizontal="right" vertical="center" wrapText="1" readingOrder="1"/>
      <protection locked="0"/>
    </xf>
    <xf numFmtId="3" fontId="10" fillId="2" borderId="6" xfId="195" applyNumberFormat="1" applyFont="1" applyFill="1" applyBorder="1" applyAlignment="1" applyProtection="1">
      <alignment horizontal="right" vertical="top" wrapText="1" readingOrder="1"/>
      <protection locked="0"/>
    </xf>
    <xf numFmtId="3" fontId="10" fillId="2" borderId="7" xfId="195" applyNumberFormat="1" applyFont="1" applyFill="1" applyBorder="1" applyAlignment="1" applyProtection="1">
      <alignment horizontal="right" vertical="top" wrapText="1" readingOrder="1"/>
      <protection locked="0"/>
    </xf>
    <xf numFmtId="3" fontId="10" fillId="2" borderId="10" xfId="195" applyNumberFormat="1" applyFont="1" applyFill="1" applyBorder="1" applyAlignment="1" applyProtection="1">
      <alignment horizontal="right" vertical="top" wrapText="1" readingOrder="1"/>
      <protection locked="0"/>
    </xf>
    <xf numFmtId="3" fontId="10" fillId="2" borderId="11" xfId="195" applyNumberFormat="1" applyFont="1" applyFill="1" applyBorder="1" applyAlignment="1" applyProtection="1">
      <alignment horizontal="right" vertical="top" wrapText="1" readingOrder="1"/>
      <protection locked="0"/>
    </xf>
    <xf numFmtId="3" fontId="10" fillId="2" borderId="13" xfId="195" applyNumberFormat="1" applyFont="1" applyFill="1" applyBorder="1" applyAlignment="1" applyProtection="1">
      <alignment horizontal="right" vertical="top" readingOrder="1"/>
      <protection locked="0"/>
    </xf>
    <xf numFmtId="3" fontId="10" fillId="2" borderId="14" xfId="195" applyNumberFormat="1" applyFont="1" applyFill="1" applyBorder="1" applyAlignment="1" applyProtection="1">
      <alignment horizontal="right" vertical="top" wrapText="1" readingOrder="1"/>
      <protection locked="0"/>
    </xf>
    <xf numFmtId="3" fontId="10" fillId="2" borderId="15" xfId="195" applyNumberFormat="1" applyFont="1" applyFill="1" applyBorder="1" applyAlignment="1" applyProtection="1">
      <alignment horizontal="right" vertical="top" wrapText="1" readingOrder="1"/>
      <protection locked="0"/>
    </xf>
    <xf numFmtId="20" fontId="15" fillId="2" borderId="47" xfId="194" applyNumberFormat="1" applyFont="1" applyFill="1" applyBorder="1" applyAlignment="1">
      <alignment horizontal="center" vertical="center" wrapText="1"/>
    </xf>
    <xf numFmtId="20" fontId="15" fillId="2" borderId="18" xfId="194" applyNumberFormat="1" applyFont="1" applyFill="1" applyBorder="1" applyAlignment="1">
      <alignment horizontal="center" vertical="center" wrapText="1"/>
    </xf>
    <xf numFmtId="0" fontId="10" fillId="2" borderId="27" xfId="70" applyFont="1" applyFill="1" applyBorder="1" applyAlignment="1" applyProtection="1">
      <alignment horizontal="left" vertical="center" wrapText="1" readingOrder="1"/>
      <protection locked="0"/>
    </xf>
    <xf numFmtId="166" fontId="10" fillId="2" borderId="28" xfId="195" applyNumberFormat="1" applyFont="1" applyFill="1" applyBorder="1" applyAlignment="1" applyProtection="1">
      <alignment horizontal="right" vertical="center" wrapText="1" readingOrder="1"/>
      <protection locked="0"/>
    </xf>
    <xf numFmtId="166" fontId="10" fillId="2" borderId="29" xfId="195" applyNumberFormat="1" applyFont="1" applyFill="1" applyBorder="1" applyAlignment="1" applyProtection="1">
      <alignment horizontal="right" vertical="center" wrapText="1" readingOrder="1"/>
      <protection locked="0"/>
    </xf>
    <xf numFmtId="3" fontId="0" fillId="0" borderId="10" xfId="0" applyNumberFormat="1" applyBorder="1"/>
    <xf numFmtId="3" fontId="0" fillId="0" borderId="6" xfId="0" applyNumberFormat="1" applyBorder="1"/>
    <xf numFmtId="166" fontId="0" fillId="0" borderId="7" xfId="0" applyNumberFormat="1" applyBorder="1"/>
    <xf numFmtId="166" fontId="0" fillId="0" borderId="11" xfId="0" applyNumberFormat="1" applyBorder="1"/>
    <xf numFmtId="3" fontId="0" fillId="0" borderId="14" xfId="0" applyNumberFormat="1" applyBorder="1"/>
    <xf numFmtId="166" fontId="0" fillId="0" borderId="15" xfId="0" applyNumberFormat="1" applyBorder="1"/>
    <xf numFmtId="0" fontId="24" fillId="2" borderId="23" xfId="193" applyFont="1" applyFill="1" applyBorder="1" applyAlignment="1">
      <alignment horizontal="center" vertical="center" wrapText="1"/>
    </xf>
    <xf numFmtId="0" fontId="24" fillId="2" borderId="17" xfId="193" applyFont="1" applyFill="1" applyBorder="1" applyAlignment="1">
      <alignment horizontal="center" vertical="center" wrapText="1"/>
    </xf>
    <xf numFmtId="0" fontId="24" fillId="2" borderId="18" xfId="193" applyFont="1" applyFill="1" applyBorder="1" applyAlignment="1">
      <alignment horizontal="center" vertical="center" wrapText="1"/>
    </xf>
    <xf numFmtId="3" fontId="0" fillId="0" borderId="41" xfId="0" applyNumberFormat="1" applyBorder="1"/>
    <xf numFmtId="3" fontId="0" fillId="0" borderId="9" xfId="0" applyNumberFormat="1" applyBorder="1"/>
    <xf numFmtId="3" fontId="0" fillId="0" borderId="13" xfId="0" applyNumberFormat="1" applyBorder="1"/>
    <xf numFmtId="166" fontId="10" fillId="2" borderId="63" xfId="195" applyNumberFormat="1" applyFont="1" applyFill="1" applyBorder="1" applyAlignment="1" applyProtection="1">
      <alignment horizontal="right" vertical="center" wrapText="1" readingOrder="1"/>
      <protection locked="0"/>
    </xf>
    <xf numFmtId="166" fontId="10" fillId="2" borderId="64" xfId="195" applyNumberFormat="1" applyFont="1" applyFill="1" applyBorder="1" applyAlignment="1" applyProtection="1">
      <alignment horizontal="right" vertical="center" wrapText="1" readingOrder="1"/>
      <protection locked="0"/>
    </xf>
    <xf numFmtId="3" fontId="9" fillId="2" borderId="59" xfId="194" applyNumberFormat="1" applyFont="1" applyFill="1" applyBorder="1" applyAlignment="1">
      <alignment horizontal="right" vertical="center"/>
    </xf>
    <xf numFmtId="3" fontId="9" fillId="2" borderId="62" xfId="194" applyNumberFormat="1" applyFont="1" applyFill="1" applyBorder="1" applyAlignment="1">
      <alignment horizontal="right" vertical="center"/>
    </xf>
    <xf numFmtId="3" fontId="9" fillId="2" borderId="6" xfId="194" applyNumberFormat="1" applyFont="1" applyFill="1" applyBorder="1" applyAlignment="1">
      <alignment horizontal="right" vertical="center"/>
    </xf>
    <xf numFmtId="3" fontId="9" fillId="2" borderId="7" xfId="194" applyNumberFormat="1" applyFont="1" applyFill="1" applyBorder="1" applyAlignment="1">
      <alignment horizontal="right" vertical="center"/>
    </xf>
    <xf numFmtId="3" fontId="9" fillId="2" borderId="65" xfId="194" applyNumberFormat="1" applyFont="1" applyFill="1" applyBorder="1" applyAlignment="1">
      <alignment horizontal="right" vertical="center"/>
    </xf>
    <xf numFmtId="3" fontId="9" fillId="2" borderId="66" xfId="194" applyNumberFormat="1" applyFont="1" applyFill="1" applyBorder="1" applyAlignment="1">
      <alignment horizontal="right" vertical="center"/>
    </xf>
    <xf numFmtId="3" fontId="9" fillId="2" borderId="28" xfId="194" applyNumberFormat="1" applyFont="1" applyFill="1" applyBorder="1" applyAlignment="1">
      <alignment horizontal="right" vertical="center"/>
    </xf>
    <xf numFmtId="3" fontId="9" fillId="2" borderId="29" xfId="194" applyNumberFormat="1" applyFont="1" applyFill="1" applyBorder="1" applyAlignment="1">
      <alignment horizontal="right" vertical="center"/>
    </xf>
    <xf numFmtId="20" fontId="15" fillId="2" borderId="16" xfId="194" applyNumberFormat="1" applyFont="1" applyFill="1" applyBorder="1" applyAlignment="1">
      <alignment horizontal="center" vertical="center"/>
    </xf>
    <xf numFmtId="0" fontId="9" fillId="2" borderId="5" xfId="193" applyFont="1" applyFill="1" applyBorder="1" applyAlignment="1">
      <alignment vertical="center"/>
    </xf>
    <xf numFmtId="0" fontId="9" fillId="2" borderId="27" xfId="193" applyFont="1" applyFill="1" applyBorder="1" applyAlignment="1">
      <alignment vertical="center"/>
    </xf>
    <xf numFmtId="0" fontId="10" fillId="2" borderId="25" xfId="194" applyNumberFormat="1" applyFont="1" applyFill="1" applyBorder="1" applyAlignment="1" applyProtection="1">
      <alignment vertical="center" wrapText="1" readingOrder="1"/>
      <protection locked="0"/>
    </xf>
    <xf numFmtId="3" fontId="10" fillId="2" borderId="21" xfId="70" applyNumberFormat="1" applyFont="1" applyFill="1" applyBorder="1" applyAlignment="1" applyProtection="1">
      <alignment vertical="top" wrapText="1" readingOrder="1"/>
      <protection locked="0"/>
    </xf>
    <xf numFmtId="3" fontId="10" fillId="2" borderId="10" xfId="70" applyNumberFormat="1" applyFont="1" applyFill="1" applyBorder="1" applyAlignment="1" applyProtection="1">
      <alignment vertical="top" wrapText="1" readingOrder="1"/>
      <protection locked="0"/>
    </xf>
    <xf numFmtId="3" fontId="10" fillId="2" borderId="22" xfId="70" applyNumberFormat="1" applyFont="1" applyFill="1" applyBorder="1" applyAlignment="1" applyProtection="1">
      <alignment vertical="top" wrapText="1" readingOrder="1"/>
      <protection locked="0"/>
    </xf>
    <xf numFmtId="3" fontId="10" fillId="2" borderId="14" xfId="70" applyNumberFormat="1" applyFont="1" applyFill="1" applyBorder="1" applyAlignment="1" applyProtection="1">
      <alignment vertical="top" wrapText="1" readingOrder="1"/>
      <protection locked="0"/>
    </xf>
    <xf numFmtId="0" fontId="9" fillId="2" borderId="5" xfId="194" applyNumberFormat="1" applyFont="1" applyFill="1" applyBorder="1" applyAlignment="1" applyProtection="1">
      <alignment horizontal="left" vertical="top" wrapText="1" readingOrder="1"/>
      <protection locked="0"/>
    </xf>
    <xf numFmtId="0" fontId="9" fillId="2" borderId="24" xfId="194" applyNumberFormat="1" applyFont="1" applyFill="1" applyBorder="1" applyAlignment="1" applyProtection="1">
      <alignment horizontal="left" vertical="top" wrapText="1" readingOrder="1"/>
      <protection locked="0"/>
    </xf>
    <xf numFmtId="0" fontId="9" fillId="2" borderId="12" xfId="194" applyNumberFormat="1" applyFont="1" applyFill="1" applyBorder="1" applyAlignment="1" applyProtection="1">
      <alignment horizontal="left" vertical="top" wrapText="1" readingOrder="1"/>
      <protection locked="0"/>
    </xf>
    <xf numFmtId="0" fontId="52" fillId="0" borderId="0" xfId="0" applyFont="1"/>
    <xf numFmtId="0" fontId="18" fillId="0" borderId="0" xfId="3" applyAlignment="1"/>
    <xf numFmtId="0" fontId="18" fillId="0" borderId="0" xfId="3" applyAlignment="1" applyProtection="1">
      <alignment vertical="top" readingOrder="1"/>
      <protection locked="0"/>
    </xf>
    <xf numFmtId="0" fontId="10" fillId="0" borderId="0" xfId="0" applyFont="1" applyAlignment="1" applyProtection="1">
      <alignment vertical="top" wrapText="1" readingOrder="1"/>
      <protection locked="0"/>
    </xf>
    <xf numFmtId="3" fontId="10" fillId="2" borderId="60" xfId="194" applyNumberFormat="1" applyFont="1" applyFill="1" applyBorder="1" applyAlignment="1" applyProtection="1">
      <alignment horizontal="right" vertical="center" wrapText="1" readingOrder="1"/>
      <protection locked="0"/>
    </xf>
    <xf numFmtId="3" fontId="10" fillId="2" borderId="61" xfId="194" applyNumberFormat="1" applyFont="1" applyFill="1" applyBorder="1" applyAlignment="1" applyProtection="1">
      <alignment horizontal="right" vertical="center" wrapText="1" readingOrder="1"/>
      <protection locked="0"/>
    </xf>
    <xf numFmtId="3" fontId="10" fillId="2" borderId="67" xfId="194" applyNumberFormat="1" applyFont="1" applyFill="1" applyBorder="1" applyAlignment="1" applyProtection="1">
      <alignment horizontal="right" vertical="center" wrapText="1" readingOrder="1"/>
      <protection locked="0"/>
    </xf>
    <xf numFmtId="3" fontId="10" fillId="2" borderId="68" xfId="194" applyNumberFormat="1" applyFont="1" applyFill="1" applyBorder="1" applyAlignment="1" applyProtection="1">
      <alignment horizontal="right" vertical="center" wrapText="1" readingOrder="1"/>
      <protection locked="0"/>
    </xf>
    <xf numFmtId="3" fontId="10" fillId="2" borderId="22" xfId="194" applyNumberFormat="1" applyFont="1" applyFill="1" applyBorder="1" applyAlignment="1" applyProtection="1">
      <alignment horizontal="right" vertical="center" wrapText="1" readingOrder="1"/>
      <protection locked="0"/>
    </xf>
    <xf numFmtId="0" fontId="9" fillId="2" borderId="0" xfId="70" applyFont="1" applyFill="1" applyBorder="1" applyAlignment="1" applyProtection="1">
      <alignment vertical="top" wrapText="1" readingOrder="1"/>
      <protection locked="0"/>
    </xf>
    <xf numFmtId="0" fontId="18" fillId="2" borderId="0" xfId="83" applyFont="1" applyFill="1" applyBorder="1" applyAlignment="1" applyProtection="1">
      <alignment vertical="top" wrapText="1" readingOrder="1"/>
      <protection locked="0"/>
    </xf>
    <xf numFmtId="0" fontId="18" fillId="2" borderId="0" xfId="3" applyFont="1" applyFill="1" applyBorder="1" applyAlignment="1" applyProtection="1">
      <alignment vertical="top" wrapText="1" readingOrder="1"/>
      <protection locked="0"/>
    </xf>
    <xf numFmtId="0" fontId="15" fillId="2" borderId="0" xfId="70" applyFont="1" applyFill="1" applyBorder="1" applyAlignment="1" applyProtection="1">
      <alignment vertical="top" wrapText="1" readingOrder="1"/>
      <protection locked="0"/>
    </xf>
    <xf numFmtId="0" fontId="10" fillId="2" borderId="0" xfId="0" applyFont="1" applyFill="1" applyAlignment="1" applyProtection="1">
      <alignment vertical="top" wrapText="1" readingOrder="1"/>
      <protection locked="0"/>
    </xf>
    <xf numFmtId="0" fontId="2" fillId="2" borderId="2" xfId="193" applyFont="1" applyFill="1" applyBorder="1"/>
    <xf numFmtId="0" fontId="2" fillId="2" borderId="69" xfId="193" applyFont="1" applyFill="1" applyBorder="1"/>
    <xf numFmtId="1" fontId="2" fillId="2" borderId="69" xfId="193" applyNumberFormat="1" applyFont="1" applyFill="1" applyBorder="1"/>
    <xf numFmtId="0" fontId="11" fillId="2" borderId="70" xfId="70" applyFont="1" applyFill="1" applyBorder="1" applyAlignment="1" applyProtection="1">
      <alignment horizontal="left" vertical="center" wrapText="1" readingOrder="1"/>
      <protection locked="0"/>
    </xf>
    <xf numFmtId="0" fontId="9" fillId="2" borderId="70" xfId="0" applyFont="1" applyFill="1" applyBorder="1" applyAlignment="1">
      <alignment vertical="center"/>
    </xf>
    <xf numFmtId="0" fontId="9" fillId="2" borderId="70" xfId="0" applyFont="1" applyFill="1" applyBorder="1"/>
    <xf numFmtId="0" fontId="9" fillId="2" borderId="70" xfId="193" applyFont="1" applyFill="1" applyBorder="1" applyAlignment="1">
      <alignment horizontal="center"/>
    </xf>
    <xf numFmtId="0" fontId="15" fillId="2" borderId="70" xfId="193" applyFont="1" applyFill="1" applyBorder="1" applyAlignment="1">
      <alignment horizontal="center"/>
    </xf>
    <xf numFmtId="0" fontId="9" fillId="2" borderId="70" xfId="193" applyFont="1" applyFill="1" applyBorder="1"/>
    <xf numFmtId="0" fontId="15" fillId="2" borderId="30" xfId="193" applyFont="1" applyFill="1" applyBorder="1" applyAlignment="1">
      <alignment vertical="center"/>
    </xf>
    <xf numFmtId="0" fontId="15" fillId="2" borderId="70" xfId="193" applyFont="1" applyFill="1" applyBorder="1" applyAlignment="1">
      <alignment horizontal="center" wrapText="1"/>
    </xf>
    <xf numFmtId="0" fontId="48" fillId="2" borderId="70" xfId="193" applyFont="1" applyFill="1" applyBorder="1" applyAlignment="1">
      <alignment horizontal="center"/>
    </xf>
    <xf numFmtId="0" fontId="9" fillId="0" borderId="0" xfId="0" applyFont="1"/>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170" fontId="10" fillId="2" borderId="6" xfId="194" applyNumberFormat="1" applyFont="1" applyFill="1" applyBorder="1" applyAlignment="1" applyProtection="1">
      <alignment horizontal="right" vertical="center" wrapText="1" readingOrder="1"/>
      <protection locked="0"/>
    </xf>
    <xf numFmtId="170" fontId="10" fillId="2" borderId="7" xfId="194" applyNumberFormat="1" applyFont="1" applyFill="1" applyBorder="1" applyAlignment="1" applyProtection="1">
      <alignment horizontal="right" vertical="center" wrapText="1" readingOrder="1"/>
      <protection locked="0"/>
    </xf>
    <xf numFmtId="170" fontId="10" fillId="2" borderId="10" xfId="194" applyNumberFormat="1" applyFont="1" applyFill="1" applyBorder="1" applyAlignment="1" applyProtection="1">
      <alignment horizontal="right" vertical="center" wrapText="1" readingOrder="1"/>
      <protection locked="0"/>
    </xf>
    <xf numFmtId="170" fontId="10" fillId="2" borderId="11" xfId="194" applyNumberFormat="1" applyFont="1" applyFill="1" applyBorder="1" applyAlignment="1" applyProtection="1">
      <alignment horizontal="right" vertical="center" wrapText="1" readingOrder="1"/>
      <protection locked="0"/>
    </xf>
    <xf numFmtId="170" fontId="10" fillId="2" borderId="14" xfId="194" applyNumberFormat="1" applyFont="1" applyFill="1" applyBorder="1" applyAlignment="1" applyProtection="1">
      <alignment horizontal="right" vertical="center" wrapText="1" readingOrder="1"/>
      <protection locked="0"/>
    </xf>
    <xf numFmtId="170" fontId="10" fillId="2" borderId="15" xfId="194" applyNumberFormat="1" applyFont="1" applyFill="1" applyBorder="1" applyAlignment="1" applyProtection="1">
      <alignment horizontal="right" vertical="center" wrapText="1" readingOrder="1"/>
      <protection locked="0"/>
    </xf>
    <xf numFmtId="167" fontId="9" fillId="2" borderId="15" xfId="185" applyNumberFormat="1" applyFont="1" applyFill="1" applyBorder="1" applyAlignment="1" applyProtection="1">
      <alignment horizontal="right" vertical="center" wrapText="1" readingOrder="1"/>
      <protection locked="0"/>
    </xf>
    <xf numFmtId="167" fontId="9" fillId="2" borderId="7" xfId="185" applyNumberFormat="1" applyFont="1" applyFill="1" applyBorder="1" applyAlignment="1" applyProtection="1">
      <alignment horizontal="right" vertical="center" wrapText="1" readingOrder="1"/>
      <protection locked="0"/>
    </xf>
    <xf numFmtId="3" fontId="2" fillId="2" borderId="0" xfId="193" applyNumberFormat="1" applyFont="1" applyFill="1"/>
    <xf numFmtId="0" fontId="10" fillId="2" borderId="0" xfId="70" applyFont="1" applyFill="1" applyBorder="1" applyAlignment="1" applyProtection="1">
      <alignment horizontal="left" vertical="center" wrapText="1" readingOrder="1"/>
      <protection locked="0"/>
    </xf>
    <xf numFmtId="167" fontId="10" fillId="2" borderId="0" xfId="185" applyNumberFormat="1" applyFont="1" applyFill="1" applyBorder="1" applyAlignment="1" applyProtection="1">
      <alignment horizontal="right" vertical="center" wrapText="1" readingOrder="1"/>
      <protection locked="0"/>
    </xf>
    <xf numFmtId="167" fontId="9" fillId="2" borderId="0" xfId="185" applyNumberFormat="1" applyFont="1" applyFill="1" applyBorder="1" applyAlignment="1" applyProtection="1">
      <alignment horizontal="right" vertical="center" wrapText="1" readingOrder="1"/>
      <protection locked="0"/>
    </xf>
    <xf numFmtId="167" fontId="10" fillId="2" borderId="63" xfId="185" applyNumberFormat="1" applyFont="1" applyFill="1" applyBorder="1" applyAlignment="1" applyProtection="1">
      <alignment horizontal="right" vertical="center" wrapText="1" readingOrder="1"/>
      <protection locked="0"/>
    </xf>
    <xf numFmtId="0" fontId="2" fillId="2" borderId="0" xfId="7" applyNumberFormat="1" applyFont="1" applyFill="1" applyBorder="1"/>
    <xf numFmtId="166" fontId="10" fillId="2" borderId="7" xfId="195" applyNumberFormat="1" applyFont="1" applyFill="1" applyBorder="1" applyAlignment="1" applyProtection="1">
      <alignment horizontal="right" vertical="center" readingOrder="1"/>
      <protection locked="0"/>
    </xf>
    <xf numFmtId="166" fontId="10" fillId="2" borderId="11" xfId="195" applyNumberFormat="1" applyFont="1" applyFill="1" applyBorder="1" applyAlignment="1" applyProtection="1">
      <alignment horizontal="right" vertical="center" readingOrder="1"/>
      <protection locked="0"/>
    </xf>
    <xf numFmtId="166" fontId="10" fillId="2" borderId="15" xfId="195" applyNumberFormat="1" applyFont="1" applyFill="1" applyBorder="1" applyAlignment="1" applyProtection="1">
      <alignment horizontal="right" vertical="center" readingOrder="1"/>
      <protection locked="0"/>
    </xf>
    <xf numFmtId="0" fontId="10" fillId="2" borderId="24" xfId="70" applyFont="1" applyFill="1" applyBorder="1" applyAlignment="1" applyProtection="1">
      <alignment horizontal="left" vertical="center" wrapText="1" readingOrder="1"/>
      <protection locked="0"/>
    </xf>
    <xf numFmtId="167" fontId="10" fillId="2" borderId="18" xfId="185" applyNumberFormat="1" applyFont="1" applyFill="1" applyBorder="1" applyAlignment="1" applyProtection="1">
      <alignment horizontal="right" vertical="center" wrapText="1" readingOrder="1"/>
      <protection locked="0"/>
    </xf>
    <xf numFmtId="167" fontId="9" fillId="2" borderId="19" xfId="185" applyNumberFormat="1" applyFont="1" applyFill="1" applyBorder="1" applyAlignment="1" applyProtection="1">
      <alignment horizontal="right" vertical="center" wrapText="1" readingOrder="1"/>
      <protection locked="0"/>
    </xf>
    <xf numFmtId="0" fontId="11" fillId="2" borderId="72" xfId="70" applyFont="1" applyFill="1" applyBorder="1" applyAlignment="1" applyProtection="1">
      <alignment horizontal="left" vertical="center" wrapText="1" readingOrder="1"/>
      <protection locked="0"/>
    </xf>
    <xf numFmtId="0" fontId="11" fillId="2" borderId="61" xfId="70" applyFont="1" applyFill="1" applyBorder="1" applyAlignment="1" applyProtection="1">
      <alignment horizontal="center" vertical="center" wrapText="1" readingOrder="1"/>
      <protection locked="0"/>
    </xf>
    <xf numFmtId="0" fontId="11" fillId="2" borderId="71" xfId="70" applyFont="1" applyFill="1" applyBorder="1" applyAlignment="1" applyProtection="1">
      <alignment horizontal="center" vertical="center" wrapText="1" readingOrder="1"/>
      <protection locked="0"/>
    </xf>
    <xf numFmtId="1" fontId="11" fillId="2" borderId="17" xfId="185" applyNumberFormat="1" applyFont="1" applyFill="1" applyBorder="1" applyAlignment="1" applyProtection="1">
      <alignment horizontal="center" vertical="center"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20" fontId="15" fillId="2" borderId="73" xfId="194" applyNumberFormat="1" applyFont="1" applyFill="1" applyBorder="1" applyAlignment="1">
      <alignment horizontal="center" vertical="center"/>
    </xf>
    <xf numFmtId="166" fontId="10" fillId="2" borderId="10" xfId="195" applyNumberFormat="1" applyFont="1" applyFill="1" applyBorder="1" applyAlignment="1" applyProtection="1">
      <alignment horizontal="right" vertical="top" readingOrder="1"/>
      <protection locked="0"/>
    </xf>
    <xf numFmtId="166" fontId="10" fillId="2" borderId="6" xfId="195" applyNumberFormat="1" applyFont="1" applyFill="1" applyBorder="1" applyAlignment="1" applyProtection="1">
      <alignment horizontal="right" vertical="top" readingOrder="1"/>
      <protection locked="0"/>
    </xf>
    <xf numFmtId="0" fontId="10" fillId="2" borderId="74" xfId="70" applyFont="1" applyFill="1" applyBorder="1" applyAlignment="1" applyProtection="1">
      <alignment horizontal="left" vertical="center" wrapText="1" readingOrder="1"/>
      <protection locked="0"/>
    </xf>
    <xf numFmtId="0" fontId="10" fillId="2" borderId="75" xfId="70" applyFont="1" applyFill="1" applyBorder="1" applyAlignment="1" applyProtection="1">
      <alignment horizontal="left" vertical="center" wrapText="1" readingOrder="1"/>
      <protection locked="0"/>
    </xf>
    <xf numFmtId="0" fontId="10" fillId="2" borderId="76" xfId="70" applyFont="1" applyFill="1" applyBorder="1" applyAlignment="1" applyProtection="1">
      <alignment horizontal="left" vertical="center" wrapText="1" readingOrder="1"/>
      <protection locked="0"/>
    </xf>
    <xf numFmtId="20" fontId="15" fillId="2" borderId="60" xfId="194" applyNumberFormat="1" applyFont="1" applyFill="1" applyBorder="1" applyAlignment="1">
      <alignment horizontal="center" vertical="center"/>
    </xf>
    <xf numFmtId="20" fontId="15" fillId="2" borderId="61" xfId="194" applyNumberFormat="1" applyFont="1" applyFill="1" applyBorder="1" applyAlignment="1">
      <alignment horizontal="center" vertical="center"/>
    </xf>
    <xf numFmtId="20" fontId="15" fillId="2" borderId="71" xfId="194" applyNumberFormat="1" applyFont="1" applyFill="1" applyBorder="1" applyAlignment="1">
      <alignment horizontal="center" vertical="center"/>
    </xf>
    <xf numFmtId="3" fontId="10" fillId="2" borderId="20" xfId="195" applyNumberFormat="1" applyFont="1" applyFill="1" applyBorder="1" applyAlignment="1" applyProtection="1">
      <alignment horizontal="right" vertical="top" readingOrder="1"/>
      <protection locked="0"/>
    </xf>
    <xf numFmtId="166" fontId="10" fillId="2" borderId="7" xfId="195" applyNumberFormat="1" applyFont="1" applyFill="1" applyBorder="1" applyAlignment="1" applyProtection="1">
      <alignment horizontal="right" vertical="top" readingOrder="1"/>
      <protection locked="0"/>
    </xf>
    <xf numFmtId="166" fontId="10" fillId="2" borderId="21" xfId="195" applyNumberFormat="1" applyFont="1" applyFill="1" applyBorder="1" applyAlignment="1" applyProtection="1">
      <alignment horizontal="right" vertical="top" readingOrder="1"/>
      <protection locked="0"/>
    </xf>
    <xf numFmtId="166" fontId="10" fillId="2" borderId="11" xfId="195" applyNumberFormat="1" applyFont="1" applyFill="1" applyBorder="1" applyAlignment="1" applyProtection="1">
      <alignment horizontal="right" vertical="top" readingOrder="1"/>
      <protection locked="0"/>
    </xf>
    <xf numFmtId="166" fontId="10" fillId="2" borderId="22" xfId="195" applyNumberFormat="1" applyFont="1" applyFill="1" applyBorder="1" applyAlignment="1" applyProtection="1">
      <alignment horizontal="right" vertical="top" readingOrder="1"/>
      <protection locked="0"/>
    </xf>
    <xf numFmtId="166" fontId="10" fillId="2" borderId="14" xfId="195" applyNumberFormat="1" applyFont="1" applyFill="1" applyBorder="1" applyAlignment="1" applyProtection="1">
      <alignment horizontal="right" vertical="top" readingOrder="1"/>
      <protection locked="0"/>
    </xf>
    <xf numFmtId="166" fontId="10" fillId="2" borderId="15" xfId="195" applyNumberFormat="1" applyFont="1" applyFill="1" applyBorder="1" applyAlignment="1" applyProtection="1">
      <alignment horizontal="right" vertical="top" readingOrder="1"/>
      <protection locked="0"/>
    </xf>
    <xf numFmtId="166" fontId="10" fillId="2" borderId="20" xfId="7" applyNumberFormat="1" applyFont="1" applyFill="1" applyBorder="1" applyAlignment="1" applyProtection="1">
      <alignment horizontal="right" vertical="top" readingOrder="1"/>
      <protection locked="0"/>
    </xf>
    <xf numFmtId="170" fontId="10" fillId="2" borderId="5" xfId="194" applyNumberFormat="1" applyFont="1" applyFill="1" applyBorder="1" applyAlignment="1" applyProtection="1">
      <alignment horizontal="right" vertical="center" wrapText="1" readingOrder="1"/>
      <protection locked="0"/>
    </xf>
    <xf numFmtId="170" fontId="10" fillId="2" borderId="8" xfId="194" applyNumberFormat="1" applyFont="1" applyFill="1" applyBorder="1" applyAlignment="1" applyProtection="1">
      <alignment horizontal="right" vertical="center" wrapText="1" readingOrder="1"/>
      <protection locked="0"/>
    </xf>
    <xf numFmtId="170" fontId="10" fillId="2" borderId="12" xfId="194" applyNumberFormat="1" applyFont="1" applyFill="1" applyBorder="1" applyAlignment="1" applyProtection="1">
      <alignment horizontal="right" vertical="center" wrapText="1" readingOrder="1"/>
      <protection locked="0"/>
    </xf>
    <xf numFmtId="3" fontId="10" fillId="2" borderId="20" xfId="1" applyNumberFormat="1" applyFont="1" applyFill="1" applyBorder="1" applyAlignment="1" applyProtection="1">
      <alignment horizontal="right" vertical="center" readingOrder="1"/>
      <protection locked="0"/>
    </xf>
    <xf numFmtId="3" fontId="10" fillId="2" borderId="77" xfId="1" applyNumberFormat="1" applyFont="1" applyFill="1" applyBorder="1" applyAlignment="1" applyProtection="1">
      <alignment horizontal="right" vertical="center" readingOrder="1"/>
      <protection locked="0"/>
    </xf>
    <xf numFmtId="166" fontId="10" fillId="2" borderId="22" xfId="195" applyNumberFormat="1" applyFont="1" applyFill="1" applyBorder="1" applyAlignment="1" applyProtection="1">
      <alignment horizontal="right" vertical="center" wrapText="1" readingOrder="1"/>
      <protection locked="0"/>
    </xf>
    <xf numFmtId="20" fontId="15" fillId="2" borderId="1" xfId="194" applyNumberFormat="1" applyFont="1" applyFill="1" applyBorder="1" applyAlignment="1">
      <alignment horizontal="center" vertical="center" wrapText="1"/>
    </xf>
    <xf numFmtId="20" fontId="15" fillId="2" borderId="61" xfId="194" applyNumberFormat="1" applyFont="1" applyFill="1" applyBorder="1" applyAlignment="1">
      <alignment horizontal="center" vertical="center" wrapText="1"/>
    </xf>
    <xf numFmtId="0" fontId="10" fillId="2" borderId="74" xfId="70" applyFont="1" applyFill="1" applyBorder="1" applyAlignment="1" applyProtection="1">
      <alignment vertical="top" wrapText="1" readingOrder="1"/>
      <protection locked="0"/>
    </xf>
    <xf numFmtId="0" fontId="10" fillId="2" borderId="75" xfId="70" applyFont="1" applyFill="1" applyBorder="1" applyAlignment="1" applyProtection="1">
      <alignment vertical="top" wrapText="1" readingOrder="1"/>
      <protection locked="0"/>
    </xf>
    <xf numFmtId="0" fontId="10" fillId="2" borderId="76" xfId="70" applyFont="1" applyFill="1" applyBorder="1" applyAlignment="1" applyProtection="1">
      <alignment vertical="top" wrapText="1" readingOrder="1"/>
      <protection locked="0"/>
    </xf>
    <xf numFmtId="3" fontId="10" fillId="2" borderId="20" xfId="70" applyNumberFormat="1" applyFont="1" applyFill="1" applyBorder="1" applyAlignment="1" applyProtection="1">
      <alignment vertical="top" wrapText="1" readingOrder="1"/>
      <protection locked="0"/>
    </xf>
    <xf numFmtId="3" fontId="10" fillId="2" borderId="6" xfId="70" applyNumberFormat="1" applyFont="1" applyFill="1" applyBorder="1" applyAlignment="1" applyProtection="1">
      <alignment vertical="top" wrapText="1" readingOrder="1"/>
      <protection locked="0"/>
    </xf>
    <xf numFmtId="3" fontId="10" fillId="2" borderId="21" xfId="195" applyNumberFormat="1" applyFont="1" applyFill="1" applyBorder="1" applyAlignment="1" applyProtection="1">
      <alignment horizontal="right" vertical="top" readingOrder="1"/>
      <protection locked="0"/>
    </xf>
    <xf numFmtId="3" fontId="10" fillId="2" borderId="22" xfId="195" applyNumberFormat="1" applyFont="1" applyFill="1" applyBorder="1" applyAlignment="1" applyProtection="1">
      <alignment horizontal="right" vertical="top" readingOrder="1"/>
      <protection locked="0"/>
    </xf>
    <xf numFmtId="3" fontId="10" fillId="2" borderId="45" xfId="195" applyNumberFormat="1" applyFont="1" applyFill="1" applyBorder="1" applyAlignment="1" applyProtection="1">
      <alignment horizontal="right" vertical="top" readingOrder="1"/>
      <protection locked="0"/>
    </xf>
    <xf numFmtId="166" fontId="10" fillId="2" borderId="7" xfId="70" applyNumberFormat="1" applyFont="1" applyFill="1" applyBorder="1" applyAlignment="1" applyProtection="1">
      <alignment vertical="top" wrapText="1" readingOrder="1"/>
      <protection locked="0"/>
    </xf>
    <xf numFmtId="166" fontId="10" fillId="2" borderId="11" xfId="70" applyNumberFormat="1" applyFont="1" applyFill="1" applyBorder="1" applyAlignment="1" applyProtection="1">
      <alignment vertical="top" wrapText="1" readingOrder="1"/>
      <protection locked="0"/>
    </xf>
    <xf numFmtId="166" fontId="10" fillId="2" borderId="15" xfId="70" applyNumberFormat="1" applyFont="1" applyFill="1" applyBorder="1" applyAlignment="1" applyProtection="1">
      <alignment vertical="top" wrapText="1" readingOrder="1"/>
      <protection locked="0"/>
    </xf>
    <xf numFmtId="0" fontId="18" fillId="0" borderId="0" xfId="3" applyAlignment="1">
      <alignment horizontal="left"/>
    </xf>
    <xf numFmtId="170" fontId="10" fillId="2" borderId="20" xfId="194" applyNumberFormat="1" applyFont="1" applyFill="1" applyBorder="1" applyAlignment="1" applyProtection="1">
      <alignment horizontal="right" vertical="center" readingOrder="1"/>
      <protection locked="0"/>
    </xf>
    <xf numFmtId="170" fontId="10" fillId="2" borderId="21" xfId="194" applyNumberFormat="1" applyFont="1" applyFill="1" applyBorder="1" applyAlignment="1" applyProtection="1">
      <alignment horizontal="right" vertical="center" readingOrder="1"/>
      <protection locked="0"/>
    </xf>
    <xf numFmtId="170" fontId="10" fillId="2" borderId="22" xfId="194" applyNumberFormat="1" applyFont="1" applyFill="1" applyBorder="1" applyAlignment="1" applyProtection="1">
      <alignment horizontal="right" vertical="center" readingOrder="1"/>
      <protection locked="0"/>
    </xf>
    <xf numFmtId="0" fontId="18" fillId="0" borderId="0" xfId="3"/>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9" fillId="0" borderId="0" xfId="0" applyFont="1" applyFill="1"/>
    <xf numFmtId="0" fontId="25" fillId="0" borderId="0" xfId="0" applyFont="1" applyAlignment="1" applyProtection="1">
      <alignment vertical="top" wrapText="1" readingOrder="1"/>
      <protection locked="0"/>
    </xf>
    <xf numFmtId="0" fontId="9" fillId="0" borderId="0" xfId="0" applyFont="1"/>
    <xf numFmtId="0" fontId="18" fillId="0" borderId="0" xfId="3"/>
    <xf numFmtId="0" fontId="23" fillId="0" borderId="20" xfId="70" applyFont="1" applyFill="1" applyBorder="1" applyAlignment="1" applyProtection="1">
      <alignment horizontal="left" vertical="center" wrapText="1" readingOrder="1"/>
      <protection locked="0"/>
    </xf>
    <xf numFmtId="166" fontId="23" fillId="0" borderId="78" xfId="195" applyNumberFormat="1" applyFont="1" applyFill="1" applyBorder="1" applyAlignment="1" applyProtection="1">
      <alignment horizontal="left" vertical="center" readingOrder="1"/>
      <protection locked="0"/>
    </xf>
    <xf numFmtId="3" fontId="23" fillId="0" borderId="41" xfId="194" applyNumberFormat="1" applyFont="1" applyFill="1" applyBorder="1" applyAlignment="1" applyProtection="1">
      <alignment horizontal="right" vertical="center" wrapText="1" readingOrder="1"/>
      <protection locked="0"/>
    </xf>
    <xf numFmtId="3" fontId="23" fillId="0" borderId="6" xfId="194" applyNumberFormat="1" applyFont="1" applyFill="1" applyBorder="1" applyAlignment="1" applyProtection="1">
      <alignment horizontal="right" vertical="center" wrapText="1" readingOrder="1"/>
      <protection locked="0"/>
    </xf>
    <xf numFmtId="166" fontId="23" fillId="0" borderId="7" xfId="195" applyNumberFormat="1" applyFont="1" applyFill="1" applyBorder="1" applyAlignment="1" applyProtection="1">
      <alignment horizontal="right" vertical="center" wrapText="1" readingOrder="1"/>
      <protection locked="0"/>
    </xf>
    <xf numFmtId="0" fontId="23" fillId="0" borderId="21" xfId="70" applyFont="1" applyFill="1" applyBorder="1" applyAlignment="1" applyProtection="1">
      <alignment horizontal="left" vertical="center" wrapText="1" readingOrder="1"/>
      <protection locked="0"/>
    </xf>
    <xf numFmtId="166" fontId="23" fillId="0" borderId="44" xfId="195" applyNumberFormat="1" applyFont="1" applyFill="1" applyBorder="1" applyAlignment="1" applyProtection="1">
      <alignment horizontal="left" vertical="center" readingOrder="1"/>
      <protection locked="0"/>
    </xf>
    <xf numFmtId="3" fontId="23" fillId="0" borderId="9" xfId="194" applyNumberFormat="1" applyFont="1" applyFill="1" applyBorder="1" applyAlignment="1" applyProtection="1">
      <alignment horizontal="right" vertical="center" wrapText="1" readingOrder="1"/>
      <protection locked="0"/>
    </xf>
    <xf numFmtId="3" fontId="23" fillId="0" borderId="10" xfId="194" applyNumberFormat="1" applyFont="1" applyFill="1" applyBorder="1" applyAlignment="1" applyProtection="1">
      <alignment horizontal="right" vertical="center" wrapText="1" readingOrder="1"/>
      <protection locked="0"/>
    </xf>
    <xf numFmtId="166" fontId="23" fillId="0" borderId="11" xfId="195" applyNumberFormat="1" applyFont="1" applyFill="1" applyBorder="1" applyAlignment="1" applyProtection="1">
      <alignment horizontal="right" vertical="center" wrapText="1" readingOrder="1"/>
      <protection locked="0"/>
    </xf>
    <xf numFmtId="0" fontId="10" fillId="2" borderId="0" xfId="194" applyNumberFormat="1" applyFont="1" applyFill="1" applyBorder="1" applyAlignment="1" applyProtection="1">
      <alignment horizontal="left" vertical="center" wrapText="1" readingOrder="1"/>
      <protection locked="0"/>
    </xf>
    <xf numFmtId="3" fontId="0" fillId="0" borderId="79" xfId="0" applyNumberFormat="1" applyBorder="1"/>
    <xf numFmtId="20" fontId="15" fillId="2" borderId="30" xfId="194" applyNumberFormat="1" applyFont="1" applyFill="1" applyBorder="1" applyAlignment="1">
      <alignment horizontal="center" vertical="center" wrapText="1"/>
    </xf>
    <xf numFmtId="0" fontId="0" fillId="0" borderId="8" xfId="0" applyBorder="1"/>
    <xf numFmtId="0" fontId="0" fillId="0" borderId="5" xfId="0" applyBorder="1"/>
    <xf numFmtId="20" fontId="15" fillId="2" borderId="43" xfId="194" applyNumberFormat="1" applyFont="1" applyFill="1" applyBorder="1" applyAlignment="1">
      <alignment horizontal="center" vertical="center" wrapText="1"/>
    </xf>
    <xf numFmtId="20" fontId="15" fillId="2" borderId="19" xfId="194" applyNumberFormat="1" applyFont="1" applyFill="1" applyBorder="1" applyAlignment="1">
      <alignment horizontal="center" vertical="center" wrapText="1"/>
    </xf>
    <xf numFmtId="0" fontId="0" fillId="0" borderId="53" xfId="0" applyBorder="1"/>
    <xf numFmtId="20" fontId="15" fillId="2" borderId="4" xfId="194" applyNumberFormat="1" applyFont="1" applyFill="1" applyBorder="1" applyAlignment="1">
      <alignment horizontal="center" vertical="center" wrapText="1"/>
    </xf>
    <xf numFmtId="3" fontId="0" fillId="0" borderId="55" xfId="0" applyNumberFormat="1" applyBorder="1"/>
    <xf numFmtId="3" fontId="0" fillId="0" borderId="80" xfId="0" applyNumberFormat="1" applyBorder="1"/>
    <xf numFmtId="3" fontId="0" fillId="0" borderId="54" xfId="0" applyNumberFormat="1" applyBorder="1"/>
    <xf numFmtId="3" fontId="0" fillId="0" borderId="52" xfId="0" applyNumberFormat="1" applyBorder="1"/>
    <xf numFmtId="3" fontId="0" fillId="0" borderId="51" xfId="0" applyNumberFormat="1" applyBorder="1"/>
    <xf numFmtId="3" fontId="0" fillId="0" borderId="49" xfId="0" applyNumberFormat="1" applyBorder="1"/>
    <xf numFmtId="0" fontId="0" fillId="0" borderId="50" xfId="0" applyBorder="1"/>
    <xf numFmtId="0" fontId="0" fillId="0" borderId="56" xfId="0" applyBorder="1"/>
    <xf numFmtId="3" fontId="0" fillId="0" borderId="81" xfId="0" applyNumberFormat="1" applyBorder="1"/>
    <xf numFmtId="3" fontId="0" fillId="0" borderId="48" xfId="0" applyNumberFormat="1" applyBorder="1"/>
    <xf numFmtId="0" fontId="0" fillId="0" borderId="12" xfId="0" applyBorder="1"/>
    <xf numFmtId="0" fontId="23" fillId="2" borderId="0" xfId="193" applyFont="1" applyFill="1"/>
    <xf numFmtId="0" fontId="10" fillId="2" borderId="0" xfId="70" applyFont="1" applyFill="1" applyBorder="1" applyAlignment="1" applyProtection="1">
      <alignment horizontal="left" vertical="top" wrapText="1" readingOrder="1"/>
      <protection locked="0"/>
    </xf>
    <xf numFmtId="0" fontId="18" fillId="2" borderId="0" xfId="3" applyFill="1" applyBorder="1" applyAlignment="1" applyProtection="1">
      <alignment vertical="top" wrapText="1" readingOrder="1"/>
      <protection locked="0"/>
    </xf>
    <xf numFmtId="0" fontId="9" fillId="0" borderId="0" xfId="0" applyFont="1" applyFill="1" applyAlignment="1">
      <alignment horizontal="left"/>
    </xf>
    <xf numFmtId="0" fontId="9" fillId="2" borderId="0" xfId="0" applyFont="1" applyFill="1" applyAlignment="1">
      <alignment horizontal="left"/>
    </xf>
    <xf numFmtId="0" fontId="9" fillId="2" borderId="0" xfId="70" applyFont="1" applyFill="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0" fontId="10" fillId="2" borderId="0" xfId="70" applyFont="1" applyFill="1" applyBorder="1" applyAlignment="1" applyProtection="1">
      <alignment horizontal="left" vertical="top" wrapText="1" readingOrder="1"/>
      <protection locked="0"/>
    </xf>
    <xf numFmtId="0" fontId="9" fillId="2" borderId="2" xfId="0" applyFont="1" applyFill="1" applyBorder="1" applyAlignment="1">
      <alignment horizontal="left"/>
    </xf>
    <xf numFmtId="0" fontId="23" fillId="0" borderId="22" xfId="70" applyFont="1" applyFill="1" applyBorder="1" applyAlignment="1" applyProtection="1">
      <alignment horizontal="left" vertical="center" wrapText="1" readingOrder="1"/>
      <protection locked="0"/>
    </xf>
    <xf numFmtId="166" fontId="23" fillId="0" borderId="45" xfId="195" applyNumberFormat="1" applyFont="1" applyFill="1" applyBorder="1" applyAlignment="1" applyProtection="1">
      <alignment horizontal="left" vertical="center" readingOrder="1"/>
      <protection locked="0"/>
    </xf>
    <xf numFmtId="3" fontId="23" fillId="0" borderId="13" xfId="194" applyNumberFormat="1" applyFont="1" applyFill="1" applyBorder="1" applyAlignment="1" applyProtection="1">
      <alignment horizontal="right" vertical="center" wrapText="1" readingOrder="1"/>
      <protection locked="0"/>
    </xf>
    <xf numFmtId="3" fontId="23" fillId="0" borderId="14" xfId="194" applyNumberFormat="1" applyFont="1" applyFill="1" applyBorder="1" applyAlignment="1" applyProtection="1">
      <alignment horizontal="right" vertical="center" wrapText="1" readingOrder="1"/>
      <protection locked="0"/>
    </xf>
    <xf numFmtId="166" fontId="23" fillId="0" borderId="15" xfId="195" applyNumberFormat="1" applyFont="1" applyFill="1" applyBorder="1" applyAlignment="1" applyProtection="1">
      <alignment horizontal="right" vertical="center" wrapText="1" readingOrder="1"/>
      <protection locked="0"/>
    </xf>
    <xf numFmtId="0" fontId="1" fillId="2" borderId="0" xfId="196" applyFont="1" applyFill="1" applyBorder="1"/>
    <xf numFmtId="20" fontId="15" fillId="0" borderId="18" xfId="194" applyNumberFormat="1" applyFont="1" applyFill="1" applyBorder="1" applyAlignment="1">
      <alignment horizontal="center" vertical="center" wrapText="1"/>
    </xf>
    <xf numFmtId="20" fontId="15" fillId="0" borderId="19" xfId="194" applyNumberFormat="1" applyFont="1" applyFill="1" applyBorder="1" applyAlignment="1">
      <alignment horizontal="center" vertical="center" wrapText="1"/>
    </xf>
    <xf numFmtId="3" fontId="0" fillId="0" borderId="6" xfId="0" applyNumberFormat="1" applyFill="1" applyBorder="1"/>
    <xf numFmtId="3" fontId="10" fillId="0" borderId="7" xfId="195" applyNumberFormat="1" applyFont="1" applyFill="1" applyBorder="1" applyAlignment="1" applyProtection="1">
      <alignment horizontal="right" vertical="center" readingOrder="1"/>
      <protection locked="0"/>
    </xf>
    <xf numFmtId="3" fontId="0" fillId="0" borderId="10" xfId="0" applyNumberFormat="1" applyFill="1" applyBorder="1"/>
    <xf numFmtId="3" fontId="10" fillId="0" borderId="11" xfId="195" applyNumberFormat="1" applyFont="1" applyFill="1" applyBorder="1" applyAlignment="1" applyProtection="1">
      <alignment horizontal="right" vertical="center" readingOrder="1"/>
      <protection locked="0"/>
    </xf>
    <xf numFmtId="3" fontId="0" fillId="0" borderId="14" xfId="0" applyNumberFormat="1" applyFill="1" applyBorder="1"/>
    <xf numFmtId="3" fontId="10" fillId="0" borderId="15" xfId="195" applyNumberFormat="1" applyFont="1" applyFill="1" applyBorder="1" applyAlignment="1" applyProtection="1">
      <alignment horizontal="right" vertical="center" readingOrder="1"/>
      <protection locked="0"/>
    </xf>
    <xf numFmtId="0" fontId="2" fillId="0" borderId="0" xfId="193" applyFont="1" applyFill="1"/>
    <xf numFmtId="0" fontId="18" fillId="0" borderId="0" xfId="3" applyNumberFormat="1" applyFill="1" applyBorder="1" applyAlignment="1" applyProtection="1">
      <alignment horizontal="left" vertical="center" readingOrder="1"/>
      <protection locked="0"/>
    </xf>
    <xf numFmtId="0" fontId="10" fillId="0" borderId="0" xfId="194" applyNumberFormat="1" applyFont="1" applyFill="1" applyBorder="1" applyAlignment="1" applyProtection="1">
      <alignment horizontal="left" vertical="center" wrapText="1" readingOrder="1"/>
      <protection locked="0"/>
    </xf>
    <xf numFmtId="9" fontId="10" fillId="2" borderId="0" xfId="7" applyFont="1" applyFill="1" applyBorder="1" applyAlignment="1" applyProtection="1">
      <alignment vertical="top" wrapText="1" readingOrder="1"/>
      <protection locked="0"/>
    </xf>
    <xf numFmtId="166" fontId="10" fillId="2" borderId="0" xfId="7" applyNumberFormat="1" applyFont="1" applyFill="1" applyBorder="1" applyAlignment="1" applyProtection="1">
      <alignment vertical="top" wrapText="1" readingOrder="1"/>
      <protection locked="0"/>
    </xf>
    <xf numFmtId="9" fontId="10" fillId="2" borderId="0" xfId="7" applyNumberFormat="1" applyFont="1" applyFill="1" applyBorder="1" applyAlignment="1" applyProtection="1">
      <alignment vertical="top" wrapText="1" readingOrder="1"/>
      <protection locked="0"/>
    </xf>
    <xf numFmtId="9" fontId="2" fillId="2" borderId="0" xfId="7" applyFont="1" applyFill="1"/>
    <xf numFmtId="172" fontId="2" fillId="2" borderId="0" xfId="193" applyNumberFormat="1" applyFont="1" applyFill="1"/>
    <xf numFmtId="166" fontId="2" fillId="2" borderId="0" xfId="7" applyNumberFormat="1" applyFont="1" applyFill="1"/>
    <xf numFmtId="166" fontId="2" fillId="2" borderId="0" xfId="196" applyNumberFormat="1" applyFont="1" applyFill="1" applyBorder="1"/>
    <xf numFmtId="166" fontId="10" fillId="2" borderId="0" xfId="7" applyNumberFormat="1" applyFont="1" applyFill="1" applyBorder="1" applyAlignment="1" applyProtection="1">
      <alignment horizontal="right" vertical="top" wrapText="1" readingOrder="1"/>
      <protection locked="0"/>
    </xf>
    <xf numFmtId="166" fontId="2" fillId="2" borderId="0" xfId="193" applyNumberFormat="1" applyFont="1" applyFill="1"/>
    <xf numFmtId="166" fontId="10" fillId="2" borderId="6" xfId="195" applyNumberFormat="1" applyFont="1" applyFill="1" applyBorder="1" applyAlignment="1" applyProtection="1">
      <alignment horizontal="right" vertical="center" wrapText="1" readingOrder="1"/>
    </xf>
    <xf numFmtId="166" fontId="10" fillId="2" borderId="10" xfId="195" applyNumberFormat="1" applyFont="1" applyFill="1" applyBorder="1" applyAlignment="1" applyProtection="1">
      <alignment horizontal="right" vertical="center" wrapText="1" readingOrder="1"/>
    </xf>
    <xf numFmtId="166" fontId="10" fillId="2" borderId="14" xfId="195" applyNumberFormat="1" applyFont="1" applyFill="1" applyBorder="1" applyAlignment="1" applyProtection="1">
      <alignment horizontal="right" vertical="center" wrapText="1" readingOrder="1"/>
    </xf>
    <xf numFmtId="166" fontId="10" fillId="2" borderId="7" xfId="195" applyNumberFormat="1" applyFont="1" applyFill="1" applyBorder="1" applyAlignment="1" applyProtection="1">
      <alignment horizontal="right" vertical="center" wrapText="1" readingOrder="1"/>
    </xf>
    <xf numFmtId="166" fontId="10" fillId="2" borderId="86" xfId="195" applyNumberFormat="1" applyFont="1" applyFill="1" applyBorder="1" applyAlignment="1" applyProtection="1">
      <alignment horizontal="right" vertical="center" wrapText="1" readingOrder="1"/>
    </xf>
    <xf numFmtId="0" fontId="2" fillId="2" borderId="85" xfId="193" applyFont="1" applyFill="1" applyBorder="1" applyAlignment="1">
      <alignment horizontal="right"/>
    </xf>
    <xf numFmtId="166" fontId="10" fillId="2" borderId="11" xfId="195" applyNumberFormat="1" applyFont="1" applyFill="1" applyBorder="1" applyAlignment="1" applyProtection="1">
      <alignment horizontal="right" vertical="center" wrapText="1" readingOrder="1"/>
    </xf>
    <xf numFmtId="166" fontId="10" fillId="2" borderId="87" xfId="195" applyNumberFormat="1" applyFont="1" applyFill="1" applyBorder="1" applyAlignment="1" applyProtection="1">
      <alignment horizontal="right" vertical="center" wrapText="1" readingOrder="1"/>
    </xf>
    <xf numFmtId="170" fontId="2" fillId="2" borderId="0" xfId="193" applyNumberFormat="1" applyFont="1" applyFill="1"/>
    <xf numFmtId="0" fontId="11" fillId="2" borderId="43" xfId="70" applyFont="1" applyFill="1" applyBorder="1" applyAlignment="1" applyProtection="1">
      <alignment horizontal="center" vertical="center" wrapText="1" readingOrder="1"/>
      <protection locked="0"/>
    </xf>
    <xf numFmtId="171" fontId="23" fillId="2" borderId="52" xfId="185" applyNumberFormat="1" applyFont="1" applyFill="1" applyBorder="1" applyAlignment="1">
      <alignment horizontal="right" vertical="center"/>
    </xf>
    <xf numFmtId="171" fontId="23" fillId="2" borderId="51" xfId="185" applyNumberFormat="1" applyFont="1" applyFill="1" applyBorder="1" applyAlignment="1">
      <alignment horizontal="right" vertical="center"/>
    </xf>
    <xf numFmtId="171" fontId="23" fillId="2" borderId="49" xfId="185" applyNumberFormat="1" applyFont="1" applyFill="1" applyBorder="1" applyAlignment="1">
      <alignment horizontal="right" vertical="center"/>
    </xf>
    <xf numFmtId="171" fontId="23" fillId="2" borderId="48" xfId="185" applyNumberFormat="1" applyFont="1" applyFill="1" applyBorder="1" applyAlignment="1">
      <alignment horizontal="right" vertical="center"/>
    </xf>
    <xf numFmtId="0" fontId="9" fillId="2" borderId="0" xfId="0" applyFont="1" applyFill="1" applyBorder="1"/>
    <xf numFmtId="168" fontId="10" fillId="2" borderId="18" xfId="269" applyNumberFormat="1" applyFont="1" applyFill="1" applyBorder="1" applyAlignment="1" applyProtection="1">
      <alignment horizontal="right" vertical="center" wrapText="1" readingOrder="1"/>
      <protection locked="0"/>
    </xf>
    <xf numFmtId="168" fontId="10" fillId="2" borderId="19" xfId="269" applyNumberFormat="1" applyFont="1" applyFill="1" applyBorder="1" applyAlignment="1" applyProtection="1">
      <alignment horizontal="right" vertical="center" wrapText="1" readingOrder="1"/>
      <protection locked="0"/>
    </xf>
    <xf numFmtId="168" fontId="10" fillId="2" borderId="43" xfId="269" applyNumberFormat="1" applyFont="1" applyFill="1" applyBorder="1" applyAlignment="1" applyProtection="1">
      <alignment horizontal="right" vertical="center" wrapText="1" readingOrder="1"/>
      <protection locked="0"/>
    </xf>
    <xf numFmtId="0" fontId="48" fillId="2" borderId="0" xfId="193" applyFont="1" applyFill="1"/>
    <xf numFmtId="165" fontId="10" fillId="2" borderId="0" xfId="70" applyNumberFormat="1" applyFont="1" applyFill="1" applyBorder="1" applyAlignment="1" applyProtection="1">
      <alignment vertical="top" wrapText="1" readingOrder="1"/>
      <protection locked="0"/>
    </xf>
    <xf numFmtId="0" fontId="15" fillId="2" borderId="71" xfId="70" applyFont="1" applyFill="1" applyBorder="1" applyAlignment="1" applyProtection="1">
      <alignment horizontal="center" vertical="center" wrapText="1" readingOrder="1"/>
      <protection locked="0"/>
    </xf>
    <xf numFmtId="3" fontId="0" fillId="2" borderId="80" xfId="0" applyNumberFormat="1" applyFill="1" applyBorder="1"/>
    <xf numFmtId="3" fontId="0" fillId="2" borderId="82" xfId="0" applyNumberFormat="1" applyFill="1" applyBorder="1"/>
    <xf numFmtId="3" fontId="0" fillId="2" borderId="79" xfId="0" applyNumberFormat="1" applyFill="1" applyBorder="1"/>
    <xf numFmtId="3" fontId="0" fillId="2" borderId="83" xfId="0" applyNumberFormat="1" applyFill="1" applyBorder="1"/>
    <xf numFmtId="3" fontId="0" fillId="2" borderId="81" xfId="0" applyNumberFormat="1" applyFill="1" applyBorder="1"/>
    <xf numFmtId="3" fontId="0" fillId="2" borderId="84" xfId="0" applyNumberFormat="1" applyFill="1" applyBorder="1"/>
    <xf numFmtId="167" fontId="2" fillId="2" borderId="0" xfId="1" applyNumberFormat="1" applyFont="1" applyFill="1"/>
    <xf numFmtId="167" fontId="2" fillId="0" borderId="0" xfId="1" applyNumberFormat="1" applyFont="1" applyFill="1"/>
    <xf numFmtId="3" fontId="0" fillId="0" borderId="0" xfId="0" applyNumberFormat="1" applyBorder="1"/>
    <xf numFmtId="0" fontId="0" fillId="0" borderId="0" xfId="0" applyFill="1" applyAlignment="1"/>
    <xf numFmtId="0" fontId="18" fillId="0" borderId="0" xfId="3" applyFill="1"/>
    <xf numFmtId="0" fontId="9" fillId="0" borderId="0" xfId="0" applyFont="1" applyAlignment="1">
      <alignment horizontal="left"/>
    </xf>
    <xf numFmtId="0" fontId="9" fillId="0" borderId="0" xfId="0" applyFont="1"/>
    <xf numFmtId="0" fontId="18" fillId="2" borderId="0" xfId="3" applyFill="1" applyAlignment="1" applyProtection="1">
      <alignment horizontal="left" vertical="top" wrapText="1" readingOrder="1"/>
      <protection locked="0"/>
    </xf>
    <xf numFmtId="0" fontId="18" fillId="2" borderId="0" xfId="3" applyFont="1" applyFill="1" applyAlignment="1" applyProtection="1">
      <alignment horizontal="left" vertical="top" wrapText="1" readingOrder="1"/>
      <protection locked="0"/>
    </xf>
    <xf numFmtId="3" fontId="10" fillId="2" borderId="28" xfId="70" applyNumberFormat="1" applyFont="1" applyFill="1" applyBorder="1" applyAlignment="1" applyProtection="1">
      <alignment horizontal="right" vertical="center" wrapText="1" readingOrder="1"/>
      <protection locked="0"/>
    </xf>
    <xf numFmtId="3" fontId="10" fillId="2" borderId="29" xfId="70" applyNumberFormat="1" applyFont="1" applyFill="1" applyBorder="1" applyAlignment="1" applyProtection="1">
      <alignment horizontal="right" vertical="center" wrapText="1" readingOrder="1"/>
      <protection locked="0"/>
    </xf>
    <xf numFmtId="3" fontId="10" fillId="2" borderId="6" xfId="70" applyNumberFormat="1" applyFont="1" applyFill="1" applyBorder="1" applyAlignment="1" applyProtection="1">
      <alignment horizontal="right" vertical="center" wrapText="1" readingOrder="1"/>
      <protection locked="0"/>
    </xf>
    <xf numFmtId="3" fontId="10" fillId="2" borderId="7" xfId="70" applyNumberFormat="1" applyFont="1" applyFill="1" applyBorder="1" applyAlignment="1" applyProtection="1">
      <alignment horizontal="right" vertical="center" wrapText="1" readingOrder="1"/>
      <protection locked="0"/>
    </xf>
    <xf numFmtId="0" fontId="10" fillId="2" borderId="0" xfId="70" applyFont="1" applyFill="1" applyAlignment="1" applyProtection="1">
      <alignment horizontal="left" vertical="top" wrapText="1" readingOrder="1"/>
      <protection locked="0"/>
    </xf>
    <xf numFmtId="0" fontId="18" fillId="0" borderId="0" xfId="3" applyFont="1" applyBorder="1" applyAlignment="1">
      <alignment vertical="center"/>
    </xf>
    <xf numFmtId="0" fontId="9" fillId="0" borderId="0" xfId="0" applyFont="1" applyBorder="1" applyAlignment="1">
      <alignment vertical="center" wrapText="1"/>
    </xf>
    <xf numFmtId="0" fontId="11" fillId="2" borderId="46" xfId="70" applyFont="1" applyFill="1" applyBorder="1" applyAlignment="1" applyProtection="1">
      <alignment horizontal="center" vertical="center" wrapText="1" readingOrder="1"/>
      <protection locked="0"/>
    </xf>
    <xf numFmtId="3" fontId="23" fillId="0" borderId="62" xfId="194" applyNumberFormat="1" applyFont="1" applyFill="1" applyBorder="1" applyAlignment="1" applyProtection="1">
      <alignment horizontal="right" vertical="center" wrapText="1" readingOrder="1"/>
      <protection locked="0"/>
    </xf>
    <xf numFmtId="3" fontId="23" fillId="0" borderId="86" xfId="194" applyNumberFormat="1" applyFont="1" applyFill="1" applyBorder="1" applyAlignment="1" applyProtection="1">
      <alignment horizontal="right" vertical="center" wrapText="1" readingOrder="1"/>
      <protection locked="0"/>
    </xf>
    <xf numFmtId="3" fontId="23" fillId="0" borderId="87" xfId="194" applyNumberFormat="1" applyFont="1" applyFill="1" applyBorder="1" applyAlignment="1" applyProtection="1">
      <alignment horizontal="right" vertical="center" wrapText="1" readingOrder="1"/>
      <protection locked="0"/>
    </xf>
    <xf numFmtId="0" fontId="9" fillId="0" borderId="0" xfId="0" applyFont="1" applyAlignment="1">
      <alignment horizontal="left"/>
    </xf>
    <xf numFmtId="0" fontId="10" fillId="0" borderId="0" xfId="0" applyFont="1" applyAlignment="1" applyProtection="1">
      <alignment horizontal="left" vertical="top" wrapText="1" readingOrder="1"/>
      <protection locked="0"/>
    </xf>
    <xf numFmtId="0" fontId="9" fillId="0" borderId="0" xfId="0" applyFont="1" applyAlignment="1">
      <alignment horizontal="left" vertical="top" wrapText="1"/>
    </xf>
    <xf numFmtId="0" fontId="50" fillId="0" borderId="0" xfId="0" applyFont="1" applyAlignment="1" applyProtection="1">
      <alignment horizontal="left" vertical="top" wrapText="1" readingOrder="1"/>
      <protection locked="0"/>
    </xf>
    <xf numFmtId="0" fontId="9" fillId="0" borderId="0" xfId="0" applyFont="1" applyAlignment="1">
      <alignment horizontal="center"/>
    </xf>
    <xf numFmtId="0" fontId="26" fillId="0" borderId="0" xfId="0" applyFont="1" applyAlignment="1">
      <alignment horizontal="left"/>
    </xf>
    <xf numFmtId="0" fontId="9" fillId="0" borderId="0" xfId="0" applyFont="1" applyFill="1" applyAlignment="1">
      <alignment horizontal="left"/>
    </xf>
    <xf numFmtId="0" fontId="25" fillId="0" borderId="0" xfId="0" applyFont="1" applyAlignment="1" applyProtection="1">
      <alignment vertical="top" wrapText="1" readingOrder="1"/>
      <protection locked="0"/>
    </xf>
    <xf numFmtId="0" fontId="9" fillId="0" borderId="0" xfId="0" applyFont="1"/>
    <xf numFmtId="0" fontId="20" fillId="0" borderId="0" xfId="0" applyFont="1" applyAlignment="1" applyProtection="1">
      <alignment vertical="top" wrapText="1" readingOrder="1"/>
      <protection locked="0"/>
    </xf>
    <xf numFmtId="0" fontId="20" fillId="0" borderId="0" xfId="0" applyFont="1"/>
    <xf numFmtId="0" fontId="18" fillId="2" borderId="0" xfId="3" applyFill="1" applyAlignment="1" applyProtection="1">
      <alignment horizontal="left" vertical="top" wrapText="1" readingOrder="1"/>
      <protection locked="0"/>
    </xf>
    <xf numFmtId="0" fontId="10" fillId="2" borderId="0" xfId="0" applyFont="1" applyFill="1" applyAlignment="1" applyProtection="1">
      <alignment horizontal="left" vertical="top" wrapText="1" readingOrder="1"/>
      <protection locked="0"/>
    </xf>
    <xf numFmtId="0" fontId="20" fillId="2" borderId="0" xfId="70" applyFont="1" applyFill="1" applyAlignment="1" applyProtection="1">
      <alignment horizontal="left" vertical="top" wrapText="1" readingOrder="1"/>
      <protection locked="0"/>
    </xf>
    <xf numFmtId="0" fontId="9" fillId="2" borderId="0" xfId="70" applyFont="1" applyFill="1" applyAlignment="1" applyProtection="1">
      <alignment horizontal="left" vertical="top" wrapText="1" readingOrder="1"/>
      <protection locked="0"/>
    </xf>
    <xf numFmtId="0" fontId="18" fillId="2" borderId="0" xfId="3" applyFill="1" applyBorder="1" applyAlignment="1" applyProtection="1">
      <alignment horizontal="left" vertical="top" wrapText="1" readingOrder="1"/>
      <protection locked="0"/>
    </xf>
    <xf numFmtId="0" fontId="18" fillId="2" borderId="0" xfId="3" applyFont="1" applyFill="1" applyBorder="1" applyAlignment="1" applyProtection="1">
      <alignment horizontal="left" vertical="top" wrapText="1" readingOrder="1"/>
      <protection locked="0"/>
    </xf>
    <xf numFmtId="0" fontId="18" fillId="2" borderId="0" xfId="83" applyFont="1" applyFill="1" applyBorder="1" applyAlignment="1" applyProtection="1">
      <alignment horizontal="left" vertical="top" wrapText="1" readingOrder="1"/>
      <protection locked="0"/>
    </xf>
    <xf numFmtId="0" fontId="10" fillId="2" borderId="3" xfId="70" applyFont="1" applyFill="1" applyBorder="1" applyAlignment="1" applyProtection="1">
      <alignment horizontal="left" vertical="top" wrapText="1" readingOrder="1"/>
      <protection locked="0"/>
    </xf>
    <xf numFmtId="0" fontId="18" fillId="2" borderId="0" xfId="83" applyFont="1" applyFill="1" applyAlignment="1">
      <alignment horizontal="left"/>
    </xf>
    <xf numFmtId="0" fontId="15" fillId="2" borderId="0" xfId="70" applyFont="1" applyFill="1" applyBorder="1" applyAlignment="1" applyProtection="1">
      <alignment horizontal="left" vertical="top" wrapText="1" readingOrder="1"/>
      <protection locked="0"/>
    </xf>
    <xf numFmtId="0" fontId="9" fillId="2" borderId="0" xfId="70" applyFont="1" applyFill="1" applyBorder="1" applyAlignment="1" applyProtection="1">
      <alignment horizontal="left" vertical="top" wrapText="1" readingOrder="1"/>
      <protection locked="0"/>
    </xf>
    <xf numFmtId="0" fontId="10" fillId="2" borderId="0" xfId="70" applyFont="1" applyFill="1" applyAlignment="1" applyProtection="1">
      <alignment horizontal="left" vertical="top" wrapText="1" readingOrder="1"/>
      <protection locked="0"/>
    </xf>
    <xf numFmtId="0" fontId="18" fillId="2" borderId="0" xfId="3" applyFont="1" applyFill="1" applyAlignment="1" applyProtection="1">
      <alignment horizontal="left" vertical="top" wrapText="1" readingOrder="1"/>
      <protection locked="0"/>
    </xf>
    <xf numFmtId="0" fontId="15" fillId="2" borderId="69" xfId="70" applyFont="1" applyFill="1" applyBorder="1" applyAlignment="1" applyProtection="1">
      <alignment horizontal="left" vertical="top" wrapText="1" readingOrder="1"/>
      <protection locked="0"/>
    </xf>
    <xf numFmtId="0" fontId="10" fillId="2" borderId="0" xfId="70" applyFont="1" applyFill="1" applyBorder="1" applyAlignment="1" applyProtection="1">
      <alignment horizontal="left" vertical="top" wrapText="1" readingOrder="1"/>
      <protection locked="0"/>
    </xf>
    <xf numFmtId="0" fontId="9" fillId="0" borderId="0" xfId="70" applyFont="1" applyFill="1" applyBorder="1" applyAlignment="1" applyProtection="1">
      <alignment horizontal="left" vertical="top" wrapText="1" readingOrder="1"/>
      <protection locked="0"/>
    </xf>
    <xf numFmtId="0" fontId="9" fillId="0" borderId="0" xfId="0" applyFont="1" applyBorder="1" applyAlignment="1">
      <alignment horizontal="left" vertical="center" wrapText="1"/>
    </xf>
    <xf numFmtId="0" fontId="10" fillId="2" borderId="69" xfId="70" applyFont="1" applyFill="1" applyBorder="1" applyAlignment="1" applyProtection="1">
      <alignment horizontal="left" vertical="top" wrapText="1" readingOrder="1"/>
      <protection locked="0"/>
    </xf>
    <xf numFmtId="169" fontId="24" fillId="2" borderId="26" xfId="81" applyNumberFormat="1" applyFont="1" applyFill="1" applyBorder="1" applyAlignment="1">
      <alignment horizontal="center" vertical="center" wrapText="1"/>
    </xf>
    <xf numFmtId="169" fontId="24" fillId="2" borderId="23" xfId="81" applyNumberFormat="1" applyFont="1" applyFill="1" applyBorder="1" applyAlignment="1">
      <alignment horizontal="center" vertical="center" wrapText="1"/>
    </xf>
    <xf numFmtId="0" fontId="9" fillId="2" borderId="0" xfId="0" applyFont="1" applyFill="1" applyAlignment="1" applyProtection="1">
      <alignment horizontal="left" vertical="top" wrapText="1" readingOrder="1"/>
      <protection locked="0"/>
    </xf>
    <xf numFmtId="0" fontId="18" fillId="2" borderId="0" xfId="83" applyFont="1" applyFill="1" applyBorder="1" applyAlignment="1" applyProtection="1">
      <alignment vertical="top" wrapText="1" readingOrder="1"/>
      <protection locked="0"/>
    </xf>
    <xf numFmtId="0" fontId="10" fillId="2" borderId="3" xfId="70" applyFont="1" applyFill="1" applyBorder="1" applyAlignment="1" applyProtection="1">
      <alignment vertical="top" wrapText="1" readingOrder="1"/>
      <protection locked="0"/>
    </xf>
    <xf numFmtId="0" fontId="9" fillId="2" borderId="0" xfId="70" applyFont="1" applyFill="1" applyBorder="1" applyAlignment="1" applyProtection="1">
      <alignment vertical="top" wrapText="1" readingOrder="1"/>
      <protection locked="0"/>
    </xf>
    <xf numFmtId="0" fontId="15" fillId="2" borderId="3" xfId="70" applyFont="1" applyFill="1" applyBorder="1" applyAlignment="1" applyProtection="1">
      <alignment vertical="top" wrapText="1" readingOrder="1"/>
      <protection locked="0"/>
    </xf>
    <xf numFmtId="0" fontId="15" fillId="2" borderId="26" xfId="0" applyFont="1" applyFill="1" applyBorder="1" applyAlignment="1">
      <alignment horizontal="center" vertical="center" wrapText="1"/>
    </xf>
    <xf numFmtId="0" fontId="15" fillId="2" borderId="23" xfId="0" applyFont="1" applyFill="1" applyBorder="1" applyAlignment="1">
      <alignment horizontal="center" vertical="center" wrapText="1"/>
    </xf>
    <xf numFmtId="0" fontId="15" fillId="2" borderId="3" xfId="70" applyFont="1" applyFill="1" applyBorder="1" applyAlignment="1" applyProtection="1">
      <alignment horizontal="left" vertical="top" wrapText="1" readingOrder="1"/>
      <protection locked="0"/>
    </xf>
    <xf numFmtId="0" fontId="10" fillId="2" borderId="0" xfId="0" applyFont="1" applyFill="1" applyBorder="1" applyAlignment="1" applyProtection="1">
      <alignment horizontal="left" vertical="top" wrapText="1" readingOrder="1"/>
      <protection locked="0"/>
    </xf>
    <xf numFmtId="0" fontId="18" fillId="2" borderId="0" xfId="3" applyFill="1" applyBorder="1" applyAlignment="1" applyProtection="1">
      <alignment horizontal="left" vertical="top" readingOrder="1"/>
      <protection locked="0"/>
    </xf>
    <xf numFmtId="0" fontId="24" fillId="2" borderId="26" xfId="193" applyFont="1" applyFill="1" applyBorder="1" applyAlignment="1">
      <alignment horizontal="center"/>
    </xf>
    <xf numFmtId="0" fontId="24" fillId="2" borderId="16" xfId="193" applyFont="1" applyFill="1" applyBorder="1" applyAlignment="1">
      <alignment horizontal="center"/>
    </xf>
    <xf numFmtId="0" fontId="24" fillId="2" borderId="23" xfId="193" applyFont="1" applyFill="1" applyBorder="1" applyAlignment="1">
      <alignment horizontal="center"/>
    </xf>
    <xf numFmtId="165" fontId="11" fillId="2" borderId="26" xfId="70" applyNumberFormat="1" applyFont="1" applyFill="1" applyBorder="1" applyAlignment="1" applyProtection="1">
      <alignment horizontal="center" vertical="top" wrapText="1" readingOrder="1"/>
      <protection locked="0"/>
    </xf>
    <xf numFmtId="165" fontId="11" fillId="2" borderId="16" xfId="70" applyNumberFormat="1" applyFont="1" applyFill="1" applyBorder="1" applyAlignment="1" applyProtection="1">
      <alignment horizontal="center" vertical="top" wrapText="1" readingOrder="1"/>
      <protection locked="0"/>
    </xf>
    <xf numFmtId="165" fontId="11" fillId="2" borderId="23" xfId="70" applyNumberFormat="1" applyFont="1" applyFill="1" applyBorder="1" applyAlignment="1" applyProtection="1">
      <alignment horizontal="center" vertical="top" wrapText="1" readingOrder="1"/>
      <protection locked="0"/>
    </xf>
    <xf numFmtId="165" fontId="11" fillId="2" borderId="1" xfId="70" applyNumberFormat="1" applyFont="1" applyFill="1" applyBorder="1" applyAlignment="1" applyProtection="1">
      <alignment horizontal="center" vertical="top" wrapText="1" readingOrder="1"/>
      <protection locked="0"/>
    </xf>
    <xf numFmtId="165" fontId="11" fillId="2" borderId="2" xfId="70" applyNumberFormat="1" applyFont="1" applyFill="1" applyBorder="1" applyAlignment="1" applyProtection="1">
      <alignment horizontal="center" vertical="top" wrapText="1" readingOrder="1"/>
      <protection locked="0"/>
    </xf>
    <xf numFmtId="165" fontId="11" fillId="2" borderId="47" xfId="70" applyNumberFormat="1" applyFont="1" applyFill="1" applyBorder="1" applyAlignment="1" applyProtection="1">
      <alignment horizontal="center" vertical="top" wrapText="1" readingOrder="1"/>
      <protection locked="0"/>
    </xf>
    <xf numFmtId="0" fontId="18" fillId="2" borderId="0" xfId="3" applyNumberFormat="1" applyFill="1" applyBorder="1" applyAlignment="1" applyProtection="1">
      <alignment horizontal="left" vertical="center" wrapText="1" readingOrder="1"/>
      <protection locked="0"/>
    </xf>
    <xf numFmtId="0" fontId="9" fillId="2" borderId="0" xfId="194" applyNumberFormat="1" applyFont="1" applyFill="1" applyBorder="1" applyAlignment="1" applyProtection="1">
      <alignment horizontal="left" vertical="center" wrapText="1" readingOrder="1"/>
      <protection locked="0"/>
    </xf>
  </cellXfs>
  <cellStyles count="273">
    <cellStyle name="20% - Accent1 2" xfId="85" xr:uid="{00000000-0005-0000-0000-000000000000}"/>
    <cellStyle name="20% - Accent2 2" xfId="86" xr:uid="{00000000-0005-0000-0000-000001000000}"/>
    <cellStyle name="20% - Accent3 2" xfId="87" xr:uid="{00000000-0005-0000-0000-000002000000}"/>
    <cellStyle name="20% - Accent4 2" xfId="88" xr:uid="{00000000-0005-0000-0000-000003000000}"/>
    <cellStyle name="20% - Accent5 2" xfId="89" xr:uid="{00000000-0005-0000-0000-000004000000}"/>
    <cellStyle name="20% - Accent6 2" xfId="90" xr:uid="{00000000-0005-0000-0000-000005000000}"/>
    <cellStyle name="40% - Accent1 2" xfId="91" xr:uid="{00000000-0005-0000-0000-000006000000}"/>
    <cellStyle name="40% - Accent2 2" xfId="92" xr:uid="{00000000-0005-0000-0000-000007000000}"/>
    <cellStyle name="40% - Accent3 2" xfId="93" xr:uid="{00000000-0005-0000-0000-000008000000}"/>
    <cellStyle name="40% - Accent4 2" xfId="94" xr:uid="{00000000-0005-0000-0000-000009000000}"/>
    <cellStyle name="40% - Accent5 2" xfId="95" xr:uid="{00000000-0005-0000-0000-00000A000000}"/>
    <cellStyle name="40% - Accent6 2" xfId="96" xr:uid="{00000000-0005-0000-0000-00000B000000}"/>
    <cellStyle name="60% - Accent1 2" xfId="97" xr:uid="{00000000-0005-0000-0000-00000C000000}"/>
    <cellStyle name="60% - Accent2 2" xfId="98" xr:uid="{00000000-0005-0000-0000-00000D000000}"/>
    <cellStyle name="60% - Accent3 2" xfId="99" xr:uid="{00000000-0005-0000-0000-00000E000000}"/>
    <cellStyle name="60% - Accent4 2" xfId="100" xr:uid="{00000000-0005-0000-0000-00000F000000}"/>
    <cellStyle name="60% - Accent5 2" xfId="101" xr:uid="{00000000-0005-0000-0000-000010000000}"/>
    <cellStyle name="60% - Accent6 2" xfId="102" xr:uid="{00000000-0005-0000-0000-000011000000}"/>
    <cellStyle name="Accent1 2" xfId="103" xr:uid="{00000000-0005-0000-0000-000012000000}"/>
    <cellStyle name="Accent2 2" xfId="104" xr:uid="{00000000-0005-0000-0000-000013000000}"/>
    <cellStyle name="Accent3 2" xfId="105" xr:uid="{00000000-0005-0000-0000-000014000000}"/>
    <cellStyle name="Accent4 2" xfId="106" xr:uid="{00000000-0005-0000-0000-000015000000}"/>
    <cellStyle name="Accent5 2" xfId="107" xr:uid="{00000000-0005-0000-0000-000016000000}"/>
    <cellStyle name="Accent6 2" xfId="108" xr:uid="{00000000-0005-0000-0000-000017000000}"/>
    <cellStyle name="Bad 2" xfId="109" xr:uid="{00000000-0005-0000-0000-000018000000}"/>
    <cellStyle name="Calculation 2" xfId="110" xr:uid="{00000000-0005-0000-0000-000019000000}"/>
    <cellStyle name="Check Cell 2" xfId="111" xr:uid="{00000000-0005-0000-0000-00001A000000}"/>
    <cellStyle name="Comma" xfId="1" builtinId="3"/>
    <cellStyle name="Comma 10" xfId="75" xr:uid="{00000000-0005-0000-0000-00001C000000}"/>
    <cellStyle name="Comma 10 2" xfId="205" xr:uid="{9609FE20-42C2-4F43-97E9-52581D81A7A7}"/>
    <cellStyle name="Comma 11" xfId="185" xr:uid="{00000000-0005-0000-0000-00001D000000}"/>
    <cellStyle name="Comma 11 2" xfId="206" xr:uid="{8DD9E06F-C6ED-47A5-B2F9-B5B9A81CD376}"/>
    <cellStyle name="Comma 12" xfId="188" xr:uid="{00000000-0005-0000-0000-00001E000000}"/>
    <cellStyle name="Comma 12 2" xfId="209" xr:uid="{C8DA547F-B88C-4585-9699-DFD7B9DB5639}"/>
    <cellStyle name="Comma 13" xfId="194" xr:uid="{00000000-0005-0000-0000-00001F000000}"/>
    <cellStyle name="Comma 13 2" xfId="269" xr:uid="{F7984DA6-B901-4BCE-B890-C28A4842B6DA}"/>
    <cellStyle name="Comma 13 3" xfId="271" xr:uid="{20C16BB9-B5F9-4A2B-B400-BEDB6ACB1F3D}"/>
    <cellStyle name="Comma 14" xfId="203" xr:uid="{6D37AF28-F2D3-45A2-B477-2541FA6003E0}"/>
    <cellStyle name="Comma 15" xfId="272" xr:uid="{34A0C8B2-BF4E-460C-ABC7-7C6FBB4A5D7F}"/>
    <cellStyle name="Comma 2" xfId="2" xr:uid="{00000000-0005-0000-0000-000020000000}"/>
    <cellStyle name="Comma 2 2" xfId="12" xr:uid="{00000000-0005-0000-0000-000021000000}"/>
    <cellStyle name="Comma 2 2 2" xfId="112" xr:uid="{00000000-0005-0000-0000-000022000000}"/>
    <cellStyle name="Comma 2 2 2 2" xfId="211" xr:uid="{12DE23FC-D5B1-4EAF-9AD4-EC5EEA692442}"/>
    <cellStyle name="Comma 2 2 3" xfId="65" xr:uid="{00000000-0005-0000-0000-000023000000}"/>
    <cellStyle name="Comma 2 2 3 2" xfId="212" xr:uid="{A02B6102-097D-45B3-BF2B-4E9301A53F08}"/>
    <cellStyle name="Comma 2 2 4" xfId="210" xr:uid="{6DC1C61D-7453-4E9B-A43A-385A1F6CFCEB}"/>
    <cellStyle name="Comma 2 3" xfId="13" xr:uid="{00000000-0005-0000-0000-000024000000}"/>
    <cellStyle name="Comma 2 3 2" xfId="14" xr:uid="{00000000-0005-0000-0000-000025000000}"/>
    <cellStyle name="Comma 2 3 2 2" xfId="149" xr:uid="{00000000-0005-0000-0000-000026000000}"/>
    <cellStyle name="Comma 2 3 2 2 2" xfId="214" xr:uid="{FBCB3815-F5D6-4ECD-BB26-8A0AB76E03A4}"/>
    <cellStyle name="Comma 2 3 2 3" xfId="213" xr:uid="{BDD4FAA0-D3C8-445B-A08A-D23C3A3536F8}"/>
    <cellStyle name="Comma 2 3 3" xfId="148" xr:uid="{00000000-0005-0000-0000-000027000000}"/>
    <cellStyle name="Comma 2 3 3 2" xfId="215" xr:uid="{B68D8D7A-8D0B-47A5-8D31-6670A5FD2395}"/>
    <cellStyle name="Comma 2 3 4" xfId="63" xr:uid="{00000000-0005-0000-0000-000028000000}"/>
    <cellStyle name="Comma 2 3 4 2" xfId="216" xr:uid="{F69AA4C2-23C0-4B83-8C3D-A453B9AB07E9}"/>
    <cellStyle name="Comma 2 4" xfId="15" xr:uid="{00000000-0005-0000-0000-000029000000}"/>
    <cellStyle name="Comma 2 4 2" xfId="150" xr:uid="{00000000-0005-0000-0000-00002A000000}"/>
    <cellStyle name="Comma 2 4 2 2" xfId="218" xr:uid="{F9BD1717-0908-4994-B73F-EB562DFFE626}"/>
    <cellStyle name="Comma 2 4 3" xfId="217" xr:uid="{7F8BADF8-0465-4E55-8521-C1C470F41765}"/>
    <cellStyle name="Comma 2 5" xfId="144" xr:uid="{00000000-0005-0000-0000-00002B000000}"/>
    <cellStyle name="Comma 2 5 2" xfId="219" xr:uid="{84AA01CA-A081-4344-91C4-E324D274C8D5}"/>
    <cellStyle name="Comma 2 6" xfId="64" xr:uid="{00000000-0005-0000-0000-00002C000000}"/>
    <cellStyle name="Comma 2 6 2" xfId="220" xr:uid="{1FAF12D2-E7F3-4ED7-8A94-CF7835F70195}"/>
    <cellStyle name="Comma 3" xfId="10" xr:uid="{00000000-0005-0000-0000-00002D000000}"/>
    <cellStyle name="Comma 3 2" xfId="16" xr:uid="{00000000-0005-0000-0000-00002E000000}"/>
    <cellStyle name="Comma 3 2 2" xfId="17" xr:uid="{00000000-0005-0000-0000-00002F000000}"/>
    <cellStyle name="Comma 3 2 2 2" xfId="222" xr:uid="{7CF5612B-AC29-49F6-B65A-7B1F8730AE1C}"/>
    <cellStyle name="Comma 3 2 3" xfId="67" xr:uid="{00000000-0005-0000-0000-000030000000}"/>
    <cellStyle name="Comma 3 2 3 2" xfId="223" xr:uid="{B5F46C6A-53A3-446E-A6B0-12F24E612D43}"/>
    <cellStyle name="Comma 3 2 4" xfId="221" xr:uid="{509A0F99-3165-4183-BF21-B2A7AE50514B}"/>
    <cellStyle name="Comma 3 3" xfId="18" xr:uid="{00000000-0005-0000-0000-000031000000}"/>
    <cellStyle name="Comma 3 3 2" xfId="19" xr:uid="{00000000-0005-0000-0000-000032000000}"/>
    <cellStyle name="Comma 3 3 2 2" xfId="152" xr:uid="{00000000-0005-0000-0000-000033000000}"/>
    <cellStyle name="Comma 3 3 2 2 2" xfId="226" xr:uid="{CBB2F806-E58F-4C7E-A278-7367747109D6}"/>
    <cellStyle name="Comma 3 3 2 3" xfId="225" xr:uid="{DF52A1B0-8F83-4581-B9C2-DF81FA14AC88}"/>
    <cellStyle name="Comma 3 3 3" xfId="151" xr:uid="{00000000-0005-0000-0000-000034000000}"/>
    <cellStyle name="Comma 3 3 3 2" xfId="227" xr:uid="{99575C3F-2272-46CA-AEF8-D39B59879080}"/>
    <cellStyle name="Comma 3 3 4" xfId="68" xr:uid="{00000000-0005-0000-0000-000035000000}"/>
    <cellStyle name="Comma 3 3 4 2" xfId="228" xr:uid="{FFE86545-6603-4CDE-B1DD-62404240691F}"/>
    <cellStyle name="Comma 3 3 5" xfId="224" xr:uid="{B57F0DF6-FBF6-4493-A11E-704B41116558}"/>
    <cellStyle name="Comma 3 4" xfId="146" xr:uid="{00000000-0005-0000-0000-000036000000}"/>
    <cellStyle name="Comma 3 4 2" xfId="229" xr:uid="{4E4B6018-932A-45D7-B369-75A07723A1B9}"/>
    <cellStyle name="Comma 3 5" xfId="66" xr:uid="{00000000-0005-0000-0000-000037000000}"/>
    <cellStyle name="Comma 3 5 2" xfId="230" xr:uid="{776378BC-AE8E-4728-89F7-4EFEA19FA0E1}"/>
    <cellStyle name="Comma 4" xfId="20" xr:uid="{00000000-0005-0000-0000-000038000000}"/>
    <cellStyle name="Comma 4 2" xfId="21" xr:uid="{00000000-0005-0000-0000-000039000000}"/>
    <cellStyle name="Comma 4 2 2" xfId="113" xr:uid="{00000000-0005-0000-0000-00003A000000}"/>
    <cellStyle name="Comma 4 2 2 2" xfId="233" xr:uid="{9231B244-C015-4BDE-AF9D-BE39625E20E8}"/>
    <cellStyle name="Comma 4 2 3" xfId="232" xr:uid="{F4A40D71-4BE3-423E-9796-77D8D4581370}"/>
    <cellStyle name="Comma 4 3" xfId="69" xr:uid="{00000000-0005-0000-0000-00003B000000}"/>
    <cellStyle name="Comma 4 3 2" xfId="234" xr:uid="{1C08F7A6-F54C-4C9B-BDE8-AA899A876991}"/>
    <cellStyle name="Comma 4 4" xfId="231" xr:uid="{46C0FDCF-C823-4862-8BDB-D5CBC45ACFE2}"/>
    <cellStyle name="Comma 5" xfId="22" xr:uid="{00000000-0005-0000-0000-00003C000000}"/>
    <cellStyle name="Comma 5 2" xfId="114" xr:uid="{00000000-0005-0000-0000-00003D000000}"/>
    <cellStyle name="Comma 5 2 2" xfId="236" xr:uid="{1F556872-CF5D-46D0-B392-8731C6C97CBD}"/>
    <cellStyle name="Comma 5 3" xfId="235" xr:uid="{D8C095A4-10E7-4A77-B837-FE9B779A91E7}"/>
    <cellStyle name="Comma 6" xfId="23" xr:uid="{00000000-0005-0000-0000-00003E000000}"/>
    <cellStyle name="Comma 6 2" xfId="24" xr:uid="{00000000-0005-0000-0000-00003F000000}"/>
    <cellStyle name="Comma 6 2 2" xfId="154" xr:uid="{00000000-0005-0000-0000-000040000000}"/>
    <cellStyle name="Comma 6 2 2 2" xfId="238" xr:uid="{82AD9D40-EB6C-495F-A01E-ABCC4B52F8F5}"/>
    <cellStyle name="Comma 6 2 3" xfId="237" xr:uid="{11695565-88B3-4E79-B514-6AD8C018257B}"/>
    <cellStyle name="Comma 6 3" xfId="153" xr:uid="{00000000-0005-0000-0000-000041000000}"/>
    <cellStyle name="Comma 6 3 2" xfId="239" xr:uid="{1E5877AE-5FBF-4057-8F41-704D968BF0AC}"/>
    <cellStyle name="Comma 7" xfId="25" xr:uid="{00000000-0005-0000-0000-000042000000}"/>
    <cellStyle name="Comma 7 2" xfId="155" xr:uid="{00000000-0005-0000-0000-000043000000}"/>
    <cellStyle name="Comma 7 2 2" xfId="241" xr:uid="{04283CEB-62E7-48C2-8401-E5AE74347A5C}"/>
    <cellStyle name="Comma 7 3" xfId="240" xr:uid="{F1F78CE9-25C3-44D8-BFB9-439640F98022}"/>
    <cellStyle name="Comma 8" xfId="56" xr:uid="{00000000-0005-0000-0000-000044000000}"/>
    <cellStyle name="Comma 8 2" xfId="60" xr:uid="{00000000-0005-0000-0000-000045000000}"/>
    <cellStyle name="Comma 8 2 2" xfId="176" xr:uid="{00000000-0005-0000-0000-000046000000}"/>
    <cellStyle name="Comma 8 2 2 2" xfId="244" xr:uid="{2C429428-2701-4B52-AD20-8879C2A7C967}"/>
    <cellStyle name="Comma 8 2 3" xfId="183" xr:uid="{00000000-0005-0000-0000-000047000000}"/>
    <cellStyle name="Comma 8 2 3 2" xfId="245" xr:uid="{CC7A73D6-0A31-406D-8F26-EC5E7248EA9F}"/>
    <cellStyle name="Comma 8 2 4" xfId="243" xr:uid="{28C57A5A-196D-4184-8D46-1B14B69C9B83}"/>
    <cellStyle name="Comma 8 3" xfId="172" xr:uid="{00000000-0005-0000-0000-000048000000}"/>
    <cellStyle name="Comma 8 3 2" xfId="246" xr:uid="{E91D5257-E897-4CFB-9A93-E64B33DA3EFA}"/>
    <cellStyle name="Comma 8 4" xfId="180" xr:uid="{00000000-0005-0000-0000-000049000000}"/>
    <cellStyle name="Comma 8 4 2" xfId="247" xr:uid="{A7F02E31-BE3D-48B8-96A5-4744333B24D5}"/>
    <cellStyle name="Comma 8 5" xfId="242" xr:uid="{6F379A3F-57BD-48B9-96C8-1D27D718813F}"/>
    <cellStyle name="Comma 9" xfId="143" xr:uid="{00000000-0005-0000-0000-00004A000000}"/>
    <cellStyle name="Comma 9 2" xfId="248" xr:uid="{45DE3B54-45EF-495D-BBE8-498CE0654C00}"/>
    <cellStyle name="Explanatory Text 2" xfId="115" xr:uid="{00000000-0005-0000-0000-00004B000000}"/>
    <cellStyle name="Followed Hyperlink 2" xfId="84" xr:uid="{00000000-0005-0000-0000-00004C000000}"/>
    <cellStyle name="Good 2" xfId="116" xr:uid="{00000000-0005-0000-0000-00004D000000}"/>
    <cellStyle name="Heading 1 2" xfId="117" xr:uid="{00000000-0005-0000-0000-00004E000000}"/>
    <cellStyle name="Heading 2 2" xfId="118" xr:uid="{00000000-0005-0000-0000-00004F000000}"/>
    <cellStyle name="Heading 3 2" xfId="119" xr:uid="{00000000-0005-0000-0000-000050000000}"/>
    <cellStyle name="Heading 4 2" xfId="120" xr:uid="{00000000-0005-0000-0000-000051000000}"/>
    <cellStyle name="Hyperlink" xfId="3" builtinId="8"/>
    <cellStyle name="Hyperlink 2" xfId="9" xr:uid="{00000000-0005-0000-0000-000053000000}"/>
    <cellStyle name="Hyperlink 2 2" xfId="26" xr:uid="{00000000-0005-0000-0000-000054000000}"/>
    <cellStyle name="Hyperlink 2 2 2" xfId="156" xr:uid="{00000000-0005-0000-0000-000055000000}"/>
    <cellStyle name="Hyperlink 2 2 3" xfId="83" xr:uid="{00000000-0005-0000-0000-000056000000}"/>
    <cellStyle name="Hyperlink 3" xfId="27" xr:uid="{00000000-0005-0000-0000-000057000000}"/>
    <cellStyle name="Hyperlink 3 2" xfId="28" xr:uid="{00000000-0005-0000-0000-000058000000}"/>
    <cellStyle name="Hyperlink 3 3" xfId="157" xr:uid="{00000000-0005-0000-0000-000059000000}"/>
    <cellStyle name="Hyperlink 3 4" xfId="121" xr:uid="{00000000-0005-0000-0000-00005A000000}"/>
    <cellStyle name="Hyperlink 4" xfId="29" xr:uid="{00000000-0005-0000-0000-00005B000000}"/>
    <cellStyle name="Hyperlink 4 2" xfId="30" xr:uid="{00000000-0005-0000-0000-00005C000000}"/>
    <cellStyle name="Hyperlink 4 3" xfId="158" xr:uid="{00000000-0005-0000-0000-00005D000000}"/>
    <cellStyle name="Hyperlink 4 4" xfId="82" xr:uid="{00000000-0005-0000-0000-00005E000000}"/>
    <cellStyle name="Hyperlink 5" xfId="31" xr:uid="{00000000-0005-0000-0000-00005F000000}"/>
    <cellStyle name="Hyperlink 5 2" xfId="159" xr:uid="{00000000-0005-0000-0000-000060000000}"/>
    <cellStyle name="Hyperlink 6" xfId="270" xr:uid="{F5E37A10-C843-4394-A829-C235826A884B}"/>
    <cellStyle name="Input 2" xfId="122" xr:uid="{00000000-0005-0000-0000-000061000000}"/>
    <cellStyle name="Linked Cell 2" xfId="123" xr:uid="{00000000-0005-0000-0000-000062000000}"/>
    <cellStyle name="Neutral 2" xfId="124" xr:uid="{00000000-0005-0000-0000-000063000000}"/>
    <cellStyle name="Normal" xfId="0" builtinId="0"/>
    <cellStyle name="Normal 10" xfId="61" xr:uid="{00000000-0005-0000-0000-000065000000}"/>
    <cellStyle name="Normal 11" xfId="142" xr:uid="{00000000-0005-0000-0000-000066000000}"/>
    <cellStyle name="Normal 12" xfId="184" xr:uid="{00000000-0005-0000-0000-000067000000}"/>
    <cellStyle name="Normal 12 2" xfId="198" xr:uid="{00000000-0005-0000-0000-000068000000}"/>
    <cellStyle name="Normal 13" xfId="189" xr:uid="{00000000-0005-0000-0000-000069000000}"/>
    <cellStyle name="Normal 14" xfId="193" xr:uid="{00000000-0005-0000-0000-00006A000000}"/>
    <cellStyle name="Normal 14 2" xfId="199" xr:uid="{00000000-0005-0000-0000-00006B000000}"/>
    <cellStyle name="Normal 14 2 2" xfId="266" xr:uid="{B74CE89D-9AF0-4958-ACB9-B3350A1B2FEE}"/>
    <cellStyle name="Normal 14 3" xfId="262" xr:uid="{A1D76F21-DF90-4406-95CB-9075C5E7689D}"/>
    <cellStyle name="Normal 15" xfId="202" xr:uid="{21638C0C-1ABA-4948-85CF-AB5BF47CD35E}"/>
    <cellStyle name="Normal 2" xfId="4" xr:uid="{00000000-0005-0000-0000-00006C000000}"/>
    <cellStyle name="Normal 2 2" xfId="32" xr:uid="{00000000-0005-0000-0000-00006D000000}"/>
    <cellStyle name="Normal 2 2 2" xfId="70" xr:uid="{00000000-0005-0000-0000-00006E000000}"/>
    <cellStyle name="Normal 2 3" xfId="62" xr:uid="{00000000-0005-0000-0000-00006F000000}"/>
    <cellStyle name="Normal 2 4" xfId="125" xr:uid="{00000000-0005-0000-0000-000070000000}"/>
    <cellStyle name="Normal 2 4 2" xfId="249" xr:uid="{3DB1B974-99CD-418E-B6B0-2AD2BEEDDC65}"/>
    <cellStyle name="Normal 2 5" xfId="81" xr:uid="{00000000-0005-0000-0000-000071000000}"/>
    <cellStyle name="Normal 3" xfId="5" xr:uid="{00000000-0005-0000-0000-000072000000}"/>
    <cellStyle name="Normal 3 2" xfId="33" xr:uid="{00000000-0005-0000-0000-000073000000}"/>
    <cellStyle name="Normal 3 2 2" xfId="34" xr:uid="{00000000-0005-0000-0000-000074000000}"/>
    <cellStyle name="Normal 3 2 3" xfId="160" xr:uid="{00000000-0005-0000-0000-000075000000}"/>
    <cellStyle name="Normal 3 3" xfId="35" xr:uid="{00000000-0005-0000-0000-000076000000}"/>
    <cellStyle name="Normal 3 3 2" xfId="71" xr:uid="{00000000-0005-0000-0000-000077000000}"/>
    <cellStyle name="Normal 3 4" xfId="36" xr:uid="{00000000-0005-0000-0000-000078000000}"/>
    <cellStyle name="Normal 3 4 2" xfId="161" xr:uid="{00000000-0005-0000-0000-000079000000}"/>
    <cellStyle name="Normal 3 4 3" xfId="78" xr:uid="{00000000-0005-0000-0000-00007A000000}"/>
    <cellStyle name="Normal 4" xfId="6" xr:uid="{00000000-0005-0000-0000-00007B000000}"/>
    <cellStyle name="Normal 4 2" xfId="37" xr:uid="{00000000-0005-0000-0000-00007C000000}"/>
    <cellStyle name="Normal 4 3" xfId="38" xr:uid="{00000000-0005-0000-0000-00007D000000}"/>
    <cellStyle name="Normal 4 4" xfId="145" xr:uid="{00000000-0005-0000-0000-00007E000000}"/>
    <cellStyle name="Normal 4 5" xfId="190" xr:uid="{00000000-0005-0000-0000-00007F000000}"/>
    <cellStyle name="Normal 5" xfId="11" xr:uid="{00000000-0005-0000-0000-000080000000}"/>
    <cellStyle name="Normal 5 2" xfId="39" xr:uid="{00000000-0005-0000-0000-000081000000}"/>
    <cellStyle name="Normal 5 2 2" xfId="126" xr:uid="{00000000-0005-0000-0000-000082000000}"/>
    <cellStyle name="Normal 5 3" xfId="58" xr:uid="{00000000-0005-0000-0000-000083000000}"/>
    <cellStyle name="Normal 5 3 2" xfId="174" xr:uid="{00000000-0005-0000-0000-000084000000}"/>
    <cellStyle name="Normal 5 3 2 2" xfId="251" xr:uid="{9030E41A-A29E-44CE-A611-B67E8500941A}"/>
    <cellStyle name="Normal 5 3 3" xfId="181" xr:uid="{00000000-0005-0000-0000-000085000000}"/>
    <cellStyle name="Normal 5 3 3 2" xfId="252" xr:uid="{91FD6149-6BC9-4BA0-8165-3A7141B7F067}"/>
    <cellStyle name="Normal 5 3 4" xfId="186" xr:uid="{00000000-0005-0000-0000-000086000000}"/>
    <cellStyle name="Normal 5 3 5" xfId="196" xr:uid="{00000000-0005-0000-0000-000087000000}"/>
    <cellStyle name="Normal 5 3 5 2" xfId="200" xr:uid="{00000000-0005-0000-0000-000088000000}"/>
    <cellStyle name="Normal 5 3 5 2 2" xfId="267" xr:uid="{90E3A40B-C003-4B58-A197-C0C72BED6707}"/>
    <cellStyle name="Normal 5 3 5 3" xfId="263" xr:uid="{A565DE48-EA3A-48B2-AFA5-B089CBBED46F}"/>
    <cellStyle name="Normal 5 3 6" xfId="207" xr:uid="{9D1D8B9B-C78A-4ADD-8355-15CFC3D7C09E}"/>
    <cellStyle name="Normal 5 4" xfId="147" xr:uid="{00000000-0005-0000-0000-000089000000}"/>
    <cellStyle name="Normal 5 4 2" xfId="253" xr:uid="{CF04B15E-3FBB-42D8-B989-428EA322C1C7}"/>
    <cellStyle name="Normal 5 5" xfId="72" xr:uid="{00000000-0005-0000-0000-00008A000000}"/>
    <cellStyle name="Normal 5 6" xfId="178" xr:uid="{00000000-0005-0000-0000-00008B000000}"/>
    <cellStyle name="Normal 5 6 2" xfId="254" xr:uid="{9E18D1C4-215B-491B-AB72-91452166AB82}"/>
    <cellStyle name="Normal 5 7" xfId="250" xr:uid="{C7D6A142-9BEB-42DF-A49E-E1076793DD72}"/>
    <cellStyle name="Normal 6" xfId="40" xr:uid="{00000000-0005-0000-0000-00008C000000}"/>
    <cellStyle name="Normal 6 2" xfId="162" xr:uid="{00000000-0005-0000-0000-00008D000000}"/>
    <cellStyle name="Normal 7" xfId="41" xr:uid="{00000000-0005-0000-0000-00008E000000}"/>
    <cellStyle name="Normal 7 2" xfId="77" xr:uid="{00000000-0005-0000-0000-00008F000000}"/>
    <cellStyle name="Normal 7 3" xfId="163" xr:uid="{00000000-0005-0000-0000-000090000000}"/>
    <cellStyle name="Normal 8" xfId="42" xr:uid="{00000000-0005-0000-0000-000091000000}"/>
    <cellStyle name="Normal 8 2" xfId="80" xr:uid="{00000000-0005-0000-0000-000092000000}"/>
    <cellStyle name="Normal 8 3" xfId="76" xr:uid="{00000000-0005-0000-0000-000093000000}"/>
    <cellStyle name="Normal 9" xfId="57" xr:uid="{00000000-0005-0000-0000-000094000000}"/>
    <cellStyle name="Normal 9 2" xfId="173" xr:uid="{00000000-0005-0000-0000-000095000000}"/>
    <cellStyle name="Normal 9 3" xfId="79" xr:uid="{00000000-0005-0000-0000-000096000000}"/>
    <cellStyle name="Note 2" xfId="127" xr:uid="{00000000-0005-0000-0000-000097000000}"/>
    <cellStyle name="Note 2 2" xfId="128" xr:uid="{00000000-0005-0000-0000-000098000000}"/>
    <cellStyle name="Note 3" xfId="129" xr:uid="{00000000-0005-0000-0000-000099000000}"/>
    <cellStyle name="Output 2" xfId="130" xr:uid="{00000000-0005-0000-0000-00009A000000}"/>
    <cellStyle name="Percent" xfId="7" builtinId="5"/>
    <cellStyle name="Percent 10" xfId="191" xr:uid="{00000000-0005-0000-0000-00009C000000}"/>
    <cellStyle name="Percent 11" xfId="195" xr:uid="{00000000-0005-0000-0000-00009D000000}"/>
    <cellStyle name="Percent 11 2" xfId="265" xr:uid="{A1FF0573-AEE5-4362-B294-946201031CC0}"/>
    <cellStyle name="Percent 12" xfId="204" xr:uid="{E82C871D-82CB-46A7-8844-5C089B7F2383}"/>
    <cellStyle name="Percent 2" xfId="8" xr:uid="{00000000-0005-0000-0000-00009E000000}"/>
    <cellStyle name="Percent 2 2" xfId="43" xr:uid="{00000000-0005-0000-0000-00009F000000}"/>
    <cellStyle name="Percent 2 2 2" xfId="44" xr:uid="{00000000-0005-0000-0000-0000A0000000}"/>
    <cellStyle name="Percent 2 2 3" xfId="74" xr:uid="{00000000-0005-0000-0000-0000A1000000}"/>
    <cellStyle name="Percent 2 3" xfId="45" xr:uid="{00000000-0005-0000-0000-0000A2000000}"/>
    <cellStyle name="Percent 2 3 2" xfId="46" xr:uid="{00000000-0005-0000-0000-0000A3000000}"/>
    <cellStyle name="Percent 2 3 2 2" xfId="165" xr:uid="{00000000-0005-0000-0000-0000A4000000}"/>
    <cellStyle name="Percent 2 3 3" xfId="164" xr:uid="{00000000-0005-0000-0000-0000A5000000}"/>
    <cellStyle name="Percent 2 3 4" xfId="131" xr:uid="{00000000-0005-0000-0000-0000A6000000}"/>
    <cellStyle name="Percent 2 4" xfId="73" xr:uid="{00000000-0005-0000-0000-0000A7000000}"/>
    <cellStyle name="Percent 3" xfId="47" xr:uid="{00000000-0005-0000-0000-0000A8000000}"/>
    <cellStyle name="Percent 3 2" xfId="48" xr:uid="{00000000-0005-0000-0000-0000A9000000}"/>
    <cellStyle name="Percent 3 2 2" xfId="134" xr:uid="{00000000-0005-0000-0000-0000AA000000}"/>
    <cellStyle name="Percent 3 2 2 2" xfId="255" xr:uid="{3ADE952D-49EA-4CA8-BD8F-3F8374D332CE}"/>
    <cellStyle name="Percent 3 2 3" xfId="166" xr:uid="{00000000-0005-0000-0000-0000AB000000}"/>
    <cellStyle name="Percent 3 2 4" xfId="133" xr:uid="{00000000-0005-0000-0000-0000AC000000}"/>
    <cellStyle name="Percent 3 3" xfId="135" xr:uid="{00000000-0005-0000-0000-0000AD000000}"/>
    <cellStyle name="Percent 3 3 2" xfId="256" xr:uid="{6DFDE254-3A44-40BC-A89B-98FE0822B6A1}"/>
    <cellStyle name="Percent 3 4" xfId="132" xr:uid="{00000000-0005-0000-0000-0000AE000000}"/>
    <cellStyle name="Percent 4" xfId="49" xr:uid="{00000000-0005-0000-0000-0000AF000000}"/>
    <cellStyle name="Percent 4 2" xfId="50" xr:uid="{00000000-0005-0000-0000-0000B0000000}"/>
    <cellStyle name="Percent 4 2 2" xfId="137" xr:uid="{00000000-0005-0000-0000-0000B1000000}"/>
    <cellStyle name="Percent 4 3" xfId="136" xr:uid="{00000000-0005-0000-0000-0000B2000000}"/>
    <cellStyle name="Percent 5" xfId="51" xr:uid="{00000000-0005-0000-0000-0000B3000000}"/>
    <cellStyle name="Percent 5 2" xfId="52" xr:uid="{00000000-0005-0000-0000-0000B4000000}"/>
    <cellStyle name="Percent 5 2 2" xfId="168" xr:uid="{00000000-0005-0000-0000-0000B5000000}"/>
    <cellStyle name="Percent 5 2 3" xfId="139" xr:uid="{00000000-0005-0000-0000-0000B6000000}"/>
    <cellStyle name="Percent 5 3" xfId="167" xr:uid="{00000000-0005-0000-0000-0000B7000000}"/>
    <cellStyle name="Percent 5 4" xfId="138" xr:uid="{00000000-0005-0000-0000-0000B8000000}"/>
    <cellStyle name="Percent 6" xfId="53" xr:uid="{00000000-0005-0000-0000-0000B9000000}"/>
    <cellStyle name="Percent 6 2" xfId="169" xr:uid="{00000000-0005-0000-0000-0000BA000000}"/>
    <cellStyle name="Percent 7" xfId="54" xr:uid="{00000000-0005-0000-0000-0000BB000000}"/>
    <cellStyle name="Percent 7 2" xfId="170" xr:uid="{00000000-0005-0000-0000-0000BC000000}"/>
    <cellStyle name="Percent 8" xfId="55" xr:uid="{00000000-0005-0000-0000-0000BD000000}"/>
    <cellStyle name="Percent 8 2" xfId="59" xr:uid="{00000000-0005-0000-0000-0000BE000000}"/>
    <cellStyle name="Percent 8 2 2" xfId="175" xr:uid="{00000000-0005-0000-0000-0000BF000000}"/>
    <cellStyle name="Percent 8 2 2 2" xfId="258" xr:uid="{59375FA3-A126-4576-A236-95966BFDBFEC}"/>
    <cellStyle name="Percent 8 2 3" xfId="182" xr:uid="{00000000-0005-0000-0000-0000C0000000}"/>
    <cellStyle name="Percent 8 2 3 2" xfId="259" xr:uid="{99971E4A-3849-43BE-BD17-9470EE0C3EC1}"/>
    <cellStyle name="Percent 8 2 4" xfId="187" xr:uid="{00000000-0005-0000-0000-0000C1000000}"/>
    <cellStyle name="Percent 8 2 5" xfId="197" xr:uid="{00000000-0005-0000-0000-0000C2000000}"/>
    <cellStyle name="Percent 8 2 5 2" xfId="201" xr:uid="{00000000-0005-0000-0000-0000C3000000}"/>
    <cellStyle name="Percent 8 2 5 2 2" xfId="268" xr:uid="{56FC9010-B73A-45A1-BB88-E1A00407AD0A}"/>
    <cellStyle name="Percent 8 2 5 3" xfId="264" xr:uid="{6A49A5A2-7662-42DB-B3E2-3ECC8A7F632C}"/>
    <cellStyle name="Percent 8 2 6" xfId="208" xr:uid="{5080926C-8ABA-479E-80C3-CAB6C45B6CE0}"/>
    <cellStyle name="Percent 8 3" xfId="171" xr:uid="{00000000-0005-0000-0000-0000C4000000}"/>
    <cellStyle name="Percent 8 3 2" xfId="260" xr:uid="{5E28235F-EE1D-44A3-A61B-E5142E5F960A}"/>
    <cellStyle name="Percent 8 4" xfId="179" xr:uid="{00000000-0005-0000-0000-0000C5000000}"/>
    <cellStyle name="Percent 8 4 2" xfId="261" xr:uid="{2F0810D5-D6E8-4ACB-832A-940AA69D1336}"/>
    <cellStyle name="Percent 8 5" xfId="257" xr:uid="{487CC73E-33E2-43ED-A2C7-E2A43B638237}"/>
    <cellStyle name="Percent 9" xfId="192" xr:uid="{00000000-0005-0000-0000-0000C6000000}"/>
    <cellStyle name="Title" xfId="177" builtinId="15" customBuiltin="1"/>
    <cellStyle name="Total 2" xfId="140" xr:uid="{00000000-0005-0000-0000-0000C8000000}"/>
    <cellStyle name="Warning Text 2" xfId="141" xr:uid="{00000000-0005-0000-0000-0000C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3360"/>
      <rgbColor rgb="00D3D3D3"/>
      <rgbColor rgb="000000FF"/>
      <rgbColor rgb="0000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5EB8"/>
      <color rgb="FF003087"/>
      <color rgb="FF3F91C9"/>
      <color rgb="FFF8F8F8"/>
      <color rgb="FF84919C"/>
      <color rgb="FFD0D5D6"/>
      <color rgb="FF5EC1EA"/>
      <color rgb="FFD6DB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24</xdr:row>
      <xdr:rowOff>76199</xdr:rowOff>
    </xdr:from>
    <xdr:to>
      <xdr:col>1</xdr:col>
      <xdr:colOff>41033</xdr:colOff>
      <xdr:row>24</xdr:row>
      <xdr:rowOff>504265</xdr:rowOff>
    </xdr:to>
    <xdr:pic>
      <xdr:nvPicPr>
        <xdr:cNvPr id="2" name="Picture 1" descr="48bf4cd158a94aebada082d9c5a61d4a">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6138581"/>
          <a:ext cx="636627"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704850</xdr:colOff>
      <xdr:row>0</xdr:row>
      <xdr:rowOff>9525</xdr:rowOff>
    </xdr:from>
    <xdr:to>
      <xdr:col>8</xdr:col>
      <xdr:colOff>677227</xdr:colOff>
      <xdr:row>0</xdr:row>
      <xdr:rowOff>410527</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72350" y="9525"/>
          <a:ext cx="923925" cy="40005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ccident--emergency-activity/2019-20" TargetMode="External"/><Relationship Id="rId1" Type="http://schemas.openxmlformats.org/officeDocument/2006/relationships/hyperlink" Target="mailto:enquiries@nhsdigital.nhs.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england.nhs.uk/statistics/statistical-work-areas/ae-waiting-times-and-activity/ae-attendances-and-emergency-admissions-2018-19/"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enquiries@nhsdigital.nhs.uk"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ngland.nhs.uk/statistics/wp-content/uploads/sites/2/2019/06/Publication-of-May-AE-data.pdf"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england.nhs.uk/statistics/wp-content/uploads/sites/2/2019/06/Publication-of-May-AE-data.pdf"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england.nhs.uk/statistics/wp-content/uploads/sites/2/2019/06/Publication-of-May-AE-data.pdf"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england.nhs.uk/statistics/wp-content/uploads/sites/2/2019/06/Publication-of-May-AE-data.pdf" TargetMode="External"/><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nquiries@nhsdigital.nhs.uk"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enquiries@nhsdigital.nhs.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enquiries@nhsdigital.nhs.uk"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england.nhs.uk/statistics/statistical-work-areas/ae-waiting-times-and-activity/ae-attendances-and-emergency-admissions-2018-19/" TargetMode="External"/><Relationship Id="rId1" Type="http://schemas.openxmlformats.org/officeDocument/2006/relationships/hyperlink" Target="mailto:enquiries@nhsdigital.nhs.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mailto:enquiries@nhsdigital.nhs.uk"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mailto:enquiries@nhsdigital.nhs.uk"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mailto:enquiries@nhsdigital.nhs.uk"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adhocs/009316populationsbysexsingleyearofageandindexofmultipledeprivationimdengland2001to2017" TargetMode="External"/><Relationship Id="rId2" Type="http://schemas.openxmlformats.org/officeDocument/2006/relationships/hyperlink" Target="https://www.gov.uk/government/statistics/english-indices-of-deprivation-2015" TargetMode="External"/><Relationship Id="rId1" Type="http://schemas.openxmlformats.org/officeDocument/2006/relationships/hyperlink" Target="mailto:enquiries@nhsdigital.nhs.uk" TargetMode="External"/><Relationship Id="rId5" Type="http://schemas.openxmlformats.org/officeDocument/2006/relationships/printerSettings" Target="../printerSettings/printerSettings20.bin"/><Relationship Id="rId4" Type="http://schemas.openxmlformats.org/officeDocument/2006/relationships/hyperlink" Target="https://www.ons.gov.uk/peoplepopulationandcommunity/birthsdeathsandmarriages/deaths/adhocs/11169deathregistrationsandpopulationsbyindexofmultipledeprivationengland2001to2018"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www.ons.gov.uk/peoplepopulationandcommunity/populationandmigration/populationestimates/adhocs/008780populationdenominatorsbyethnicgroupregionsandcountriesenglandandwales2011to2017" TargetMode="External"/><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6"/>
  <sheetViews>
    <sheetView showGridLines="0" tabSelected="1" zoomScaleNormal="100" workbookViewId="0">
      <selection sqref="A1:I1"/>
    </sheetView>
  </sheetViews>
  <sheetFormatPr defaultRowHeight="12.75" x14ac:dyDescent="0.2"/>
  <cols>
    <col min="1" max="1" width="16.7109375" style="33" customWidth="1"/>
    <col min="2" max="9" width="14.28515625" style="33" customWidth="1"/>
    <col min="10" max="256" width="9.140625" style="33"/>
    <col min="257" max="257" width="12.7109375" style="33" customWidth="1"/>
    <col min="258" max="258" width="69.5703125" style="33" customWidth="1"/>
    <col min="259" max="259" width="26" style="33" customWidth="1"/>
    <col min="260" max="260" width="18.140625" style="33" customWidth="1"/>
    <col min="261" max="512" width="9.140625" style="33"/>
    <col min="513" max="513" width="12.7109375" style="33" customWidth="1"/>
    <col min="514" max="514" width="69.5703125" style="33" customWidth="1"/>
    <col min="515" max="515" width="26" style="33" customWidth="1"/>
    <col min="516" max="516" width="18.140625" style="33" customWidth="1"/>
    <col min="517" max="768" width="9.140625" style="33"/>
    <col min="769" max="769" width="12.7109375" style="33" customWidth="1"/>
    <col min="770" max="770" width="69.5703125" style="33" customWidth="1"/>
    <col min="771" max="771" width="26" style="33" customWidth="1"/>
    <col min="772" max="772" width="18.140625" style="33" customWidth="1"/>
    <col min="773" max="1024" width="9.140625" style="33"/>
    <col min="1025" max="1025" width="12.7109375" style="33" customWidth="1"/>
    <col min="1026" max="1026" width="69.5703125" style="33" customWidth="1"/>
    <col min="1027" max="1027" width="26" style="33" customWidth="1"/>
    <col min="1028" max="1028" width="18.140625" style="33" customWidth="1"/>
    <col min="1029" max="1280" width="9.140625" style="33"/>
    <col min="1281" max="1281" width="12.7109375" style="33" customWidth="1"/>
    <col min="1282" max="1282" width="69.5703125" style="33" customWidth="1"/>
    <col min="1283" max="1283" width="26" style="33" customWidth="1"/>
    <col min="1284" max="1284" width="18.140625" style="33" customWidth="1"/>
    <col min="1285" max="1536" width="9.140625" style="33"/>
    <col min="1537" max="1537" width="12.7109375" style="33" customWidth="1"/>
    <col min="1538" max="1538" width="69.5703125" style="33" customWidth="1"/>
    <col min="1539" max="1539" width="26" style="33" customWidth="1"/>
    <col min="1540" max="1540" width="18.140625" style="33" customWidth="1"/>
    <col min="1541" max="1792" width="9.140625" style="33"/>
    <col min="1793" max="1793" width="12.7109375" style="33" customWidth="1"/>
    <col min="1794" max="1794" width="69.5703125" style="33" customWidth="1"/>
    <col min="1795" max="1795" width="26" style="33" customWidth="1"/>
    <col min="1796" max="1796" width="18.140625" style="33" customWidth="1"/>
    <col min="1797" max="2048" width="9.140625" style="33"/>
    <col min="2049" max="2049" width="12.7109375" style="33" customWidth="1"/>
    <col min="2050" max="2050" width="69.5703125" style="33" customWidth="1"/>
    <col min="2051" max="2051" width="26" style="33" customWidth="1"/>
    <col min="2052" max="2052" width="18.140625" style="33" customWidth="1"/>
    <col min="2053" max="2304" width="9.140625" style="33"/>
    <col min="2305" max="2305" width="12.7109375" style="33" customWidth="1"/>
    <col min="2306" max="2306" width="69.5703125" style="33" customWidth="1"/>
    <col min="2307" max="2307" width="26" style="33" customWidth="1"/>
    <col min="2308" max="2308" width="18.140625" style="33" customWidth="1"/>
    <col min="2309" max="2560" width="9.140625" style="33"/>
    <col min="2561" max="2561" width="12.7109375" style="33" customWidth="1"/>
    <col min="2562" max="2562" width="69.5703125" style="33" customWidth="1"/>
    <col min="2563" max="2563" width="26" style="33" customWidth="1"/>
    <col min="2564" max="2564" width="18.140625" style="33" customWidth="1"/>
    <col min="2565" max="2816" width="9.140625" style="33"/>
    <col min="2817" max="2817" width="12.7109375" style="33" customWidth="1"/>
    <col min="2818" max="2818" width="69.5703125" style="33" customWidth="1"/>
    <col min="2819" max="2819" width="26" style="33" customWidth="1"/>
    <col min="2820" max="2820" width="18.140625" style="33" customWidth="1"/>
    <col min="2821" max="3072" width="9.140625" style="33"/>
    <col min="3073" max="3073" width="12.7109375" style="33" customWidth="1"/>
    <col min="3074" max="3074" width="69.5703125" style="33" customWidth="1"/>
    <col min="3075" max="3075" width="26" style="33" customWidth="1"/>
    <col min="3076" max="3076" width="18.140625" style="33" customWidth="1"/>
    <col min="3077" max="3328" width="9.140625" style="33"/>
    <col min="3329" max="3329" width="12.7109375" style="33" customWidth="1"/>
    <col min="3330" max="3330" width="69.5703125" style="33" customWidth="1"/>
    <col min="3331" max="3331" width="26" style="33" customWidth="1"/>
    <col min="3332" max="3332" width="18.140625" style="33" customWidth="1"/>
    <col min="3333" max="3584" width="9.140625" style="33"/>
    <col min="3585" max="3585" width="12.7109375" style="33" customWidth="1"/>
    <col min="3586" max="3586" width="69.5703125" style="33" customWidth="1"/>
    <col min="3587" max="3587" width="26" style="33" customWidth="1"/>
    <col min="3588" max="3588" width="18.140625" style="33" customWidth="1"/>
    <col min="3589" max="3840" width="9.140625" style="33"/>
    <col min="3841" max="3841" width="12.7109375" style="33" customWidth="1"/>
    <col min="3842" max="3842" width="69.5703125" style="33" customWidth="1"/>
    <col min="3843" max="3843" width="26" style="33" customWidth="1"/>
    <col min="3844" max="3844" width="18.140625" style="33" customWidth="1"/>
    <col min="3845" max="4096" width="9.140625" style="33"/>
    <col min="4097" max="4097" width="12.7109375" style="33" customWidth="1"/>
    <col min="4098" max="4098" width="69.5703125" style="33" customWidth="1"/>
    <col min="4099" max="4099" width="26" style="33" customWidth="1"/>
    <col min="4100" max="4100" width="18.140625" style="33" customWidth="1"/>
    <col min="4101" max="4352" width="9.140625" style="33"/>
    <col min="4353" max="4353" width="12.7109375" style="33" customWidth="1"/>
    <col min="4354" max="4354" width="69.5703125" style="33" customWidth="1"/>
    <col min="4355" max="4355" width="26" style="33" customWidth="1"/>
    <col min="4356" max="4356" width="18.140625" style="33" customWidth="1"/>
    <col min="4357" max="4608" width="9.140625" style="33"/>
    <col min="4609" max="4609" width="12.7109375" style="33" customWidth="1"/>
    <col min="4610" max="4610" width="69.5703125" style="33" customWidth="1"/>
    <col min="4611" max="4611" width="26" style="33" customWidth="1"/>
    <col min="4612" max="4612" width="18.140625" style="33" customWidth="1"/>
    <col min="4613" max="4864" width="9.140625" style="33"/>
    <col min="4865" max="4865" width="12.7109375" style="33" customWidth="1"/>
    <col min="4866" max="4866" width="69.5703125" style="33" customWidth="1"/>
    <col min="4867" max="4867" width="26" style="33" customWidth="1"/>
    <col min="4868" max="4868" width="18.140625" style="33" customWidth="1"/>
    <col min="4869" max="5120" width="9.140625" style="33"/>
    <col min="5121" max="5121" width="12.7109375" style="33" customWidth="1"/>
    <col min="5122" max="5122" width="69.5703125" style="33" customWidth="1"/>
    <col min="5123" max="5123" width="26" style="33" customWidth="1"/>
    <col min="5124" max="5124" width="18.140625" style="33" customWidth="1"/>
    <col min="5125" max="5376" width="9.140625" style="33"/>
    <col min="5377" max="5377" width="12.7109375" style="33" customWidth="1"/>
    <col min="5378" max="5378" width="69.5703125" style="33" customWidth="1"/>
    <col min="5379" max="5379" width="26" style="33" customWidth="1"/>
    <col min="5380" max="5380" width="18.140625" style="33" customWidth="1"/>
    <col min="5381" max="5632" width="9.140625" style="33"/>
    <col min="5633" max="5633" width="12.7109375" style="33" customWidth="1"/>
    <col min="5634" max="5634" width="69.5703125" style="33" customWidth="1"/>
    <col min="5635" max="5635" width="26" style="33" customWidth="1"/>
    <col min="5636" max="5636" width="18.140625" style="33" customWidth="1"/>
    <col min="5637" max="5888" width="9.140625" style="33"/>
    <col min="5889" max="5889" width="12.7109375" style="33" customWidth="1"/>
    <col min="5890" max="5890" width="69.5703125" style="33" customWidth="1"/>
    <col min="5891" max="5891" width="26" style="33" customWidth="1"/>
    <col min="5892" max="5892" width="18.140625" style="33" customWidth="1"/>
    <col min="5893" max="6144" width="9.140625" style="33"/>
    <col min="6145" max="6145" width="12.7109375" style="33" customWidth="1"/>
    <col min="6146" max="6146" width="69.5703125" style="33" customWidth="1"/>
    <col min="6147" max="6147" width="26" style="33" customWidth="1"/>
    <col min="6148" max="6148" width="18.140625" style="33" customWidth="1"/>
    <col min="6149" max="6400" width="9.140625" style="33"/>
    <col min="6401" max="6401" width="12.7109375" style="33" customWidth="1"/>
    <col min="6402" max="6402" width="69.5703125" style="33" customWidth="1"/>
    <col min="6403" max="6403" width="26" style="33" customWidth="1"/>
    <col min="6404" max="6404" width="18.140625" style="33" customWidth="1"/>
    <col min="6405" max="6656" width="9.140625" style="33"/>
    <col min="6657" max="6657" width="12.7109375" style="33" customWidth="1"/>
    <col min="6658" max="6658" width="69.5703125" style="33" customWidth="1"/>
    <col min="6659" max="6659" width="26" style="33" customWidth="1"/>
    <col min="6660" max="6660" width="18.140625" style="33" customWidth="1"/>
    <col min="6661" max="6912" width="9.140625" style="33"/>
    <col min="6913" max="6913" width="12.7109375" style="33" customWidth="1"/>
    <col min="6914" max="6914" width="69.5703125" style="33" customWidth="1"/>
    <col min="6915" max="6915" width="26" style="33" customWidth="1"/>
    <col min="6916" max="6916" width="18.140625" style="33" customWidth="1"/>
    <col min="6917" max="7168" width="9.140625" style="33"/>
    <col min="7169" max="7169" width="12.7109375" style="33" customWidth="1"/>
    <col min="7170" max="7170" width="69.5703125" style="33" customWidth="1"/>
    <col min="7171" max="7171" width="26" style="33" customWidth="1"/>
    <col min="7172" max="7172" width="18.140625" style="33" customWidth="1"/>
    <col min="7173" max="7424" width="9.140625" style="33"/>
    <col min="7425" max="7425" width="12.7109375" style="33" customWidth="1"/>
    <col min="7426" max="7426" width="69.5703125" style="33" customWidth="1"/>
    <col min="7427" max="7427" width="26" style="33" customWidth="1"/>
    <col min="7428" max="7428" width="18.140625" style="33" customWidth="1"/>
    <col min="7429" max="7680" width="9.140625" style="33"/>
    <col min="7681" max="7681" width="12.7109375" style="33" customWidth="1"/>
    <col min="7682" max="7682" width="69.5703125" style="33" customWidth="1"/>
    <col min="7683" max="7683" width="26" style="33" customWidth="1"/>
    <col min="7684" max="7684" width="18.140625" style="33" customWidth="1"/>
    <col min="7685" max="7936" width="9.140625" style="33"/>
    <col min="7937" max="7937" width="12.7109375" style="33" customWidth="1"/>
    <col min="7938" max="7938" width="69.5703125" style="33" customWidth="1"/>
    <col min="7939" max="7939" width="26" style="33" customWidth="1"/>
    <col min="7940" max="7940" width="18.140625" style="33" customWidth="1"/>
    <col min="7941" max="8192" width="9.140625" style="33"/>
    <col min="8193" max="8193" width="12.7109375" style="33" customWidth="1"/>
    <col min="8194" max="8194" width="69.5703125" style="33" customWidth="1"/>
    <col min="8195" max="8195" width="26" style="33" customWidth="1"/>
    <col min="8196" max="8196" width="18.140625" style="33" customWidth="1"/>
    <col min="8197" max="8448" width="9.140625" style="33"/>
    <col min="8449" max="8449" width="12.7109375" style="33" customWidth="1"/>
    <col min="8450" max="8450" width="69.5703125" style="33" customWidth="1"/>
    <col min="8451" max="8451" width="26" style="33" customWidth="1"/>
    <col min="8452" max="8452" width="18.140625" style="33" customWidth="1"/>
    <col min="8453" max="8704" width="9.140625" style="33"/>
    <col min="8705" max="8705" width="12.7109375" style="33" customWidth="1"/>
    <col min="8706" max="8706" width="69.5703125" style="33" customWidth="1"/>
    <col min="8707" max="8707" width="26" style="33" customWidth="1"/>
    <col min="8708" max="8708" width="18.140625" style="33" customWidth="1"/>
    <col min="8709" max="8960" width="9.140625" style="33"/>
    <col min="8961" max="8961" width="12.7109375" style="33" customWidth="1"/>
    <col min="8962" max="8962" width="69.5703125" style="33" customWidth="1"/>
    <col min="8963" max="8963" width="26" style="33" customWidth="1"/>
    <col min="8964" max="8964" width="18.140625" style="33" customWidth="1"/>
    <col min="8965" max="9216" width="9.140625" style="33"/>
    <col min="9217" max="9217" width="12.7109375" style="33" customWidth="1"/>
    <col min="9218" max="9218" width="69.5703125" style="33" customWidth="1"/>
    <col min="9219" max="9219" width="26" style="33" customWidth="1"/>
    <col min="9220" max="9220" width="18.140625" style="33" customWidth="1"/>
    <col min="9221" max="9472" width="9.140625" style="33"/>
    <col min="9473" max="9473" width="12.7109375" style="33" customWidth="1"/>
    <col min="9474" max="9474" width="69.5703125" style="33" customWidth="1"/>
    <col min="9475" max="9475" width="26" style="33" customWidth="1"/>
    <col min="9476" max="9476" width="18.140625" style="33" customWidth="1"/>
    <col min="9477" max="9728" width="9.140625" style="33"/>
    <col min="9729" max="9729" width="12.7109375" style="33" customWidth="1"/>
    <col min="9730" max="9730" width="69.5703125" style="33" customWidth="1"/>
    <col min="9731" max="9731" width="26" style="33" customWidth="1"/>
    <col min="9732" max="9732" width="18.140625" style="33" customWidth="1"/>
    <col min="9733" max="9984" width="9.140625" style="33"/>
    <col min="9985" max="9985" width="12.7109375" style="33" customWidth="1"/>
    <col min="9986" max="9986" width="69.5703125" style="33" customWidth="1"/>
    <col min="9987" max="9987" width="26" style="33" customWidth="1"/>
    <col min="9988" max="9988" width="18.140625" style="33" customWidth="1"/>
    <col min="9989" max="10240" width="9.140625" style="33"/>
    <col min="10241" max="10241" width="12.7109375" style="33" customWidth="1"/>
    <col min="10242" max="10242" width="69.5703125" style="33" customWidth="1"/>
    <col min="10243" max="10243" width="26" style="33" customWidth="1"/>
    <col min="10244" max="10244" width="18.140625" style="33" customWidth="1"/>
    <col min="10245" max="10496" width="9.140625" style="33"/>
    <col min="10497" max="10497" width="12.7109375" style="33" customWidth="1"/>
    <col min="10498" max="10498" width="69.5703125" style="33" customWidth="1"/>
    <col min="10499" max="10499" width="26" style="33" customWidth="1"/>
    <col min="10500" max="10500" width="18.140625" style="33" customWidth="1"/>
    <col min="10501" max="10752" width="9.140625" style="33"/>
    <col min="10753" max="10753" width="12.7109375" style="33" customWidth="1"/>
    <col min="10754" max="10754" width="69.5703125" style="33" customWidth="1"/>
    <col min="10755" max="10755" width="26" style="33" customWidth="1"/>
    <col min="10756" max="10756" width="18.140625" style="33" customWidth="1"/>
    <col min="10757" max="11008" width="9.140625" style="33"/>
    <col min="11009" max="11009" width="12.7109375" style="33" customWidth="1"/>
    <col min="11010" max="11010" width="69.5703125" style="33" customWidth="1"/>
    <col min="11011" max="11011" width="26" style="33" customWidth="1"/>
    <col min="11012" max="11012" width="18.140625" style="33" customWidth="1"/>
    <col min="11013" max="11264" width="9.140625" style="33"/>
    <col min="11265" max="11265" width="12.7109375" style="33" customWidth="1"/>
    <col min="11266" max="11266" width="69.5703125" style="33" customWidth="1"/>
    <col min="11267" max="11267" width="26" style="33" customWidth="1"/>
    <col min="11268" max="11268" width="18.140625" style="33" customWidth="1"/>
    <col min="11269" max="11520" width="9.140625" style="33"/>
    <col min="11521" max="11521" width="12.7109375" style="33" customWidth="1"/>
    <col min="11522" max="11522" width="69.5703125" style="33" customWidth="1"/>
    <col min="11523" max="11523" width="26" style="33" customWidth="1"/>
    <col min="11524" max="11524" width="18.140625" style="33" customWidth="1"/>
    <col min="11525" max="11776" width="9.140625" style="33"/>
    <col min="11777" max="11777" width="12.7109375" style="33" customWidth="1"/>
    <col min="11778" max="11778" width="69.5703125" style="33" customWidth="1"/>
    <col min="11779" max="11779" width="26" style="33" customWidth="1"/>
    <col min="11780" max="11780" width="18.140625" style="33" customWidth="1"/>
    <col min="11781" max="12032" width="9.140625" style="33"/>
    <col min="12033" max="12033" width="12.7109375" style="33" customWidth="1"/>
    <col min="12034" max="12034" width="69.5703125" style="33" customWidth="1"/>
    <col min="12035" max="12035" width="26" style="33" customWidth="1"/>
    <col min="12036" max="12036" width="18.140625" style="33" customWidth="1"/>
    <col min="12037" max="12288" width="9.140625" style="33"/>
    <col min="12289" max="12289" width="12.7109375" style="33" customWidth="1"/>
    <col min="12290" max="12290" width="69.5703125" style="33" customWidth="1"/>
    <col min="12291" max="12291" width="26" style="33" customWidth="1"/>
    <col min="12292" max="12292" width="18.140625" style="33" customWidth="1"/>
    <col min="12293" max="12544" width="9.140625" style="33"/>
    <col min="12545" max="12545" width="12.7109375" style="33" customWidth="1"/>
    <col min="12546" max="12546" width="69.5703125" style="33" customWidth="1"/>
    <col min="12547" max="12547" width="26" style="33" customWidth="1"/>
    <col min="12548" max="12548" width="18.140625" style="33" customWidth="1"/>
    <col min="12549" max="12800" width="9.140625" style="33"/>
    <col min="12801" max="12801" width="12.7109375" style="33" customWidth="1"/>
    <col min="12802" max="12802" width="69.5703125" style="33" customWidth="1"/>
    <col min="12803" max="12803" width="26" style="33" customWidth="1"/>
    <col min="12804" max="12804" width="18.140625" style="33" customWidth="1"/>
    <col min="12805" max="13056" width="9.140625" style="33"/>
    <col min="13057" max="13057" width="12.7109375" style="33" customWidth="1"/>
    <col min="13058" max="13058" width="69.5703125" style="33" customWidth="1"/>
    <col min="13059" max="13059" width="26" style="33" customWidth="1"/>
    <col min="13060" max="13060" width="18.140625" style="33" customWidth="1"/>
    <col min="13061" max="13312" width="9.140625" style="33"/>
    <col min="13313" max="13313" width="12.7109375" style="33" customWidth="1"/>
    <col min="13314" max="13314" width="69.5703125" style="33" customWidth="1"/>
    <col min="13315" max="13315" width="26" style="33" customWidth="1"/>
    <col min="13316" max="13316" width="18.140625" style="33" customWidth="1"/>
    <col min="13317" max="13568" width="9.140625" style="33"/>
    <col min="13569" max="13569" width="12.7109375" style="33" customWidth="1"/>
    <col min="13570" max="13570" width="69.5703125" style="33" customWidth="1"/>
    <col min="13571" max="13571" width="26" style="33" customWidth="1"/>
    <col min="13572" max="13572" width="18.140625" style="33" customWidth="1"/>
    <col min="13573" max="13824" width="9.140625" style="33"/>
    <col min="13825" max="13825" width="12.7109375" style="33" customWidth="1"/>
    <col min="13826" max="13826" width="69.5703125" style="33" customWidth="1"/>
    <col min="13827" max="13827" width="26" style="33" customWidth="1"/>
    <col min="13828" max="13828" width="18.140625" style="33" customWidth="1"/>
    <col min="13829" max="14080" width="9.140625" style="33"/>
    <col min="14081" max="14081" width="12.7109375" style="33" customWidth="1"/>
    <col min="14082" max="14082" width="69.5703125" style="33" customWidth="1"/>
    <col min="14083" max="14083" width="26" style="33" customWidth="1"/>
    <col min="14084" max="14084" width="18.140625" style="33" customWidth="1"/>
    <col min="14085" max="14336" width="9.140625" style="33"/>
    <col min="14337" max="14337" width="12.7109375" style="33" customWidth="1"/>
    <col min="14338" max="14338" width="69.5703125" style="33" customWidth="1"/>
    <col min="14339" max="14339" width="26" style="33" customWidth="1"/>
    <col min="14340" max="14340" width="18.140625" style="33" customWidth="1"/>
    <col min="14341" max="14592" width="9.140625" style="33"/>
    <col min="14593" max="14593" width="12.7109375" style="33" customWidth="1"/>
    <col min="14594" max="14594" width="69.5703125" style="33" customWidth="1"/>
    <col min="14595" max="14595" width="26" style="33" customWidth="1"/>
    <col min="14596" max="14596" width="18.140625" style="33" customWidth="1"/>
    <col min="14597" max="14848" width="9.140625" style="33"/>
    <col min="14849" max="14849" width="12.7109375" style="33" customWidth="1"/>
    <col min="14850" max="14850" width="69.5703125" style="33" customWidth="1"/>
    <col min="14851" max="14851" width="26" style="33" customWidth="1"/>
    <col min="14852" max="14852" width="18.140625" style="33" customWidth="1"/>
    <col min="14853" max="15104" width="9.140625" style="33"/>
    <col min="15105" max="15105" width="12.7109375" style="33" customWidth="1"/>
    <col min="15106" max="15106" width="69.5703125" style="33" customWidth="1"/>
    <col min="15107" max="15107" width="26" style="33" customWidth="1"/>
    <col min="15108" max="15108" width="18.140625" style="33" customWidth="1"/>
    <col min="15109" max="15360" width="9.140625" style="33"/>
    <col min="15361" max="15361" width="12.7109375" style="33" customWidth="1"/>
    <col min="15362" max="15362" width="69.5703125" style="33" customWidth="1"/>
    <col min="15363" max="15363" width="26" style="33" customWidth="1"/>
    <col min="15364" max="15364" width="18.140625" style="33" customWidth="1"/>
    <col min="15365" max="15616" width="9.140625" style="33"/>
    <col min="15617" max="15617" width="12.7109375" style="33" customWidth="1"/>
    <col min="15618" max="15618" width="69.5703125" style="33" customWidth="1"/>
    <col min="15619" max="15619" width="26" style="33" customWidth="1"/>
    <col min="15620" max="15620" width="18.140625" style="33" customWidth="1"/>
    <col min="15621" max="15872" width="9.140625" style="33"/>
    <col min="15873" max="15873" width="12.7109375" style="33" customWidth="1"/>
    <col min="15874" max="15874" width="69.5703125" style="33" customWidth="1"/>
    <col min="15875" max="15875" width="26" style="33" customWidth="1"/>
    <col min="15876" max="15876" width="18.140625" style="33" customWidth="1"/>
    <col min="15877" max="16128" width="9.140625" style="33"/>
    <col min="16129" max="16129" width="12.7109375" style="33" customWidth="1"/>
    <col min="16130" max="16130" width="69.5703125" style="33" customWidth="1"/>
    <col min="16131" max="16131" width="26" style="33" customWidth="1"/>
    <col min="16132" max="16132" width="18.140625" style="33" customWidth="1"/>
    <col min="16133" max="16384" width="9.140625" style="33"/>
  </cols>
  <sheetData>
    <row r="1" spans="1:14" ht="33.75" customHeight="1" x14ac:dyDescent="0.2">
      <c r="A1" s="395"/>
      <c r="B1" s="395"/>
      <c r="C1" s="395"/>
      <c r="D1" s="395"/>
      <c r="E1" s="395"/>
      <c r="F1" s="395"/>
      <c r="G1" s="395"/>
      <c r="H1" s="395"/>
      <c r="I1" s="395"/>
      <c r="J1" s="32"/>
      <c r="K1" s="32"/>
      <c r="L1" s="32"/>
      <c r="M1" s="32"/>
      <c r="N1" s="32"/>
    </row>
    <row r="2" spans="1:14" ht="56.25" customHeight="1" x14ac:dyDescent="0.2">
      <c r="A2" s="394" t="s">
        <v>470</v>
      </c>
      <c r="B2" s="394"/>
      <c r="C2" s="394"/>
      <c r="D2" s="394"/>
      <c r="E2" s="394"/>
      <c r="F2" s="394"/>
      <c r="G2" s="394"/>
      <c r="H2" s="394"/>
      <c r="I2" s="394"/>
    </row>
    <row r="3" spans="1:14" ht="24" customHeight="1" x14ac:dyDescent="0.4">
      <c r="A3" s="396" t="s">
        <v>283</v>
      </c>
      <c r="B3" s="396"/>
      <c r="C3" s="396"/>
      <c r="D3" s="396"/>
    </row>
    <row r="4" spans="1:14" ht="14.25" customHeight="1" x14ac:dyDescent="0.2">
      <c r="A4" s="397" t="s">
        <v>439</v>
      </c>
      <c r="B4" s="397"/>
      <c r="C4" s="397"/>
      <c r="D4" s="397"/>
    </row>
    <row r="5" spans="1:14" x14ac:dyDescent="0.2">
      <c r="A5" s="374" t="s">
        <v>242</v>
      </c>
      <c r="B5" s="375" t="s">
        <v>500</v>
      </c>
      <c r="C5" s="374"/>
      <c r="D5" s="375"/>
      <c r="E5" s="275"/>
      <c r="F5" s="275"/>
      <c r="G5" s="275"/>
      <c r="H5" s="275"/>
    </row>
    <row r="7" spans="1:14" x14ac:dyDescent="0.2">
      <c r="A7" s="3" t="s">
        <v>171</v>
      </c>
    </row>
    <row r="8" spans="1:14" s="101" customFormat="1" x14ac:dyDescent="0.2">
      <c r="A8" s="3"/>
    </row>
    <row r="9" spans="1:14" s="101" customFormat="1" ht="82.5" customHeight="1" x14ac:dyDescent="0.2">
      <c r="A9" s="393" t="s">
        <v>435</v>
      </c>
      <c r="B9" s="393"/>
      <c r="C9" s="393"/>
      <c r="D9" s="393"/>
      <c r="E9" s="393"/>
      <c r="F9" s="393"/>
      <c r="G9" s="393"/>
      <c r="H9" s="393"/>
      <c r="I9" s="393"/>
    </row>
    <row r="10" spans="1:14" ht="45" customHeight="1" x14ac:dyDescent="0.2">
      <c r="A10" s="393" t="s">
        <v>472</v>
      </c>
      <c r="B10" s="393"/>
      <c r="C10" s="393"/>
      <c r="D10" s="393"/>
      <c r="E10" s="393"/>
      <c r="F10" s="393"/>
      <c r="G10" s="393"/>
      <c r="H10" s="393"/>
      <c r="I10" s="393"/>
    </row>
    <row r="11" spans="1:14" x14ac:dyDescent="0.2">
      <c r="A11" s="376" t="s">
        <v>503</v>
      </c>
      <c r="B11" s="22"/>
      <c r="C11" s="22"/>
      <c r="D11" s="22"/>
      <c r="E11" s="22"/>
      <c r="F11" s="22"/>
      <c r="G11" s="22"/>
      <c r="H11" s="22"/>
      <c r="I11" s="22"/>
    </row>
    <row r="12" spans="1:14" s="377" customFormat="1" x14ac:dyDescent="0.2">
      <c r="A12" s="376"/>
      <c r="B12" s="376"/>
      <c r="C12" s="376"/>
      <c r="D12" s="376"/>
      <c r="E12" s="376"/>
      <c r="F12" s="376"/>
      <c r="G12" s="376"/>
      <c r="H12" s="376"/>
      <c r="I12" s="376"/>
    </row>
    <row r="13" spans="1:14" x14ac:dyDescent="0.2">
      <c r="A13" s="22" t="s">
        <v>170</v>
      </c>
      <c r="B13" s="22"/>
      <c r="C13" s="22"/>
      <c r="D13" s="22"/>
      <c r="E13" s="22"/>
      <c r="F13" s="22"/>
      <c r="G13" s="22"/>
      <c r="H13" s="22"/>
      <c r="I13" s="22"/>
    </row>
    <row r="14" spans="1:14" s="2" customFormat="1" x14ac:dyDescent="0.2">
      <c r="A14" s="115"/>
      <c r="B14" s="115"/>
      <c r="C14" s="115"/>
      <c r="D14" s="115"/>
      <c r="E14" s="115"/>
      <c r="F14" s="115"/>
      <c r="G14" s="115"/>
      <c r="H14" s="115"/>
      <c r="I14" s="115"/>
    </row>
    <row r="15" spans="1:14" x14ac:dyDescent="0.2">
      <c r="A15" s="4" t="s">
        <v>165</v>
      </c>
      <c r="B15" s="22"/>
      <c r="C15" s="22"/>
      <c r="D15" s="22"/>
      <c r="E15" s="22"/>
      <c r="F15" s="22"/>
      <c r="G15" s="22"/>
      <c r="H15" s="22"/>
      <c r="I15" s="22"/>
    </row>
    <row r="16" spans="1:14" x14ac:dyDescent="0.2">
      <c r="A16" s="22" t="s">
        <v>166</v>
      </c>
      <c r="B16" s="22"/>
      <c r="C16" s="22"/>
      <c r="D16" s="22"/>
      <c r="E16" s="22"/>
      <c r="F16" s="22"/>
      <c r="G16" s="22"/>
      <c r="H16" s="22"/>
      <c r="I16" s="22"/>
    </row>
    <row r="17" spans="1:9" x14ac:dyDescent="0.2">
      <c r="A17" s="312" t="s">
        <v>427</v>
      </c>
      <c r="B17" s="312"/>
      <c r="C17" s="312"/>
      <c r="D17" s="312"/>
      <c r="E17" s="312"/>
      <c r="F17" s="22"/>
      <c r="G17" s="22"/>
      <c r="H17" s="22"/>
      <c r="I17" s="22"/>
    </row>
    <row r="18" spans="1:9" x14ac:dyDescent="0.2">
      <c r="A18" s="22" t="s">
        <v>167</v>
      </c>
      <c r="B18" s="22"/>
      <c r="C18" s="22"/>
      <c r="D18" s="22"/>
      <c r="E18" s="22"/>
      <c r="F18" s="22"/>
      <c r="G18" s="22"/>
      <c r="H18" s="22"/>
      <c r="I18" s="22"/>
    </row>
    <row r="19" spans="1:9" x14ac:dyDescent="0.2">
      <c r="A19" s="267" t="s">
        <v>168</v>
      </c>
      <c r="B19" s="22"/>
      <c r="C19" s="22"/>
      <c r="D19" s="22"/>
      <c r="E19" s="22"/>
      <c r="F19" s="22"/>
      <c r="G19" s="22"/>
      <c r="H19" s="22"/>
      <c r="I19" s="22"/>
    </row>
    <row r="20" spans="1:9" x14ac:dyDescent="0.2">
      <c r="A20" s="22" t="s">
        <v>169</v>
      </c>
      <c r="B20" s="22"/>
      <c r="C20" s="22"/>
      <c r="D20" s="22"/>
      <c r="E20" s="22"/>
      <c r="F20" s="22"/>
      <c r="G20" s="22"/>
      <c r="H20" s="22"/>
      <c r="I20" s="22"/>
    </row>
    <row r="21" spans="1:9" x14ac:dyDescent="0.2">
      <c r="A21" s="22"/>
      <c r="B21" s="22"/>
      <c r="C21" s="22"/>
      <c r="D21" s="22"/>
      <c r="E21" s="22"/>
      <c r="F21" s="22"/>
      <c r="G21" s="22"/>
      <c r="H21" s="22"/>
      <c r="I21" s="22"/>
    </row>
    <row r="22" spans="1:9" x14ac:dyDescent="0.2">
      <c r="A22" s="22" t="s">
        <v>163</v>
      </c>
      <c r="B22" s="22"/>
      <c r="C22" s="22"/>
      <c r="D22" s="22"/>
      <c r="E22" s="22"/>
      <c r="F22" s="22"/>
      <c r="G22" s="22"/>
      <c r="H22" s="22"/>
      <c r="I22" s="22"/>
    </row>
    <row r="23" spans="1:9" x14ac:dyDescent="0.2">
      <c r="A23" s="22" t="s">
        <v>164</v>
      </c>
      <c r="B23" s="22"/>
      <c r="C23" s="22"/>
      <c r="D23" s="22"/>
      <c r="E23" s="22"/>
      <c r="F23" s="22"/>
      <c r="G23" s="22"/>
      <c r="H23" s="22"/>
      <c r="I23" s="22"/>
    </row>
    <row r="24" spans="1:9" x14ac:dyDescent="0.2">
      <c r="A24" s="22" t="s">
        <v>471</v>
      </c>
      <c r="B24" s="22"/>
      <c r="C24" s="22"/>
      <c r="D24" s="22"/>
      <c r="E24" s="22"/>
      <c r="F24" s="22"/>
      <c r="G24" s="22"/>
      <c r="H24" s="22"/>
      <c r="I24" s="22"/>
    </row>
    <row r="25" spans="1:9" ht="47.25" customHeight="1" x14ac:dyDescent="0.2">
      <c r="A25" s="391"/>
      <c r="B25" s="391"/>
      <c r="C25" s="22"/>
      <c r="D25" s="22"/>
      <c r="E25" s="22"/>
      <c r="F25" s="22"/>
      <c r="G25" s="22"/>
      <c r="H25" s="22"/>
      <c r="I25" s="22"/>
    </row>
    <row r="26" spans="1:9" ht="87.75" customHeight="1" x14ac:dyDescent="0.2">
      <c r="A26" s="392" t="s">
        <v>248</v>
      </c>
      <c r="B26" s="392"/>
      <c r="C26" s="392"/>
      <c r="D26" s="392"/>
      <c r="E26" s="392"/>
      <c r="F26" s="392"/>
      <c r="G26" s="392"/>
      <c r="H26" s="392"/>
      <c r="I26" s="392"/>
    </row>
  </sheetData>
  <mergeCells count="8">
    <mergeCell ref="A25:B25"/>
    <mergeCell ref="A26:I26"/>
    <mergeCell ref="A10:I10"/>
    <mergeCell ref="A2:I2"/>
    <mergeCell ref="A1:I1"/>
    <mergeCell ref="A3:D3"/>
    <mergeCell ref="A9:I9"/>
    <mergeCell ref="A4:D4"/>
  </mergeCells>
  <hyperlinks>
    <hyperlink ref="A19" r:id="rId1" xr:uid="{E1C9BA30-52C5-4DEE-87C9-B6D8DFEC858F}"/>
    <hyperlink ref="B5" r:id="rId2" xr:uid="{8039318B-FACE-4ADE-81D8-DB5F8A9C6B42}"/>
  </hyperlinks>
  <pageMargins left="0.78740157480314965" right="0.78740157480314965" top="0.78740157480314965" bottom="0.78740157480314965" header="0.78740157480314965" footer="0.78740157480314965"/>
  <pageSetup paperSize="9" scale="67" fitToHeight="0"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112"/>
  <sheetViews>
    <sheetView showGridLines="0" zoomScaleNormal="100" workbookViewId="0">
      <selection sqref="A1:C1"/>
    </sheetView>
  </sheetViews>
  <sheetFormatPr defaultColWidth="9.140625" defaultRowHeight="12.75" x14ac:dyDescent="0.2"/>
  <cols>
    <col min="1" max="1" width="5.28515625" style="33" customWidth="1"/>
    <col min="2" max="2" width="23.28515625" style="33" customWidth="1"/>
    <col min="3" max="3" width="83.5703125" style="33" customWidth="1"/>
    <col min="4" max="16384" width="9.140625" style="33"/>
  </cols>
  <sheetData>
    <row r="1" spans="1:8" ht="33.75" customHeight="1" x14ac:dyDescent="0.2">
      <c r="A1" s="399"/>
      <c r="B1" s="399"/>
      <c r="C1" s="399"/>
    </row>
    <row r="2" spans="1:8" ht="30" customHeight="1" x14ac:dyDescent="0.35">
      <c r="A2" s="400" t="s">
        <v>451</v>
      </c>
      <c r="B2" s="401"/>
      <c r="C2" s="401"/>
      <c r="D2" s="401"/>
      <c r="E2" s="401"/>
      <c r="F2" s="401"/>
      <c r="G2" s="401"/>
      <c r="H2" s="401"/>
    </row>
    <row r="3" spans="1:8" ht="18.75" customHeight="1" x14ac:dyDescent="0.2">
      <c r="A3" s="392" t="s">
        <v>154</v>
      </c>
      <c r="B3" s="392"/>
      <c r="C3" s="392"/>
    </row>
    <row r="4" spans="1:8" ht="11.25" customHeight="1" x14ac:dyDescent="0.2">
      <c r="A4" s="24"/>
      <c r="B4" s="24"/>
      <c r="C4" s="24"/>
    </row>
    <row r="5" spans="1:8" ht="16.5" customHeight="1" x14ac:dyDescent="0.2">
      <c r="A5" s="398" t="s">
        <v>206</v>
      </c>
      <c r="B5" s="399"/>
      <c r="C5" s="399"/>
    </row>
    <row r="6" spans="1:8" ht="11.25" customHeight="1" x14ac:dyDescent="0.2">
      <c r="A6" s="23"/>
    </row>
    <row r="7" spans="1:8" ht="13.5" customHeight="1" x14ac:dyDescent="0.2">
      <c r="A7" s="24"/>
      <c r="B7" s="34" t="s">
        <v>210</v>
      </c>
      <c r="C7" s="177" t="s">
        <v>459</v>
      </c>
      <c r="D7" s="201"/>
      <c r="E7" s="101"/>
    </row>
    <row r="8" spans="1:8" ht="13.5" customHeight="1" x14ac:dyDescent="0.2">
      <c r="A8" s="24"/>
      <c r="B8" s="34" t="s">
        <v>211</v>
      </c>
      <c r="C8" s="177" t="s">
        <v>460</v>
      </c>
      <c r="D8" s="201"/>
      <c r="E8" s="101"/>
      <c r="G8" s="201"/>
    </row>
    <row r="9" spans="1:8" ht="13.5" customHeight="1" x14ac:dyDescent="0.2">
      <c r="A9" s="24"/>
      <c r="B9" s="34" t="s">
        <v>212</v>
      </c>
      <c r="C9" s="177" t="s">
        <v>461</v>
      </c>
      <c r="D9" s="201"/>
      <c r="E9" s="101"/>
      <c r="G9" s="201"/>
    </row>
    <row r="10" spans="1:8" ht="11.25" customHeight="1" x14ac:dyDescent="0.2">
      <c r="A10" s="24"/>
      <c r="B10" s="24"/>
      <c r="C10" s="24"/>
      <c r="G10" s="201"/>
    </row>
    <row r="11" spans="1:8" ht="16.5" customHeight="1" x14ac:dyDescent="0.2">
      <c r="A11" s="398" t="s">
        <v>207</v>
      </c>
      <c r="B11" s="399"/>
      <c r="C11" s="399"/>
      <c r="G11" s="201"/>
    </row>
    <row r="12" spans="1:8" ht="11.25" customHeight="1" x14ac:dyDescent="0.2">
      <c r="A12" s="24"/>
      <c r="B12" s="24"/>
      <c r="C12" s="24"/>
      <c r="G12" s="201"/>
    </row>
    <row r="13" spans="1:8" ht="13.5" customHeight="1" x14ac:dyDescent="0.2">
      <c r="A13" s="24"/>
      <c r="B13" s="26" t="s">
        <v>225</v>
      </c>
      <c r="C13" s="278" t="s">
        <v>462</v>
      </c>
      <c r="D13" s="201"/>
      <c r="E13" s="101"/>
      <c r="G13" s="201"/>
    </row>
    <row r="14" spans="1:8" ht="13.5" customHeight="1" x14ac:dyDescent="0.2">
      <c r="A14" s="24"/>
      <c r="B14" s="25" t="s">
        <v>213</v>
      </c>
      <c r="C14" s="278" t="s">
        <v>483</v>
      </c>
      <c r="D14" s="201"/>
      <c r="E14" s="101"/>
      <c r="G14" s="201"/>
    </row>
    <row r="15" spans="1:8" ht="13.5" customHeight="1" x14ac:dyDescent="0.2">
      <c r="A15" s="24"/>
      <c r="B15" s="25" t="s">
        <v>214</v>
      </c>
      <c r="C15" s="278" t="s">
        <v>484</v>
      </c>
      <c r="D15" s="201"/>
      <c r="G15" s="201"/>
    </row>
    <row r="16" spans="1:8" ht="13.5" customHeight="1" x14ac:dyDescent="0.2">
      <c r="A16" s="24"/>
      <c r="B16" s="26" t="s">
        <v>215</v>
      </c>
      <c r="C16" s="278" t="s">
        <v>509</v>
      </c>
      <c r="D16" s="201"/>
      <c r="E16" s="101"/>
      <c r="G16" s="201"/>
    </row>
    <row r="17" spans="1:7" ht="13.5" customHeight="1" x14ac:dyDescent="0.2">
      <c r="A17" s="24"/>
      <c r="B17" s="26" t="s">
        <v>216</v>
      </c>
      <c r="C17" s="278" t="s">
        <v>452</v>
      </c>
      <c r="D17" s="201"/>
      <c r="E17" s="101"/>
      <c r="G17" s="201"/>
    </row>
    <row r="18" spans="1:7" ht="13.5" customHeight="1" x14ac:dyDescent="0.2">
      <c r="A18" s="24"/>
      <c r="B18" s="26" t="s">
        <v>217</v>
      </c>
      <c r="C18" s="278" t="s">
        <v>485</v>
      </c>
      <c r="D18" s="201"/>
      <c r="E18" s="101"/>
      <c r="G18" s="201"/>
    </row>
    <row r="19" spans="1:7" ht="13.5" customHeight="1" x14ac:dyDescent="0.2">
      <c r="A19" s="24"/>
      <c r="B19" s="26" t="s">
        <v>218</v>
      </c>
      <c r="C19" s="278" t="s">
        <v>486</v>
      </c>
      <c r="D19" s="201"/>
      <c r="E19" s="101"/>
      <c r="G19" s="201"/>
    </row>
    <row r="20" spans="1:7" ht="11.25" customHeight="1" x14ac:dyDescent="0.2">
      <c r="A20" s="24"/>
      <c r="B20" s="24"/>
      <c r="C20" s="24"/>
      <c r="G20" s="201"/>
    </row>
    <row r="21" spans="1:7" ht="16.5" customHeight="1" x14ac:dyDescent="0.2">
      <c r="A21" s="398" t="s">
        <v>208</v>
      </c>
      <c r="B21" s="399"/>
      <c r="C21" s="399"/>
      <c r="G21" s="201"/>
    </row>
    <row r="22" spans="1:7" ht="11.25" customHeight="1" x14ac:dyDescent="0.2">
      <c r="A22" s="24"/>
      <c r="B22" s="24"/>
      <c r="C22" s="24"/>
      <c r="G22" s="201"/>
    </row>
    <row r="23" spans="1:7" ht="13.5" customHeight="1" x14ac:dyDescent="0.2">
      <c r="A23" s="24"/>
      <c r="B23" s="100" t="s">
        <v>219</v>
      </c>
      <c r="C23" s="278" t="s">
        <v>453</v>
      </c>
      <c r="D23" s="201"/>
      <c r="G23" s="201"/>
    </row>
    <row r="24" spans="1:7" ht="13.5" customHeight="1" x14ac:dyDescent="0.2">
      <c r="A24" s="24"/>
      <c r="B24" s="100" t="s">
        <v>220</v>
      </c>
      <c r="C24" s="278" t="s">
        <v>454</v>
      </c>
      <c r="D24" s="201"/>
      <c r="G24" s="201"/>
    </row>
    <row r="25" spans="1:7" ht="13.5" customHeight="1" x14ac:dyDescent="0.2">
      <c r="A25" s="24"/>
      <c r="B25" s="26" t="s">
        <v>221</v>
      </c>
      <c r="C25" s="278" t="s">
        <v>487</v>
      </c>
      <c r="D25" s="201"/>
      <c r="G25" s="201"/>
    </row>
    <row r="26" spans="1:7" ht="13.5" customHeight="1" x14ac:dyDescent="0.2">
      <c r="A26" s="24"/>
      <c r="B26" s="26" t="s">
        <v>222</v>
      </c>
      <c r="C26" s="278" t="s">
        <v>488</v>
      </c>
      <c r="D26" s="201"/>
      <c r="E26" s="101"/>
      <c r="G26" s="201"/>
    </row>
    <row r="27" spans="1:7" ht="13.5" customHeight="1" x14ac:dyDescent="0.2">
      <c r="A27" s="24"/>
      <c r="B27" s="26" t="s">
        <v>223</v>
      </c>
      <c r="C27" s="278" t="s">
        <v>463</v>
      </c>
      <c r="D27" s="201"/>
      <c r="E27" s="101"/>
      <c r="G27" s="201"/>
    </row>
    <row r="28" spans="1:7" ht="11.25" customHeight="1" x14ac:dyDescent="0.2">
      <c r="A28" s="24"/>
      <c r="B28" s="24"/>
      <c r="C28" s="24"/>
      <c r="G28" s="201"/>
    </row>
    <row r="29" spans="1:7" ht="16.5" customHeight="1" x14ac:dyDescent="0.2">
      <c r="A29" s="398" t="s">
        <v>209</v>
      </c>
      <c r="B29" s="399"/>
      <c r="C29" s="399"/>
      <c r="G29" s="201"/>
    </row>
    <row r="30" spans="1:7" ht="11.25" customHeight="1" x14ac:dyDescent="0.2">
      <c r="A30" s="24"/>
      <c r="B30" s="24"/>
      <c r="C30" s="24"/>
      <c r="G30" s="201"/>
    </row>
    <row r="31" spans="1:7" ht="13.5" customHeight="1" x14ac:dyDescent="0.2">
      <c r="A31" s="24"/>
      <c r="B31" s="26" t="s">
        <v>224</v>
      </c>
      <c r="C31" s="278" t="s">
        <v>464</v>
      </c>
      <c r="D31" s="201"/>
      <c r="G31" s="201"/>
    </row>
    <row r="32" spans="1:7" ht="13.5" customHeight="1" x14ac:dyDescent="0.2">
      <c r="A32" s="24"/>
      <c r="B32" s="26" t="s">
        <v>227</v>
      </c>
      <c r="C32" s="278" t="s">
        <v>455</v>
      </c>
      <c r="D32" s="201"/>
      <c r="G32" s="201"/>
    </row>
    <row r="33" spans="1:12" ht="13.5" customHeight="1" x14ac:dyDescent="0.2">
      <c r="A33" s="24"/>
      <c r="B33" s="26" t="s">
        <v>228</v>
      </c>
      <c r="C33" s="278" t="s">
        <v>456</v>
      </c>
      <c r="D33" s="201"/>
      <c r="G33" s="201"/>
    </row>
    <row r="34" spans="1:12" ht="11.25" customHeight="1" x14ac:dyDescent="0.2">
      <c r="A34" s="24"/>
      <c r="B34" s="24"/>
      <c r="C34" s="24"/>
    </row>
    <row r="35" spans="1:12" s="277" customFormat="1" ht="16.5" customHeight="1" x14ac:dyDescent="0.2">
      <c r="A35" s="398" t="s">
        <v>277</v>
      </c>
      <c r="B35" s="399"/>
      <c r="C35" s="399"/>
      <c r="D35" s="1"/>
      <c r="F35" s="2"/>
      <c r="G35" s="2"/>
      <c r="H35" s="2"/>
      <c r="I35" s="2"/>
      <c r="J35" s="2"/>
      <c r="K35" s="2"/>
      <c r="L35" s="2"/>
    </row>
    <row r="36" spans="1:12" s="277" customFormat="1" ht="12.75" customHeight="1" x14ac:dyDescent="0.2">
      <c r="A36" s="276"/>
      <c r="C36" s="275"/>
      <c r="D36" s="1"/>
      <c r="F36" s="2"/>
      <c r="G36" s="2"/>
      <c r="H36" s="2"/>
      <c r="I36" s="2"/>
      <c r="J36" s="2"/>
      <c r="K36" s="2"/>
      <c r="L36" s="2"/>
    </row>
    <row r="37" spans="1:12" s="277" customFormat="1" ht="12.75" customHeight="1" x14ac:dyDescent="0.2">
      <c r="B37" s="278" t="s">
        <v>281</v>
      </c>
      <c r="C37" s="278" t="s">
        <v>457</v>
      </c>
      <c r="D37" s="1"/>
      <c r="E37" s="2"/>
      <c r="F37" s="2"/>
      <c r="G37" s="2"/>
      <c r="H37" s="2"/>
      <c r="I37" s="2"/>
      <c r="J37" s="2"/>
      <c r="K37" s="2"/>
      <c r="L37" s="2"/>
    </row>
    <row r="38" spans="1:12" s="277" customFormat="1" ht="12.75" customHeight="1" x14ac:dyDescent="0.2">
      <c r="B38" s="278" t="s">
        <v>282</v>
      </c>
      <c r="C38" s="278" t="s">
        <v>458</v>
      </c>
      <c r="D38" s="1"/>
      <c r="E38" s="2"/>
      <c r="F38" s="2"/>
      <c r="G38" s="2"/>
      <c r="H38" s="2"/>
      <c r="I38" s="2"/>
      <c r="J38" s="2"/>
      <c r="K38" s="2"/>
      <c r="L38" s="2"/>
    </row>
    <row r="39" spans="1:12" s="277" customFormat="1" ht="12.75" customHeight="1" x14ac:dyDescent="0.2">
      <c r="B39" s="278"/>
      <c r="C39" s="278"/>
      <c r="D39" s="1"/>
      <c r="E39" s="2"/>
      <c r="F39" s="2"/>
      <c r="G39" s="2"/>
      <c r="H39" s="2"/>
      <c r="I39" s="2"/>
      <c r="J39" s="2"/>
      <c r="K39" s="2"/>
      <c r="L39" s="2"/>
    </row>
    <row r="40" spans="1:12" ht="16.5" customHeight="1" x14ac:dyDescent="0.2">
      <c r="A40" s="398"/>
      <c r="B40" s="399"/>
      <c r="C40" s="399"/>
    </row>
    <row r="41" spans="1:12" ht="11.25" customHeight="1" x14ac:dyDescent="0.2">
      <c r="A41" s="24"/>
      <c r="B41" s="24"/>
      <c r="C41" s="24"/>
    </row>
    <row r="42" spans="1:12" ht="13.5" customHeight="1" x14ac:dyDescent="0.2">
      <c r="A42" s="24"/>
      <c r="B42" s="5"/>
      <c r="C42" s="5"/>
      <c r="D42" s="201"/>
      <c r="E42" s="101"/>
    </row>
    <row r="43" spans="1:12" ht="13.5" customHeight="1" x14ac:dyDescent="0.2">
      <c r="A43" s="24"/>
      <c r="B43" s="35"/>
      <c r="C43" s="35"/>
      <c r="D43" s="201"/>
      <c r="E43" s="101"/>
      <c r="I43" s="201"/>
    </row>
    <row r="44" spans="1:12" ht="13.5" customHeight="1" x14ac:dyDescent="0.2">
      <c r="A44" s="24"/>
      <c r="B44" s="5"/>
      <c r="C44" s="6"/>
      <c r="D44" s="201"/>
      <c r="I44" s="201"/>
    </row>
    <row r="45" spans="1:12" ht="11.25" customHeight="1" x14ac:dyDescent="0.2">
      <c r="A45" s="24"/>
      <c r="B45" s="24"/>
      <c r="C45" s="24"/>
      <c r="E45" s="101"/>
      <c r="I45" s="201"/>
    </row>
    <row r="46" spans="1:12" ht="16.5" customHeight="1" x14ac:dyDescent="0.2">
      <c r="A46" s="398"/>
      <c r="B46" s="399"/>
      <c r="C46" s="399"/>
      <c r="I46" s="201"/>
    </row>
    <row r="47" spans="1:12" ht="11.25" customHeight="1" x14ac:dyDescent="0.2">
      <c r="A47" s="24"/>
      <c r="B47" s="24"/>
      <c r="C47" s="24"/>
      <c r="I47" s="201"/>
    </row>
    <row r="48" spans="1:12" ht="13.5" customHeight="1" x14ac:dyDescent="0.2">
      <c r="A48" s="24"/>
      <c r="B48" s="105"/>
      <c r="C48" s="106"/>
      <c r="D48" s="201"/>
      <c r="I48" s="201"/>
    </row>
    <row r="49" spans="1:9" ht="13.5" customHeight="1" x14ac:dyDescent="0.2">
      <c r="A49" s="24"/>
      <c r="B49" s="105"/>
      <c r="C49" s="106"/>
      <c r="D49" s="201"/>
      <c r="I49" s="201"/>
    </row>
    <row r="50" spans="1:9" ht="13.5" customHeight="1" x14ac:dyDescent="0.2">
      <c r="A50" s="24"/>
      <c r="B50" s="105"/>
      <c r="C50" s="106"/>
      <c r="I50" s="201"/>
    </row>
    <row r="51" spans="1:9" ht="13.5" customHeight="1" x14ac:dyDescent="0.2">
      <c r="A51" s="24"/>
      <c r="B51" s="105"/>
      <c r="C51" s="106"/>
      <c r="D51" s="201"/>
      <c r="I51" s="201"/>
    </row>
    <row r="52" spans="1:9" ht="13.5" customHeight="1" x14ac:dyDescent="0.2">
      <c r="A52" s="24"/>
      <c r="B52" s="105"/>
      <c r="C52" s="106"/>
      <c r="D52" s="201"/>
      <c r="I52" s="201"/>
    </row>
    <row r="53" spans="1:9" ht="13.5" customHeight="1" x14ac:dyDescent="0.2">
      <c r="A53" s="24"/>
      <c r="B53" s="105"/>
      <c r="C53" s="106"/>
      <c r="D53" s="201"/>
      <c r="I53" s="201"/>
    </row>
    <row r="54" spans="1:9" ht="13.5" customHeight="1" x14ac:dyDescent="0.2">
      <c r="A54" s="24"/>
      <c r="B54" s="105"/>
      <c r="C54" s="106"/>
      <c r="D54" s="201"/>
      <c r="I54" s="201"/>
    </row>
    <row r="55" spans="1:9" ht="13.5" customHeight="1" x14ac:dyDescent="0.2">
      <c r="A55" s="24"/>
      <c r="B55" s="105"/>
      <c r="C55" s="106"/>
      <c r="D55" s="201"/>
      <c r="I55" s="201"/>
    </row>
    <row r="56" spans="1:9" ht="13.5" customHeight="1" x14ac:dyDescent="0.2">
      <c r="A56" s="24"/>
      <c r="B56" s="105"/>
      <c r="C56" s="106"/>
      <c r="D56" s="201"/>
      <c r="I56" s="201"/>
    </row>
    <row r="57" spans="1:9" ht="13.5" customHeight="1" x14ac:dyDescent="0.2">
      <c r="A57" s="104"/>
      <c r="B57" s="105"/>
      <c r="C57" s="176"/>
      <c r="D57" s="201"/>
      <c r="I57" s="201"/>
    </row>
    <row r="58" spans="1:9" ht="13.5" customHeight="1" x14ac:dyDescent="0.2">
      <c r="A58" s="104"/>
      <c r="B58" s="105"/>
      <c r="C58" s="176"/>
      <c r="D58" s="201"/>
      <c r="I58" s="201"/>
    </row>
    <row r="59" spans="1:9" ht="13.5" customHeight="1" x14ac:dyDescent="0.2">
      <c r="A59" s="104"/>
      <c r="B59" s="105"/>
      <c r="C59" s="176"/>
      <c r="D59" s="201"/>
      <c r="I59" s="201"/>
    </row>
    <row r="60" spans="1:9" ht="13.5" customHeight="1" x14ac:dyDescent="0.2">
      <c r="A60" s="104"/>
      <c r="B60" s="105"/>
      <c r="C60" s="176"/>
      <c r="D60" s="201"/>
      <c r="I60" s="201"/>
    </row>
    <row r="61" spans="1:9" ht="11.25" customHeight="1" x14ac:dyDescent="0.2">
      <c r="A61" s="24"/>
      <c r="B61" s="24"/>
      <c r="C61" s="24"/>
      <c r="I61" s="201"/>
    </row>
    <row r="62" spans="1:9" ht="16.5" customHeight="1" x14ac:dyDescent="0.2">
      <c r="A62" s="398"/>
      <c r="B62" s="399"/>
      <c r="C62" s="399"/>
      <c r="I62" s="201"/>
    </row>
    <row r="63" spans="1:9" ht="11.25" customHeight="1" x14ac:dyDescent="0.2">
      <c r="A63" s="24"/>
      <c r="B63" s="24"/>
      <c r="C63" s="24"/>
      <c r="I63" s="201"/>
    </row>
    <row r="64" spans="1:9" ht="13.5" customHeight="1" x14ac:dyDescent="0.2">
      <c r="A64" s="24"/>
      <c r="B64" s="105"/>
      <c r="C64" s="106"/>
      <c r="D64" s="102"/>
      <c r="I64" s="201"/>
    </row>
    <row r="65" spans="1:12" ht="13.5" customHeight="1" x14ac:dyDescent="0.2">
      <c r="A65" s="24"/>
      <c r="B65" s="105"/>
      <c r="C65" s="106"/>
      <c r="D65" s="102"/>
      <c r="I65" s="201"/>
    </row>
    <row r="66" spans="1:12" ht="13.5" customHeight="1" x14ac:dyDescent="0.2">
      <c r="A66" s="24"/>
      <c r="B66" s="105"/>
      <c r="C66" s="106"/>
      <c r="D66" s="102"/>
      <c r="I66" s="201"/>
    </row>
    <row r="67" spans="1:12" ht="11.25" customHeight="1" x14ac:dyDescent="0.2">
      <c r="A67" s="24"/>
      <c r="B67" s="24"/>
      <c r="C67" s="24"/>
      <c r="I67" s="201"/>
    </row>
    <row r="68" spans="1:12" ht="16.5" customHeight="1" x14ac:dyDescent="0.2">
      <c r="A68" s="398"/>
      <c r="B68" s="399"/>
      <c r="C68" s="399"/>
      <c r="I68" s="201"/>
    </row>
    <row r="69" spans="1:12" ht="11.25" customHeight="1" x14ac:dyDescent="0.2">
      <c r="A69" s="36"/>
      <c r="B69" s="36"/>
      <c r="C69" s="36"/>
      <c r="D69" s="32"/>
      <c r="I69" s="201"/>
    </row>
    <row r="70" spans="1:12" ht="13.5" customHeight="1" x14ac:dyDescent="0.2">
      <c r="A70" s="36"/>
      <c r="B70" s="177"/>
      <c r="C70" s="106"/>
      <c r="D70" s="102"/>
      <c r="I70" s="201"/>
    </row>
    <row r="71" spans="1:12" ht="13.5" customHeight="1" x14ac:dyDescent="0.2">
      <c r="A71" s="36"/>
      <c r="B71" s="177"/>
      <c r="C71" s="106"/>
      <c r="D71" s="102"/>
      <c r="F71" s="2"/>
      <c r="G71" s="2"/>
      <c r="H71" s="2"/>
      <c r="I71" s="201"/>
      <c r="J71" s="2"/>
      <c r="K71" s="2"/>
      <c r="L71" s="2"/>
    </row>
    <row r="72" spans="1:12" ht="13.5" customHeight="1" x14ac:dyDescent="0.2">
      <c r="A72" s="36"/>
      <c r="B72" s="177"/>
      <c r="C72" s="106"/>
      <c r="D72" s="102"/>
      <c r="F72" s="2"/>
      <c r="G72" s="2"/>
      <c r="H72" s="2"/>
      <c r="I72" s="201"/>
      <c r="J72" s="2"/>
      <c r="K72" s="2"/>
      <c r="L72" s="2"/>
    </row>
    <row r="73" spans="1:12" ht="13.5" customHeight="1" x14ac:dyDescent="0.2">
      <c r="B73" s="106"/>
      <c r="C73" s="106"/>
      <c r="D73" s="102"/>
      <c r="F73" s="2"/>
      <c r="G73" s="2"/>
      <c r="H73" s="2"/>
      <c r="I73" s="201"/>
      <c r="J73" s="2"/>
      <c r="K73" s="2"/>
      <c r="L73" s="2"/>
    </row>
    <row r="74" spans="1:12" s="101" customFormat="1" ht="11.25" customHeight="1" x14ac:dyDescent="0.2">
      <c r="D74" s="102"/>
      <c r="F74" s="2"/>
      <c r="G74" s="2"/>
      <c r="H74" s="2"/>
      <c r="I74" s="201"/>
      <c r="J74" s="2"/>
      <c r="K74" s="2"/>
      <c r="L74" s="2"/>
    </row>
    <row r="75" spans="1:12" ht="16.5" customHeight="1" x14ac:dyDescent="0.2">
      <c r="A75" s="398"/>
      <c r="B75" s="399"/>
      <c r="C75" s="399"/>
      <c r="D75" s="102"/>
      <c r="E75" s="201"/>
      <c r="F75" s="201"/>
      <c r="G75" s="201"/>
      <c r="H75" s="201"/>
      <c r="I75" s="201"/>
      <c r="J75" s="201"/>
      <c r="K75" s="201"/>
      <c r="L75" s="2"/>
    </row>
    <row r="76" spans="1:12" ht="11.25" customHeight="1" x14ac:dyDescent="0.2">
      <c r="D76" s="102"/>
      <c r="E76" s="201"/>
      <c r="F76" s="201"/>
      <c r="G76" s="201"/>
      <c r="H76" s="201"/>
      <c r="I76" s="201"/>
      <c r="J76" s="201"/>
      <c r="K76" s="201"/>
      <c r="L76" s="2"/>
    </row>
    <row r="77" spans="1:12" ht="13.5" customHeight="1" x14ac:dyDescent="0.2">
      <c r="B77" s="106"/>
      <c r="C77" s="106"/>
      <c r="D77" s="102"/>
      <c r="E77" s="201"/>
      <c r="F77" s="201"/>
      <c r="G77" s="201"/>
      <c r="H77" s="201"/>
      <c r="I77" s="201"/>
      <c r="J77" s="201"/>
      <c r="K77" s="201"/>
      <c r="L77" s="2"/>
    </row>
    <row r="78" spans="1:12" s="101" customFormat="1" ht="11.25" customHeight="1" x14ac:dyDescent="0.2">
      <c r="D78" s="102"/>
      <c r="E78" s="201"/>
      <c r="F78" s="201"/>
      <c r="G78" s="201"/>
      <c r="H78" s="201"/>
      <c r="I78" s="201"/>
      <c r="J78" s="201"/>
      <c r="K78" s="201"/>
      <c r="L78" s="2"/>
    </row>
    <row r="79" spans="1:12" s="101" customFormat="1" ht="16.5" customHeight="1" x14ac:dyDescent="0.2">
      <c r="A79" s="398"/>
      <c r="B79" s="399"/>
      <c r="C79" s="399"/>
      <c r="D79" s="201"/>
      <c r="E79" s="201"/>
      <c r="F79" s="201"/>
      <c r="G79" s="201"/>
      <c r="H79" s="201"/>
      <c r="I79" s="201"/>
      <c r="J79" s="201"/>
      <c r="K79" s="201"/>
    </row>
    <row r="80" spans="1:12" ht="11.25" customHeight="1" x14ac:dyDescent="0.2">
      <c r="D80" s="102"/>
      <c r="E80" s="201"/>
      <c r="F80" s="201"/>
      <c r="G80" s="201"/>
      <c r="H80" s="201"/>
      <c r="I80" s="201"/>
      <c r="J80" s="201"/>
      <c r="K80" s="201"/>
      <c r="L80" s="2"/>
    </row>
    <row r="81" spans="1:12" ht="13.5" customHeight="1" x14ac:dyDescent="0.2">
      <c r="B81" s="106"/>
      <c r="C81" s="106"/>
      <c r="D81" s="102"/>
      <c r="E81" s="201"/>
      <c r="F81" s="201"/>
      <c r="G81" s="201"/>
      <c r="H81" s="201"/>
      <c r="I81" s="201"/>
      <c r="J81" s="201"/>
      <c r="K81" s="201"/>
      <c r="L81" s="2"/>
    </row>
    <row r="82" spans="1:12" ht="12.75" customHeight="1" x14ac:dyDescent="0.2">
      <c r="D82" s="102"/>
      <c r="E82" s="201"/>
      <c r="F82" s="201"/>
      <c r="G82" s="201"/>
      <c r="H82" s="201"/>
      <c r="I82" s="201"/>
      <c r="J82" s="201"/>
      <c r="K82" s="201"/>
      <c r="L82" s="2"/>
    </row>
    <row r="83" spans="1:12" ht="12.75" customHeight="1" x14ac:dyDescent="0.2">
      <c r="A83" s="398"/>
      <c r="B83" s="399"/>
      <c r="C83" s="399"/>
      <c r="D83" s="1"/>
      <c r="F83" s="2"/>
      <c r="G83" s="2"/>
      <c r="H83" s="2"/>
      <c r="I83" s="2"/>
      <c r="J83" s="2"/>
      <c r="K83" s="2"/>
      <c r="L83" s="2"/>
    </row>
    <row r="84" spans="1:12" s="273" customFormat="1" ht="12.75" customHeight="1" x14ac:dyDescent="0.2">
      <c r="A84" s="272"/>
      <c r="C84" s="275"/>
      <c r="D84" s="1"/>
      <c r="F84" s="2"/>
      <c r="G84" s="2"/>
      <c r="H84" s="2"/>
      <c r="I84" s="2"/>
      <c r="J84" s="2"/>
      <c r="K84" s="2"/>
      <c r="L84" s="2"/>
    </row>
    <row r="85" spans="1:12" ht="12.75" customHeight="1" x14ac:dyDescent="0.2">
      <c r="B85" s="271"/>
      <c r="C85" s="274"/>
      <c r="D85" s="1"/>
      <c r="E85" s="2"/>
      <c r="F85" s="2"/>
      <c r="G85" s="2"/>
      <c r="H85" s="2"/>
      <c r="I85" s="2"/>
      <c r="J85" s="2"/>
      <c r="K85" s="2"/>
      <c r="L85" s="2"/>
    </row>
    <row r="86" spans="1:12" ht="12.75" customHeight="1" x14ac:dyDescent="0.2">
      <c r="B86" s="271"/>
      <c r="C86" s="274"/>
      <c r="D86" s="1"/>
      <c r="E86" s="2"/>
      <c r="F86" s="2"/>
      <c r="G86" s="2"/>
      <c r="H86" s="2"/>
      <c r="I86" s="2"/>
      <c r="J86" s="2"/>
      <c r="K86" s="2"/>
      <c r="L86" s="2"/>
    </row>
    <row r="87" spans="1:12" ht="12.75" customHeight="1" x14ac:dyDescent="0.2">
      <c r="D87" s="1"/>
      <c r="E87" s="2"/>
      <c r="F87" s="2"/>
      <c r="G87" s="2"/>
      <c r="H87" s="2"/>
      <c r="I87" s="2"/>
      <c r="J87" s="2"/>
      <c r="K87" s="2"/>
      <c r="L87" s="2"/>
    </row>
    <row r="88" spans="1:12" ht="12.75" customHeight="1" x14ac:dyDescent="0.2">
      <c r="D88" s="1"/>
      <c r="E88" s="2"/>
      <c r="F88" s="2"/>
      <c r="G88" s="2"/>
      <c r="H88" s="2"/>
      <c r="I88" s="2"/>
      <c r="J88" s="2"/>
      <c r="K88" s="2"/>
      <c r="L88" s="2"/>
    </row>
    <row r="89" spans="1:12" ht="12.75" customHeight="1" x14ac:dyDescent="0.2">
      <c r="D89" s="1"/>
      <c r="E89" s="2"/>
      <c r="F89" s="2"/>
      <c r="G89" s="2"/>
      <c r="H89" s="2"/>
      <c r="I89" s="2"/>
      <c r="J89" s="2"/>
      <c r="K89" s="2"/>
      <c r="L89" s="2"/>
    </row>
    <row r="90" spans="1:12" ht="12.75" customHeight="1" x14ac:dyDescent="0.2">
      <c r="D90" s="1"/>
      <c r="E90" s="2"/>
      <c r="F90" s="2"/>
      <c r="G90" s="2"/>
      <c r="H90" s="2"/>
      <c r="I90" s="2"/>
      <c r="J90" s="2"/>
      <c r="K90" s="2"/>
      <c r="L90" s="2"/>
    </row>
    <row r="91" spans="1:12" ht="12.75" customHeight="1" x14ac:dyDescent="0.2">
      <c r="D91" s="1"/>
      <c r="E91" s="2"/>
      <c r="F91" s="2"/>
      <c r="G91" s="2"/>
      <c r="H91" s="2"/>
      <c r="I91" s="2"/>
      <c r="J91" s="2"/>
      <c r="K91" s="2"/>
      <c r="L91" s="2"/>
    </row>
    <row r="92" spans="1:12" ht="12.75" customHeight="1" x14ac:dyDescent="0.2">
      <c r="D92" s="1"/>
      <c r="E92" s="2"/>
      <c r="F92" s="2"/>
      <c r="G92" s="2"/>
      <c r="H92" s="2"/>
      <c r="I92" s="2"/>
      <c r="J92" s="2"/>
      <c r="K92" s="2"/>
      <c r="L92" s="2"/>
    </row>
    <row r="93" spans="1:12" ht="12.75" customHeight="1" x14ac:dyDescent="0.2">
      <c r="D93" s="1"/>
      <c r="E93" s="2"/>
      <c r="F93" s="2"/>
      <c r="G93" s="2"/>
      <c r="H93" s="2"/>
      <c r="I93" s="2"/>
      <c r="J93" s="2"/>
      <c r="K93" s="2"/>
      <c r="L93" s="2"/>
    </row>
    <row r="94" spans="1:12" ht="12.75" customHeight="1" x14ac:dyDescent="0.2">
      <c r="D94" s="1"/>
      <c r="E94" s="2"/>
      <c r="F94" s="2"/>
      <c r="G94" s="2"/>
      <c r="H94" s="2"/>
      <c r="I94" s="2"/>
      <c r="J94" s="2"/>
      <c r="K94" s="2"/>
      <c r="L94" s="2"/>
    </row>
    <row r="95" spans="1:12" ht="12.75" customHeight="1" x14ac:dyDescent="0.2">
      <c r="D95" s="1"/>
      <c r="E95" s="2"/>
      <c r="F95" s="2"/>
      <c r="G95" s="2"/>
      <c r="H95" s="2"/>
      <c r="I95" s="2"/>
      <c r="J95" s="2"/>
      <c r="K95" s="2"/>
      <c r="L95" s="2"/>
    </row>
    <row r="96" spans="1:12" ht="12.75" customHeight="1" x14ac:dyDescent="0.2">
      <c r="D96" s="1"/>
      <c r="E96" s="2"/>
      <c r="F96" s="2"/>
      <c r="G96" s="2"/>
      <c r="H96" s="2"/>
      <c r="I96" s="2"/>
      <c r="J96" s="2"/>
      <c r="K96" s="2"/>
      <c r="L96" s="2"/>
    </row>
    <row r="97" spans="4:12" ht="12.75" customHeight="1" x14ac:dyDescent="0.2">
      <c r="D97" s="1"/>
      <c r="E97" s="2"/>
      <c r="F97" s="2"/>
      <c r="G97" s="2"/>
      <c r="H97" s="2"/>
      <c r="I97" s="2"/>
      <c r="J97" s="2"/>
      <c r="K97" s="2"/>
      <c r="L97" s="2"/>
    </row>
    <row r="98" spans="4:12" ht="12.75" customHeight="1" x14ac:dyDescent="0.2">
      <c r="D98" s="1"/>
      <c r="E98" s="2"/>
      <c r="F98" s="2"/>
      <c r="G98" s="2"/>
      <c r="H98" s="2"/>
      <c r="I98" s="2"/>
      <c r="J98" s="2"/>
      <c r="K98" s="2"/>
      <c r="L98" s="2"/>
    </row>
    <row r="99" spans="4:12" ht="12.75" customHeight="1" x14ac:dyDescent="0.2">
      <c r="D99" s="1"/>
      <c r="E99" s="2"/>
      <c r="F99" s="2"/>
      <c r="G99" s="2"/>
      <c r="H99" s="2"/>
      <c r="I99" s="2"/>
      <c r="J99" s="2"/>
      <c r="K99" s="2"/>
      <c r="L99" s="2"/>
    </row>
    <row r="100" spans="4:12" ht="12.75" customHeight="1" x14ac:dyDescent="0.2">
      <c r="D100" s="1"/>
      <c r="E100" s="2"/>
      <c r="F100" s="2"/>
      <c r="G100" s="2"/>
      <c r="H100" s="2"/>
      <c r="I100" s="2"/>
      <c r="J100" s="2"/>
      <c r="K100" s="2"/>
      <c r="L100" s="2"/>
    </row>
    <row r="101" spans="4:12" ht="12.75" customHeight="1" x14ac:dyDescent="0.2">
      <c r="D101" s="1"/>
      <c r="E101" s="2"/>
      <c r="F101" s="2"/>
      <c r="G101" s="2"/>
      <c r="H101" s="2"/>
      <c r="I101" s="2"/>
      <c r="J101" s="2"/>
      <c r="K101" s="2"/>
      <c r="L101" s="2"/>
    </row>
    <row r="102" spans="4:12" ht="12.75" customHeight="1" x14ac:dyDescent="0.2">
      <c r="D102" s="1"/>
      <c r="E102" s="2"/>
      <c r="F102" s="2"/>
      <c r="G102" s="2"/>
      <c r="H102" s="2"/>
      <c r="I102" s="2"/>
      <c r="J102" s="2"/>
      <c r="K102" s="2"/>
      <c r="L102" s="2"/>
    </row>
    <row r="103" spans="4:12" ht="12.75" customHeight="1" x14ac:dyDescent="0.2">
      <c r="D103" s="1"/>
      <c r="E103" s="2"/>
      <c r="F103" s="2"/>
      <c r="G103" s="2"/>
      <c r="H103" s="2"/>
      <c r="I103" s="2"/>
      <c r="J103" s="2"/>
      <c r="K103" s="2"/>
      <c r="L103" s="2"/>
    </row>
    <row r="104" spans="4:12" ht="12.75" customHeight="1" x14ac:dyDescent="0.2">
      <c r="D104" s="1"/>
      <c r="E104" s="2"/>
      <c r="F104" s="2"/>
      <c r="G104" s="2"/>
      <c r="H104" s="2"/>
      <c r="I104" s="2"/>
      <c r="J104" s="2"/>
      <c r="K104" s="2"/>
      <c r="L104" s="2"/>
    </row>
    <row r="105" spans="4:12" ht="12.75" customHeight="1" x14ac:dyDescent="0.2">
      <c r="D105" s="1"/>
      <c r="E105" s="2"/>
      <c r="F105" s="2"/>
      <c r="G105" s="2"/>
      <c r="H105" s="2"/>
      <c r="I105" s="2"/>
      <c r="J105" s="2"/>
      <c r="K105" s="2"/>
      <c r="L105" s="2"/>
    </row>
    <row r="106" spans="4:12" ht="12.75" customHeight="1" x14ac:dyDescent="0.2">
      <c r="D106" s="1"/>
      <c r="E106" s="34"/>
      <c r="F106" s="34"/>
      <c r="G106" s="34"/>
      <c r="H106" s="34"/>
      <c r="I106" s="34"/>
    </row>
    <row r="107" spans="4:12" ht="11.25" customHeight="1" x14ac:dyDescent="0.2">
      <c r="D107" s="1"/>
    </row>
    <row r="108" spans="4:12" ht="15" customHeight="1" x14ac:dyDescent="0.2">
      <c r="D108" s="1"/>
    </row>
    <row r="109" spans="4:12" ht="11.25" customHeight="1" x14ac:dyDescent="0.2">
      <c r="D109" s="1"/>
    </row>
    <row r="110" spans="4:12" ht="12.75" customHeight="1" x14ac:dyDescent="0.2">
      <c r="D110" s="34"/>
    </row>
    <row r="111" spans="4:12" x14ac:dyDescent="0.2">
      <c r="D111" s="32"/>
    </row>
    <row r="112" spans="4:12" ht="12.75" customHeight="1" x14ac:dyDescent="0.2"/>
  </sheetData>
  <mergeCells count="15">
    <mergeCell ref="A83:C83"/>
    <mergeCell ref="A79:C79"/>
    <mergeCell ref="A75:C75"/>
    <mergeCell ref="A68:C68"/>
    <mergeCell ref="A1:C1"/>
    <mergeCell ref="A2:H2"/>
    <mergeCell ref="A3:C3"/>
    <mergeCell ref="A40:C40"/>
    <mergeCell ref="A46:C46"/>
    <mergeCell ref="A62:C62"/>
    <mergeCell ref="A5:C5"/>
    <mergeCell ref="A11:C11"/>
    <mergeCell ref="A21:C21"/>
    <mergeCell ref="A29:C29"/>
    <mergeCell ref="A35:C35"/>
  </mergeCells>
  <hyperlinks>
    <hyperlink ref="B7:C7" location="'Summary report 1'!A1" display="Summary report 1" xr:uid="{00000000-0004-0000-0100-000006000000}"/>
    <hyperlink ref="B8:C8" location="'Summary report 2'!A1" display="Summary report 2" xr:uid="{00000000-0004-0000-0100-000007000000}"/>
    <hyperlink ref="B9:C9" location="'Summary report 3'!A1" display="Summary report 3" xr:uid="{00000000-0004-0000-0100-000008000000}"/>
    <hyperlink ref="B14:C14" location="'Summary report 5'!A1" display="Summary report 5" xr:uid="{00000000-0004-0000-0100-000009000000}"/>
    <hyperlink ref="B15:C15" location="'Summary report 6'!A1" display="Summary report 6" xr:uid="{00000000-0004-0000-0100-00000A000000}"/>
    <hyperlink ref="B13:C13" location="'Summary report 4'!A1" display="Summary report 4" xr:uid="{00000000-0004-0000-0100-00000B000000}"/>
    <hyperlink ref="B16:C16" location="'Summary report 7'!A1" display="Summary report 7" xr:uid="{00000000-0004-0000-0100-00000C000000}"/>
    <hyperlink ref="B17:C17" location="'Summary report 8'!A1" display="Summary report 8" xr:uid="{00000000-0004-0000-0100-00000D000000}"/>
    <hyperlink ref="B18:C18" location="'Summary report 9-10'!A1" display="Summary report 9" xr:uid="{00000000-0004-0000-0100-00000E000000}"/>
    <hyperlink ref="B19:C19" location="'Summary report 9-10'!A9" display="Summary report 10" xr:uid="{00000000-0004-0000-0100-00000F000000}"/>
    <hyperlink ref="B23:C23" location="'Summary report 11'!A1" display="Summary report 11" xr:uid="{00000000-0004-0000-0100-000010000000}"/>
    <hyperlink ref="B24:C24" location="'Summary report 12'!A1" display="Summary report 12" xr:uid="{00000000-0004-0000-0100-000011000000}"/>
    <hyperlink ref="B25:C25" location="'Summary report 13'!A1" display="Summary report 13" xr:uid="{00000000-0004-0000-0100-000012000000}"/>
    <hyperlink ref="B26:C26" location="'Summary report 14'!A1" display="Summary report 14" xr:uid="{00000000-0004-0000-0100-000013000000}"/>
    <hyperlink ref="B27:C27" location="'Summary report 15'!A1" display="Summary report 15" xr:uid="{00000000-0004-0000-0100-000014000000}"/>
    <hyperlink ref="B31:C31" location="'Summary report 16'!A1" display="Summary report 16" xr:uid="{00000000-0004-0000-0100-000015000000}"/>
    <hyperlink ref="B32:C32" location="'Summary report 17'!A1" display="Summary report 17" xr:uid="{00000000-0004-0000-0100-000016000000}"/>
    <hyperlink ref="B33:C33" location="'Summary report 18'!A1" display="Summary report 18" xr:uid="{00000000-0004-0000-0100-000017000000}"/>
    <hyperlink ref="B37" location="'Summary report 19'!A1" display="Summary report 19" xr:uid="{BF61FA19-5F25-4718-9178-82C46EE70577}"/>
    <hyperlink ref="B38" location="'Summary report 20'!A1" display="Summary report 20" xr:uid="{72D46F14-F694-46ED-938A-9069A3A95958}"/>
    <hyperlink ref="C37" location="'Summary report 19'!A1" display="A&amp;E Attendances by Index of Multiple Deprivation and Rate per 100,000 Population, 2017-18" xr:uid="{A8E71D20-CD3D-4AFE-A02C-F2822A506167}"/>
    <hyperlink ref="C38" location="'Summary report 20'!A1" display="A&amp;E Attendances by Ethnicity and Rate per 100,000 Population, 2017-18" xr:uid="{2B187156-D8A7-4082-82DA-15D5AE5CCDFD}"/>
    <hyperlink ref="C16" location="'Summary report 7'!A1" display="Percentage of Patient Attendances Spending 4 Hours or Less / Over 4 Hours in A&amp;E by Provider, 2019-20" xr:uid="{2E8583F6-5D17-43BA-BAB2-C90527A145F1}"/>
    <hyperlink ref="C17" location="'Summary report 8'!A1" display="Total Time in A&amp;E from Hour of Arrival to Transfer, Admission or Discharge, 2017-18" xr:uid="{5EFBB017-58D9-4B7B-AB1E-CAB4A13A106C}"/>
    <hyperlink ref="C23" location="'Summary report 11'!A1" display="A&amp;E Attendances by Time of Arrival and Day of Week, 2017-18" xr:uid="{8D6ADED5-4456-4ECA-9AA3-066F68C02A68}"/>
    <hyperlink ref="C24" location="'Summary report 12'!A1" display="A&amp;E Attendances Where Patient Arrived by Ambulance, by Hour of Arrival, 2017-18" xr:uid="{92000328-4F67-4433-836D-7A05F4CA8A0D}"/>
    <hyperlink ref="C32" location="'Summary report 17'!A1" display="Percentage of Reattendances by Day of Week of First Attendance, 2017-18" xr:uid="{9F134A64-E1DF-4754-AC2B-36AF3B9079F1}"/>
    <hyperlink ref="C33" location="'Summary report 18'!A1" display="Percentage of Reattendances by Age and Sex, 2017-18" xr:uid="{FD29DCC7-5138-42D5-91D4-20E599210053}"/>
    <hyperlink ref="C31" location="'Summary report 16'!A1" display="Number and Percentage of A&amp;E Reattendances, 2008-09 to 2017-18" xr:uid="{A7FA356C-92CD-4E9C-ADB7-308672FC5150}"/>
    <hyperlink ref="C7" location="'Summary report 1'!A1" display="Summary of A&amp;E Attendances, 2008-09 to 2017-18" xr:uid="{D6D19767-54C1-4B84-9CCE-902D9F778254}"/>
    <hyperlink ref="C8" location="'Summary report 2'!A1" display="A&amp;E Attendances by Department Type, 2008-09 to 2017-18" xr:uid="{346F513E-3CC9-4819-918B-C5E55D5FDD47}"/>
    <hyperlink ref="C9" location="'Summary report 3'!A1" display="A&amp;E Attendances by Age Band, 2008-09 to 2017-18" xr:uid="{53CBEB75-36DC-493A-A579-A220D04961C5}"/>
    <hyperlink ref="C13" location="'Summary report 4'!A1" display="Percentage of Patient Attendances Spending 4 Hours or Less in A&amp;E, 2008-09 to 2017-18" xr:uid="{BF52E33C-18DD-45EE-920F-6839EB332520}"/>
    <hyperlink ref="C14" location="'Summary report 5'!A1" display="Average Number of Attendances of 4 Hours or Less, 2011-12 to 2017-18" xr:uid="{48AC42BB-5409-4ED2-AF51-5E4DDCA58A32}"/>
    <hyperlink ref="C15" location="'Summary report 6'!A1" display="Average Number of Attendances Over 4 Hours, 2011-12 to 2017-18" xr:uid="{88897739-A359-4E37-B0B9-6B8EC9EF7D52}"/>
    <hyperlink ref="C18" location="'Summary report 9-10'!A1" display="Patients Spending Over 12 Hours in A&amp;E From Arrival, 2011-12 to 2017-18" xr:uid="{BBEDD8C2-8FA5-4253-8074-028E78682D16}"/>
    <hyperlink ref="C19" location="'Summary report 9-10'!A9" display="Patients Waiting Over 12 Hours From Decision to Admit to Admission to a Ward, 2011-12 to 2017-18" xr:uid="{384CA066-2B04-4BD3-870F-A61A0D228BF3}"/>
    <hyperlink ref="C26" location="'Summary report 14'!A1" display="Percentage of Attendances Admitted from A&amp;E by Month, 2015-16 to 2017-18" xr:uid="{58A70A69-885A-4B56-9E54-EE6EE8EB7CA0}"/>
    <hyperlink ref="C27" location="'Summary report 15'!A1" display="Percentage of Attendances Admitted from A&amp;E by Year, 2008-09 to 2017-18" xr:uid="{EA5A286A-C970-4F17-A6E9-AD99790C7164}"/>
    <hyperlink ref="C25" location="'Summary report 13'!A1" display="Average Number of Attendances per Day by Month, 2015-16 to 2017-18" xr:uid="{6D4E8358-C3DB-4819-B26A-C582097EE068}"/>
  </hyperlinks>
  <pageMargins left="0.78740157480314965" right="0.78740157480314965" top="0.78740157480314965" bottom="0.78740157480314965" header="0.78740157480314965" footer="0.78740157480314965"/>
  <pageSetup paperSize="9" scale="81" fitToHeight="0" orientation="landscape" r:id="rId1"/>
  <headerFooter alignWithMargins="0">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31"/>
  <sheetViews>
    <sheetView workbookViewId="0">
      <selection sqref="A1:C1"/>
    </sheetView>
  </sheetViews>
  <sheetFormatPr defaultColWidth="9.140625" defaultRowHeight="14.25" x14ac:dyDescent="0.2"/>
  <cols>
    <col min="1" max="1" width="18.7109375" style="28" bestFit="1" customWidth="1"/>
    <col min="2" max="12" width="11.42578125" style="28" customWidth="1"/>
    <col min="13" max="16384" width="9.140625" style="28"/>
  </cols>
  <sheetData>
    <row r="1" spans="1:12" ht="15" customHeight="1" x14ac:dyDescent="0.2"/>
    <row r="2" spans="1:12" ht="30" customHeight="1" x14ac:dyDescent="0.2">
      <c r="A2" s="404" t="s">
        <v>473</v>
      </c>
      <c r="B2" s="404"/>
      <c r="C2" s="404"/>
      <c r="D2" s="404"/>
      <c r="E2" s="404"/>
      <c r="F2" s="404"/>
      <c r="G2" s="404"/>
      <c r="H2" s="404"/>
      <c r="I2" s="404"/>
      <c r="J2" s="404"/>
      <c r="K2" s="404"/>
      <c r="L2" s="228"/>
    </row>
    <row r="3" spans="1:12" ht="15.75" customHeight="1" x14ac:dyDescent="0.2">
      <c r="A3" s="405" t="s">
        <v>235</v>
      </c>
      <c r="B3" s="405"/>
      <c r="C3" s="405"/>
      <c r="D3" s="405"/>
      <c r="E3" s="405"/>
      <c r="F3" s="405"/>
      <c r="G3" s="405"/>
      <c r="H3" s="405"/>
      <c r="I3" s="405"/>
      <c r="J3" s="405"/>
      <c r="K3" s="405"/>
      <c r="L3" s="229"/>
    </row>
    <row r="4" spans="1:12" ht="15" customHeight="1" x14ac:dyDescent="0.2">
      <c r="A4" s="405" t="s">
        <v>432</v>
      </c>
      <c r="B4" s="405"/>
      <c r="C4" s="405"/>
      <c r="D4" s="405"/>
      <c r="E4" s="405"/>
      <c r="F4" s="405"/>
      <c r="G4" s="314"/>
      <c r="H4" s="314"/>
      <c r="I4" s="314"/>
      <c r="J4" s="314"/>
      <c r="K4" s="314"/>
      <c r="L4" s="314"/>
    </row>
    <row r="5" spans="1:12" ht="15" thickBot="1" x14ac:dyDescent="0.25"/>
    <row r="6" spans="1:12" ht="16.5" customHeight="1" thickBot="1" x14ac:dyDescent="0.25">
      <c r="A6" s="224"/>
      <c r="B6" s="225" t="s">
        <v>158</v>
      </c>
      <c r="C6" s="225" t="s">
        <v>159</v>
      </c>
      <c r="D6" s="225" t="s">
        <v>160</v>
      </c>
      <c r="E6" s="225" t="s">
        <v>161</v>
      </c>
      <c r="F6" s="225" t="s">
        <v>0</v>
      </c>
      <c r="G6" s="225" t="s">
        <v>155</v>
      </c>
      <c r="H6" s="225" t="s">
        <v>172</v>
      </c>
      <c r="I6" s="225" t="s">
        <v>243</v>
      </c>
      <c r="J6" s="225" t="s">
        <v>313</v>
      </c>
      <c r="K6" s="226" t="s">
        <v>440</v>
      </c>
    </row>
    <row r="7" spans="1:12" ht="15" customHeight="1" thickBot="1" x14ac:dyDescent="0.25">
      <c r="A7" s="62" t="s">
        <v>175</v>
      </c>
      <c r="B7" s="222">
        <v>21380985</v>
      </c>
      <c r="C7" s="222">
        <v>21481402</v>
      </c>
      <c r="D7" s="222">
        <v>21738637</v>
      </c>
      <c r="E7" s="222">
        <v>21778657</v>
      </c>
      <c r="F7" s="222">
        <v>22354781</v>
      </c>
      <c r="G7" s="222">
        <v>22920435</v>
      </c>
      <c r="H7" s="222">
        <v>23362301</v>
      </c>
      <c r="I7" s="222">
        <v>23830120</v>
      </c>
      <c r="J7" s="222">
        <v>24826982</v>
      </c>
      <c r="K7" s="223">
        <v>25017116</v>
      </c>
    </row>
    <row r="8" spans="1:12" s="99" customFormat="1" ht="15" customHeight="1" thickBot="1" x14ac:dyDescent="0.25">
      <c r="A8" s="213"/>
      <c r="B8" s="214"/>
      <c r="C8" s="214"/>
      <c r="D8" s="214"/>
      <c r="E8" s="214"/>
      <c r="F8" s="214"/>
      <c r="G8" s="214"/>
      <c r="H8" s="214"/>
      <c r="I8" s="215"/>
      <c r="J8" s="215"/>
      <c r="K8" s="215"/>
    </row>
    <row r="9" spans="1:12" ht="15" customHeight="1" thickBot="1" x14ac:dyDescent="0.25">
      <c r="A9" s="221"/>
      <c r="B9" s="227">
        <v>2010</v>
      </c>
      <c r="C9" s="227">
        <v>2011</v>
      </c>
      <c r="D9" s="227">
        <v>2012</v>
      </c>
      <c r="E9" s="227">
        <v>2013</v>
      </c>
      <c r="F9" s="227">
        <v>2014</v>
      </c>
      <c r="G9" s="227">
        <v>2015</v>
      </c>
      <c r="H9" s="225">
        <v>2016</v>
      </c>
      <c r="I9" s="225">
        <v>2017</v>
      </c>
      <c r="J9" s="225">
        <v>2018</v>
      </c>
      <c r="K9" s="364">
        <v>2019</v>
      </c>
    </row>
    <row r="10" spans="1:12" ht="15" customHeight="1" thickBot="1" x14ac:dyDescent="0.25">
      <c r="A10" s="62" t="s">
        <v>241</v>
      </c>
      <c r="B10" s="216">
        <v>52642452</v>
      </c>
      <c r="C10" s="216">
        <v>53107169</v>
      </c>
      <c r="D10" s="216">
        <v>53493729</v>
      </c>
      <c r="E10" s="216">
        <v>53865817</v>
      </c>
      <c r="F10" s="216">
        <v>54316618</v>
      </c>
      <c r="G10" s="216">
        <v>54786327</v>
      </c>
      <c r="H10" s="222">
        <v>55268067</v>
      </c>
      <c r="I10" s="222">
        <v>55619430</v>
      </c>
      <c r="J10" s="222">
        <v>55977178</v>
      </c>
      <c r="K10" s="223">
        <v>56286961</v>
      </c>
      <c r="L10" s="116"/>
    </row>
    <row r="11" spans="1:12" ht="15" customHeight="1" x14ac:dyDescent="0.2">
      <c r="A11" s="213"/>
      <c r="B11" s="214"/>
      <c r="C11" s="214"/>
      <c r="D11" s="214"/>
      <c r="E11" s="214"/>
      <c r="F11" s="214"/>
      <c r="G11" s="214"/>
      <c r="H11" s="214"/>
      <c r="I11" s="214"/>
      <c r="J11" s="214"/>
      <c r="K11" s="215"/>
      <c r="L11" s="215"/>
    </row>
    <row r="12" spans="1:12" x14ac:dyDescent="0.2">
      <c r="A12" s="403" t="s">
        <v>436</v>
      </c>
      <c r="B12" s="403"/>
      <c r="C12" s="403"/>
      <c r="D12" s="403"/>
      <c r="E12" s="403"/>
      <c r="F12" s="403"/>
      <c r="G12" s="403"/>
      <c r="H12" s="403"/>
    </row>
    <row r="13" spans="1:12" ht="28.5" customHeight="1" x14ac:dyDescent="0.2">
      <c r="A13" s="406" t="s">
        <v>499</v>
      </c>
      <c r="B13" s="407"/>
      <c r="C13" s="407"/>
      <c r="D13" s="407"/>
      <c r="E13" s="407"/>
      <c r="F13" s="407"/>
      <c r="G13" s="407"/>
      <c r="H13" s="407"/>
    </row>
    <row r="14" spans="1:12" x14ac:dyDescent="0.2">
      <c r="A14" s="202"/>
      <c r="B14" s="203"/>
      <c r="C14" s="203"/>
      <c r="D14" s="203"/>
      <c r="E14" s="203"/>
      <c r="F14" s="203"/>
      <c r="G14" s="203"/>
      <c r="H14" s="203"/>
    </row>
    <row r="15" spans="1:12" ht="14.25" customHeight="1" x14ac:dyDescent="0.2">
      <c r="A15" s="403" t="s">
        <v>240</v>
      </c>
      <c r="B15" s="403"/>
      <c r="C15" s="403"/>
      <c r="D15" s="403"/>
      <c r="E15" s="403"/>
      <c r="F15" s="403"/>
      <c r="G15" s="403"/>
      <c r="H15" s="403"/>
    </row>
    <row r="16" spans="1:12" ht="28.5" customHeight="1" x14ac:dyDescent="0.2">
      <c r="A16" s="402" t="s">
        <v>249</v>
      </c>
      <c r="B16" s="403"/>
      <c r="C16" s="403"/>
      <c r="D16" s="403"/>
      <c r="E16" s="403"/>
      <c r="F16" s="403"/>
      <c r="G16" s="403"/>
      <c r="H16" s="403"/>
    </row>
    <row r="17" spans="1:12" ht="14.25" customHeight="1" x14ac:dyDescent="0.2">
      <c r="A17" s="403" t="s">
        <v>239</v>
      </c>
      <c r="B17" s="403"/>
      <c r="C17" s="403"/>
      <c r="D17" s="403"/>
      <c r="E17" s="403"/>
      <c r="F17" s="403"/>
      <c r="G17" s="403"/>
      <c r="H17" s="403"/>
    </row>
    <row r="18" spans="1:12" ht="14.25" customHeight="1" x14ac:dyDescent="0.2">
      <c r="A18" s="89"/>
      <c r="B18" s="89"/>
      <c r="C18" s="89"/>
      <c r="D18" s="89"/>
      <c r="E18" s="89"/>
      <c r="F18" s="89"/>
      <c r="G18" s="89"/>
      <c r="H18" s="89"/>
    </row>
    <row r="19" spans="1:12" ht="15" thickBot="1" x14ac:dyDescent="0.25">
      <c r="A19" s="411" t="s">
        <v>1</v>
      </c>
      <c r="B19" s="411"/>
      <c r="C19" s="411"/>
      <c r="D19" s="411"/>
      <c r="E19" s="411"/>
      <c r="F19" s="411"/>
      <c r="G19" s="411"/>
    </row>
    <row r="20" spans="1:12" ht="14.25" customHeight="1" x14ac:dyDescent="0.2">
      <c r="A20" s="317" t="s">
        <v>428</v>
      </c>
      <c r="B20" s="317"/>
      <c r="C20" s="317"/>
      <c r="D20" s="317"/>
      <c r="E20" s="317"/>
      <c r="F20" s="317"/>
      <c r="G20" s="317"/>
      <c r="H20" s="189"/>
      <c r="I20" s="189"/>
      <c r="J20" s="189"/>
      <c r="K20" s="189"/>
      <c r="L20" s="189"/>
    </row>
    <row r="21" spans="1:12" x14ac:dyDescent="0.2">
      <c r="A21" s="412" t="s">
        <v>510</v>
      </c>
      <c r="B21" s="412"/>
      <c r="C21" s="412"/>
      <c r="D21" s="412"/>
      <c r="E21" s="412"/>
      <c r="F21" s="412"/>
      <c r="G21" s="412"/>
      <c r="H21" s="99"/>
      <c r="I21" s="99"/>
      <c r="J21" s="99"/>
      <c r="K21" s="99"/>
      <c r="L21" s="99"/>
    </row>
    <row r="22" spans="1:12" x14ac:dyDescent="0.2">
      <c r="A22" s="408" t="s">
        <v>156</v>
      </c>
      <c r="B22" s="408"/>
      <c r="C22" s="408"/>
      <c r="D22" s="408"/>
      <c r="E22" s="408"/>
      <c r="F22" s="408"/>
      <c r="G22" s="408"/>
      <c r="H22" s="99"/>
      <c r="I22" s="99"/>
      <c r="J22" s="99"/>
      <c r="K22" s="99"/>
      <c r="L22" s="99"/>
    </row>
    <row r="23" spans="1:12" ht="15" thickBot="1" x14ac:dyDescent="0.25">
      <c r="A23" s="409" t="s">
        <v>442</v>
      </c>
      <c r="B23" s="409"/>
      <c r="C23" s="409"/>
      <c r="D23" s="409"/>
      <c r="E23" s="409"/>
      <c r="F23" s="409"/>
      <c r="G23" s="409"/>
      <c r="H23" s="190"/>
      <c r="I23" s="190"/>
      <c r="J23" s="190"/>
      <c r="K23" s="190"/>
      <c r="L23" s="190"/>
    </row>
    <row r="24" spans="1:12" x14ac:dyDescent="0.2">
      <c r="A24" s="29"/>
      <c r="B24" s="30"/>
      <c r="C24" s="30"/>
      <c r="D24" s="30"/>
      <c r="E24" s="30"/>
      <c r="F24" s="30"/>
      <c r="G24" s="30"/>
    </row>
    <row r="25" spans="1:12" x14ac:dyDescent="0.2">
      <c r="A25" s="410" t="s">
        <v>157</v>
      </c>
      <c r="B25" s="410"/>
      <c r="C25" s="30"/>
      <c r="D25" s="30"/>
      <c r="E25" s="30"/>
      <c r="F25" s="30"/>
      <c r="G25" s="31"/>
    </row>
    <row r="26" spans="1:12" x14ac:dyDescent="0.2">
      <c r="A26" s="11"/>
      <c r="B26" s="30"/>
      <c r="C26" s="30"/>
      <c r="D26" s="30"/>
      <c r="E26" s="30"/>
      <c r="F26" s="30"/>
    </row>
    <row r="31" spans="1:12" x14ac:dyDescent="0.2">
      <c r="B31" s="212"/>
      <c r="C31" s="212"/>
      <c r="D31" s="212"/>
      <c r="E31" s="212"/>
      <c r="F31" s="212"/>
      <c r="G31" s="212"/>
      <c r="H31" s="212"/>
      <c r="I31" s="212"/>
      <c r="J31" s="212"/>
      <c r="K31" s="212"/>
      <c r="L31" s="212"/>
    </row>
  </sheetData>
  <mergeCells count="13">
    <mergeCell ref="A22:G22"/>
    <mergeCell ref="A23:G23"/>
    <mergeCell ref="A25:B25"/>
    <mergeCell ref="A19:G19"/>
    <mergeCell ref="A21:G21"/>
    <mergeCell ref="A16:H16"/>
    <mergeCell ref="A17:H17"/>
    <mergeCell ref="A12:H12"/>
    <mergeCell ref="A2:K2"/>
    <mergeCell ref="A3:K3"/>
    <mergeCell ref="A13:H13"/>
    <mergeCell ref="A15:H15"/>
    <mergeCell ref="A4:F4"/>
  </mergeCells>
  <hyperlinks>
    <hyperlink ref="A22:F22" r:id="rId1" display="Contact via enquiries@NHSDigital.nhs.uk or 0300 303 5678" xr:uid="{00000000-0004-0000-0200-000000000000}"/>
    <hyperlink ref="A25" location="Contents!A1" display="Return to Contents" xr:uid="{00000000-0004-0000-0200-000001000000}"/>
    <hyperlink ref="A16" r:id="rId2" xr:uid="{00000000-0004-0000-0200-000003000000}"/>
    <hyperlink ref="A13" r:id="rId3" display="https://www.england.nhs.uk/statistics/statistical-work-areas/ae-waiting-times-and-activity/ae-attendances-and-emergency-admissions-2018-19/" xr:uid="{E0AB485B-3DB7-425C-90A8-2714BB8F6F15}"/>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33"/>
  <sheetViews>
    <sheetView workbookViewId="0">
      <selection sqref="A1:C1"/>
    </sheetView>
  </sheetViews>
  <sheetFormatPr defaultColWidth="9.140625" defaultRowHeight="14.25" x14ac:dyDescent="0.2"/>
  <cols>
    <col min="1" max="1" width="16.42578125" style="28" customWidth="1"/>
    <col min="2" max="12" width="11.42578125" style="28" customWidth="1"/>
    <col min="13" max="16384" width="9.140625" style="28"/>
  </cols>
  <sheetData>
    <row r="1" spans="1:12" ht="15" customHeight="1" x14ac:dyDescent="0.2"/>
    <row r="2" spans="1:12" ht="52.9" customHeight="1" x14ac:dyDescent="0.2">
      <c r="A2" s="404" t="s">
        <v>474</v>
      </c>
      <c r="B2" s="404"/>
      <c r="C2" s="404"/>
      <c r="D2" s="404"/>
      <c r="E2" s="404"/>
      <c r="F2" s="404"/>
      <c r="G2" s="404"/>
      <c r="H2" s="404"/>
      <c r="I2" s="404"/>
      <c r="J2" s="404"/>
      <c r="K2" s="404"/>
      <c r="L2" s="228"/>
    </row>
    <row r="3" spans="1:12" ht="15.75" customHeight="1" x14ac:dyDescent="0.2">
      <c r="A3" s="413" t="s">
        <v>235</v>
      </c>
      <c r="B3" s="413"/>
      <c r="C3" s="413"/>
      <c r="D3" s="413"/>
      <c r="E3" s="413"/>
      <c r="F3" s="413"/>
      <c r="G3" s="413"/>
      <c r="H3" s="413"/>
      <c r="I3" s="413"/>
      <c r="J3" s="413"/>
      <c r="K3" s="413"/>
      <c r="L3" s="230"/>
    </row>
    <row r="4" spans="1:12" ht="15" customHeight="1" x14ac:dyDescent="0.2">
      <c r="A4" s="413" t="s">
        <v>432</v>
      </c>
      <c r="B4" s="413"/>
      <c r="C4" s="413"/>
      <c r="D4" s="413"/>
      <c r="E4" s="413"/>
      <c r="F4" s="413"/>
      <c r="G4" s="413"/>
      <c r="H4" s="315"/>
      <c r="I4" s="315"/>
      <c r="J4" s="315"/>
      <c r="K4" s="315"/>
      <c r="L4" s="315"/>
    </row>
    <row r="5" spans="1:12" ht="15" thickBot="1" x14ac:dyDescent="0.25"/>
    <row r="6" spans="1:12" ht="16.5" customHeight="1" thickBot="1" x14ac:dyDescent="0.25">
      <c r="A6" s="192"/>
      <c r="B6" s="9" t="s">
        <v>158</v>
      </c>
      <c r="C6" s="9" t="s">
        <v>159</v>
      </c>
      <c r="D6" s="9" t="s">
        <v>160</v>
      </c>
      <c r="E6" s="9" t="s">
        <v>161</v>
      </c>
      <c r="F6" s="9" t="s">
        <v>0</v>
      </c>
      <c r="G6" s="9" t="s">
        <v>155</v>
      </c>
      <c r="H6" s="9" t="s">
        <v>172</v>
      </c>
      <c r="I6" s="9" t="s">
        <v>243</v>
      </c>
      <c r="J6" s="9" t="s">
        <v>313</v>
      </c>
      <c r="K6" s="10" t="s">
        <v>440</v>
      </c>
    </row>
    <row r="7" spans="1:12" ht="30" customHeight="1" x14ac:dyDescent="0.2">
      <c r="A7" s="55" t="s">
        <v>173</v>
      </c>
      <c r="B7" s="56">
        <v>14592492</v>
      </c>
      <c r="C7" s="56">
        <v>14651918</v>
      </c>
      <c r="D7" s="56">
        <v>14877594</v>
      </c>
      <c r="E7" s="56">
        <v>14841752</v>
      </c>
      <c r="F7" s="56">
        <v>15215582</v>
      </c>
      <c r="G7" s="56">
        <v>15564475</v>
      </c>
      <c r="H7" s="56">
        <v>15869058</v>
      </c>
      <c r="I7" s="56">
        <v>15946320</v>
      </c>
      <c r="J7" s="56">
        <v>16257802</v>
      </c>
      <c r="K7" s="211">
        <v>16377759</v>
      </c>
    </row>
    <row r="8" spans="1:12" ht="30" customHeight="1" thickBot="1" x14ac:dyDescent="0.25">
      <c r="A8" s="54" t="s">
        <v>174</v>
      </c>
      <c r="B8" s="53">
        <v>6788493</v>
      </c>
      <c r="C8" s="53">
        <v>6829484</v>
      </c>
      <c r="D8" s="53">
        <v>6861043</v>
      </c>
      <c r="E8" s="53">
        <v>6936905</v>
      </c>
      <c r="F8" s="53">
        <v>7139199</v>
      </c>
      <c r="G8" s="53">
        <v>7355960</v>
      </c>
      <c r="H8" s="53">
        <v>7493243</v>
      </c>
      <c r="I8" s="53">
        <v>7883800</v>
      </c>
      <c r="J8" s="53">
        <v>8569180</v>
      </c>
      <c r="K8" s="210">
        <v>8639357</v>
      </c>
    </row>
    <row r="9" spans="1:12" x14ac:dyDescent="0.2">
      <c r="A9" s="11"/>
      <c r="B9" s="335"/>
      <c r="C9" s="335"/>
      <c r="D9" s="335"/>
      <c r="E9" s="335"/>
      <c r="F9" s="335"/>
      <c r="G9" s="335"/>
      <c r="H9" s="335"/>
      <c r="I9" s="335"/>
      <c r="J9" s="335"/>
      <c r="K9" s="335"/>
      <c r="L9" s="29"/>
    </row>
    <row r="10" spans="1:12" x14ac:dyDescent="0.2">
      <c r="A10" s="403" t="s">
        <v>436</v>
      </c>
      <c r="B10" s="403"/>
      <c r="C10" s="403"/>
      <c r="D10" s="403"/>
      <c r="E10" s="403"/>
      <c r="F10" s="403"/>
      <c r="G10" s="403"/>
      <c r="H10" s="403"/>
    </row>
    <row r="11" spans="1:12" ht="28.5" customHeight="1" x14ac:dyDescent="0.2">
      <c r="A11" s="402" t="s">
        <v>499</v>
      </c>
      <c r="B11" s="414"/>
      <c r="C11" s="414"/>
      <c r="D11" s="414"/>
      <c r="E11" s="414"/>
      <c r="F11" s="414"/>
      <c r="G11" s="414"/>
      <c r="H11" s="90"/>
    </row>
    <row r="12" spans="1:12" x14ac:dyDescent="0.2">
      <c r="A12" s="27"/>
      <c r="B12" s="27"/>
      <c r="C12" s="27"/>
      <c r="D12" s="27"/>
      <c r="E12" s="27"/>
      <c r="F12" s="27"/>
      <c r="G12" s="27"/>
    </row>
    <row r="13" spans="1:12" ht="15" thickBot="1" x14ac:dyDescent="0.25">
      <c r="A13" s="411" t="s">
        <v>1</v>
      </c>
      <c r="B13" s="411"/>
      <c r="C13" s="411"/>
      <c r="D13" s="411"/>
      <c r="E13" s="411"/>
      <c r="F13" s="411"/>
      <c r="G13" s="411"/>
    </row>
    <row r="14" spans="1:12" ht="14.25" customHeight="1" x14ac:dyDescent="0.2">
      <c r="A14" s="317" t="s">
        <v>428</v>
      </c>
      <c r="B14" s="317"/>
      <c r="C14" s="317"/>
      <c r="D14" s="317"/>
      <c r="E14" s="317"/>
      <c r="F14" s="317"/>
      <c r="G14" s="317"/>
      <c r="H14" s="189"/>
      <c r="I14" s="189"/>
      <c r="J14" s="189"/>
      <c r="K14" s="189"/>
      <c r="L14" s="189"/>
    </row>
    <row r="15" spans="1:12" x14ac:dyDescent="0.2">
      <c r="A15" s="412" t="s">
        <v>510</v>
      </c>
      <c r="B15" s="412"/>
      <c r="C15" s="412"/>
      <c r="D15" s="412"/>
      <c r="E15" s="412"/>
      <c r="F15" s="412"/>
      <c r="G15" s="412"/>
      <c r="H15" s="99"/>
      <c r="I15" s="99"/>
      <c r="J15" s="99"/>
      <c r="K15" s="99"/>
      <c r="L15" s="99"/>
    </row>
    <row r="16" spans="1:12" x14ac:dyDescent="0.2">
      <c r="A16" s="408" t="s">
        <v>156</v>
      </c>
      <c r="B16" s="408"/>
      <c r="C16" s="408"/>
      <c r="D16" s="408"/>
      <c r="E16" s="408"/>
      <c r="F16" s="408"/>
      <c r="G16" s="408"/>
      <c r="H16" s="99"/>
      <c r="I16" s="99"/>
      <c r="J16" s="99"/>
      <c r="K16" s="99"/>
      <c r="L16" s="99"/>
    </row>
    <row r="17" spans="1:19" ht="15" thickBot="1" x14ac:dyDescent="0.25">
      <c r="A17" s="409" t="s">
        <v>442</v>
      </c>
      <c r="B17" s="409"/>
      <c r="C17" s="409"/>
      <c r="D17" s="409"/>
      <c r="E17" s="409"/>
      <c r="F17" s="409"/>
      <c r="G17" s="409"/>
      <c r="H17" s="190"/>
      <c r="I17" s="191"/>
      <c r="J17" s="191"/>
      <c r="K17" s="191"/>
      <c r="L17" s="191"/>
      <c r="M17" s="37"/>
      <c r="N17" s="37"/>
      <c r="O17" s="37"/>
      <c r="P17" s="37"/>
      <c r="Q17" s="37"/>
      <c r="R17" s="37"/>
      <c r="S17" s="37"/>
    </row>
    <row r="18" spans="1:19" x14ac:dyDescent="0.2">
      <c r="A18" s="29"/>
      <c r="B18" s="30"/>
      <c r="C18" s="30"/>
      <c r="D18" s="30"/>
      <c r="E18" s="30"/>
      <c r="F18" s="30"/>
      <c r="G18" s="30"/>
      <c r="I18" s="37"/>
      <c r="J18" s="37"/>
      <c r="K18" s="37"/>
      <c r="L18" s="37"/>
      <c r="M18" s="37"/>
      <c r="N18" s="37"/>
      <c r="O18" s="37"/>
      <c r="P18" s="37"/>
      <c r="Q18" s="37"/>
      <c r="R18" s="37"/>
      <c r="S18" s="37"/>
    </row>
    <row r="19" spans="1:19" x14ac:dyDescent="0.2">
      <c r="A19" s="410" t="s">
        <v>157</v>
      </c>
      <c r="B19" s="410"/>
      <c r="C19" s="30"/>
      <c r="D19" s="30"/>
      <c r="E19" s="30"/>
      <c r="F19" s="30"/>
      <c r="G19" s="31"/>
      <c r="H19" s="37"/>
      <c r="I19" s="19"/>
      <c r="J19" s="19"/>
      <c r="K19" s="19"/>
      <c r="L19" s="19"/>
      <c r="M19" s="37"/>
      <c r="N19" s="37"/>
      <c r="O19" s="37"/>
      <c r="P19" s="37"/>
      <c r="Q19" s="37"/>
      <c r="R19" s="37"/>
      <c r="S19" s="37"/>
    </row>
    <row r="20" spans="1:19" x14ac:dyDescent="0.2">
      <c r="A20" s="18"/>
      <c r="B20" s="95"/>
      <c r="C20" s="95"/>
      <c r="D20" s="95"/>
      <c r="E20" s="95"/>
      <c r="F20" s="95"/>
      <c r="G20" s="96"/>
      <c r="H20" s="96"/>
      <c r="I20" s="96"/>
      <c r="J20" s="96"/>
      <c r="K20" s="96"/>
      <c r="L20" s="96"/>
      <c r="M20" s="96"/>
      <c r="N20" s="96"/>
      <c r="O20" s="37"/>
      <c r="P20" s="37"/>
      <c r="Q20" s="37"/>
      <c r="R20" s="37"/>
      <c r="S20" s="37"/>
    </row>
    <row r="21" spans="1:19" x14ac:dyDescent="0.2">
      <c r="A21" s="18"/>
      <c r="B21" s="38"/>
      <c r="C21" s="38"/>
      <c r="D21" s="38"/>
      <c r="E21" s="38"/>
      <c r="F21" s="38"/>
      <c r="G21" s="96"/>
      <c r="H21" s="96"/>
      <c r="I21" s="96"/>
      <c r="J21" s="96"/>
      <c r="K21" s="96"/>
      <c r="L21" s="96"/>
      <c r="M21" s="96"/>
      <c r="N21" s="96"/>
      <c r="O21" s="37"/>
      <c r="P21" s="37"/>
      <c r="Q21" s="37"/>
      <c r="R21" s="37"/>
      <c r="S21" s="37"/>
    </row>
    <row r="22" spans="1:19" x14ac:dyDescent="0.2">
      <c r="A22" s="18"/>
      <c r="B22" s="38"/>
      <c r="C22" s="38"/>
      <c r="D22" s="38"/>
      <c r="E22" s="38"/>
      <c r="F22" s="38"/>
      <c r="G22" s="96"/>
      <c r="H22" s="96"/>
      <c r="I22" s="96"/>
      <c r="J22" s="96"/>
      <c r="K22" s="96"/>
      <c r="L22" s="96"/>
      <c r="M22" s="96"/>
      <c r="N22" s="96"/>
      <c r="O22" s="37"/>
      <c r="P22" s="37"/>
      <c r="Q22" s="37"/>
      <c r="R22" s="37"/>
      <c r="S22" s="37"/>
    </row>
    <row r="23" spans="1:19" x14ac:dyDescent="0.2">
      <c r="A23" s="96"/>
      <c r="B23" s="96"/>
      <c r="C23" s="96"/>
      <c r="D23" s="96"/>
      <c r="E23" s="96"/>
      <c r="F23" s="96"/>
      <c r="G23" s="96"/>
      <c r="H23" s="96"/>
      <c r="I23" s="96"/>
      <c r="J23" s="96"/>
      <c r="K23" s="96"/>
      <c r="L23" s="96"/>
      <c r="M23" s="96"/>
      <c r="N23" s="96"/>
      <c r="O23" s="37"/>
      <c r="P23" s="37"/>
      <c r="Q23" s="37"/>
      <c r="R23" s="37"/>
      <c r="S23" s="37"/>
    </row>
    <row r="24" spans="1:19" x14ac:dyDescent="0.2">
      <c r="A24" s="96"/>
      <c r="B24" s="96"/>
      <c r="C24" s="96"/>
      <c r="D24" s="96"/>
      <c r="E24" s="96"/>
      <c r="F24" s="96"/>
      <c r="G24" s="96"/>
      <c r="H24" s="96"/>
      <c r="I24" s="96"/>
      <c r="J24" s="96"/>
      <c r="K24" s="96"/>
      <c r="L24" s="96"/>
      <c r="M24" s="96"/>
      <c r="N24" s="96"/>
      <c r="O24" s="37"/>
      <c r="P24" s="37"/>
      <c r="Q24" s="37"/>
      <c r="R24" s="37"/>
      <c r="S24" s="37"/>
    </row>
    <row r="25" spans="1:19" x14ac:dyDescent="0.2">
      <c r="A25" s="96"/>
      <c r="B25" s="96"/>
      <c r="C25" s="96"/>
      <c r="D25" s="96"/>
      <c r="E25" s="96"/>
      <c r="F25" s="96"/>
      <c r="G25" s="96"/>
      <c r="H25" s="96"/>
      <c r="I25" s="96"/>
      <c r="J25" s="96"/>
      <c r="K25" s="96"/>
      <c r="L25" s="96"/>
      <c r="M25" s="96"/>
      <c r="N25" s="96"/>
      <c r="O25" s="37"/>
      <c r="P25" s="37"/>
      <c r="Q25" s="37"/>
      <c r="R25" s="37"/>
      <c r="S25" s="37"/>
    </row>
    <row r="26" spans="1:19" x14ac:dyDescent="0.2">
      <c r="A26" s="96"/>
      <c r="B26" s="96"/>
      <c r="C26" s="96"/>
      <c r="D26" s="96"/>
      <c r="E26" s="96"/>
      <c r="F26" s="96"/>
      <c r="G26" s="96"/>
      <c r="H26" s="96"/>
      <c r="I26" s="96"/>
      <c r="J26" s="96"/>
      <c r="K26" s="96"/>
      <c r="L26" s="96"/>
      <c r="M26" s="96"/>
      <c r="N26" s="96"/>
      <c r="O26" s="37"/>
      <c r="P26" s="37"/>
      <c r="Q26" s="37"/>
      <c r="R26" s="37"/>
      <c r="S26" s="37"/>
    </row>
    <row r="27" spans="1:19" x14ac:dyDescent="0.2">
      <c r="A27" s="96"/>
      <c r="B27" s="96"/>
      <c r="C27" s="96"/>
      <c r="D27" s="96"/>
      <c r="E27" s="96"/>
      <c r="F27" s="96"/>
      <c r="G27" s="96"/>
      <c r="H27" s="96"/>
      <c r="I27" s="96"/>
      <c r="J27" s="96"/>
      <c r="K27" s="96"/>
      <c r="L27" s="96"/>
      <c r="M27" s="96"/>
      <c r="N27" s="96"/>
      <c r="O27" s="37"/>
      <c r="P27" s="37"/>
      <c r="Q27" s="37"/>
      <c r="R27" s="37"/>
      <c r="S27" s="37"/>
    </row>
    <row r="28" spans="1:19" x14ac:dyDescent="0.2">
      <c r="A28" s="96"/>
      <c r="B28" s="96"/>
      <c r="C28" s="96"/>
      <c r="D28" s="96"/>
      <c r="E28" s="96"/>
      <c r="F28" s="96"/>
      <c r="G28" s="96"/>
      <c r="H28" s="96"/>
      <c r="I28" s="96"/>
      <c r="J28" s="96"/>
      <c r="K28" s="96"/>
      <c r="L28" s="96"/>
      <c r="M28" s="96"/>
      <c r="N28" s="96"/>
      <c r="O28" s="37"/>
      <c r="P28" s="37"/>
      <c r="Q28" s="37"/>
      <c r="R28" s="37"/>
      <c r="S28" s="37"/>
    </row>
    <row r="29" spans="1:19" x14ac:dyDescent="0.2">
      <c r="A29" s="37"/>
      <c r="B29" s="37"/>
      <c r="C29" s="37"/>
      <c r="D29" s="37"/>
      <c r="E29" s="37"/>
      <c r="F29" s="37"/>
      <c r="G29" s="37"/>
      <c r="H29" s="37"/>
      <c r="I29" s="37"/>
      <c r="J29" s="37"/>
      <c r="K29" s="37"/>
      <c r="L29" s="37"/>
      <c r="M29" s="37"/>
      <c r="N29" s="37"/>
      <c r="O29" s="37"/>
      <c r="P29" s="37"/>
      <c r="Q29" s="37"/>
      <c r="R29" s="37"/>
      <c r="S29" s="37"/>
    </row>
    <row r="30" spans="1:19" x14ac:dyDescent="0.2">
      <c r="A30" s="37"/>
      <c r="B30" s="37"/>
      <c r="C30" s="37"/>
      <c r="D30" s="37"/>
      <c r="E30" s="37"/>
      <c r="F30" s="37"/>
      <c r="G30" s="37"/>
      <c r="H30" s="37"/>
      <c r="I30" s="37"/>
      <c r="J30" s="37"/>
      <c r="K30" s="37"/>
      <c r="L30" s="37"/>
      <c r="M30" s="37"/>
      <c r="N30" s="37"/>
      <c r="O30" s="37"/>
      <c r="P30" s="37"/>
      <c r="Q30" s="37"/>
      <c r="R30" s="37"/>
      <c r="S30" s="37"/>
    </row>
    <row r="31" spans="1:19" x14ac:dyDescent="0.2">
      <c r="A31" s="37"/>
      <c r="B31" s="37"/>
      <c r="C31" s="37"/>
      <c r="D31" s="37"/>
      <c r="E31" s="37"/>
      <c r="F31" s="37"/>
      <c r="G31" s="37"/>
      <c r="H31" s="37"/>
    </row>
    <row r="32" spans="1:19" x14ac:dyDescent="0.2">
      <c r="A32" s="37"/>
      <c r="B32" s="37"/>
      <c r="C32" s="37"/>
      <c r="D32" s="37"/>
      <c r="E32" s="37"/>
      <c r="F32" s="37"/>
      <c r="G32" s="37"/>
      <c r="H32" s="37"/>
    </row>
    <row r="33" spans="1:7" x14ac:dyDescent="0.2">
      <c r="A33" s="37"/>
      <c r="B33" s="37"/>
      <c r="C33" s="37"/>
      <c r="D33" s="37"/>
      <c r="E33" s="37"/>
      <c r="F33" s="37"/>
      <c r="G33" s="37"/>
    </row>
  </sheetData>
  <mergeCells count="10">
    <mergeCell ref="A16:G16"/>
    <mergeCell ref="A17:G17"/>
    <mergeCell ref="A19:B19"/>
    <mergeCell ref="A2:K2"/>
    <mergeCell ref="A3:K3"/>
    <mergeCell ref="A13:G13"/>
    <mergeCell ref="A10:H10"/>
    <mergeCell ref="A11:G11"/>
    <mergeCell ref="A15:G15"/>
    <mergeCell ref="A4:G4"/>
  </mergeCells>
  <phoneticPr fontId="54" type="noConversion"/>
  <hyperlinks>
    <hyperlink ref="A16:F16" r:id="rId1" display="Contact via enquiries@NHSDigital.nhs.uk or 0300 303 5678" xr:uid="{00000000-0004-0000-0300-000000000000}"/>
    <hyperlink ref="A19" location="Contents!A1" display="Return to Contents" xr:uid="{00000000-0004-0000-0300-000001000000}"/>
    <hyperlink ref="A11" r:id="rId2" display="https://www.england.nhs.uk/statistics/statistical-work-areas/ae-waiting-times-and-activity/ae-attendances-and-emergency-admissions-2018-19/" xr:uid="{BDB03685-1C48-484C-8B41-EF83C10ED22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49"/>
  <sheetViews>
    <sheetView workbookViewId="0">
      <selection sqref="A1:C1"/>
    </sheetView>
  </sheetViews>
  <sheetFormatPr defaultColWidth="9.140625" defaultRowHeight="14.25" x14ac:dyDescent="0.2"/>
  <cols>
    <col min="1" max="1" width="13.5703125" style="28" customWidth="1"/>
    <col min="2" max="12" width="11.42578125" style="28" customWidth="1"/>
    <col min="13" max="16384" width="9.140625" style="28"/>
  </cols>
  <sheetData>
    <row r="1" spans="1:12" ht="15" customHeight="1" x14ac:dyDescent="0.2"/>
    <row r="2" spans="1:12" ht="30" customHeight="1" x14ac:dyDescent="0.2">
      <c r="A2" s="404" t="s">
        <v>443</v>
      </c>
      <c r="B2" s="404"/>
      <c r="C2" s="404"/>
      <c r="D2" s="404"/>
      <c r="E2" s="404"/>
      <c r="F2" s="404"/>
      <c r="G2" s="404"/>
      <c r="H2" s="404"/>
      <c r="I2" s="404"/>
      <c r="J2" s="404"/>
      <c r="K2" s="404"/>
      <c r="L2" s="228"/>
    </row>
    <row r="3" spans="1:12" ht="15.75" customHeight="1" x14ac:dyDescent="0.2">
      <c r="A3" s="413" t="s">
        <v>235</v>
      </c>
      <c r="B3" s="413"/>
      <c r="C3" s="413"/>
      <c r="D3" s="413"/>
      <c r="E3" s="413"/>
      <c r="F3" s="413"/>
      <c r="G3" s="413"/>
      <c r="H3" s="413"/>
      <c r="I3" s="413"/>
      <c r="J3" s="413"/>
      <c r="K3" s="413"/>
      <c r="L3" s="230"/>
    </row>
    <row r="4" spans="1:12" ht="15" customHeight="1" x14ac:dyDescent="0.2">
      <c r="A4" s="413" t="s">
        <v>432</v>
      </c>
      <c r="B4" s="413"/>
      <c r="C4" s="413"/>
      <c r="D4" s="413"/>
      <c r="E4" s="413"/>
      <c r="F4" s="413"/>
      <c r="G4" s="413"/>
      <c r="H4" s="315"/>
      <c r="I4" s="315"/>
      <c r="J4" s="315"/>
      <c r="K4" s="315"/>
      <c r="L4" s="315"/>
    </row>
    <row r="5" spans="1:12" ht="15" thickBot="1" x14ac:dyDescent="0.25">
      <c r="A5" s="11"/>
      <c r="B5" s="12"/>
      <c r="C5" s="12"/>
      <c r="D5" s="12"/>
      <c r="E5" s="12"/>
      <c r="F5" s="12"/>
      <c r="G5" s="12"/>
      <c r="H5" s="29"/>
      <c r="I5" s="29"/>
      <c r="J5" s="29"/>
      <c r="K5" s="29"/>
      <c r="L5" s="29"/>
    </row>
    <row r="6" spans="1:12" ht="15" thickBot="1" x14ac:dyDescent="0.25">
      <c r="A6" s="192"/>
      <c r="B6" s="9" t="s">
        <v>158</v>
      </c>
      <c r="C6" s="9" t="s">
        <v>159</v>
      </c>
      <c r="D6" s="9" t="s">
        <v>160</v>
      </c>
      <c r="E6" s="9" t="s">
        <v>161</v>
      </c>
      <c r="F6" s="9" t="s">
        <v>0</v>
      </c>
      <c r="G6" s="9" t="s">
        <v>155</v>
      </c>
      <c r="H6" s="9" t="s">
        <v>172</v>
      </c>
      <c r="I6" s="9" t="s">
        <v>243</v>
      </c>
      <c r="J6" s="9" t="s">
        <v>313</v>
      </c>
      <c r="K6" s="14" t="s">
        <v>440</v>
      </c>
    </row>
    <row r="7" spans="1:12" ht="13.5" customHeight="1" x14ac:dyDescent="0.2">
      <c r="A7" s="55" t="s">
        <v>291</v>
      </c>
      <c r="B7" s="124">
        <v>1563619</v>
      </c>
      <c r="C7" s="124">
        <v>1701664</v>
      </c>
      <c r="D7" s="124">
        <v>1814091</v>
      </c>
      <c r="E7" s="124">
        <v>1793521</v>
      </c>
      <c r="F7" s="124">
        <v>1856923</v>
      </c>
      <c r="G7" s="124">
        <v>2037276</v>
      </c>
      <c r="H7" s="124">
        <v>2083036</v>
      </c>
      <c r="I7" s="124">
        <v>2110411</v>
      </c>
      <c r="J7" s="124">
        <v>2214936</v>
      </c>
      <c r="K7" s="125">
        <v>2201414</v>
      </c>
    </row>
    <row r="8" spans="1:12" ht="13.5" customHeight="1" x14ac:dyDescent="0.2">
      <c r="A8" s="60" t="s">
        <v>292</v>
      </c>
      <c r="B8" s="126">
        <v>1656190</v>
      </c>
      <c r="C8" s="126">
        <v>1776185</v>
      </c>
      <c r="D8" s="126">
        <v>1776842</v>
      </c>
      <c r="E8" s="126">
        <v>1821272</v>
      </c>
      <c r="F8" s="126">
        <v>1935375</v>
      </c>
      <c r="G8" s="126">
        <v>2063625</v>
      </c>
      <c r="H8" s="126">
        <v>2144021</v>
      </c>
      <c r="I8" s="126">
        <v>2145468</v>
      </c>
      <c r="J8" s="126">
        <v>2213181</v>
      </c>
      <c r="K8" s="127">
        <v>2184745</v>
      </c>
    </row>
    <row r="9" spans="1:12" ht="13.5" customHeight="1" x14ac:dyDescent="0.2">
      <c r="A9" s="60" t="s">
        <v>293</v>
      </c>
      <c r="B9" s="126">
        <v>4737858</v>
      </c>
      <c r="C9" s="126">
        <v>5147713</v>
      </c>
      <c r="D9" s="126">
        <v>5321363</v>
      </c>
      <c r="E9" s="126">
        <v>5339416</v>
      </c>
      <c r="F9" s="126">
        <v>5523147</v>
      </c>
      <c r="G9" s="126">
        <v>5754012</v>
      </c>
      <c r="H9" s="126">
        <v>5822854</v>
      </c>
      <c r="I9" s="126">
        <v>5798979</v>
      </c>
      <c r="J9" s="126">
        <v>6026855</v>
      </c>
      <c r="K9" s="127">
        <v>5901103</v>
      </c>
    </row>
    <row r="10" spans="1:12" ht="13.5" customHeight="1" x14ac:dyDescent="0.2">
      <c r="A10" s="60" t="s">
        <v>294</v>
      </c>
      <c r="B10" s="126">
        <v>4836877</v>
      </c>
      <c r="C10" s="126">
        <v>5226246</v>
      </c>
      <c r="D10" s="126">
        <v>5436389</v>
      </c>
      <c r="E10" s="126">
        <v>5489627</v>
      </c>
      <c r="F10" s="126">
        <v>5723279</v>
      </c>
      <c r="G10" s="126">
        <v>6060412</v>
      </c>
      <c r="H10" s="126">
        <v>6262889</v>
      </c>
      <c r="I10" s="126">
        <v>6425907</v>
      </c>
      <c r="J10" s="126">
        <v>6758386</v>
      </c>
      <c r="K10" s="127">
        <v>6873724</v>
      </c>
    </row>
    <row r="11" spans="1:12" ht="13.5" customHeight="1" x14ac:dyDescent="0.2">
      <c r="A11" s="60" t="s">
        <v>295</v>
      </c>
      <c r="B11" s="126">
        <v>1701659</v>
      </c>
      <c r="C11" s="126">
        <v>1846585</v>
      </c>
      <c r="D11" s="126">
        <v>1968549</v>
      </c>
      <c r="E11" s="126">
        <v>2034823</v>
      </c>
      <c r="F11" s="126">
        <v>2165206</v>
      </c>
      <c r="G11" s="126">
        <v>2304954</v>
      </c>
      <c r="H11" s="126">
        <v>2448089</v>
      </c>
      <c r="I11" s="126">
        <v>2544313</v>
      </c>
      <c r="J11" s="126">
        <v>2679428</v>
      </c>
      <c r="K11" s="127">
        <v>2767916</v>
      </c>
    </row>
    <row r="12" spans="1:12" ht="13.5" customHeight="1" thickBot="1" x14ac:dyDescent="0.25">
      <c r="A12" s="54" t="s">
        <v>296</v>
      </c>
      <c r="B12" s="128">
        <v>1321012</v>
      </c>
      <c r="C12" s="128">
        <v>1430289</v>
      </c>
      <c r="D12" s="128">
        <v>1520006</v>
      </c>
      <c r="E12" s="128">
        <v>1549516</v>
      </c>
      <c r="F12" s="128">
        <v>1651812</v>
      </c>
      <c r="G12" s="128">
        <v>1718699</v>
      </c>
      <c r="H12" s="128">
        <v>1839302</v>
      </c>
      <c r="I12" s="128">
        <v>1916616</v>
      </c>
      <c r="J12" s="128">
        <v>1972577</v>
      </c>
      <c r="K12" s="129">
        <v>2062699</v>
      </c>
    </row>
    <row r="13" spans="1:12" ht="15" thickBot="1" x14ac:dyDescent="0.25">
      <c r="A13" s="54" t="s">
        <v>5</v>
      </c>
      <c r="B13" s="128">
        <v>15817215</v>
      </c>
      <c r="C13" s="128">
        <v>17128682</v>
      </c>
      <c r="D13" s="128">
        <v>17837240</v>
      </c>
      <c r="E13" s="128">
        <v>18028175</v>
      </c>
      <c r="F13" s="128">
        <v>18855742</v>
      </c>
      <c r="G13" s="128">
        <v>19938978</v>
      </c>
      <c r="H13" s="128">
        <v>20600191</v>
      </c>
      <c r="I13" s="128">
        <v>20941694</v>
      </c>
      <c r="J13" s="128">
        <v>21865363</v>
      </c>
      <c r="K13" s="129">
        <v>21991601</v>
      </c>
    </row>
    <row r="14" spans="1:12" ht="15" thickBot="1" x14ac:dyDescent="0.25">
      <c r="A14" s="11"/>
      <c r="B14" s="12"/>
      <c r="C14" s="12"/>
      <c r="D14" s="12"/>
      <c r="E14" s="12"/>
      <c r="F14" s="29"/>
      <c r="G14" s="29"/>
      <c r="H14" s="29"/>
      <c r="I14" s="29"/>
      <c r="J14" s="29"/>
      <c r="K14" s="29"/>
    </row>
    <row r="15" spans="1:12" ht="16.5" customHeight="1" thickBot="1" x14ac:dyDescent="0.25">
      <c r="A15" s="192"/>
      <c r="B15" s="9" t="s">
        <v>158</v>
      </c>
      <c r="C15" s="9" t="s">
        <v>159</v>
      </c>
      <c r="D15" s="9" t="s">
        <v>160</v>
      </c>
      <c r="E15" s="9" t="s">
        <v>161</v>
      </c>
      <c r="F15" s="9" t="s">
        <v>0</v>
      </c>
      <c r="G15" s="9" t="s">
        <v>155</v>
      </c>
      <c r="H15" s="9" t="s">
        <v>172</v>
      </c>
      <c r="I15" s="9" t="s">
        <v>243</v>
      </c>
      <c r="J15" s="9" t="s">
        <v>313</v>
      </c>
      <c r="K15" s="10" t="s">
        <v>440</v>
      </c>
    </row>
    <row r="16" spans="1:12" ht="15" customHeight="1" x14ac:dyDescent="0.2">
      <c r="A16" s="55" t="s">
        <v>291</v>
      </c>
      <c r="B16" s="344">
        <f>B7/B13</f>
        <v>9.8855519128999633E-2</v>
      </c>
      <c r="C16" s="344">
        <f t="shared" ref="C16:K16" si="0">C7/C13</f>
        <v>9.9345880786390922E-2</v>
      </c>
      <c r="D16" s="344">
        <f t="shared" si="0"/>
        <v>0.10170244948209477</v>
      </c>
      <c r="E16" s="344">
        <f t="shared" si="0"/>
        <v>9.9484334936841917E-2</v>
      </c>
      <c r="F16" s="344">
        <f t="shared" si="0"/>
        <v>9.8480505301780222E-2</v>
      </c>
      <c r="G16" s="344">
        <f t="shared" si="0"/>
        <v>0.10217554781393509</v>
      </c>
      <c r="H16" s="344">
        <f t="shared" si="0"/>
        <v>0.10111731488314842</v>
      </c>
      <c r="I16" s="344">
        <f t="shared" si="0"/>
        <v>0.10077556285561234</v>
      </c>
      <c r="J16" s="344">
        <f t="shared" si="0"/>
        <v>0.10129884420395856</v>
      </c>
      <c r="K16" s="347">
        <f t="shared" si="0"/>
        <v>0.10010248912755375</v>
      </c>
      <c r="L16" s="57"/>
    </row>
    <row r="17" spans="1:12" ht="15" customHeight="1" x14ac:dyDescent="0.2">
      <c r="A17" s="60" t="s">
        <v>292</v>
      </c>
      <c r="B17" s="345">
        <f>B8/B13</f>
        <v>0.10470806649590336</v>
      </c>
      <c r="C17" s="345">
        <f t="shared" ref="C17:K17" si="1">C8/C13</f>
        <v>0.10369653660450932</v>
      </c>
      <c r="D17" s="345">
        <f t="shared" si="1"/>
        <v>9.9614177978207388E-2</v>
      </c>
      <c r="E17" s="345">
        <f t="shared" si="1"/>
        <v>0.10102364770699197</v>
      </c>
      <c r="F17" s="345">
        <f t="shared" si="1"/>
        <v>0.10264114772041323</v>
      </c>
      <c r="G17" s="345">
        <f t="shared" si="1"/>
        <v>0.1034970297875849</v>
      </c>
      <c r="H17" s="345">
        <f t="shared" si="1"/>
        <v>0.10407772432789579</v>
      </c>
      <c r="I17" s="345">
        <f t="shared" si="1"/>
        <v>0.10244959170924758</v>
      </c>
      <c r="J17" s="345">
        <f t="shared" si="1"/>
        <v>0.10121858027236959</v>
      </c>
      <c r="K17" s="348">
        <f t="shared" si="1"/>
        <v>9.9344517936643173E-2</v>
      </c>
      <c r="L17" s="349"/>
    </row>
    <row r="18" spans="1:12" ht="15" customHeight="1" x14ac:dyDescent="0.2">
      <c r="A18" s="60" t="s">
        <v>293</v>
      </c>
      <c r="B18" s="345">
        <f>B9/B13</f>
        <v>0.29953806659389787</v>
      </c>
      <c r="C18" s="345">
        <f t="shared" ref="C18:K18" si="2">C9/C13</f>
        <v>0.30053176303932783</v>
      </c>
      <c r="D18" s="345">
        <f t="shared" si="2"/>
        <v>0.29832883338453708</v>
      </c>
      <c r="E18" s="345">
        <f t="shared" si="2"/>
        <v>0.29617063291209456</v>
      </c>
      <c r="F18" s="345">
        <f t="shared" si="2"/>
        <v>0.29291591919320914</v>
      </c>
      <c r="G18" s="345">
        <f t="shared" si="2"/>
        <v>0.28858108976297581</v>
      </c>
      <c r="H18" s="345">
        <f t="shared" si="2"/>
        <v>0.28266019475256321</v>
      </c>
      <c r="I18" s="345">
        <f t="shared" si="2"/>
        <v>0.27691069308910732</v>
      </c>
      <c r="J18" s="345">
        <f t="shared" si="2"/>
        <v>0.27563480194680506</v>
      </c>
      <c r="K18" s="348">
        <f t="shared" si="2"/>
        <v>0.26833439730013292</v>
      </c>
      <c r="L18" s="349"/>
    </row>
    <row r="19" spans="1:12" ht="15" customHeight="1" x14ac:dyDescent="0.2">
      <c r="A19" s="60" t="s">
        <v>294</v>
      </c>
      <c r="B19" s="345">
        <f>B10/B13</f>
        <v>0.30579827106099272</v>
      </c>
      <c r="C19" s="345">
        <f t="shared" ref="C19:K19" si="3">C10/C13</f>
        <v>0.30511664586919179</v>
      </c>
      <c r="D19" s="345">
        <f t="shared" si="3"/>
        <v>0.30477747678452494</v>
      </c>
      <c r="E19" s="345">
        <f t="shared" si="3"/>
        <v>0.30450264655185566</v>
      </c>
      <c r="F19" s="345">
        <f t="shared" si="3"/>
        <v>0.30352976827960415</v>
      </c>
      <c r="G19" s="345">
        <f t="shared" si="3"/>
        <v>0.30394797566856235</v>
      </c>
      <c r="H19" s="345">
        <f t="shared" si="3"/>
        <v>0.30402091902934297</v>
      </c>
      <c r="I19" s="345">
        <f t="shared" si="3"/>
        <v>0.30684752627939266</v>
      </c>
      <c r="J19" s="345">
        <f t="shared" si="3"/>
        <v>0.30909095815148369</v>
      </c>
      <c r="K19" s="350">
        <f t="shared" si="3"/>
        <v>0.31256132739039783</v>
      </c>
      <c r="L19" s="57"/>
    </row>
    <row r="20" spans="1:12" ht="15" customHeight="1" x14ac:dyDescent="0.2">
      <c r="A20" s="60" t="s">
        <v>295</v>
      </c>
      <c r="B20" s="345">
        <f>B11/B13</f>
        <v>0.1075827192081539</v>
      </c>
      <c r="C20" s="345">
        <f t="shared" ref="C20:K20" si="4">C11/C13</f>
        <v>0.10780660181559795</v>
      </c>
      <c r="D20" s="345">
        <f t="shared" si="4"/>
        <v>0.1103617487907322</v>
      </c>
      <c r="E20" s="345">
        <f t="shared" si="4"/>
        <v>0.11286905080519798</v>
      </c>
      <c r="F20" s="345">
        <f t="shared" si="4"/>
        <v>0.11483006078466708</v>
      </c>
      <c r="G20" s="345">
        <f t="shared" si="4"/>
        <v>0.11560040840608782</v>
      </c>
      <c r="H20" s="345">
        <f t="shared" si="4"/>
        <v>0.1188381699956083</v>
      </c>
      <c r="I20" s="345">
        <f t="shared" si="4"/>
        <v>0.12149509012976696</v>
      </c>
      <c r="J20" s="345">
        <f t="shared" si="4"/>
        <v>0.12254212290004059</v>
      </c>
      <c r="K20" s="348">
        <f t="shared" si="4"/>
        <v>0.12586241447359836</v>
      </c>
      <c r="L20" s="349"/>
    </row>
    <row r="21" spans="1:12" ht="15" customHeight="1" thickBot="1" x14ac:dyDescent="0.25">
      <c r="A21" s="54" t="s">
        <v>296</v>
      </c>
      <c r="B21" s="346">
        <f>B12/B13</f>
        <v>8.3517357512052526E-2</v>
      </c>
      <c r="C21" s="346">
        <f t="shared" ref="C21:K21" si="5">C12/C13</f>
        <v>8.3502571884982155E-2</v>
      </c>
      <c r="D21" s="346">
        <f t="shared" si="5"/>
        <v>8.5215313579903612E-2</v>
      </c>
      <c r="E21" s="346">
        <f t="shared" si="5"/>
        <v>8.5949687087017959E-2</v>
      </c>
      <c r="F21" s="346">
        <f t="shared" si="5"/>
        <v>8.760259872032615E-2</v>
      </c>
      <c r="G21" s="346">
        <f t="shared" si="5"/>
        <v>8.6197948560854026E-2</v>
      </c>
      <c r="H21" s="346">
        <f t="shared" si="5"/>
        <v>8.92856770114413E-2</v>
      </c>
      <c r="I21" s="346">
        <f t="shared" si="5"/>
        <v>9.1521535936873108E-2</v>
      </c>
      <c r="J21" s="346">
        <f t="shared" si="5"/>
        <v>9.0214692525342477E-2</v>
      </c>
      <c r="K21" s="351">
        <f t="shared" si="5"/>
        <v>9.3794853771674014E-2</v>
      </c>
      <c r="L21" s="349"/>
    </row>
    <row r="22" spans="1:12" x14ac:dyDescent="0.2">
      <c r="A22" s="11"/>
      <c r="B22" s="337"/>
      <c r="C22" s="337"/>
      <c r="D22" s="337"/>
      <c r="E22" s="337"/>
      <c r="F22" s="337"/>
      <c r="G22" s="337"/>
      <c r="H22" s="337"/>
      <c r="I22" s="337"/>
      <c r="J22" s="337"/>
      <c r="K22" s="337"/>
      <c r="L22" s="29"/>
    </row>
    <row r="23" spans="1:12" ht="13.15" customHeight="1" x14ac:dyDescent="0.2">
      <c r="A23" s="416" t="s">
        <v>441</v>
      </c>
      <c r="B23" s="416"/>
      <c r="C23" s="416"/>
      <c r="D23" s="416"/>
      <c r="E23" s="416"/>
      <c r="F23" s="416"/>
      <c r="G23" s="416"/>
      <c r="H23" s="416"/>
      <c r="I23" s="416"/>
      <c r="J23" s="416"/>
      <c r="K23" s="416"/>
      <c r="L23" s="29"/>
    </row>
    <row r="24" spans="1:12" ht="15" customHeight="1" x14ac:dyDescent="0.2">
      <c r="A24" s="416" t="s">
        <v>312</v>
      </c>
      <c r="B24" s="416"/>
      <c r="C24" s="416"/>
      <c r="D24" s="416"/>
      <c r="E24" s="416"/>
      <c r="F24" s="416"/>
      <c r="G24" s="416"/>
      <c r="H24" s="416"/>
      <c r="I24" s="416"/>
      <c r="J24" s="416"/>
      <c r="K24" s="416"/>
      <c r="L24" s="29"/>
    </row>
    <row r="25" spans="1:12" x14ac:dyDescent="0.2">
      <c r="A25" s="11"/>
      <c r="B25" s="12"/>
      <c r="C25" s="12"/>
      <c r="D25" s="12"/>
      <c r="E25" s="12"/>
      <c r="F25" s="12"/>
      <c r="G25" s="12"/>
      <c r="H25" s="29"/>
      <c r="I25" s="29"/>
      <c r="J25" s="29"/>
      <c r="K25" s="29"/>
      <c r="L25" s="29"/>
    </row>
    <row r="26" spans="1:12" ht="15" thickBot="1" x14ac:dyDescent="0.25">
      <c r="A26" s="415" t="s">
        <v>1</v>
      </c>
      <c r="B26" s="415"/>
      <c r="C26" s="415"/>
      <c r="D26" s="415"/>
      <c r="E26" s="415"/>
      <c r="F26" s="415"/>
      <c r="G26" s="415"/>
    </row>
    <row r="27" spans="1:12" ht="14.25" customHeight="1" x14ac:dyDescent="0.2">
      <c r="A27" s="313" t="s">
        <v>428</v>
      </c>
      <c r="B27" s="313"/>
      <c r="C27" s="313"/>
      <c r="D27" s="313"/>
      <c r="E27" s="313"/>
      <c r="F27" s="313"/>
      <c r="G27" s="313"/>
      <c r="H27" s="189"/>
      <c r="I27" s="189"/>
      <c r="J27" s="189"/>
      <c r="K27" s="189"/>
      <c r="L27" s="189"/>
    </row>
    <row r="28" spans="1:12" x14ac:dyDescent="0.2">
      <c r="A28" s="412" t="s">
        <v>510</v>
      </c>
      <c r="B28" s="412"/>
      <c r="C28" s="412"/>
      <c r="D28" s="412"/>
      <c r="E28" s="412"/>
      <c r="F28" s="412"/>
      <c r="G28" s="412"/>
      <c r="H28" s="99"/>
      <c r="I28" s="99"/>
      <c r="J28" s="99"/>
      <c r="K28" s="99"/>
      <c r="L28" s="99"/>
    </row>
    <row r="29" spans="1:12" x14ac:dyDescent="0.2">
      <c r="A29" s="408" t="s">
        <v>156</v>
      </c>
      <c r="B29" s="408"/>
      <c r="C29" s="408"/>
      <c r="D29" s="408"/>
      <c r="E29" s="408"/>
      <c r="F29" s="408"/>
      <c r="G29" s="408"/>
      <c r="H29" s="99"/>
      <c r="I29" s="99"/>
      <c r="J29" s="99"/>
      <c r="K29" s="99"/>
      <c r="L29" s="99"/>
    </row>
    <row r="30" spans="1:12" ht="15" thickBot="1" x14ac:dyDescent="0.25">
      <c r="A30" s="409" t="s">
        <v>442</v>
      </c>
      <c r="B30" s="409"/>
      <c r="C30" s="409"/>
      <c r="D30" s="409"/>
      <c r="E30" s="409"/>
      <c r="F30" s="409"/>
      <c r="G30" s="409"/>
      <c r="H30" s="190"/>
      <c r="I30" s="190"/>
      <c r="J30" s="190"/>
      <c r="K30" s="190"/>
      <c r="L30" s="190"/>
    </row>
    <row r="31" spans="1:12" x14ac:dyDescent="0.2">
      <c r="A31" s="29"/>
      <c r="B31" s="30"/>
      <c r="C31" s="30"/>
      <c r="D31" s="30"/>
      <c r="E31" s="30"/>
      <c r="F31" s="30"/>
      <c r="G31" s="30"/>
    </row>
    <row r="32" spans="1:12" x14ac:dyDescent="0.2">
      <c r="A32" s="410" t="s">
        <v>157</v>
      </c>
      <c r="B32" s="410"/>
      <c r="C32" s="30"/>
      <c r="D32" s="30"/>
      <c r="E32" s="30"/>
      <c r="F32" s="30"/>
      <c r="G32" s="31"/>
    </row>
    <row r="33" spans="1:17" x14ac:dyDescent="0.2">
      <c r="A33" s="11"/>
      <c r="B33" s="30"/>
      <c r="C33" s="30"/>
      <c r="D33" s="30"/>
      <c r="E33" s="30"/>
      <c r="F33" s="30"/>
    </row>
    <row r="34" spans="1:17" x14ac:dyDescent="0.2">
      <c r="M34" s="44"/>
      <c r="N34" s="44"/>
      <c r="O34" s="44"/>
      <c r="P34" s="44"/>
      <c r="Q34" s="44"/>
    </row>
    <row r="35" spans="1:17" x14ac:dyDescent="0.2">
      <c r="A35" s="44"/>
      <c r="M35" s="44"/>
      <c r="N35" s="44"/>
      <c r="O35" s="44"/>
      <c r="P35" s="44"/>
      <c r="Q35" s="44"/>
    </row>
    <row r="36" spans="1:17" x14ac:dyDescent="0.2">
      <c r="A36" s="44"/>
      <c r="M36" s="44"/>
      <c r="N36" s="44"/>
      <c r="O36" s="44"/>
      <c r="P36" s="44"/>
      <c r="Q36" s="44"/>
    </row>
    <row r="37" spans="1:17" x14ac:dyDescent="0.2">
      <c r="A37" s="44"/>
      <c r="M37" s="44"/>
      <c r="N37" s="44"/>
      <c r="O37" s="44"/>
      <c r="P37" s="44"/>
      <c r="Q37" s="44"/>
    </row>
    <row r="38" spans="1:17" x14ac:dyDescent="0.2">
      <c r="A38" s="44"/>
      <c r="M38" s="44"/>
      <c r="N38" s="44"/>
      <c r="O38" s="44"/>
      <c r="P38" s="44"/>
      <c r="Q38" s="44"/>
    </row>
    <row r="39" spans="1:17" x14ac:dyDescent="0.2">
      <c r="A39" s="44"/>
      <c r="M39" s="44"/>
      <c r="N39" s="44"/>
      <c r="O39" s="44"/>
      <c r="P39" s="44"/>
      <c r="Q39" s="44"/>
    </row>
    <row r="40" spans="1:17" x14ac:dyDescent="0.2">
      <c r="A40" s="44"/>
      <c r="B40" s="44"/>
      <c r="C40" s="44"/>
      <c r="D40" s="44"/>
      <c r="E40" s="44"/>
      <c r="F40" s="44"/>
      <c r="G40" s="44"/>
      <c r="H40" s="44"/>
      <c r="I40" s="44"/>
      <c r="J40" s="44"/>
      <c r="K40" s="44"/>
      <c r="L40" s="44"/>
      <c r="M40" s="44"/>
      <c r="N40" s="44"/>
      <c r="O40" s="44"/>
      <c r="P40" s="44"/>
      <c r="Q40" s="44"/>
    </row>
    <row r="41" spans="1:17" x14ac:dyDescent="0.2">
      <c r="A41" s="44"/>
      <c r="B41" s="44"/>
      <c r="C41" s="44"/>
      <c r="D41" s="44"/>
      <c r="E41" s="44"/>
      <c r="F41" s="44"/>
      <c r="G41" s="44"/>
      <c r="H41" s="44"/>
      <c r="I41" s="44"/>
      <c r="J41" s="44"/>
      <c r="K41" s="44"/>
      <c r="L41" s="44"/>
      <c r="M41" s="44"/>
      <c r="N41" s="44"/>
      <c r="O41" s="44"/>
      <c r="P41" s="44"/>
      <c r="Q41" s="44"/>
    </row>
    <row r="42" spans="1:17" x14ac:dyDescent="0.2">
      <c r="A42" s="44"/>
      <c r="B42" s="44"/>
      <c r="C42" s="44"/>
      <c r="D42" s="44"/>
      <c r="E42" s="44"/>
      <c r="F42" s="44"/>
      <c r="G42" s="44"/>
      <c r="H42" s="44"/>
      <c r="I42" s="44"/>
      <c r="J42" s="44"/>
      <c r="K42" s="44"/>
      <c r="L42" s="44"/>
      <c r="M42" s="44"/>
      <c r="N42" s="44"/>
      <c r="O42" s="44"/>
      <c r="P42" s="44"/>
      <c r="Q42" s="44"/>
    </row>
    <row r="43" spans="1:17" x14ac:dyDescent="0.2">
      <c r="A43" s="44"/>
      <c r="B43" s="44"/>
      <c r="C43" s="44"/>
      <c r="D43" s="44"/>
      <c r="E43" s="44"/>
      <c r="F43" s="44"/>
      <c r="G43" s="44"/>
      <c r="H43" s="44"/>
      <c r="I43" s="44"/>
      <c r="J43" s="44"/>
      <c r="K43" s="44"/>
      <c r="L43" s="44"/>
      <c r="M43" s="44"/>
      <c r="N43" s="44"/>
      <c r="O43" s="44"/>
      <c r="P43" s="44"/>
      <c r="Q43" s="44"/>
    </row>
    <row r="44" spans="1:17" x14ac:dyDescent="0.2">
      <c r="A44" s="44"/>
      <c r="B44" s="44"/>
      <c r="C44" s="44"/>
      <c r="D44" s="44"/>
      <c r="E44" s="44"/>
      <c r="F44" s="44"/>
      <c r="G44" s="44"/>
      <c r="H44" s="44"/>
      <c r="I44" s="44"/>
      <c r="J44" s="44"/>
      <c r="K44" s="44"/>
      <c r="L44" s="44"/>
      <c r="M44" s="44"/>
      <c r="N44" s="44"/>
      <c r="O44" s="44"/>
      <c r="P44" s="44"/>
      <c r="Q44" s="44"/>
    </row>
    <row r="45" spans="1:17" x14ac:dyDescent="0.2">
      <c r="A45" s="44"/>
      <c r="B45" s="44"/>
      <c r="C45" s="44"/>
      <c r="D45" s="44"/>
      <c r="E45" s="44"/>
      <c r="F45" s="44"/>
      <c r="G45" s="44"/>
      <c r="H45" s="44"/>
      <c r="I45" s="44"/>
      <c r="J45" s="44"/>
      <c r="K45" s="44"/>
      <c r="L45" s="44"/>
      <c r="M45" s="44"/>
      <c r="N45" s="44"/>
      <c r="O45" s="44"/>
      <c r="P45" s="44"/>
      <c r="Q45" s="44"/>
    </row>
    <row r="46" spans="1:17" x14ac:dyDescent="0.2">
      <c r="A46" s="44"/>
      <c r="B46" s="44"/>
      <c r="C46" s="49"/>
      <c r="D46" s="49"/>
      <c r="E46" s="49"/>
      <c r="F46" s="49"/>
      <c r="G46" s="49"/>
      <c r="H46" s="49"/>
      <c r="I46" s="49"/>
      <c r="J46" s="49"/>
      <c r="K46" s="49"/>
      <c r="L46" s="49"/>
      <c r="M46" s="44"/>
      <c r="N46" s="44"/>
      <c r="O46" s="44"/>
      <c r="P46" s="44"/>
      <c r="Q46" s="44"/>
    </row>
    <row r="47" spans="1:17" x14ac:dyDescent="0.2">
      <c r="A47" s="44"/>
      <c r="B47" s="44"/>
      <c r="C47" s="49"/>
      <c r="D47" s="49"/>
      <c r="E47" s="49"/>
      <c r="F47" s="49"/>
      <c r="G47" s="49"/>
      <c r="H47" s="49"/>
      <c r="I47" s="49"/>
      <c r="J47" s="49"/>
      <c r="K47" s="49"/>
      <c r="L47" s="49"/>
      <c r="M47" s="44"/>
      <c r="N47" s="44"/>
      <c r="O47" s="44"/>
      <c r="P47" s="44"/>
      <c r="Q47" s="44"/>
    </row>
    <row r="48" spans="1:17" x14ac:dyDescent="0.2">
      <c r="A48" s="44"/>
      <c r="B48" s="44"/>
      <c r="C48" s="49"/>
      <c r="D48" s="49"/>
      <c r="E48" s="49"/>
      <c r="F48" s="49"/>
      <c r="G48" s="49"/>
      <c r="H48" s="49"/>
      <c r="I48" s="49"/>
      <c r="J48" s="49"/>
      <c r="K48" s="49"/>
      <c r="L48" s="49"/>
      <c r="M48" s="44"/>
    </row>
    <row r="49" spans="3:12" x14ac:dyDescent="0.2">
      <c r="C49" s="92"/>
      <c r="D49" s="92"/>
      <c r="E49" s="92"/>
      <c r="F49" s="92"/>
      <c r="G49" s="92"/>
      <c r="H49" s="92"/>
      <c r="I49" s="92"/>
      <c r="J49" s="92"/>
      <c r="K49" s="92"/>
      <c r="L49" s="92"/>
    </row>
  </sheetData>
  <mergeCells count="10">
    <mergeCell ref="A29:G29"/>
    <mergeCell ref="A30:G30"/>
    <mergeCell ref="A32:B32"/>
    <mergeCell ref="A2:K2"/>
    <mergeCell ref="A3:K3"/>
    <mergeCell ref="A26:G26"/>
    <mergeCell ref="A28:G28"/>
    <mergeCell ref="A23:K23"/>
    <mergeCell ref="A24:K24"/>
    <mergeCell ref="A4:G4"/>
  </mergeCells>
  <phoneticPr fontId="54" type="noConversion"/>
  <hyperlinks>
    <hyperlink ref="A29:F29" r:id="rId1" display="Contact via enquiries@NHSDigital.nhs.uk or 0300 303 5678" xr:uid="{00000000-0004-0000-0400-000000000000}"/>
    <hyperlink ref="A32" location="Contents!A1" display="Return to Contents"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9"/>
  <sheetViews>
    <sheetView showGridLines="0" workbookViewId="0">
      <selection sqref="A1:C1"/>
    </sheetView>
  </sheetViews>
  <sheetFormatPr defaultColWidth="9.140625" defaultRowHeight="14.25" x14ac:dyDescent="0.2"/>
  <cols>
    <col min="1" max="1" width="24.5703125" style="28" bestFit="1" customWidth="1"/>
    <col min="2" max="12" width="11.42578125" style="28" customWidth="1"/>
    <col min="13" max="16384" width="9.140625" style="28"/>
  </cols>
  <sheetData>
    <row r="1" spans="1:12" ht="15" customHeight="1" x14ac:dyDescent="0.2"/>
    <row r="2" spans="1:12" ht="48.75" customHeight="1" x14ac:dyDescent="0.2">
      <c r="A2" s="404" t="s">
        <v>475</v>
      </c>
      <c r="B2" s="404"/>
      <c r="C2" s="404"/>
      <c r="D2" s="404"/>
      <c r="E2" s="404"/>
      <c r="F2" s="404"/>
      <c r="G2" s="404"/>
      <c r="H2" s="404"/>
      <c r="I2" s="404"/>
      <c r="J2" s="404"/>
      <c r="K2" s="404"/>
      <c r="L2" s="228"/>
    </row>
    <row r="3" spans="1:12" ht="15.75" customHeight="1" x14ac:dyDescent="0.2">
      <c r="A3" s="413" t="s">
        <v>235</v>
      </c>
      <c r="B3" s="413"/>
      <c r="C3" s="413"/>
      <c r="D3" s="413"/>
      <c r="E3" s="413"/>
      <c r="F3" s="413"/>
      <c r="G3" s="413"/>
      <c r="H3" s="413"/>
      <c r="I3" s="413"/>
      <c r="J3" s="413"/>
      <c r="K3" s="413"/>
      <c r="L3" s="230"/>
    </row>
    <row r="4" spans="1:12" ht="15" customHeight="1" x14ac:dyDescent="0.2">
      <c r="A4" s="413" t="s">
        <v>432</v>
      </c>
      <c r="B4" s="413"/>
      <c r="C4" s="413"/>
      <c r="D4" s="413"/>
      <c r="E4" s="413"/>
      <c r="F4" s="413"/>
      <c r="G4" s="413"/>
      <c r="H4" s="315"/>
      <c r="I4" s="315"/>
      <c r="J4" s="315"/>
      <c r="K4" s="315"/>
      <c r="L4" s="315"/>
    </row>
    <row r="5" spans="1:12" ht="13.5" customHeight="1" thickBot="1" x14ac:dyDescent="0.25"/>
    <row r="6" spans="1:12" ht="16.5" customHeight="1" thickBot="1" x14ac:dyDescent="0.25">
      <c r="A6" s="192"/>
      <c r="B6" s="9" t="s">
        <v>158</v>
      </c>
      <c r="C6" s="9" t="s">
        <v>159</v>
      </c>
      <c r="D6" s="9" t="s">
        <v>160</v>
      </c>
      <c r="E6" s="9" t="s">
        <v>161</v>
      </c>
      <c r="F6" s="9" t="s">
        <v>0</v>
      </c>
      <c r="G6" s="9" t="s">
        <v>155</v>
      </c>
      <c r="H6" s="9" t="s">
        <v>172</v>
      </c>
      <c r="I6" s="9" t="s">
        <v>243</v>
      </c>
      <c r="J6" s="9" t="s">
        <v>313</v>
      </c>
      <c r="K6" s="10" t="s">
        <v>440</v>
      </c>
    </row>
    <row r="7" spans="1:12" ht="16.5" customHeight="1" x14ac:dyDescent="0.2">
      <c r="A7" s="55" t="s">
        <v>501</v>
      </c>
      <c r="B7" s="382">
        <v>20823871</v>
      </c>
      <c r="C7" s="382">
        <v>19206257.428598277</v>
      </c>
      <c r="D7" s="382">
        <v>19173589.857131273</v>
      </c>
      <c r="E7" s="382">
        <v>19177456.999979943</v>
      </c>
      <c r="F7" s="382">
        <v>19274714.57135798</v>
      </c>
      <c r="G7" s="382">
        <v>19187424.428548858</v>
      </c>
      <c r="H7" s="382">
        <v>18859846</v>
      </c>
      <c r="I7" s="382">
        <v>18904622</v>
      </c>
      <c r="J7" s="382">
        <v>19615930</v>
      </c>
      <c r="K7" s="383">
        <v>19206257.428598277</v>
      </c>
    </row>
    <row r="8" spans="1:12" ht="16.5" customHeight="1" x14ac:dyDescent="0.2">
      <c r="A8" s="139" t="s">
        <v>502</v>
      </c>
      <c r="B8" s="380">
        <v>557114</v>
      </c>
      <c r="C8" s="380">
        <v>658038</v>
      </c>
      <c r="D8" s="380">
        <v>817716.71428571432</v>
      </c>
      <c r="E8" s="380">
        <v>852073.28571428556</v>
      </c>
      <c r="F8" s="380">
        <v>1278189.1428571427</v>
      </c>
      <c r="G8" s="380">
        <v>1652967.5714285714</v>
      </c>
      <c r="H8" s="380">
        <v>2257119</v>
      </c>
      <c r="I8" s="380">
        <v>2485391</v>
      </c>
      <c r="J8" s="380">
        <v>2648847</v>
      </c>
      <c r="K8" s="381">
        <v>3552245</v>
      </c>
    </row>
    <row r="9" spans="1:12" ht="15" customHeight="1" x14ac:dyDescent="0.2">
      <c r="A9" s="139" t="s">
        <v>162</v>
      </c>
      <c r="B9" s="380">
        <v>21380985</v>
      </c>
      <c r="C9" s="380">
        <v>21481402</v>
      </c>
      <c r="D9" s="380">
        <v>21738637</v>
      </c>
      <c r="E9" s="380">
        <v>21778657</v>
      </c>
      <c r="F9" s="380">
        <v>22354781</v>
      </c>
      <c r="G9" s="380">
        <v>22920435.428571429</v>
      </c>
      <c r="H9" s="380">
        <v>23362301</v>
      </c>
      <c r="I9" s="380">
        <v>23830120</v>
      </c>
      <c r="J9" s="380">
        <v>24826982</v>
      </c>
      <c r="K9" s="381">
        <v>25017116</v>
      </c>
    </row>
    <row r="10" spans="1:12" ht="15" customHeight="1" x14ac:dyDescent="0.2">
      <c r="A10" s="139" t="s">
        <v>297</v>
      </c>
      <c r="B10" s="140">
        <v>0.97394348295927435</v>
      </c>
      <c r="C10" s="140">
        <v>0.96687332795843173</v>
      </c>
      <c r="D10" s="140">
        <v>0.95909638465277391</v>
      </c>
      <c r="E10" s="140">
        <v>0.95745914789010966</v>
      </c>
      <c r="F10" s="140">
        <v>0.93780980241866752</v>
      </c>
      <c r="G10" s="140">
        <v>0.9206844299555228</v>
      </c>
      <c r="H10" s="140">
        <v>0.8931134753502693</v>
      </c>
      <c r="I10" s="140">
        <v>0.88380600797203812</v>
      </c>
      <c r="J10" s="140">
        <v>0.88102970894341315</v>
      </c>
      <c r="K10" s="141">
        <v>0.84391569651189979</v>
      </c>
    </row>
    <row r="11" spans="1:12" ht="15" thickBot="1" x14ac:dyDescent="0.25">
      <c r="A11" s="54" t="s">
        <v>429</v>
      </c>
      <c r="B11" s="58">
        <v>0.95</v>
      </c>
      <c r="C11" s="58">
        <v>0.95</v>
      </c>
      <c r="D11" s="58">
        <v>0.95</v>
      </c>
      <c r="E11" s="58">
        <v>0.95</v>
      </c>
      <c r="F11" s="58">
        <v>0.95</v>
      </c>
      <c r="G11" s="58">
        <v>0.95</v>
      </c>
      <c r="H11" s="58">
        <v>0.95</v>
      </c>
      <c r="I11" s="58">
        <v>0.95</v>
      </c>
      <c r="J11" s="58">
        <v>0.95</v>
      </c>
      <c r="K11" s="59">
        <v>0.95</v>
      </c>
      <c r="L11" s="29"/>
    </row>
    <row r="12" spans="1:12" x14ac:dyDescent="0.2">
      <c r="A12" s="11"/>
      <c r="B12" s="12"/>
      <c r="C12" s="12"/>
      <c r="D12" s="12"/>
      <c r="E12" s="12"/>
      <c r="F12" s="12"/>
      <c r="G12" s="12"/>
      <c r="H12" s="29"/>
      <c r="I12" s="29"/>
      <c r="J12" s="118"/>
      <c r="K12" s="29"/>
    </row>
    <row r="13" spans="1:12" x14ac:dyDescent="0.2">
      <c r="A13" s="392" t="s">
        <v>436</v>
      </c>
      <c r="B13" s="392"/>
      <c r="C13" s="392"/>
      <c r="D13" s="392"/>
      <c r="E13" s="392"/>
      <c r="F13" s="392"/>
      <c r="G13" s="392"/>
      <c r="H13" s="392"/>
    </row>
    <row r="14" spans="1:12" ht="22.5" customHeight="1" x14ac:dyDescent="0.2">
      <c r="A14" s="402" t="s">
        <v>499</v>
      </c>
      <c r="B14" s="402"/>
      <c r="C14" s="402"/>
      <c r="D14" s="402"/>
      <c r="E14" s="402"/>
      <c r="F14" s="402"/>
      <c r="G14" s="402"/>
      <c r="H14" s="402"/>
      <c r="I14" s="402"/>
      <c r="J14" s="402"/>
      <c r="K14" s="402"/>
    </row>
    <row r="15" spans="1:12" ht="30.75" customHeight="1" x14ac:dyDescent="0.2">
      <c r="A15" s="418" t="s">
        <v>505</v>
      </c>
      <c r="B15" s="418"/>
      <c r="C15" s="418"/>
      <c r="D15" s="418"/>
      <c r="E15" s="418"/>
      <c r="F15" s="418"/>
      <c r="G15" s="418"/>
      <c r="H15" s="418"/>
      <c r="I15" s="418"/>
      <c r="J15" s="418"/>
      <c r="K15" s="418"/>
    </row>
    <row r="16" spans="1:12" x14ac:dyDescent="0.2">
      <c r="A16" s="385" t="s">
        <v>504</v>
      </c>
      <c r="B16" s="99"/>
      <c r="C16" s="99"/>
      <c r="D16" s="99"/>
      <c r="E16" s="99"/>
      <c r="F16" s="99"/>
      <c r="G16" s="99"/>
      <c r="H16" s="99"/>
      <c r="I16" s="99"/>
      <c r="J16" s="99"/>
      <c r="K16" s="99"/>
    </row>
    <row r="17" spans="1:12" x14ac:dyDescent="0.2">
      <c r="A17" s="385"/>
      <c r="B17" s="99"/>
      <c r="C17" s="99"/>
      <c r="D17" s="99"/>
      <c r="E17" s="99"/>
      <c r="F17" s="99"/>
      <c r="G17" s="99"/>
      <c r="H17" s="99"/>
      <c r="I17" s="99"/>
      <c r="J17" s="99"/>
      <c r="K17" s="99"/>
    </row>
    <row r="18" spans="1:12" x14ac:dyDescent="0.2">
      <c r="A18" s="417" t="s">
        <v>430</v>
      </c>
      <c r="B18" s="417"/>
      <c r="C18" s="417"/>
      <c r="D18" s="417"/>
      <c r="E18" s="417"/>
      <c r="F18" s="417"/>
      <c r="G18" s="417"/>
      <c r="H18" s="417"/>
      <c r="I18" s="417"/>
      <c r="J18" s="417"/>
      <c r="K18" s="417"/>
    </row>
    <row r="19" spans="1:12" ht="14.25" customHeight="1" thickBot="1" x14ac:dyDescent="0.25">
      <c r="A19" s="415" t="s">
        <v>1</v>
      </c>
      <c r="B19" s="415"/>
      <c r="C19" s="415"/>
      <c r="D19" s="415"/>
      <c r="E19" s="415"/>
      <c r="F19" s="415"/>
      <c r="G19" s="415"/>
      <c r="L19" s="190"/>
    </row>
    <row r="20" spans="1:12" x14ac:dyDescent="0.2">
      <c r="A20" s="313" t="s">
        <v>428</v>
      </c>
      <c r="B20" s="313"/>
      <c r="C20" s="313"/>
      <c r="D20" s="313"/>
      <c r="E20" s="313"/>
      <c r="F20" s="313"/>
      <c r="G20" s="313"/>
      <c r="H20" s="189"/>
      <c r="I20" s="189"/>
      <c r="J20" s="189"/>
      <c r="K20" s="189"/>
      <c r="L20" s="99"/>
    </row>
    <row r="21" spans="1:12" x14ac:dyDescent="0.2">
      <c r="A21" s="412" t="s">
        <v>510</v>
      </c>
      <c r="B21" s="412"/>
      <c r="C21" s="412"/>
      <c r="D21" s="412"/>
      <c r="E21" s="412"/>
      <c r="F21" s="412"/>
      <c r="G21" s="412"/>
      <c r="H21" s="99"/>
      <c r="I21" s="99"/>
      <c r="J21" s="99"/>
      <c r="K21" s="99"/>
    </row>
    <row r="22" spans="1:12" x14ac:dyDescent="0.2">
      <c r="A22" s="408" t="s">
        <v>156</v>
      </c>
      <c r="B22" s="408"/>
      <c r="C22" s="408"/>
      <c r="D22" s="408"/>
      <c r="E22" s="408"/>
      <c r="F22" s="408"/>
      <c r="G22" s="408"/>
      <c r="H22" s="99"/>
      <c r="I22" s="99"/>
      <c r="J22" s="99"/>
      <c r="K22" s="99"/>
      <c r="L22" s="19"/>
    </row>
    <row r="23" spans="1:12" ht="15" thickBot="1" x14ac:dyDescent="0.25">
      <c r="A23" s="409" t="s">
        <v>442</v>
      </c>
      <c r="B23" s="409"/>
      <c r="C23" s="409"/>
      <c r="D23" s="409"/>
      <c r="E23" s="409"/>
      <c r="F23" s="409"/>
      <c r="G23" s="409"/>
      <c r="H23" s="190"/>
      <c r="I23" s="190"/>
      <c r="J23" s="190"/>
      <c r="K23" s="190"/>
      <c r="L23" s="190"/>
    </row>
    <row r="24" spans="1:12" x14ac:dyDescent="0.2">
      <c r="A24" s="29"/>
      <c r="B24" s="30"/>
      <c r="C24" s="30"/>
      <c r="D24" s="30"/>
      <c r="E24" s="30"/>
      <c r="F24" s="30"/>
      <c r="G24" s="30"/>
    </row>
    <row r="25" spans="1:12" x14ac:dyDescent="0.2">
      <c r="A25" s="410" t="s">
        <v>157</v>
      </c>
      <c r="B25" s="410"/>
      <c r="C25" s="30"/>
      <c r="D25" s="30"/>
      <c r="E25" s="30"/>
      <c r="F25" s="30"/>
      <c r="G25" s="31"/>
      <c r="I25" s="19"/>
      <c r="J25" s="19"/>
      <c r="K25" s="19"/>
    </row>
    <row r="26" spans="1:12" x14ac:dyDescent="0.2">
      <c r="A26" s="11"/>
      <c r="B26" s="30"/>
      <c r="C26" s="30"/>
      <c r="D26" s="30"/>
      <c r="E26" s="30"/>
      <c r="F26" s="30"/>
    </row>
    <row r="29" spans="1:12" x14ac:dyDescent="0.2">
      <c r="J29" s="116"/>
    </row>
  </sheetData>
  <mergeCells count="12">
    <mergeCell ref="A22:G22"/>
    <mergeCell ref="A23:G23"/>
    <mergeCell ref="A25:B25"/>
    <mergeCell ref="A2:K2"/>
    <mergeCell ref="A3:K3"/>
    <mergeCell ref="A19:G19"/>
    <mergeCell ref="A13:H13"/>
    <mergeCell ref="A21:G21"/>
    <mergeCell ref="A18:K18"/>
    <mergeCell ref="A4:G4"/>
    <mergeCell ref="A14:K14"/>
    <mergeCell ref="A15:K15"/>
  </mergeCells>
  <hyperlinks>
    <hyperlink ref="A22:F22" r:id="rId1" display="Contact via enquiries@NHSDigital.nhs.uk or 0300 303 5678" xr:uid="{00000000-0004-0000-0500-000000000000}"/>
    <hyperlink ref="A25" location="Contents!A1" display="Return to Contents" xr:uid="{00000000-0004-0000-0500-000001000000}"/>
    <hyperlink ref="A14" r:id="rId2" display="https://www.england.nhs.uk/statistics/statistical-work-areas/ae-waiting-times-and-activity/ae-attendances-and-emergency-admissions-2018-19/" xr:uid="{E220ED70-3DDA-49DD-8111-3E1C5B72EC47}"/>
    <hyperlink ref="A16" r:id="rId3" xr:uid="{2E368E45-13AD-470B-877E-5E21CF43C5F6}"/>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106"/>
  <sheetViews>
    <sheetView showGridLines="0" zoomScaleNormal="100" workbookViewId="0">
      <selection sqref="A1:C1"/>
    </sheetView>
  </sheetViews>
  <sheetFormatPr defaultColWidth="9.140625" defaultRowHeight="12.75" x14ac:dyDescent="0.2"/>
  <cols>
    <col min="1" max="1" width="7.85546875" style="7" bestFit="1" customWidth="1"/>
    <col min="2" max="2" width="22.85546875" style="7" customWidth="1"/>
    <col min="3" max="3" width="27.140625" style="7" customWidth="1"/>
    <col min="4" max="16384" width="9.140625" style="7"/>
  </cols>
  <sheetData>
    <row r="1" spans="1:16" ht="15" customHeight="1" x14ac:dyDescent="0.2"/>
    <row r="2" spans="1:16" ht="48.75" customHeight="1" x14ac:dyDescent="0.2">
      <c r="A2" s="404" t="s">
        <v>478</v>
      </c>
      <c r="B2" s="404"/>
      <c r="C2" s="404"/>
      <c r="D2" s="404"/>
      <c r="E2" s="404"/>
      <c r="F2" s="404"/>
      <c r="G2" s="404"/>
      <c r="H2" s="98"/>
      <c r="I2" s="98"/>
      <c r="J2" s="98"/>
      <c r="K2" s="98"/>
      <c r="L2" s="39"/>
      <c r="M2" s="39"/>
      <c r="N2" s="39"/>
      <c r="O2" s="39"/>
      <c r="P2" s="39"/>
    </row>
    <row r="3" spans="1:16" ht="15.75" customHeight="1" x14ac:dyDescent="0.2">
      <c r="A3" s="416" t="s">
        <v>235</v>
      </c>
      <c r="B3" s="416"/>
      <c r="C3" s="416"/>
      <c r="D3" s="416"/>
      <c r="E3" s="416"/>
      <c r="F3" s="416"/>
      <c r="G3" s="416"/>
      <c r="H3" s="11"/>
      <c r="I3" s="11"/>
      <c r="J3" s="11"/>
      <c r="K3" s="39"/>
      <c r="L3" s="39"/>
      <c r="M3" s="39"/>
      <c r="N3" s="39"/>
      <c r="O3" s="39"/>
      <c r="P3" s="39"/>
    </row>
    <row r="4" spans="1:16" ht="15" customHeight="1" x14ac:dyDescent="0.2">
      <c r="A4" s="416" t="s">
        <v>432</v>
      </c>
      <c r="B4" s="416"/>
      <c r="C4" s="416"/>
      <c r="D4" s="416"/>
      <c r="E4" s="416"/>
      <c r="F4" s="416"/>
      <c r="G4" s="416"/>
      <c r="H4" s="11"/>
      <c r="I4" s="11"/>
      <c r="J4" s="11"/>
      <c r="K4" s="39"/>
      <c r="L4" s="39"/>
      <c r="M4" s="39"/>
      <c r="N4" s="39"/>
      <c r="O4" s="39"/>
      <c r="P4" s="39"/>
    </row>
    <row r="5" spans="1:16" ht="13.5" thickBot="1" x14ac:dyDescent="0.25"/>
    <row r="6" spans="1:16" ht="30" customHeight="1" thickBot="1" x14ac:dyDescent="0.25">
      <c r="A6" s="193"/>
      <c r="B6" s="420" t="s">
        <v>298</v>
      </c>
      <c r="C6" s="421"/>
    </row>
    <row r="7" spans="1:16" ht="30" customHeight="1" thickBot="1" x14ac:dyDescent="0.25">
      <c r="A7" s="193"/>
      <c r="B7" s="107" t="s">
        <v>299</v>
      </c>
      <c r="C7" s="108" t="s">
        <v>300</v>
      </c>
    </row>
    <row r="8" spans="1:16" ht="15" customHeight="1" x14ac:dyDescent="0.2">
      <c r="A8" s="78">
        <v>41365</v>
      </c>
      <c r="B8" s="87">
        <v>57043.290476190465</v>
      </c>
      <c r="C8" s="88">
        <v>57250.216131775291</v>
      </c>
    </row>
    <row r="9" spans="1:16" ht="15" customHeight="1" x14ac:dyDescent="0.2">
      <c r="A9" s="78">
        <v>41395</v>
      </c>
      <c r="B9" s="87">
        <v>58930.548387096809</v>
      </c>
      <c r="C9" s="88">
        <v>57267.817322251496</v>
      </c>
    </row>
    <row r="10" spans="1:16" ht="15" customHeight="1" x14ac:dyDescent="0.2">
      <c r="A10" s="78">
        <v>41426</v>
      </c>
      <c r="B10" s="87">
        <v>59156.542857142835</v>
      </c>
      <c r="C10" s="88">
        <v>57157.057337612474</v>
      </c>
    </row>
    <row r="11" spans="1:16" ht="15" customHeight="1" x14ac:dyDescent="0.2">
      <c r="A11" s="78">
        <v>41456</v>
      </c>
      <c r="B11" s="87">
        <v>61635.488479262669</v>
      </c>
      <c r="C11" s="88">
        <v>57013.430353485492</v>
      </c>
    </row>
    <row r="12" spans="1:16" ht="15" customHeight="1" x14ac:dyDescent="0.2">
      <c r="A12" s="78">
        <v>41487</v>
      </c>
      <c r="B12" s="87">
        <v>57167.580645161281</v>
      </c>
      <c r="C12" s="88">
        <v>57127.974516311901</v>
      </c>
    </row>
    <row r="13" spans="1:16" ht="15" customHeight="1" x14ac:dyDescent="0.2">
      <c r="A13" s="78">
        <v>41518</v>
      </c>
      <c r="B13" s="87">
        <v>56473.5</v>
      </c>
      <c r="C13" s="88">
        <v>57078.672672993933</v>
      </c>
    </row>
    <row r="14" spans="1:16" ht="15" customHeight="1" x14ac:dyDescent="0.2">
      <c r="A14" s="78">
        <v>41548</v>
      </c>
      <c r="B14" s="87">
        <v>56457.396313364021</v>
      </c>
      <c r="C14" s="88">
        <v>56980.962355533615</v>
      </c>
    </row>
    <row r="15" spans="1:16" ht="15" customHeight="1" x14ac:dyDescent="0.2">
      <c r="A15" s="78">
        <v>41579</v>
      </c>
      <c r="B15" s="87">
        <v>55408.5142857143</v>
      </c>
      <c r="C15" s="88">
        <v>56945.326410833142</v>
      </c>
    </row>
    <row r="16" spans="1:16" ht="15" customHeight="1" x14ac:dyDescent="0.2">
      <c r="A16" s="78">
        <v>41609</v>
      </c>
      <c r="B16" s="87">
        <v>54773.543778801839</v>
      </c>
      <c r="C16" s="88">
        <v>56880.505775912512</v>
      </c>
    </row>
    <row r="17" spans="1:3" ht="15" customHeight="1" x14ac:dyDescent="0.2">
      <c r="A17" s="78">
        <v>41640</v>
      </c>
      <c r="B17" s="87">
        <v>53404.617511520737</v>
      </c>
      <c r="C17" s="88">
        <v>56807.228510167486</v>
      </c>
    </row>
    <row r="18" spans="1:3" ht="15" customHeight="1" x14ac:dyDescent="0.2">
      <c r="A18" s="78">
        <v>41671</v>
      </c>
      <c r="B18" s="87">
        <v>56168.326530612212</v>
      </c>
      <c r="C18" s="88">
        <v>56852.890184514661</v>
      </c>
    </row>
    <row r="19" spans="1:3" ht="15" customHeight="1" x14ac:dyDescent="0.2">
      <c r="A19" s="78">
        <v>41699</v>
      </c>
      <c r="B19" s="87">
        <v>60371.359447004659</v>
      </c>
      <c r="C19" s="88">
        <v>56906.69077975276</v>
      </c>
    </row>
    <row r="20" spans="1:3" ht="15" customHeight="1" x14ac:dyDescent="0.2">
      <c r="A20" s="78">
        <v>41730</v>
      </c>
      <c r="B20" s="87">
        <v>59623.957142857129</v>
      </c>
      <c r="C20" s="88">
        <v>57249.225725989316</v>
      </c>
    </row>
    <row r="21" spans="1:3" ht="15" customHeight="1" x14ac:dyDescent="0.2">
      <c r="A21" s="78">
        <v>41760</v>
      </c>
      <c r="B21" s="87">
        <v>60510.926267281095</v>
      </c>
      <c r="C21" s="88">
        <v>57464.281281544878</v>
      </c>
    </row>
    <row r="22" spans="1:3" ht="15" customHeight="1" x14ac:dyDescent="0.2">
      <c r="A22" s="78">
        <v>41791</v>
      </c>
      <c r="B22" s="87">
        <v>61646.80952380949</v>
      </c>
      <c r="C22" s="88">
        <v>57595.979438226896</v>
      </c>
    </row>
    <row r="23" spans="1:3" ht="15" customHeight="1" x14ac:dyDescent="0.2">
      <c r="A23" s="78">
        <v>41821</v>
      </c>
      <c r="B23" s="87">
        <v>61205.124423963112</v>
      </c>
      <c r="C23" s="88">
        <v>57803.501660449117</v>
      </c>
    </row>
    <row r="24" spans="1:3" ht="15" customHeight="1" x14ac:dyDescent="0.2">
      <c r="A24" s="78">
        <v>41852</v>
      </c>
      <c r="B24" s="87">
        <v>55755.815668202747</v>
      </c>
      <c r="C24" s="88">
        <v>57767.63798917416</v>
      </c>
    </row>
    <row r="25" spans="1:3" ht="15" customHeight="1" x14ac:dyDescent="0.2">
      <c r="A25" s="78">
        <v>41883</v>
      </c>
      <c r="B25" s="87">
        <v>58447.866666666676</v>
      </c>
      <c r="C25" s="88">
        <v>57649.990907760948</v>
      </c>
    </row>
    <row r="26" spans="1:3" ht="15" customHeight="1" x14ac:dyDescent="0.2">
      <c r="A26" s="78">
        <v>41913</v>
      </c>
      <c r="B26" s="87">
        <v>57206.317972350233</v>
      </c>
      <c r="C26" s="88">
        <v>57814.521463316494</v>
      </c>
    </row>
    <row r="27" spans="1:3" ht="15" customHeight="1" x14ac:dyDescent="0.2">
      <c r="A27" s="78">
        <v>41944</v>
      </c>
      <c r="B27" s="87">
        <v>57024.304761904787</v>
      </c>
      <c r="C27" s="88">
        <v>57876.93160156536</v>
      </c>
    </row>
    <row r="28" spans="1:3" ht="15" customHeight="1" x14ac:dyDescent="0.2">
      <c r="A28" s="78">
        <v>41974</v>
      </c>
      <c r="B28" s="87">
        <v>55131.354838709653</v>
      </c>
      <c r="C28" s="88">
        <v>58011.580807914557</v>
      </c>
    </row>
    <row r="29" spans="1:3" ht="15" customHeight="1" x14ac:dyDescent="0.2">
      <c r="A29" s="78">
        <v>42005</v>
      </c>
      <c r="B29" s="87">
        <v>50932.599078340994</v>
      </c>
      <c r="C29" s="88">
        <v>58041.39839624022</v>
      </c>
    </row>
    <row r="30" spans="1:3" ht="15" customHeight="1" x14ac:dyDescent="0.2">
      <c r="A30" s="78">
        <v>42036</v>
      </c>
      <c r="B30" s="87">
        <v>54356.377551020392</v>
      </c>
      <c r="C30" s="88">
        <v>57835.396860141911</v>
      </c>
    </row>
    <row r="31" spans="1:3" ht="15" customHeight="1" x14ac:dyDescent="0.2">
      <c r="A31" s="78">
        <v>42064</v>
      </c>
      <c r="B31" s="87">
        <v>58121.709677419371</v>
      </c>
      <c r="C31" s="88">
        <v>57684.401111842591</v>
      </c>
    </row>
    <row r="32" spans="1:3" ht="15" customHeight="1" x14ac:dyDescent="0.2">
      <c r="A32" s="78">
        <v>42095</v>
      </c>
      <c r="B32" s="87">
        <v>58245.614285714306</v>
      </c>
      <c r="C32" s="88">
        <v>57496.930297710474</v>
      </c>
    </row>
    <row r="33" spans="1:3" ht="15" customHeight="1" x14ac:dyDescent="0.2">
      <c r="A33" s="78">
        <v>42125</v>
      </c>
      <c r="B33" s="87">
        <v>58941.433179723506</v>
      </c>
      <c r="C33" s="88">
        <v>57382.068392948568</v>
      </c>
    </row>
    <row r="34" spans="1:3" ht="15" customHeight="1" x14ac:dyDescent="0.2">
      <c r="A34" s="78">
        <v>42156</v>
      </c>
      <c r="B34" s="87">
        <v>60396.166666666664</v>
      </c>
      <c r="C34" s="88">
        <v>57251.277302318776</v>
      </c>
    </row>
    <row r="35" spans="1:3" ht="15" customHeight="1" x14ac:dyDescent="0.2">
      <c r="A35" s="78">
        <v>42186</v>
      </c>
      <c r="B35" s="87">
        <v>59852.258064516129</v>
      </c>
      <c r="C35" s="88">
        <v>57147.05706422354</v>
      </c>
    </row>
    <row r="36" spans="1:3" ht="15" customHeight="1" x14ac:dyDescent="0.2">
      <c r="A36" s="78">
        <v>42217</v>
      </c>
      <c r="B36" s="87">
        <v>56731.096774193546</v>
      </c>
      <c r="C36" s="88">
        <v>57034.318200936279</v>
      </c>
    </row>
    <row r="37" spans="1:3" ht="15" customHeight="1" x14ac:dyDescent="0.2">
      <c r="A37" s="78">
        <v>42248</v>
      </c>
      <c r="B37" s="87">
        <v>57895.6</v>
      </c>
      <c r="C37" s="88">
        <v>57115.591626435518</v>
      </c>
    </row>
    <row r="38" spans="1:3" ht="15" customHeight="1" x14ac:dyDescent="0.2">
      <c r="A38" s="78">
        <v>42278</v>
      </c>
      <c r="B38" s="87">
        <v>57275.93548387097</v>
      </c>
      <c r="C38" s="88">
        <v>57069.569404213304</v>
      </c>
    </row>
    <row r="39" spans="1:3" ht="15" customHeight="1" x14ac:dyDescent="0.2">
      <c r="A39" s="78">
        <v>42309</v>
      </c>
      <c r="B39" s="87">
        <v>57025.433333333334</v>
      </c>
      <c r="C39" s="88">
        <v>57075.370863506687</v>
      </c>
    </row>
    <row r="40" spans="1:3" ht="15" customHeight="1" x14ac:dyDescent="0.2">
      <c r="A40" s="78">
        <v>42339</v>
      </c>
      <c r="B40" s="87">
        <v>54808</v>
      </c>
      <c r="C40" s="88">
        <v>57075.464911125739</v>
      </c>
    </row>
    <row r="41" spans="1:3" ht="15" customHeight="1" x14ac:dyDescent="0.2">
      <c r="A41" s="78">
        <v>42370</v>
      </c>
      <c r="B41" s="87">
        <v>54536.594470046133</v>
      </c>
      <c r="C41" s="88">
        <v>57048.518674566607</v>
      </c>
    </row>
    <row r="42" spans="1:3" ht="15" customHeight="1" x14ac:dyDescent="0.2">
      <c r="A42" s="78">
        <v>42401</v>
      </c>
      <c r="B42" s="87">
        <v>56610.172413793101</v>
      </c>
      <c r="C42" s="88">
        <v>57348.851623875351</v>
      </c>
    </row>
    <row r="43" spans="1:3" ht="15" customHeight="1" x14ac:dyDescent="0.2">
      <c r="A43" s="78">
        <v>42430</v>
      </c>
      <c r="B43" s="87">
        <v>58765.129032258068</v>
      </c>
      <c r="C43" s="88">
        <v>57536.667862439739</v>
      </c>
    </row>
    <row r="44" spans="1:3" ht="15" customHeight="1" x14ac:dyDescent="0.2">
      <c r="A44" s="78">
        <v>42461</v>
      </c>
      <c r="B44" s="87">
        <v>56055.3</v>
      </c>
      <c r="C44" s="88">
        <v>57590.286142009652</v>
      </c>
    </row>
    <row r="45" spans="1:3" ht="15" customHeight="1" x14ac:dyDescent="0.2">
      <c r="A45" s="78">
        <v>42491</v>
      </c>
      <c r="B45" s="87">
        <v>60290.677419354841</v>
      </c>
      <c r="C45" s="88">
        <v>57407.759951533451</v>
      </c>
    </row>
    <row r="46" spans="1:3" ht="15" customHeight="1" x14ac:dyDescent="0.2">
      <c r="A46" s="78">
        <v>42522</v>
      </c>
      <c r="B46" s="87">
        <v>59129.666666666664</v>
      </c>
      <c r="C46" s="88">
        <v>57520.196971502737</v>
      </c>
    </row>
    <row r="47" spans="1:3" ht="15" customHeight="1" x14ac:dyDescent="0.2">
      <c r="A47" s="78">
        <v>42552</v>
      </c>
      <c r="B47" s="87">
        <v>60550.354838709674</v>
      </c>
      <c r="C47" s="88">
        <v>57414.655304836058</v>
      </c>
    </row>
    <row r="48" spans="1:3" ht="15" customHeight="1" x14ac:dyDescent="0.2">
      <c r="A48" s="78">
        <v>42583</v>
      </c>
      <c r="B48" s="87">
        <v>56725.225806451614</v>
      </c>
      <c r="C48" s="88">
        <v>57472.830036018859</v>
      </c>
    </row>
    <row r="49" spans="1:3" ht="15" customHeight="1" x14ac:dyDescent="0.2">
      <c r="A49" s="78">
        <v>42614</v>
      </c>
      <c r="B49" s="87">
        <v>58995.566666666666</v>
      </c>
      <c r="C49" s="88">
        <v>57472.340788707028</v>
      </c>
    </row>
    <row r="50" spans="1:3" ht="15" customHeight="1" x14ac:dyDescent="0.2">
      <c r="A50" s="78">
        <v>42644</v>
      </c>
      <c r="B50" s="87">
        <v>57505.774193548386</v>
      </c>
      <c r="C50" s="88">
        <v>57564.00467759592</v>
      </c>
    </row>
    <row r="51" spans="1:3" ht="15" customHeight="1" x14ac:dyDescent="0.2">
      <c r="A51" s="78">
        <v>42675</v>
      </c>
      <c r="B51" s="87">
        <v>56205.26666666667</v>
      </c>
      <c r="C51" s="88">
        <v>57583.157903402374</v>
      </c>
    </row>
    <row r="52" spans="1:3" ht="15" customHeight="1" x14ac:dyDescent="0.2">
      <c r="A52" s="79">
        <v>42705</v>
      </c>
      <c r="B52" s="87">
        <v>54056.419354838712</v>
      </c>
      <c r="C52" s="88">
        <v>57514.810681180163</v>
      </c>
    </row>
    <row r="53" spans="1:3" ht="15" customHeight="1" x14ac:dyDescent="0.2">
      <c r="A53" s="78">
        <v>42736</v>
      </c>
      <c r="B53" s="87">
        <v>52053.548387096773</v>
      </c>
      <c r="C53" s="88">
        <v>57452.178960750054</v>
      </c>
    </row>
    <row r="54" spans="1:3" ht="15" customHeight="1" x14ac:dyDescent="0.2">
      <c r="A54" s="78">
        <v>42767</v>
      </c>
      <c r="B54" s="87">
        <v>54257.25</v>
      </c>
      <c r="C54" s="88">
        <v>57245.258453837596</v>
      </c>
    </row>
    <row r="55" spans="1:3" ht="15" customHeight="1" x14ac:dyDescent="0.2">
      <c r="A55" s="78">
        <v>42795</v>
      </c>
      <c r="B55" s="87">
        <v>58530.387096774197</v>
      </c>
      <c r="C55" s="88">
        <v>57049.181586021499</v>
      </c>
    </row>
    <row r="56" spans="1:3" ht="15" customHeight="1" x14ac:dyDescent="0.2">
      <c r="A56" s="78">
        <v>42826</v>
      </c>
      <c r="B56" s="87">
        <v>58827.73333333333</v>
      </c>
      <c r="C56" s="88">
        <v>57029.619758064509</v>
      </c>
    </row>
    <row r="57" spans="1:3" ht="15" customHeight="1" x14ac:dyDescent="0.2">
      <c r="A57" s="78">
        <v>42856</v>
      </c>
      <c r="B57" s="87">
        <v>59803.774193548386</v>
      </c>
      <c r="C57" s="88">
        <v>57260.655869175622</v>
      </c>
    </row>
    <row r="58" spans="1:3" ht="15" customHeight="1" x14ac:dyDescent="0.2">
      <c r="A58" s="78">
        <v>42887</v>
      </c>
      <c r="B58" s="87">
        <v>60303.7</v>
      </c>
      <c r="C58" s="88">
        <v>57220.080600358422</v>
      </c>
    </row>
    <row r="59" spans="1:3" ht="15" customHeight="1" x14ac:dyDescent="0.2">
      <c r="A59" s="78">
        <v>42917</v>
      </c>
      <c r="B59" s="87">
        <v>60443.967741935485</v>
      </c>
      <c r="C59" s="88">
        <v>57317.91671146953</v>
      </c>
    </row>
    <row r="60" spans="1:3" ht="15" customHeight="1" x14ac:dyDescent="0.2">
      <c r="A60" s="78">
        <v>42948</v>
      </c>
      <c r="B60" s="87">
        <v>56063.096774193546</v>
      </c>
      <c r="C60" s="88">
        <v>57309.051120071679</v>
      </c>
    </row>
    <row r="61" spans="1:3" ht="15" customHeight="1" x14ac:dyDescent="0.2">
      <c r="A61" s="78">
        <v>42979</v>
      </c>
      <c r="B61" s="87">
        <v>57564.466666666667</v>
      </c>
      <c r="C61" s="88">
        <v>57253.873700716846</v>
      </c>
    </row>
    <row r="62" spans="1:3" ht="15" customHeight="1" x14ac:dyDescent="0.2">
      <c r="A62" s="78">
        <v>43009</v>
      </c>
      <c r="B62" s="87">
        <v>59307.580645161288</v>
      </c>
      <c r="C62" s="88">
        <v>57134.615367383514</v>
      </c>
    </row>
    <row r="63" spans="1:3" ht="15" customHeight="1" x14ac:dyDescent="0.2">
      <c r="A63" s="78">
        <v>43040</v>
      </c>
      <c r="B63" s="87">
        <v>58496.3</v>
      </c>
      <c r="C63" s="88">
        <v>57284.765905017928</v>
      </c>
    </row>
    <row r="64" spans="1:3" ht="15" customHeight="1" x14ac:dyDescent="0.2">
      <c r="A64" s="78">
        <v>43070</v>
      </c>
      <c r="B64" s="87">
        <v>54937.451612903227</v>
      </c>
      <c r="C64" s="88">
        <v>57475.685349462379</v>
      </c>
    </row>
    <row r="65" spans="1:3" ht="15" customHeight="1" x14ac:dyDescent="0.2">
      <c r="A65" s="78">
        <v>43101</v>
      </c>
      <c r="B65" s="87">
        <v>55034.096774193546</v>
      </c>
      <c r="C65" s="88">
        <v>57549.104704301084</v>
      </c>
    </row>
    <row r="66" spans="1:3" ht="15" customHeight="1" x14ac:dyDescent="0.2">
      <c r="A66" s="78">
        <v>43132</v>
      </c>
      <c r="B66" s="87">
        <v>55279.464285714283</v>
      </c>
      <c r="C66" s="88">
        <v>57797.483736559159</v>
      </c>
    </row>
    <row r="67" spans="1:3" ht="15" customHeight="1" x14ac:dyDescent="0.2">
      <c r="A67" s="78">
        <v>43160</v>
      </c>
      <c r="B67" s="87">
        <v>55953.322580645159</v>
      </c>
      <c r="C67" s="88">
        <v>57882.668260368671</v>
      </c>
    </row>
    <row r="68" spans="1:3" ht="15" customHeight="1" x14ac:dyDescent="0.2">
      <c r="A68" s="78">
        <v>43191</v>
      </c>
      <c r="B68" s="87">
        <v>58586.833333333336</v>
      </c>
      <c r="C68" s="88">
        <v>57667.912884024583</v>
      </c>
    </row>
    <row r="69" spans="1:3" ht="15" customHeight="1" x14ac:dyDescent="0.2">
      <c r="A69" s="78">
        <v>43221</v>
      </c>
      <c r="B69" s="87">
        <v>63111.483870967742</v>
      </c>
      <c r="C69" s="88">
        <v>57647.837884024579</v>
      </c>
    </row>
    <row r="70" spans="1:3" ht="15" customHeight="1" x14ac:dyDescent="0.2">
      <c r="A70" s="78">
        <v>43252</v>
      </c>
      <c r="B70" s="87">
        <v>63350.8</v>
      </c>
      <c r="C70" s="88">
        <v>57923.480357142857</v>
      </c>
    </row>
    <row r="71" spans="1:3" ht="15" customHeight="1" x14ac:dyDescent="0.2">
      <c r="A71" s="78">
        <v>43282</v>
      </c>
      <c r="B71" s="87">
        <v>62808.774193548386</v>
      </c>
      <c r="C71" s="88">
        <v>58177.405357142859</v>
      </c>
    </row>
    <row r="72" spans="1:3" ht="15" customHeight="1" x14ac:dyDescent="0.2">
      <c r="A72" s="78">
        <v>43313</v>
      </c>
      <c r="B72" s="87">
        <v>57826.290322580644</v>
      </c>
      <c r="C72" s="88">
        <v>58374.472561443923</v>
      </c>
    </row>
    <row r="73" spans="1:3" ht="15" customHeight="1" x14ac:dyDescent="0.2">
      <c r="A73" s="78">
        <v>43344</v>
      </c>
      <c r="B73" s="87">
        <v>59464.633333333331</v>
      </c>
      <c r="C73" s="88">
        <v>58521.405357142845</v>
      </c>
    </row>
    <row r="74" spans="1:3" ht="15" customHeight="1" x14ac:dyDescent="0.2">
      <c r="A74" s="78">
        <v>43374</v>
      </c>
      <c r="B74" s="87">
        <v>59707.806451612902</v>
      </c>
      <c r="C74" s="88">
        <v>58679.752579365071</v>
      </c>
    </row>
    <row r="75" spans="1:3" ht="15" customHeight="1" x14ac:dyDescent="0.2">
      <c r="A75" s="78">
        <v>43405</v>
      </c>
      <c r="B75" s="87">
        <v>59508.166666666664</v>
      </c>
      <c r="C75" s="88">
        <v>58713.104729902705</v>
      </c>
    </row>
    <row r="76" spans="1:3" ht="15" customHeight="1" x14ac:dyDescent="0.2">
      <c r="A76" s="78">
        <v>43435</v>
      </c>
      <c r="B76" s="87">
        <v>57096.903225806454</v>
      </c>
      <c r="C76" s="88">
        <v>58797.426952124923</v>
      </c>
    </row>
    <row r="77" spans="1:3" ht="15" customHeight="1" x14ac:dyDescent="0.2">
      <c r="A77" s="78">
        <v>43466</v>
      </c>
      <c r="B77" s="87">
        <v>57507</v>
      </c>
      <c r="C77" s="88">
        <v>58977.381253200198</v>
      </c>
    </row>
    <row r="78" spans="1:3" ht="15" customHeight="1" x14ac:dyDescent="0.2">
      <c r="A78" s="78">
        <v>43497</v>
      </c>
      <c r="B78" s="87">
        <v>58805.678571428572</v>
      </c>
      <c r="C78" s="88">
        <v>59183.456522017397</v>
      </c>
    </row>
    <row r="79" spans="1:3" ht="15" customHeight="1" x14ac:dyDescent="0.2">
      <c r="A79" s="78">
        <v>43525</v>
      </c>
      <c r="B79" s="87">
        <v>60554.548387096773</v>
      </c>
      <c r="C79" s="88">
        <v>59477.307712493588</v>
      </c>
    </row>
    <row r="80" spans="1:3" x14ac:dyDescent="0.2">
      <c r="A80" s="78">
        <v>43556</v>
      </c>
      <c r="B80" s="87">
        <v>53901</v>
      </c>
      <c r="C80" s="88">
        <v>59860.743196364558</v>
      </c>
    </row>
    <row r="81" spans="1:14" s="39" customFormat="1" ht="14.25" customHeight="1" x14ac:dyDescent="0.2">
      <c r="A81" s="78">
        <v>43586</v>
      </c>
      <c r="B81" s="354">
        <v>54456.677419354841</v>
      </c>
      <c r="C81" s="355">
        <v>59470.257085253448</v>
      </c>
      <c r="D81" s="178"/>
    </row>
    <row r="82" spans="1:14" s="39" customFormat="1" ht="14.25" x14ac:dyDescent="0.2">
      <c r="A82" s="78">
        <v>43617</v>
      </c>
      <c r="B82" s="354">
        <v>54410.633333333331</v>
      </c>
      <c r="C82" s="355">
        <v>58749.023214285698</v>
      </c>
      <c r="D82" s="90"/>
    </row>
    <row r="83" spans="1:14" s="39" customFormat="1" ht="14.25" x14ac:dyDescent="0.2">
      <c r="A83" s="78">
        <v>43647</v>
      </c>
      <c r="B83" s="354">
        <v>56687.93548387097</v>
      </c>
      <c r="C83" s="355">
        <v>58004.009325396823</v>
      </c>
      <c r="D83" s="99"/>
    </row>
    <row r="84" spans="1:14" s="39" customFormat="1" ht="15" customHeight="1" x14ac:dyDescent="0.2">
      <c r="A84" s="78">
        <v>43678</v>
      </c>
      <c r="B84" s="354">
        <v>53155.645161290326</v>
      </c>
      <c r="C84" s="355">
        <v>57493.939432923704</v>
      </c>
      <c r="D84" s="187"/>
    </row>
    <row r="85" spans="1:14" s="39" customFormat="1" ht="14.25" customHeight="1" x14ac:dyDescent="0.2">
      <c r="A85" s="78">
        <v>43709</v>
      </c>
      <c r="B85" s="354">
        <v>54120.833333333336</v>
      </c>
      <c r="C85" s="355">
        <v>57104.719002816179</v>
      </c>
      <c r="D85" s="184"/>
    </row>
    <row r="86" spans="1:14" s="39" customFormat="1" ht="14.25" customHeight="1" x14ac:dyDescent="0.2">
      <c r="A86" s="78">
        <v>43739</v>
      </c>
      <c r="B86" s="354">
        <v>52549.483870967742</v>
      </c>
      <c r="C86" s="355">
        <v>56659.402336149513</v>
      </c>
      <c r="D86" s="184"/>
    </row>
    <row r="87" spans="1:14" s="39" customFormat="1" ht="14.25" customHeight="1" x14ac:dyDescent="0.2">
      <c r="A87" s="78">
        <v>43770</v>
      </c>
      <c r="B87" s="354">
        <v>52168.6</v>
      </c>
      <c r="C87" s="355">
        <v>56062.875454429093</v>
      </c>
      <c r="D87" s="185"/>
    </row>
    <row r="88" spans="1:14" ht="15" customHeight="1" x14ac:dyDescent="0.2">
      <c r="A88" s="78">
        <v>43800</v>
      </c>
      <c r="B88" s="354">
        <v>50313.516129032258</v>
      </c>
      <c r="C88" s="355">
        <v>55451.244898873527</v>
      </c>
      <c r="D88" s="11"/>
      <c r="E88" s="39"/>
      <c r="F88" s="39"/>
      <c r="G88" s="39"/>
      <c r="H88" s="39"/>
      <c r="I88" s="39"/>
      <c r="J88" s="39"/>
      <c r="K88" s="39"/>
      <c r="L88" s="39"/>
      <c r="M88" s="39"/>
      <c r="N88" s="39"/>
    </row>
    <row r="89" spans="1:14" ht="14.25" x14ac:dyDescent="0.2">
      <c r="A89" s="78">
        <v>43831</v>
      </c>
      <c r="B89" s="354">
        <v>49947.774193548386</v>
      </c>
      <c r="C89" s="355">
        <v>54885.962640809012</v>
      </c>
      <c r="D89" s="91"/>
    </row>
    <row r="90" spans="1:14" ht="14.25" x14ac:dyDescent="0.2">
      <c r="A90" s="78">
        <v>43862</v>
      </c>
      <c r="B90" s="354">
        <v>50399.137931034486</v>
      </c>
      <c r="C90" s="355">
        <v>54256.027156938042</v>
      </c>
      <c r="D90" s="39"/>
    </row>
    <row r="91" spans="1:14" ht="15" thickBot="1" x14ac:dyDescent="0.25">
      <c r="A91" s="80">
        <v>43891</v>
      </c>
      <c r="B91" s="356">
        <v>37317.580645161288</v>
      </c>
      <c r="C91" s="357">
        <v>53555.482103571856</v>
      </c>
      <c r="D91" s="39"/>
    </row>
    <row r="94" spans="1:14" x14ac:dyDescent="0.2">
      <c r="A94" s="422" t="s">
        <v>436</v>
      </c>
      <c r="B94" s="422"/>
      <c r="C94" s="422"/>
      <c r="D94" s="422"/>
      <c r="E94" s="422"/>
      <c r="F94" s="422"/>
      <c r="G94" s="422"/>
    </row>
    <row r="95" spans="1:14" x14ac:dyDescent="0.2">
      <c r="A95" s="402" t="s">
        <v>499</v>
      </c>
      <c r="B95" s="402"/>
      <c r="C95" s="402"/>
      <c r="D95" s="402"/>
      <c r="E95" s="402"/>
      <c r="F95" s="402"/>
      <c r="G95" s="402"/>
    </row>
    <row r="96" spans="1:14" x14ac:dyDescent="0.2">
      <c r="A96" s="378"/>
      <c r="B96" s="378"/>
      <c r="C96" s="378"/>
      <c r="D96" s="378"/>
      <c r="E96" s="378"/>
      <c r="F96" s="378"/>
      <c r="G96" s="378"/>
    </row>
    <row r="97" spans="1:11" ht="28.5" customHeight="1" x14ac:dyDescent="0.2">
      <c r="A97" s="418" t="s">
        <v>506</v>
      </c>
      <c r="B97" s="418"/>
      <c r="C97" s="418"/>
      <c r="D97" s="418"/>
      <c r="E97" s="418"/>
      <c r="F97" s="418"/>
      <c r="G97" s="418"/>
      <c r="H97" s="418"/>
      <c r="I97" s="418"/>
      <c r="J97" s="418"/>
      <c r="K97" s="418"/>
    </row>
    <row r="98" spans="1:11" ht="14.25" x14ac:dyDescent="0.2">
      <c r="A98" s="385" t="s">
        <v>504</v>
      </c>
      <c r="B98" s="99"/>
      <c r="C98" s="99"/>
      <c r="D98" s="99"/>
      <c r="E98" s="99"/>
      <c r="F98" s="99"/>
      <c r="G98" s="99"/>
      <c r="H98" s="99"/>
      <c r="I98" s="99"/>
      <c r="J98" s="99"/>
      <c r="K98" s="99"/>
    </row>
    <row r="99" spans="1:11" x14ac:dyDescent="0.2">
      <c r="A99" s="103"/>
      <c r="B99" s="103"/>
      <c r="C99" s="103"/>
      <c r="D99" s="103"/>
      <c r="E99" s="103"/>
      <c r="F99" s="103"/>
      <c r="G99" s="103"/>
    </row>
    <row r="100" spans="1:11" ht="13.5" thickBot="1" x14ac:dyDescent="0.25">
      <c r="A100" s="415" t="s">
        <v>1</v>
      </c>
      <c r="B100" s="415"/>
      <c r="C100" s="415"/>
      <c r="D100" s="415"/>
      <c r="E100" s="415"/>
      <c r="F100" s="415"/>
      <c r="G100" s="415"/>
    </row>
    <row r="101" spans="1:11" x14ac:dyDescent="0.2">
      <c r="A101" s="313" t="s">
        <v>428</v>
      </c>
      <c r="B101" s="313"/>
      <c r="C101" s="313"/>
      <c r="D101" s="313"/>
      <c r="E101" s="313"/>
      <c r="F101" s="313"/>
      <c r="G101" s="313"/>
    </row>
    <row r="102" spans="1:11" x14ac:dyDescent="0.2">
      <c r="A102" s="412" t="s">
        <v>510</v>
      </c>
      <c r="B102" s="412"/>
      <c r="C102" s="412"/>
      <c r="D102" s="412"/>
      <c r="E102" s="412"/>
      <c r="F102" s="412"/>
      <c r="G102" s="412"/>
    </row>
    <row r="103" spans="1:11" x14ac:dyDescent="0.2">
      <c r="A103" s="408" t="s">
        <v>156</v>
      </c>
      <c r="B103" s="408"/>
      <c r="C103" s="408"/>
      <c r="D103" s="408"/>
      <c r="E103" s="408"/>
      <c r="F103" s="408"/>
      <c r="G103" s="408"/>
    </row>
    <row r="104" spans="1:11" ht="13.5" thickBot="1" x14ac:dyDescent="0.25">
      <c r="A104" s="419" t="s">
        <v>442</v>
      </c>
      <c r="B104" s="419"/>
      <c r="C104" s="419"/>
      <c r="D104" s="419"/>
      <c r="E104" s="419"/>
      <c r="F104" s="419"/>
      <c r="G104" s="419"/>
    </row>
    <row r="105" spans="1:11" ht="14.25" x14ac:dyDescent="0.2">
      <c r="A105" s="40"/>
      <c r="B105" s="41"/>
      <c r="C105" s="41"/>
      <c r="D105" s="41"/>
      <c r="E105" s="41"/>
      <c r="F105" s="41"/>
      <c r="G105" s="41"/>
    </row>
    <row r="106" spans="1:11" ht="14.25" x14ac:dyDescent="0.2">
      <c r="A106" s="410" t="s">
        <v>157</v>
      </c>
      <c r="B106" s="410"/>
      <c r="C106" s="41"/>
      <c r="D106" s="41"/>
      <c r="E106" s="41"/>
      <c r="F106" s="41"/>
      <c r="G106" s="42"/>
    </row>
  </sheetData>
  <mergeCells count="12">
    <mergeCell ref="A97:K97"/>
    <mergeCell ref="A104:G104"/>
    <mergeCell ref="A106:B106"/>
    <mergeCell ref="A2:G2"/>
    <mergeCell ref="A3:G3"/>
    <mergeCell ref="B6:C6"/>
    <mergeCell ref="A4:G4"/>
    <mergeCell ref="A94:G94"/>
    <mergeCell ref="A95:G95"/>
    <mergeCell ref="A100:G100"/>
    <mergeCell ref="A102:G102"/>
    <mergeCell ref="A103:G103"/>
  </mergeCells>
  <hyperlinks>
    <hyperlink ref="A103:F103" r:id="rId1" display="Contact via enquiries@NHSDigital.nhs.uk or 0300 303 5678" xr:uid="{E6B747B1-A5F2-4886-9603-6AA2783F9609}"/>
    <hyperlink ref="A106" location="Contents!A1" display="Return to Contents" xr:uid="{81B96874-4BCC-47F2-AF4A-B540E68F02A8}"/>
    <hyperlink ref="A95" r:id="rId2" display="https://www.england.nhs.uk/statistics/statistical-work-areas/ae-waiting-times-and-activity/ae-attendances-and-emergency-admissions-2018-19/" xr:uid="{716B1DF7-082C-4C64-B6E3-9CAFABBE83B8}"/>
    <hyperlink ref="A98" r:id="rId3" xr:uid="{5775615B-D574-40E5-8BD0-A785C8408E51}"/>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106"/>
  <sheetViews>
    <sheetView showGridLines="0" workbookViewId="0">
      <selection sqref="A1:C1"/>
    </sheetView>
  </sheetViews>
  <sheetFormatPr defaultColWidth="9.140625" defaultRowHeight="12.75" x14ac:dyDescent="0.2"/>
  <cols>
    <col min="1" max="1" width="7.85546875" style="7" bestFit="1" customWidth="1"/>
    <col min="2" max="2" width="22.85546875" style="7" customWidth="1"/>
    <col min="3" max="3" width="27.140625" style="7" customWidth="1"/>
    <col min="4" max="16384" width="9.140625" style="7"/>
  </cols>
  <sheetData>
    <row r="1" spans="1:16" ht="15" customHeight="1" x14ac:dyDescent="0.2"/>
    <row r="2" spans="1:16" ht="48.75" customHeight="1" x14ac:dyDescent="0.2">
      <c r="A2" s="404" t="s">
        <v>477</v>
      </c>
      <c r="B2" s="404"/>
      <c r="C2" s="404"/>
      <c r="D2" s="404"/>
      <c r="E2" s="404"/>
      <c r="F2" s="404"/>
      <c r="G2" s="404"/>
      <c r="H2" s="98"/>
      <c r="I2" s="98"/>
      <c r="J2" s="98"/>
      <c r="K2" s="98"/>
      <c r="L2" s="39"/>
      <c r="M2" s="39"/>
      <c r="N2" s="39"/>
      <c r="O2" s="39"/>
      <c r="P2" s="39"/>
    </row>
    <row r="3" spans="1:16" ht="15.75" customHeight="1" x14ac:dyDescent="0.2">
      <c r="A3" s="416" t="s">
        <v>235</v>
      </c>
      <c r="B3" s="416"/>
      <c r="C3" s="416"/>
      <c r="D3" s="416"/>
      <c r="E3" s="416"/>
      <c r="F3" s="416"/>
      <c r="G3" s="416"/>
      <c r="H3" s="11"/>
      <c r="I3" s="11"/>
      <c r="J3" s="11"/>
      <c r="K3" s="39"/>
      <c r="L3" s="39"/>
      <c r="M3" s="39"/>
      <c r="N3" s="39"/>
      <c r="O3" s="39"/>
      <c r="P3" s="39"/>
    </row>
    <row r="4" spans="1:16" ht="15" customHeight="1" x14ac:dyDescent="0.2">
      <c r="A4" s="416" t="s">
        <v>432</v>
      </c>
      <c r="B4" s="416"/>
      <c r="C4" s="416"/>
      <c r="D4" s="416"/>
      <c r="E4" s="416"/>
      <c r="F4" s="416"/>
      <c r="G4" s="416"/>
      <c r="H4" s="11"/>
      <c r="I4" s="11"/>
      <c r="J4" s="11"/>
      <c r="K4" s="39"/>
      <c r="L4" s="39"/>
      <c r="M4" s="39"/>
      <c r="N4" s="39"/>
      <c r="O4" s="39"/>
      <c r="P4" s="39"/>
    </row>
    <row r="5" spans="1:16" ht="13.5" thickBot="1" x14ac:dyDescent="0.25"/>
    <row r="6" spans="1:16" ht="30" customHeight="1" thickBot="1" x14ac:dyDescent="0.25">
      <c r="A6" s="194"/>
      <c r="B6" s="427" t="s">
        <v>301</v>
      </c>
      <c r="C6" s="428"/>
    </row>
    <row r="7" spans="1:16" ht="30" customHeight="1" thickBot="1" x14ac:dyDescent="0.25">
      <c r="A7" s="194"/>
      <c r="B7" s="107" t="s">
        <v>299</v>
      </c>
      <c r="C7" s="108" t="s">
        <v>300</v>
      </c>
    </row>
    <row r="8" spans="1:16" ht="15" customHeight="1" x14ac:dyDescent="0.2">
      <c r="A8" s="78">
        <v>41365</v>
      </c>
      <c r="B8" s="87">
        <v>4004.0571428571429</v>
      </c>
      <c r="C8" s="88">
        <v>2478.487447882379</v>
      </c>
    </row>
    <row r="9" spans="1:16" ht="15" customHeight="1" x14ac:dyDescent="0.2">
      <c r="A9" s="78">
        <v>41395</v>
      </c>
      <c r="B9" s="87">
        <v>2091.073732718894</v>
      </c>
      <c r="C9" s="88">
        <v>2632.8227653426961</v>
      </c>
    </row>
    <row r="10" spans="1:16" ht="15" customHeight="1" x14ac:dyDescent="0.2">
      <c r="A10" s="78">
        <v>41426</v>
      </c>
      <c r="B10" s="87">
        <v>1877.9999999999993</v>
      </c>
      <c r="C10" s="88">
        <v>2641.700645527028</v>
      </c>
    </row>
    <row r="11" spans="1:16" ht="15" customHeight="1" x14ac:dyDescent="0.2">
      <c r="A11" s="78">
        <v>41456</v>
      </c>
      <c r="B11" s="87">
        <v>2115.7649769585255</v>
      </c>
      <c r="C11" s="88">
        <v>2627.5359629873456</v>
      </c>
    </row>
    <row r="12" spans="1:16" ht="15" customHeight="1" x14ac:dyDescent="0.2">
      <c r="A12" s="78">
        <v>41487</v>
      </c>
      <c r="B12" s="87">
        <v>2206.3271889400921</v>
      </c>
      <c r="C12" s="88">
        <v>2652.1465620656868</v>
      </c>
    </row>
    <row r="13" spans="1:16" ht="15" customHeight="1" x14ac:dyDescent="0.2">
      <c r="A13" s="78">
        <v>41518</v>
      </c>
      <c r="B13" s="87">
        <v>2484.790476190477</v>
      </c>
      <c r="C13" s="88">
        <v>2689.2141503913394</v>
      </c>
    </row>
    <row r="14" spans="1:16" ht="15" customHeight="1" x14ac:dyDescent="0.2">
      <c r="A14" s="78">
        <v>41548</v>
      </c>
      <c r="B14" s="87">
        <v>2556.4516129032249</v>
      </c>
      <c r="C14" s="88">
        <v>2732.0851821373712</v>
      </c>
    </row>
    <row r="15" spans="1:16" ht="15" customHeight="1" x14ac:dyDescent="0.2">
      <c r="A15" s="78">
        <v>41579</v>
      </c>
      <c r="B15" s="87">
        <v>2359.3714285714282</v>
      </c>
      <c r="C15" s="88">
        <v>2759.992632214176</v>
      </c>
    </row>
    <row r="16" spans="1:16" ht="15" customHeight="1" x14ac:dyDescent="0.2">
      <c r="A16" s="78">
        <v>41609</v>
      </c>
      <c r="B16" s="87">
        <v>2711.2672811059897</v>
      </c>
      <c r="C16" s="88">
        <v>2762.1227909443346</v>
      </c>
    </row>
    <row r="17" spans="1:3" ht="15" customHeight="1" x14ac:dyDescent="0.2">
      <c r="A17" s="78">
        <v>41640</v>
      </c>
      <c r="B17" s="87">
        <v>2709.5391705069128</v>
      </c>
      <c r="C17" s="88">
        <v>2726.8075067661471</v>
      </c>
    </row>
    <row r="18" spans="1:3" ht="15" customHeight="1" x14ac:dyDescent="0.2">
      <c r="A18" s="78">
        <v>41671</v>
      </c>
      <c r="B18" s="87">
        <v>3182.1887755102039</v>
      </c>
      <c r="C18" s="88">
        <v>2698.4050490088507</v>
      </c>
    </row>
    <row r="19" spans="1:3" ht="15" customHeight="1" x14ac:dyDescent="0.2">
      <c r="A19" s="78">
        <v>41699</v>
      </c>
      <c r="B19" s="87">
        <v>2768.6682027649772</v>
      </c>
      <c r="C19" s="88">
        <v>2683.4913585326599</v>
      </c>
    </row>
    <row r="20" spans="1:3" ht="15" customHeight="1" x14ac:dyDescent="0.2">
      <c r="A20" s="78">
        <v>41730</v>
      </c>
      <c r="B20" s="87">
        <v>2965.238095238094</v>
      </c>
      <c r="C20" s="88">
        <v>2588.9583324189884</v>
      </c>
    </row>
    <row r="21" spans="1:3" ht="15" customHeight="1" x14ac:dyDescent="0.2">
      <c r="A21" s="78">
        <v>41760</v>
      </c>
      <c r="B21" s="87">
        <v>3296.4423963133631</v>
      </c>
      <c r="C21" s="88">
        <v>2502.390078450735</v>
      </c>
    </row>
    <row r="22" spans="1:3" ht="15" customHeight="1" x14ac:dyDescent="0.2">
      <c r="A22" s="78">
        <v>41791</v>
      </c>
      <c r="B22" s="87">
        <v>3095.4571428571426</v>
      </c>
      <c r="C22" s="88">
        <v>2602.8374670836074</v>
      </c>
    </row>
    <row r="23" spans="1:3" ht="15" customHeight="1" x14ac:dyDescent="0.2">
      <c r="A23" s="78">
        <v>41821</v>
      </c>
      <c r="B23" s="87">
        <v>3105.5483870967741</v>
      </c>
      <c r="C23" s="88">
        <v>2704.2922289883695</v>
      </c>
    </row>
    <row r="24" spans="1:3" ht="15" customHeight="1" x14ac:dyDescent="0.2">
      <c r="A24" s="78">
        <v>41852</v>
      </c>
      <c r="B24" s="87">
        <v>2867.087557603686</v>
      </c>
      <c r="C24" s="88">
        <v>2786.7741798332231</v>
      </c>
    </row>
    <row r="25" spans="1:3" ht="15" customHeight="1" x14ac:dyDescent="0.2">
      <c r="A25" s="78">
        <v>41883</v>
      </c>
      <c r="B25" s="87">
        <v>3328.3238095238112</v>
      </c>
      <c r="C25" s="88">
        <v>2841.8375438885228</v>
      </c>
    </row>
    <row r="26" spans="1:3" ht="15" customHeight="1" x14ac:dyDescent="0.2">
      <c r="A26" s="78">
        <v>41913</v>
      </c>
      <c r="B26" s="87">
        <v>3838.004608294932</v>
      </c>
      <c r="C26" s="88">
        <v>2912.131988332967</v>
      </c>
    </row>
    <row r="27" spans="1:3" ht="15" customHeight="1" x14ac:dyDescent="0.2">
      <c r="A27" s="78">
        <v>41944</v>
      </c>
      <c r="B27" s="87">
        <v>3991.038095238097</v>
      </c>
      <c r="C27" s="88">
        <v>3018.9280712822761</v>
      </c>
    </row>
    <row r="28" spans="1:3" ht="15" customHeight="1" x14ac:dyDescent="0.2">
      <c r="A28" s="78">
        <v>41974</v>
      </c>
      <c r="B28" s="87">
        <v>6198.5483870967764</v>
      </c>
      <c r="C28" s="88">
        <v>3154.9002935044987</v>
      </c>
    </row>
    <row r="29" spans="1:3" ht="15" customHeight="1" x14ac:dyDescent="0.2">
      <c r="A29" s="78">
        <v>42005</v>
      </c>
      <c r="B29" s="87">
        <v>4940.5299539170501</v>
      </c>
      <c r="C29" s="88">
        <v>3445.5070523370646</v>
      </c>
    </row>
    <row r="30" spans="1:3" ht="15" customHeight="1" x14ac:dyDescent="0.2">
      <c r="A30" s="78">
        <v>42036</v>
      </c>
      <c r="B30" s="87">
        <v>4745.2806122448983</v>
      </c>
      <c r="C30" s="88">
        <v>3631.4229509545762</v>
      </c>
    </row>
    <row r="31" spans="1:3" ht="15" customHeight="1" x14ac:dyDescent="0.2">
      <c r="A31" s="78">
        <v>42064</v>
      </c>
      <c r="B31" s="87">
        <v>4554.6451612903256</v>
      </c>
      <c r="C31" s="88">
        <v>3761.6806040158008</v>
      </c>
    </row>
    <row r="32" spans="1:3" ht="15" customHeight="1" x14ac:dyDescent="0.2">
      <c r="A32" s="78">
        <v>42095</v>
      </c>
      <c r="B32" s="87">
        <v>4193.3095238095211</v>
      </c>
      <c r="C32" s="88">
        <v>3910.5120172262464</v>
      </c>
    </row>
    <row r="33" spans="1:3" ht="15" customHeight="1" x14ac:dyDescent="0.2">
      <c r="A33" s="78">
        <v>42125</v>
      </c>
      <c r="B33" s="87">
        <v>3557.5622119815807</v>
      </c>
      <c r="C33" s="88">
        <v>4012.8513029405312</v>
      </c>
    </row>
    <row r="34" spans="1:3" ht="15" customHeight="1" x14ac:dyDescent="0.2">
      <c r="A34" s="78">
        <v>42156</v>
      </c>
      <c r="B34" s="87">
        <v>3310.7999999999965</v>
      </c>
      <c r="C34" s="88">
        <v>4034.6112875795493</v>
      </c>
    </row>
    <row r="35" spans="1:3" ht="15" customHeight="1" x14ac:dyDescent="0.2">
      <c r="A35" s="78">
        <v>42186</v>
      </c>
      <c r="B35" s="87">
        <v>3144.3548387096776</v>
      </c>
      <c r="C35" s="88">
        <v>4052.5565256747868</v>
      </c>
    </row>
    <row r="36" spans="1:3" ht="15" customHeight="1" x14ac:dyDescent="0.2">
      <c r="A36" s="78">
        <v>42217</v>
      </c>
      <c r="B36" s="87">
        <v>3434.6774193548385</v>
      </c>
      <c r="C36" s="88">
        <v>4055.7903966425288</v>
      </c>
    </row>
    <row r="37" spans="1:3" ht="15" customHeight="1" x14ac:dyDescent="0.2">
      <c r="A37" s="78">
        <v>42248</v>
      </c>
      <c r="B37" s="87">
        <v>4103.7</v>
      </c>
      <c r="C37" s="88">
        <v>4103.0895517884583</v>
      </c>
    </row>
    <row r="38" spans="1:3" ht="15" customHeight="1" x14ac:dyDescent="0.2">
      <c r="A38" s="78">
        <v>42278</v>
      </c>
      <c r="B38" s="87">
        <v>4759.8064516129034</v>
      </c>
      <c r="C38" s="88">
        <v>4167.70423432814</v>
      </c>
    </row>
    <row r="39" spans="1:3" ht="15" customHeight="1" x14ac:dyDescent="0.2">
      <c r="A39" s="78">
        <v>42309</v>
      </c>
      <c r="B39" s="87">
        <v>5449.0666666666666</v>
      </c>
      <c r="C39" s="88">
        <v>4244.5210546046383</v>
      </c>
    </row>
    <row r="40" spans="1:3" ht="15" customHeight="1" x14ac:dyDescent="0.2">
      <c r="A40" s="78">
        <v>42339</v>
      </c>
      <c r="B40" s="87">
        <v>5438.8387096774195</v>
      </c>
      <c r="C40" s="88">
        <v>4366.0234355570192</v>
      </c>
    </row>
    <row r="41" spans="1:3" ht="15" customHeight="1" x14ac:dyDescent="0.2">
      <c r="A41" s="78">
        <v>42370</v>
      </c>
      <c r="B41" s="87">
        <v>6976.9677419354839</v>
      </c>
      <c r="C41" s="88">
        <v>4302.7142957720725</v>
      </c>
    </row>
    <row r="42" spans="1:3" ht="15" customHeight="1" x14ac:dyDescent="0.2">
      <c r="A42" s="78">
        <v>42401</v>
      </c>
      <c r="B42" s="87">
        <v>7899.3448275862065</v>
      </c>
      <c r="C42" s="88">
        <v>4472.4174447736086</v>
      </c>
    </row>
    <row r="43" spans="1:3" ht="15" customHeight="1" x14ac:dyDescent="0.2">
      <c r="A43" s="78">
        <v>42430</v>
      </c>
      <c r="B43" s="87">
        <v>8575.2903225806458</v>
      </c>
      <c r="C43" s="88">
        <v>4735.2561293853842</v>
      </c>
    </row>
    <row r="44" spans="1:3" ht="15" customHeight="1" x14ac:dyDescent="0.2">
      <c r="A44" s="78">
        <v>42461</v>
      </c>
      <c r="B44" s="87">
        <v>6204.0666666666666</v>
      </c>
      <c r="C44" s="88">
        <v>5070.3098928262452</v>
      </c>
    </row>
    <row r="45" spans="1:3" ht="15" customHeight="1" x14ac:dyDescent="0.2">
      <c r="A45" s="78">
        <v>42491</v>
      </c>
      <c r="B45" s="87">
        <v>6494.4838709677415</v>
      </c>
      <c r="C45" s="88">
        <v>5237.8729880643396</v>
      </c>
    </row>
    <row r="46" spans="1:3" ht="15" customHeight="1" x14ac:dyDescent="0.2">
      <c r="A46" s="78">
        <v>42522</v>
      </c>
      <c r="B46" s="87">
        <v>6163.7333333333336</v>
      </c>
      <c r="C46" s="88">
        <v>5482.6164596465196</v>
      </c>
    </row>
    <row r="47" spans="1:3" ht="15" customHeight="1" x14ac:dyDescent="0.2">
      <c r="A47" s="78">
        <v>42552</v>
      </c>
      <c r="B47" s="87">
        <v>6515.2580645161288</v>
      </c>
      <c r="C47" s="88">
        <v>5720.3609040909651</v>
      </c>
    </row>
    <row r="48" spans="1:3" ht="15" customHeight="1" x14ac:dyDescent="0.2">
      <c r="A48" s="78">
        <v>42583</v>
      </c>
      <c r="B48" s="87">
        <v>5626.4193548387093</v>
      </c>
      <c r="C48" s="88">
        <v>6001.2695062415032</v>
      </c>
    </row>
    <row r="49" spans="1:3" ht="15" customHeight="1" x14ac:dyDescent="0.2">
      <c r="A49" s="78">
        <v>42614</v>
      </c>
      <c r="B49" s="87">
        <v>6086.5666666666666</v>
      </c>
      <c r="C49" s="88">
        <v>6183.9146675318252</v>
      </c>
    </row>
    <row r="50" spans="1:3" ht="15" customHeight="1" x14ac:dyDescent="0.2">
      <c r="A50" s="78">
        <v>42644</v>
      </c>
      <c r="B50" s="87">
        <v>7068.9354838709678</v>
      </c>
      <c r="C50" s="88">
        <v>6349.1535564207143</v>
      </c>
    </row>
    <row r="51" spans="1:3" ht="15" customHeight="1" x14ac:dyDescent="0.2">
      <c r="A51" s="78">
        <v>42675</v>
      </c>
      <c r="B51" s="87">
        <v>7390.4333333333334</v>
      </c>
      <c r="C51" s="88">
        <v>6541.5809757755533</v>
      </c>
    </row>
    <row r="52" spans="1:3" ht="15" customHeight="1" x14ac:dyDescent="0.2">
      <c r="A52" s="79">
        <v>42705</v>
      </c>
      <c r="B52" s="87">
        <v>8671.5483870967746</v>
      </c>
      <c r="C52" s="88">
        <v>6703.3615313311093</v>
      </c>
    </row>
    <row r="53" spans="1:3" ht="15" customHeight="1" x14ac:dyDescent="0.2">
      <c r="A53" s="78">
        <v>42736</v>
      </c>
      <c r="B53" s="87">
        <v>9084.2580645161288</v>
      </c>
      <c r="C53" s="88">
        <v>6972.754004449388</v>
      </c>
    </row>
    <row r="54" spans="1:3" ht="15" customHeight="1" x14ac:dyDescent="0.2">
      <c r="A54" s="78">
        <v>42767</v>
      </c>
      <c r="B54" s="87">
        <v>7729.1428571428569</v>
      </c>
      <c r="C54" s="88">
        <v>7148.3615313311093</v>
      </c>
    </row>
    <row r="55" spans="1:3" ht="15" customHeight="1" x14ac:dyDescent="0.2">
      <c r="A55" s="78">
        <v>42795</v>
      </c>
      <c r="B55" s="87">
        <v>6496.5161290322585</v>
      </c>
      <c r="C55" s="88">
        <v>7134.1780337941636</v>
      </c>
    </row>
    <row r="56" spans="1:3" ht="15" customHeight="1" x14ac:dyDescent="0.2">
      <c r="A56" s="78">
        <v>42826</v>
      </c>
      <c r="B56" s="87">
        <v>6164.333333333333</v>
      </c>
      <c r="C56" s="88">
        <v>6960.9468509984627</v>
      </c>
    </row>
    <row r="57" spans="1:3" ht="15" customHeight="1" x14ac:dyDescent="0.2">
      <c r="A57" s="78">
        <v>42856</v>
      </c>
      <c r="B57" s="87">
        <v>6866.8387096774195</v>
      </c>
      <c r="C57" s="88">
        <v>6957.6357398873524</v>
      </c>
    </row>
    <row r="58" spans="1:3" ht="15" customHeight="1" x14ac:dyDescent="0.2">
      <c r="A58" s="78">
        <v>42887</v>
      </c>
      <c r="B58" s="87">
        <v>6164.833333333333</v>
      </c>
      <c r="C58" s="88">
        <v>6988.6653097798262</v>
      </c>
    </row>
    <row r="59" spans="1:3" ht="15" customHeight="1" x14ac:dyDescent="0.2">
      <c r="A59" s="78">
        <v>42917</v>
      </c>
      <c r="B59" s="87">
        <v>6457.4516129032254</v>
      </c>
      <c r="C59" s="88">
        <v>6988.7569764464924</v>
      </c>
    </row>
    <row r="60" spans="1:3" ht="15" customHeight="1" x14ac:dyDescent="0.2">
      <c r="A60" s="78">
        <v>42948</v>
      </c>
      <c r="B60" s="87">
        <v>6022.8064516129034</v>
      </c>
      <c r="C60" s="88">
        <v>6983.9397721454179</v>
      </c>
    </row>
    <row r="61" spans="1:3" ht="15" customHeight="1" x14ac:dyDescent="0.2">
      <c r="A61" s="78">
        <v>42979</v>
      </c>
      <c r="B61" s="87">
        <v>6634.2333333333336</v>
      </c>
      <c r="C61" s="88">
        <v>7016.972030209934</v>
      </c>
    </row>
    <row r="62" spans="1:3" ht="15" customHeight="1" x14ac:dyDescent="0.2">
      <c r="A62" s="78">
        <v>43009</v>
      </c>
      <c r="B62" s="87">
        <v>6632.322580645161</v>
      </c>
      <c r="C62" s="88">
        <v>7062.6109190988236</v>
      </c>
    </row>
    <row r="63" spans="1:3" ht="15" customHeight="1" x14ac:dyDescent="0.2">
      <c r="A63" s="78">
        <v>43040</v>
      </c>
      <c r="B63" s="87">
        <v>7402.7333333333336</v>
      </c>
      <c r="C63" s="88">
        <v>7026.2265104966727</v>
      </c>
    </row>
    <row r="64" spans="1:3" ht="15" customHeight="1" x14ac:dyDescent="0.2">
      <c r="A64" s="78">
        <v>43070</v>
      </c>
      <c r="B64" s="87">
        <v>9706.2258064516136</v>
      </c>
      <c r="C64" s="88">
        <v>7027.2515104966724</v>
      </c>
    </row>
    <row r="65" spans="1:3" ht="15" customHeight="1" x14ac:dyDescent="0.2">
      <c r="A65" s="78">
        <v>43101</v>
      </c>
      <c r="B65" s="87">
        <v>9484.8064516129034</v>
      </c>
      <c r="C65" s="88">
        <v>7113.4746287762418</v>
      </c>
    </row>
    <row r="66" spans="1:3" ht="15" customHeight="1" x14ac:dyDescent="0.2">
      <c r="A66" s="78">
        <v>43132</v>
      </c>
      <c r="B66" s="87">
        <v>9720.9642857142862</v>
      </c>
      <c r="C66" s="88">
        <v>7146.8536610343072</v>
      </c>
    </row>
    <row r="67" spans="1:3" ht="15" customHeight="1" x14ac:dyDescent="0.2">
      <c r="A67" s="78">
        <v>43160</v>
      </c>
      <c r="B67" s="87">
        <v>10168.774193548386</v>
      </c>
      <c r="C67" s="88">
        <v>7312.8387800819255</v>
      </c>
    </row>
    <row r="68" spans="1:3" ht="15" customHeight="1" x14ac:dyDescent="0.2">
      <c r="A68" s="78">
        <v>43191</v>
      </c>
      <c r="B68" s="87">
        <v>7558.8</v>
      </c>
      <c r="C68" s="88">
        <v>7618.8602854582687</v>
      </c>
    </row>
    <row r="69" spans="1:3" ht="15" customHeight="1" x14ac:dyDescent="0.2">
      <c r="A69" s="78">
        <v>43221</v>
      </c>
      <c r="B69" s="87">
        <v>6709.7419354838712</v>
      </c>
      <c r="C69" s="88">
        <v>7735.0658410138267</v>
      </c>
    </row>
    <row r="70" spans="1:3" ht="15" customHeight="1" x14ac:dyDescent="0.2">
      <c r="A70" s="78">
        <v>43252</v>
      </c>
      <c r="B70" s="87">
        <v>6447.2666666666664</v>
      </c>
      <c r="C70" s="88">
        <v>7721.974443164363</v>
      </c>
    </row>
    <row r="71" spans="1:3" ht="15" customHeight="1" x14ac:dyDescent="0.2">
      <c r="A71" s="78">
        <v>43282</v>
      </c>
      <c r="B71" s="87">
        <v>7510.4516129032254</v>
      </c>
      <c r="C71" s="88">
        <v>7745.5105542754727</v>
      </c>
    </row>
    <row r="72" spans="1:3" ht="15" customHeight="1" x14ac:dyDescent="0.2">
      <c r="A72" s="78">
        <v>43313</v>
      </c>
      <c r="B72" s="87">
        <v>6620.6129032258068</v>
      </c>
      <c r="C72" s="88">
        <v>7833.2605542754718</v>
      </c>
    </row>
    <row r="73" spans="1:3" ht="15" customHeight="1" x14ac:dyDescent="0.2">
      <c r="A73" s="78">
        <v>43344</v>
      </c>
      <c r="B73" s="87">
        <v>7391.8666666666668</v>
      </c>
      <c r="C73" s="88">
        <v>7883.0777585765491</v>
      </c>
    </row>
    <row r="74" spans="1:3" ht="15" customHeight="1" x14ac:dyDescent="0.2">
      <c r="A74" s="78">
        <v>43374</v>
      </c>
      <c r="B74" s="87">
        <v>7372.5806451612907</v>
      </c>
      <c r="C74" s="88">
        <v>7946.21386968766</v>
      </c>
    </row>
    <row r="75" spans="1:3" ht="15" customHeight="1" x14ac:dyDescent="0.2">
      <c r="A75" s="78">
        <v>43405</v>
      </c>
      <c r="B75" s="87">
        <v>8420.0666666666675</v>
      </c>
      <c r="C75" s="88">
        <v>8007.902041730671</v>
      </c>
    </row>
    <row r="76" spans="1:3" ht="15" customHeight="1" x14ac:dyDescent="0.2">
      <c r="A76" s="78">
        <v>43435</v>
      </c>
      <c r="B76" s="87">
        <v>8952.0645161290322</v>
      </c>
      <c r="C76" s="88">
        <v>8092.6798195084484</v>
      </c>
    </row>
    <row r="77" spans="1:3" ht="15" customHeight="1" x14ac:dyDescent="0.2">
      <c r="A77" s="78">
        <v>43466</v>
      </c>
      <c r="B77" s="87">
        <v>10667.612903225807</v>
      </c>
      <c r="C77" s="88">
        <v>8029.8330453149001</v>
      </c>
    </row>
    <row r="78" spans="1:3" ht="15" customHeight="1" x14ac:dyDescent="0.2">
      <c r="A78" s="78">
        <v>43497</v>
      </c>
      <c r="B78" s="87">
        <v>11013.857142857143</v>
      </c>
      <c r="C78" s="88">
        <v>8128.4002496159746</v>
      </c>
    </row>
    <row r="79" spans="1:3" ht="15" customHeight="1" x14ac:dyDescent="0.2">
      <c r="A79" s="78">
        <v>43525</v>
      </c>
      <c r="B79" s="87">
        <v>9366.4193548387102</v>
      </c>
      <c r="C79" s="88">
        <v>8236.1413210445462</v>
      </c>
    </row>
    <row r="80" spans="1:3" x14ac:dyDescent="0.2">
      <c r="A80" s="78">
        <v>43556</v>
      </c>
      <c r="B80" s="87">
        <v>9280.2000000000007</v>
      </c>
      <c r="C80" s="88">
        <v>8169.2784178187403</v>
      </c>
    </row>
    <row r="81" spans="1:11" x14ac:dyDescent="0.2">
      <c r="A81" s="78">
        <v>43586</v>
      </c>
      <c r="B81" s="354">
        <v>8390.6129032258068</v>
      </c>
      <c r="C81" s="355">
        <v>8312.7284178187401</v>
      </c>
    </row>
    <row r="82" spans="1:11" x14ac:dyDescent="0.2">
      <c r="A82" s="78">
        <v>43617</v>
      </c>
      <c r="B82" s="354">
        <v>8582.5666666666675</v>
      </c>
      <c r="C82" s="355">
        <v>8452.8009984639011</v>
      </c>
    </row>
    <row r="83" spans="1:11" x14ac:dyDescent="0.2">
      <c r="A83" s="78">
        <v>43647</v>
      </c>
      <c r="B83" s="354">
        <v>8848.5806451612898</v>
      </c>
      <c r="C83" s="355">
        <v>8630.7426651305686</v>
      </c>
    </row>
    <row r="84" spans="1:11" x14ac:dyDescent="0.2">
      <c r="A84" s="78">
        <v>43678</v>
      </c>
      <c r="B84" s="354">
        <v>8447.2258064516136</v>
      </c>
      <c r="C84" s="355">
        <v>8742.2534178187398</v>
      </c>
    </row>
    <row r="85" spans="1:11" x14ac:dyDescent="0.2">
      <c r="A85" s="78">
        <v>43709</v>
      </c>
      <c r="B85" s="354">
        <v>9382.4666666666672</v>
      </c>
      <c r="C85" s="355">
        <v>8894.4711597542246</v>
      </c>
    </row>
    <row r="86" spans="1:11" x14ac:dyDescent="0.2">
      <c r="A86" s="78">
        <v>43739</v>
      </c>
      <c r="B86" s="354">
        <v>10292.322580645161</v>
      </c>
      <c r="C86" s="355">
        <v>9060.3544930875578</v>
      </c>
    </row>
    <row r="87" spans="1:11" x14ac:dyDescent="0.2">
      <c r="A87" s="78">
        <v>43770</v>
      </c>
      <c r="B87" s="354">
        <v>11904.6</v>
      </c>
      <c r="C87" s="355">
        <v>9303.6663210445495</v>
      </c>
    </row>
    <row r="88" spans="1:11" x14ac:dyDescent="0.2">
      <c r="A88" s="78">
        <v>43800</v>
      </c>
      <c r="B88" s="354">
        <v>12728.709677419354</v>
      </c>
      <c r="C88" s="355">
        <v>9594.0440988223254</v>
      </c>
    </row>
    <row r="89" spans="1:11" x14ac:dyDescent="0.2">
      <c r="A89" s="78">
        <v>43831</v>
      </c>
      <c r="B89" s="354">
        <v>11208.161290322581</v>
      </c>
      <c r="C89" s="355">
        <v>9908.7645289298525</v>
      </c>
    </row>
    <row r="90" spans="1:11" x14ac:dyDescent="0.2">
      <c r="A90" s="78">
        <v>43862</v>
      </c>
      <c r="B90" s="354">
        <v>10498.379310344828</v>
      </c>
      <c r="C90" s="355">
        <v>9953.810227854583</v>
      </c>
    </row>
    <row r="91" spans="1:11" ht="13.5" thickBot="1" x14ac:dyDescent="0.25">
      <c r="A91" s="80">
        <v>43891</v>
      </c>
      <c r="B91" s="356">
        <v>6964.9354838709678</v>
      </c>
      <c r="C91" s="357">
        <v>9910.8537418118885</v>
      </c>
    </row>
    <row r="92" spans="1:11" x14ac:dyDescent="0.2">
      <c r="A92" s="358"/>
    </row>
    <row r="93" spans="1:11" s="39" customFormat="1" ht="14.25" customHeight="1" x14ac:dyDescent="0.2">
      <c r="A93" s="403" t="s">
        <v>436</v>
      </c>
      <c r="B93" s="403"/>
      <c r="C93" s="403"/>
      <c r="D93" s="403"/>
      <c r="E93" s="403"/>
      <c r="F93" s="403"/>
      <c r="G93" s="403"/>
      <c r="H93" s="188"/>
    </row>
    <row r="94" spans="1:11" s="39" customFormat="1" ht="28.5" customHeight="1" x14ac:dyDescent="0.2">
      <c r="A94" s="402" t="s">
        <v>499</v>
      </c>
      <c r="B94" s="414"/>
      <c r="C94" s="414"/>
      <c r="D94" s="414"/>
      <c r="E94" s="414"/>
      <c r="F94" s="414"/>
      <c r="G94" s="414"/>
      <c r="H94" s="90"/>
    </row>
    <row r="95" spans="1:11" s="39" customFormat="1" ht="14.45" customHeight="1" x14ac:dyDescent="0.2">
      <c r="A95" s="378"/>
      <c r="B95" s="379"/>
      <c r="C95" s="379"/>
      <c r="D95" s="379"/>
      <c r="E95" s="379"/>
      <c r="F95" s="379"/>
      <c r="G95" s="379"/>
      <c r="H95" s="90"/>
    </row>
    <row r="96" spans="1:11" ht="28.5" customHeight="1" x14ac:dyDescent="0.2">
      <c r="A96" s="418" t="s">
        <v>506</v>
      </c>
      <c r="B96" s="418"/>
      <c r="C96" s="418"/>
      <c r="D96" s="418"/>
      <c r="E96" s="418"/>
      <c r="F96" s="418"/>
      <c r="G96" s="418"/>
      <c r="H96" s="418"/>
      <c r="I96" s="418"/>
      <c r="J96" s="418"/>
      <c r="K96" s="418"/>
    </row>
    <row r="97" spans="1:18" ht="14.25" x14ac:dyDescent="0.2">
      <c r="A97" s="385" t="s">
        <v>504</v>
      </c>
      <c r="B97" s="99"/>
      <c r="C97" s="99"/>
      <c r="D97" s="99"/>
      <c r="E97" s="99"/>
      <c r="F97" s="99"/>
      <c r="G97" s="99"/>
      <c r="H97" s="99"/>
      <c r="I97" s="99"/>
      <c r="J97" s="99"/>
      <c r="K97" s="99"/>
    </row>
    <row r="98" spans="1:18" s="39" customFormat="1" ht="13.5" customHeight="1" x14ac:dyDescent="0.2">
      <c r="A98" s="27"/>
      <c r="B98" s="27"/>
      <c r="C98" s="27"/>
      <c r="D98" s="27"/>
      <c r="E98" s="27"/>
      <c r="F98" s="27"/>
      <c r="G98" s="27"/>
      <c r="H98" s="28"/>
    </row>
    <row r="99" spans="1:18" s="39" customFormat="1" ht="14.25" customHeight="1" thickBot="1" x14ac:dyDescent="0.25">
      <c r="A99" s="426" t="s">
        <v>1</v>
      </c>
      <c r="B99" s="426"/>
      <c r="C99" s="426"/>
      <c r="D99" s="426"/>
      <c r="E99" s="426"/>
      <c r="F99" s="426"/>
      <c r="G99" s="426"/>
      <c r="H99" s="187"/>
    </row>
    <row r="100" spans="1:18" s="39" customFormat="1" ht="14.25" customHeight="1" x14ac:dyDescent="0.2">
      <c r="A100" s="313" t="s">
        <v>428</v>
      </c>
      <c r="B100" s="313"/>
      <c r="C100" s="313"/>
      <c r="D100" s="313"/>
      <c r="E100" s="313"/>
      <c r="F100" s="313"/>
      <c r="G100" s="313"/>
      <c r="H100" s="184"/>
      <c r="I100" s="28"/>
      <c r="J100" s="28"/>
      <c r="K100" s="28"/>
      <c r="L100" s="28"/>
      <c r="M100" s="28"/>
      <c r="N100" s="28"/>
      <c r="O100" s="28"/>
      <c r="P100" s="28"/>
      <c r="Q100" s="28"/>
      <c r="R100" s="28"/>
    </row>
    <row r="101" spans="1:18" s="39" customFormat="1" ht="14.25" customHeight="1" x14ac:dyDescent="0.2">
      <c r="A101" s="425" t="s">
        <v>510</v>
      </c>
      <c r="B101" s="425"/>
      <c r="C101" s="425"/>
      <c r="D101" s="425"/>
      <c r="E101" s="425"/>
      <c r="F101" s="425"/>
      <c r="G101" s="425"/>
      <c r="H101" s="28"/>
    </row>
    <row r="102" spans="1:18" s="39" customFormat="1" ht="14.25" customHeight="1" x14ac:dyDescent="0.2">
      <c r="A102" s="423" t="s">
        <v>156</v>
      </c>
      <c r="B102" s="423"/>
      <c r="C102" s="423"/>
      <c r="D102" s="423"/>
      <c r="E102" s="423"/>
      <c r="F102" s="423"/>
      <c r="G102" s="423"/>
      <c r="H102" s="185"/>
    </row>
    <row r="103" spans="1:18" ht="15" customHeight="1" thickBot="1" x14ac:dyDescent="0.25">
      <c r="A103" s="424" t="s">
        <v>442</v>
      </c>
      <c r="B103" s="424"/>
      <c r="C103" s="424"/>
      <c r="D103" s="424"/>
      <c r="E103" s="424"/>
      <c r="F103" s="424"/>
      <c r="G103" s="424"/>
      <c r="H103" s="11"/>
      <c r="I103" s="39"/>
      <c r="J103" s="39"/>
      <c r="K103" s="39"/>
      <c r="L103" s="39"/>
      <c r="M103" s="39"/>
      <c r="N103" s="39"/>
      <c r="O103" s="39"/>
      <c r="P103" s="39"/>
      <c r="Q103" s="39"/>
      <c r="R103" s="39"/>
    </row>
    <row r="104" spans="1:18" ht="14.25" x14ac:dyDescent="0.2">
      <c r="A104" s="40"/>
      <c r="B104" s="41"/>
      <c r="C104" s="41"/>
      <c r="D104" s="41"/>
      <c r="E104" s="41"/>
      <c r="F104" s="41"/>
      <c r="G104" s="41"/>
      <c r="H104" s="91"/>
    </row>
    <row r="105" spans="1:18" ht="14.25" x14ac:dyDescent="0.2">
      <c r="A105" s="410" t="s">
        <v>157</v>
      </c>
      <c r="B105" s="410"/>
      <c r="C105" s="41"/>
      <c r="D105" s="41"/>
      <c r="E105" s="41"/>
      <c r="F105" s="41"/>
      <c r="G105" s="42"/>
      <c r="H105" s="39"/>
    </row>
    <row r="106" spans="1:18" ht="14.25" x14ac:dyDescent="0.2">
      <c r="A106" s="11"/>
      <c r="B106" s="41"/>
      <c r="C106" s="41"/>
      <c r="D106" s="41"/>
      <c r="E106" s="41"/>
      <c r="F106" s="41"/>
      <c r="G106" s="39"/>
      <c r="H106" s="39"/>
    </row>
  </sheetData>
  <mergeCells count="12">
    <mergeCell ref="A102:G102"/>
    <mergeCell ref="A103:G103"/>
    <mergeCell ref="A105:B105"/>
    <mergeCell ref="A101:G101"/>
    <mergeCell ref="A2:G2"/>
    <mergeCell ref="A3:G3"/>
    <mergeCell ref="A93:G93"/>
    <mergeCell ref="A94:G94"/>
    <mergeCell ref="A99:G99"/>
    <mergeCell ref="B6:C6"/>
    <mergeCell ref="A4:G4"/>
    <mergeCell ref="A96:K96"/>
  </mergeCells>
  <hyperlinks>
    <hyperlink ref="A105" location="Contents!A1" display="Return to Contents" xr:uid="{00000000-0004-0000-0700-000000000000}"/>
    <hyperlink ref="A102:F102" r:id="rId1" display="Contact via enquiries@NHSDigital.nhs.uk or 0300 303 5678" xr:uid="{00000000-0004-0000-0700-000002000000}"/>
    <hyperlink ref="A94" r:id="rId2" display="https://www.england.nhs.uk/statistics/statistical-work-areas/ae-waiting-times-and-activity/ae-attendances-and-emergency-admissions-2018-19/" xr:uid="{E8CD0AC2-85A4-4DE6-B352-CCF51AA6CFB6}"/>
    <hyperlink ref="A97" r:id="rId3" xr:uid="{EB446AC9-EA77-4C67-A2DB-641365D99F10}"/>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141"/>
  <sheetViews>
    <sheetView showGridLines="0" zoomScaleNormal="100" workbookViewId="0">
      <selection sqref="A1:C1"/>
    </sheetView>
  </sheetViews>
  <sheetFormatPr defaultColWidth="9.140625" defaultRowHeight="14.25" x14ac:dyDescent="0.2"/>
  <cols>
    <col min="1" max="1" width="9.140625" style="28"/>
    <col min="2" max="2" width="82.28515625" style="28" bestFit="1" customWidth="1"/>
    <col min="3" max="6" width="18.5703125" style="28" customWidth="1"/>
    <col min="7" max="7" width="12.85546875" style="28" customWidth="1"/>
    <col min="8" max="16384" width="9.140625" style="28"/>
  </cols>
  <sheetData>
    <row r="1" spans="1:7" ht="15" customHeight="1" x14ac:dyDescent="0.2"/>
    <row r="2" spans="1:7" ht="48.75" customHeight="1" x14ac:dyDescent="0.2">
      <c r="A2" s="404" t="s">
        <v>508</v>
      </c>
      <c r="B2" s="404"/>
      <c r="C2" s="404"/>
      <c r="D2" s="404"/>
      <c r="E2" s="404"/>
      <c r="F2" s="404"/>
      <c r="G2" s="404"/>
    </row>
    <row r="3" spans="1:7" ht="30" customHeight="1" x14ac:dyDescent="0.2">
      <c r="A3" s="413" t="s">
        <v>276</v>
      </c>
      <c r="B3" s="413"/>
      <c r="C3" s="413"/>
      <c r="D3" s="413"/>
      <c r="E3" s="413"/>
      <c r="F3" s="413"/>
      <c r="G3" s="413"/>
    </row>
    <row r="4" spans="1:7" ht="15" customHeight="1" x14ac:dyDescent="0.2">
      <c r="A4" s="413" t="s">
        <v>432</v>
      </c>
      <c r="B4" s="413"/>
      <c r="C4" s="315"/>
      <c r="D4" s="315"/>
      <c r="E4" s="384"/>
      <c r="F4" s="315"/>
      <c r="G4" s="315"/>
    </row>
    <row r="5" spans="1:7" ht="13.5" customHeight="1" thickBot="1" x14ac:dyDescent="0.25">
      <c r="C5" s="212"/>
      <c r="D5" s="212"/>
      <c r="E5" s="212"/>
    </row>
    <row r="6" spans="1:7" ht="41.25" customHeight="1" thickBot="1" x14ac:dyDescent="0.25">
      <c r="A6" s="13" t="s">
        <v>176</v>
      </c>
      <c r="B6" s="14" t="s">
        <v>177</v>
      </c>
      <c r="C6" s="8" t="s">
        <v>178</v>
      </c>
      <c r="D6" s="9" t="s">
        <v>238</v>
      </c>
      <c r="E6" s="387" t="s">
        <v>507</v>
      </c>
      <c r="F6" s="10" t="s">
        <v>237</v>
      </c>
    </row>
    <row r="7" spans="1:7" ht="15" customHeight="1" x14ac:dyDescent="0.2">
      <c r="A7" s="279" t="s">
        <v>245</v>
      </c>
      <c r="B7" s="280" t="s">
        <v>314</v>
      </c>
      <c r="C7" s="281">
        <v>262256</v>
      </c>
      <c r="D7" s="282">
        <v>190769</v>
      </c>
      <c r="E7" s="388">
        <v>71487</v>
      </c>
      <c r="F7" s="283">
        <v>0.7274151973644073</v>
      </c>
    </row>
    <row r="8" spans="1:7" ht="15" customHeight="1" x14ac:dyDescent="0.2">
      <c r="A8" s="284" t="s">
        <v>489</v>
      </c>
      <c r="B8" s="285" t="s">
        <v>490</v>
      </c>
      <c r="C8" s="286">
        <v>161346</v>
      </c>
      <c r="D8" s="287">
        <v>122383</v>
      </c>
      <c r="E8" s="389">
        <v>38963</v>
      </c>
      <c r="F8" s="288">
        <v>0.75851276139476653</v>
      </c>
    </row>
    <row r="9" spans="1:7" ht="15" customHeight="1" x14ac:dyDescent="0.2">
      <c r="A9" s="284" t="s">
        <v>184</v>
      </c>
      <c r="B9" s="285" t="s">
        <v>315</v>
      </c>
      <c r="C9" s="286">
        <v>41429</v>
      </c>
      <c r="D9" s="287">
        <v>27231</v>
      </c>
      <c r="E9" s="389">
        <v>14198</v>
      </c>
      <c r="F9" s="288">
        <v>0.65729320041516814</v>
      </c>
    </row>
    <row r="10" spans="1:7" ht="15" customHeight="1" x14ac:dyDescent="0.2">
      <c r="A10" s="284" t="s">
        <v>56</v>
      </c>
      <c r="B10" s="285" t="s">
        <v>316</v>
      </c>
      <c r="C10" s="286">
        <v>307621</v>
      </c>
      <c r="D10" s="287">
        <v>228805</v>
      </c>
      <c r="E10" s="389">
        <v>78816</v>
      </c>
      <c r="F10" s="288">
        <v>0.74378862301338333</v>
      </c>
    </row>
    <row r="11" spans="1:7" ht="15" customHeight="1" x14ac:dyDescent="0.2">
      <c r="A11" s="284" t="s">
        <v>91</v>
      </c>
      <c r="B11" s="285" t="s">
        <v>317</v>
      </c>
      <c r="C11" s="286">
        <v>143200</v>
      </c>
      <c r="D11" s="287">
        <v>98644</v>
      </c>
      <c r="E11" s="389">
        <v>44556</v>
      </c>
      <c r="F11" s="288">
        <v>0.68885474860335194</v>
      </c>
    </row>
    <row r="12" spans="1:7" ht="15" customHeight="1" x14ac:dyDescent="0.2">
      <c r="A12" s="284" t="s">
        <v>110</v>
      </c>
      <c r="B12" s="285" t="s">
        <v>318</v>
      </c>
      <c r="C12" s="286">
        <v>74531</v>
      </c>
      <c r="D12" s="287">
        <v>62424</v>
      </c>
      <c r="E12" s="389">
        <v>12107</v>
      </c>
      <c r="F12" s="288">
        <v>0.83755752639841141</v>
      </c>
    </row>
    <row r="13" spans="1:7" ht="15" customHeight="1" x14ac:dyDescent="0.2">
      <c r="A13" s="284" t="s">
        <v>148</v>
      </c>
      <c r="B13" s="285" t="s">
        <v>319</v>
      </c>
      <c r="C13" s="286">
        <v>50228</v>
      </c>
      <c r="D13" s="287">
        <v>37389</v>
      </c>
      <c r="E13" s="389">
        <v>12839</v>
      </c>
      <c r="F13" s="288">
        <v>0.74438560165644663</v>
      </c>
    </row>
    <row r="14" spans="1:7" ht="15" customHeight="1" x14ac:dyDescent="0.2">
      <c r="A14" s="284" t="s">
        <v>152</v>
      </c>
      <c r="B14" s="285" t="s">
        <v>320</v>
      </c>
      <c r="C14" s="286">
        <v>58228</v>
      </c>
      <c r="D14" s="287">
        <v>55151</v>
      </c>
      <c r="E14" s="389">
        <v>3077</v>
      </c>
      <c r="F14" s="288">
        <v>0.9471560074191111</v>
      </c>
    </row>
    <row r="15" spans="1:7" ht="15" customHeight="1" x14ac:dyDescent="0.2">
      <c r="A15" s="284" t="s">
        <v>140</v>
      </c>
      <c r="B15" s="285" t="s">
        <v>321</v>
      </c>
      <c r="C15" s="286">
        <v>117998</v>
      </c>
      <c r="D15" s="287">
        <v>90568</v>
      </c>
      <c r="E15" s="389">
        <v>27430</v>
      </c>
      <c r="F15" s="288">
        <v>0.76753843285479417</v>
      </c>
    </row>
    <row r="16" spans="1:7" ht="15" customHeight="1" x14ac:dyDescent="0.2">
      <c r="A16" s="284" t="s">
        <v>118</v>
      </c>
      <c r="B16" s="285" t="s">
        <v>322</v>
      </c>
      <c r="C16" s="286">
        <v>73829</v>
      </c>
      <c r="D16" s="287">
        <v>52250</v>
      </c>
      <c r="E16" s="389">
        <v>21579</v>
      </c>
      <c r="F16" s="288">
        <v>0.70771647997399401</v>
      </c>
    </row>
    <row r="17" spans="1:6" ht="15" customHeight="1" x14ac:dyDescent="0.2">
      <c r="A17" s="284" t="s">
        <v>62</v>
      </c>
      <c r="B17" s="285" t="s">
        <v>323</v>
      </c>
      <c r="C17" s="286">
        <v>122566</v>
      </c>
      <c r="D17" s="287">
        <v>90445</v>
      </c>
      <c r="E17" s="389">
        <v>32121</v>
      </c>
      <c r="F17" s="288">
        <v>0.73792895256433266</v>
      </c>
    </row>
    <row r="18" spans="1:6" ht="15" customHeight="1" x14ac:dyDescent="0.2">
      <c r="A18" s="284" t="s">
        <v>121</v>
      </c>
      <c r="B18" s="285" t="s">
        <v>324</v>
      </c>
      <c r="C18" s="286">
        <v>83020</v>
      </c>
      <c r="D18" s="287">
        <v>63385</v>
      </c>
      <c r="E18" s="389">
        <v>19635</v>
      </c>
      <c r="F18" s="288">
        <v>0.76349072512647553</v>
      </c>
    </row>
    <row r="19" spans="1:6" ht="15" customHeight="1" x14ac:dyDescent="0.2">
      <c r="A19" s="284" t="s">
        <v>108</v>
      </c>
      <c r="B19" s="285" t="s">
        <v>325</v>
      </c>
      <c r="C19" s="286">
        <v>245032</v>
      </c>
      <c r="D19" s="287">
        <v>195613</v>
      </c>
      <c r="E19" s="389">
        <v>49419</v>
      </c>
      <c r="F19" s="288">
        <v>0.79831613830030368</v>
      </c>
    </row>
    <row r="20" spans="1:6" ht="15" customHeight="1" x14ac:dyDescent="0.2">
      <c r="A20" s="284" t="s">
        <v>99</v>
      </c>
      <c r="B20" s="285" t="s">
        <v>326</v>
      </c>
      <c r="C20" s="286">
        <v>104540</v>
      </c>
      <c r="D20" s="287">
        <v>75678</v>
      </c>
      <c r="E20" s="389">
        <v>28862</v>
      </c>
      <c r="F20" s="288">
        <v>0.7239142911804094</v>
      </c>
    </row>
    <row r="21" spans="1:6" ht="15" customHeight="1" x14ac:dyDescent="0.2">
      <c r="A21" s="284" t="s">
        <v>130</v>
      </c>
      <c r="B21" s="285" t="s">
        <v>327</v>
      </c>
      <c r="C21" s="286">
        <v>69671</v>
      </c>
      <c r="D21" s="287">
        <v>42110</v>
      </c>
      <c r="E21" s="389">
        <v>27561</v>
      </c>
      <c r="F21" s="288">
        <v>0.60441216575045575</v>
      </c>
    </row>
    <row r="22" spans="1:6" ht="15" customHeight="1" x14ac:dyDescent="0.2">
      <c r="A22" s="284" t="s">
        <v>87</v>
      </c>
      <c r="B22" s="285" t="s">
        <v>328</v>
      </c>
      <c r="C22" s="286">
        <v>85032</v>
      </c>
      <c r="D22" s="287">
        <v>67205</v>
      </c>
      <c r="E22" s="389">
        <v>17827</v>
      </c>
      <c r="F22" s="288">
        <v>0.79034951547652643</v>
      </c>
    </row>
    <row r="23" spans="1:6" ht="15" customHeight="1" x14ac:dyDescent="0.2">
      <c r="A23" s="284" t="s">
        <v>128</v>
      </c>
      <c r="B23" s="285" t="s">
        <v>329</v>
      </c>
      <c r="C23" s="286">
        <v>75216</v>
      </c>
      <c r="D23" s="287">
        <v>58885</v>
      </c>
      <c r="E23" s="389">
        <v>16331</v>
      </c>
      <c r="F23" s="288">
        <v>0.78287864284194852</v>
      </c>
    </row>
    <row r="24" spans="1:6" ht="15" customHeight="1" x14ac:dyDescent="0.2">
      <c r="A24" s="284" t="s">
        <v>73</v>
      </c>
      <c r="B24" s="285" t="s">
        <v>330</v>
      </c>
      <c r="C24" s="286">
        <v>49267</v>
      </c>
      <c r="D24" s="287">
        <v>40855</v>
      </c>
      <c r="E24" s="389">
        <v>8412</v>
      </c>
      <c r="F24" s="288">
        <v>0.82925690624555992</v>
      </c>
    </row>
    <row r="25" spans="1:6" ht="15" customHeight="1" x14ac:dyDescent="0.2">
      <c r="A25" s="284" t="s">
        <v>145</v>
      </c>
      <c r="B25" s="285" t="s">
        <v>331</v>
      </c>
      <c r="C25" s="286">
        <v>83536</v>
      </c>
      <c r="D25" s="287">
        <v>59128</v>
      </c>
      <c r="E25" s="389">
        <v>24408</v>
      </c>
      <c r="F25" s="288">
        <v>0.70781459490519061</v>
      </c>
    </row>
    <row r="26" spans="1:6" ht="15" customHeight="1" x14ac:dyDescent="0.2">
      <c r="A26" s="284" t="s">
        <v>149</v>
      </c>
      <c r="B26" s="285" t="s">
        <v>332</v>
      </c>
      <c r="C26" s="286">
        <v>88331</v>
      </c>
      <c r="D26" s="287">
        <v>56662</v>
      </c>
      <c r="E26" s="389">
        <v>31669</v>
      </c>
      <c r="F26" s="288">
        <v>0.64147354835788117</v>
      </c>
    </row>
    <row r="27" spans="1:6" ht="15" customHeight="1" x14ac:dyDescent="0.2">
      <c r="A27" s="284" t="s">
        <v>124</v>
      </c>
      <c r="B27" s="285" t="s">
        <v>491</v>
      </c>
      <c r="C27" s="286">
        <v>119157</v>
      </c>
      <c r="D27" s="287">
        <v>83200</v>
      </c>
      <c r="E27" s="389">
        <v>35957</v>
      </c>
      <c r="F27" s="288">
        <v>0.6982384585043262</v>
      </c>
    </row>
    <row r="28" spans="1:6" ht="15" customHeight="1" x14ac:dyDescent="0.2">
      <c r="A28" s="284" t="s">
        <v>52</v>
      </c>
      <c r="B28" s="285" t="s">
        <v>333</v>
      </c>
      <c r="C28" s="286">
        <v>60710</v>
      </c>
      <c r="D28" s="287">
        <v>53767</v>
      </c>
      <c r="E28" s="389">
        <v>6943</v>
      </c>
      <c r="F28" s="288">
        <v>0.88563663317410646</v>
      </c>
    </row>
    <row r="29" spans="1:6" ht="15" customHeight="1" x14ac:dyDescent="0.2">
      <c r="A29" s="284" t="s">
        <v>94</v>
      </c>
      <c r="B29" s="285" t="s">
        <v>334</v>
      </c>
      <c r="C29" s="286">
        <v>71616</v>
      </c>
      <c r="D29" s="287">
        <v>49155</v>
      </c>
      <c r="E29" s="389">
        <v>22461</v>
      </c>
      <c r="F29" s="288">
        <v>0.68636896782841827</v>
      </c>
    </row>
    <row r="30" spans="1:6" ht="15" customHeight="1" x14ac:dyDescent="0.2">
      <c r="A30" s="284" t="s">
        <v>101</v>
      </c>
      <c r="B30" s="285" t="s">
        <v>335</v>
      </c>
      <c r="C30" s="286">
        <v>47653</v>
      </c>
      <c r="D30" s="287">
        <v>38866</v>
      </c>
      <c r="E30" s="389">
        <v>8787</v>
      </c>
      <c r="F30" s="288">
        <v>0.81560447401003089</v>
      </c>
    </row>
    <row r="31" spans="1:6" ht="15" customHeight="1" x14ac:dyDescent="0.2">
      <c r="A31" s="284" t="s">
        <v>58</v>
      </c>
      <c r="B31" s="285" t="s">
        <v>336</v>
      </c>
      <c r="C31" s="286">
        <v>70163</v>
      </c>
      <c r="D31" s="287">
        <v>57845</v>
      </c>
      <c r="E31" s="389">
        <v>12318</v>
      </c>
      <c r="F31" s="288">
        <v>0.82443738152587542</v>
      </c>
    </row>
    <row r="32" spans="1:6" ht="15" customHeight="1" x14ac:dyDescent="0.2">
      <c r="A32" s="284" t="s">
        <v>153</v>
      </c>
      <c r="B32" s="285" t="s">
        <v>337</v>
      </c>
      <c r="C32" s="286">
        <v>125566</v>
      </c>
      <c r="D32" s="287">
        <v>82702</v>
      </c>
      <c r="E32" s="389">
        <v>42864</v>
      </c>
      <c r="F32" s="288">
        <v>0.65863370657662101</v>
      </c>
    </row>
    <row r="33" spans="1:6" ht="15" customHeight="1" x14ac:dyDescent="0.2">
      <c r="A33" s="284" t="s">
        <v>82</v>
      </c>
      <c r="B33" s="285" t="s">
        <v>338</v>
      </c>
      <c r="C33" s="286">
        <v>51617</v>
      </c>
      <c r="D33" s="287">
        <v>46115</v>
      </c>
      <c r="E33" s="389">
        <v>5502</v>
      </c>
      <c r="F33" s="288">
        <v>0.89340721080264252</v>
      </c>
    </row>
    <row r="34" spans="1:6" ht="15" customHeight="1" x14ac:dyDescent="0.2">
      <c r="A34" s="284" t="s">
        <v>51</v>
      </c>
      <c r="B34" s="285" t="s">
        <v>339</v>
      </c>
      <c r="C34" s="286">
        <v>61839</v>
      </c>
      <c r="D34" s="287">
        <v>51933</v>
      </c>
      <c r="E34" s="389">
        <v>9906</v>
      </c>
      <c r="F34" s="288">
        <v>0.8398098287488478</v>
      </c>
    </row>
    <row r="35" spans="1:6" ht="15" customHeight="1" x14ac:dyDescent="0.2">
      <c r="A35" s="284" t="s">
        <v>114</v>
      </c>
      <c r="B35" s="285" t="s">
        <v>340</v>
      </c>
      <c r="C35" s="286">
        <v>56894</v>
      </c>
      <c r="D35" s="287">
        <v>55201</v>
      </c>
      <c r="E35" s="389">
        <v>1693</v>
      </c>
      <c r="F35" s="288">
        <v>0.97024290786374656</v>
      </c>
    </row>
    <row r="36" spans="1:6" ht="15" customHeight="1" x14ac:dyDescent="0.2">
      <c r="A36" s="284" t="s">
        <v>133</v>
      </c>
      <c r="B36" s="285" t="s">
        <v>341</v>
      </c>
      <c r="C36" s="286">
        <v>70380</v>
      </c>
      <c r="D36" s="287">
        <v>55784</v>
      </c>
      <c r="E36" s="389">
        <v>14596</v>
      </c>
      <c r="F36" s="288">
        <v>0.7926115373685706</v>
      </c>
    </row>
    <row r="37" spans="1:6" ht="15" customHeight="1" x14ac:dyDescent="0.2">
      <c r="A37" s="284" t="s">
        <v>111</v>
      </c>
      <c r="B37" s="285" t="s">
        <v>342</v>
      </c>
      <c r="C37" s="286">
        <v>76293</v>
      </c>
      <c r="D37" s="287">
        <v>51793</v>
      </c>
      <c r="E37" s="389">
        <v>24500</v>
      </c>
      <c r="F37" s="288">
        <v>0.6788696210661529</v>
      </c>
    </row>
    <row r="38" spans="1:6" ht="15" customHeight="1" x14ac:dyDescent="0.2">
      <c r="A38" s="284" t="s">
        <v>96</v>
      </c>
      <c r="B38" s="285" t="s">
        <v>343</v>
      </c>
      <c r="C38" s="286">
        <v>90273</v>
      </c>
      <c r="D38" s="287">
        <v>73850</v>
      </c>
      <c r="E38" s="389">
        <v>16423</v>
      </c>
      <c r="F38" s="288">
        <v>0.81807406422739914</v>
      </c>
    </row>
    <row r="39" spans="1:6" ht="15" customHeight="1" x14ac:dyDescent="0.2">
      <c r="A39" s="284" t="s">
        <v>57</v>
      </c>
      <c r="B39" s="285" t="s">
        <v>344</v>
      </c>
      <c r="C39" s="286">
        <v>135821</v>
      </c>
      <c r="D39" s="287">
        <v>121369</v>
      </c>
      <c r="E39" s="389">
        <v>14452</v>
      </c>
      <c r="F39" s="288">
        <v>0.89359524668497503</v>
      </c>
    </row>
    <row r="40" spans="1:6" ht="15" customHeight="1" x14ac:dyDescent="0.2">
      <c r="A40" s="284" t="s">
        <v>67</v>
      </c>
      <c r="B40" s="285" t="s">
        <v>345</v>
      </c>
      <c r="C40" s="286">
        <v>182390</v>
      </c>
      <c r="D40" s="287">
        <v>150995</v>
      </c>
      <c r="E40" s="389">
        <v>31395</v>
      </c>
      <c r="F40" s="288">
        <v>0.82786885245901642</v>
      </c>
    </row>
    <row r="41" spans="1:6" ht="15" customHeight="1" x14ac:dyDescent="0.2">
      <c r="A41" s="284" t="s">
        <v>134</v>
      </c>
      <c r="B41" s="285" t="s">
        <v>346</v>
      </c>
      <c r="C41" s="286">
        <v>81487</v>
      </c>
      <c r="D41" s="287">
        <v>62521</v>
      </c>
      <c r="E41" s="389">
        <v>18966</v>
      </c>
      <c r="F41" s="288">
        <v>0.76725121798569096</v>
      </c>
    </row>
    <row r="42" spans="1:6" ht="15" customHeight="1" x14ac:dyDescent="0.2">
      <c r="A42" s="284" t="s">
        <v>187</v>
      </c>
      <c r="B42" s="285" t="s">
        <v>347</v>
      </c>
      <c r="C42" s="286">
        <v>75856</v>
      </c>
      <c r="D42" s="287">
        <v>54026</v>
      </c>
      <c r="E42" s="389">
        <v>21830</v>
      </c>
      <c r="F42" s="288">
        <v>0.71221788652183082</v>
      </c>
    </row>
    <row r="43" spans="1:6" ht="15" customHeight="1" x14ac:dyDescent="0.2">
      <c r="A43" s="284" t="s">
        <v>50</v>
      </c>
      <c r="B43" s="285" t="s">
        <v>492</v>
      </c>
      <c r="C43" s="286">
        <v>147913</v>
      </c>
      <c r="D43" s="287">
        <v>105220</v>
      </c>
      <c r="E43" s="389">
        <v>42693</v>
      </c>
      <c r="F43" s="288">
        <v>0.71136411268786381</v>
      </c>
    </row>
    <row r="44" spans="1:6" ht="15" customHeight="1" x14ac:dyDescent="0.2">
      <c r="A44" s="284" t="s">
        <v>54</v>
      </c>
      <c r="B44" s="285" t="s">
        <v>348</v>
      </c>
      <c r="C44" s="286">
        <v>179757</v>
      </c>
      <c r="D44" s="287">
        <v>104333</v>
      </c>
      <c r="E44" s="389">
        <v>75424</v>
      </c>
      <c r="F44" s="288">
        <v>0.58041133307743231</v>
      </c>
    </row>
    <row r="45" spans="1:6" ht="15" customHeight="1" x14ac:dyDescent="0.2">
      <c r="A45" s="284" t="s">
        <v>55</v>
      </c>
      <c r="B45" s="285" t="s">
        <v>349</v>
      </c>
      <c r="C45" s="286">
        <v>101927</v>
      </c>
      <c r="D45" s="287">
        <v>93273</v>
      </c>
      <c r="E45" s="389">
        <v>8654</v>
      </c>
      <c r="F45" s="288">
        <v>0.91509609818791882</v>
      </c>
    </row>
    <row r="46" spans="1:6" ht="15" customHeight="1" x14ac:dyDescent="0.2">
      <c r="A46" s="284" t="s">
        <v>66</v>
      </c>
      <c r="B46" s="285" t="s">
        <v>350</v>
      </c>
      <c r="C46" s="286">
        <v>74282</v>
      </c>
      <c r="D46" s="287">
        <v>53524</v>
      </c>
      <c r="E46" s="389">
        <v>20758</v>
      </c>
      <c r="F46" s="288">
        <v>0.72055141218599394</v>
      </c>
    </row>
    <row r="47" spans="1:6" ht="15" customHeight="1" x14ac:dyDescent="0.2">
      <c r="A47" s="284" t="s">
        <v>105</v>
      </c>
      <c r="B47" s="285" t="s">
        <v>351</v>
      </c>
      <c r="C47" s="286">
        <v>158552</v>
      </c>
      <c r="D47" s="287">
        <v>118639</v>
      </c>
      <c r="E47" s="389">
        <v>39913</v>
      </c>
      <c r="F47" s="288">
        <v>0.74826555325697564</v>
      </c>
    </row>
    <row r="48" spans="1:6" ht="15" customHeight="1" x14ac:dyDescent="0.2">
      <c r="A48" s="284" t="s">
        <v>85</v>
      </c>
      <c r="B48" s="285" t="s">
        <v>352</v>
      </c>
      <c r="C48" s="286">
        <v>78277</v>
      </c>
      <c r="D48" s="287">
        <v>65830</v>
      </c>
      <c r="E48" s="389">
        <v>12447</v>
      </c>
      <c r="F48" s="288">
        <v>0.84098777418654269</v>
      </c>
    </row>
    <row r="49" spans="1:6" ht="15" customHeight="1" x14ac:dyDescent="0.2">
      <c r="A49" s="284" t="s">
        <v>107</v>
      </c>
      <c r="B49" s="285" t="s">
        <v>353</v>
      </c>
      <c r="C49" s="286">
        <v>92411</v>
      </c>
      <c r="D49" s="287">
        <v>70685</v>
      </c>
      <c r="E49" s="389">
        <v>21726</v>
      </c>
      <c r="F49" s="288">
        <v>0.76489811818939302</v>
      </c>
    </row>
    <row r="50" spans="1:6" ht="15" customHeight="1" x14ac:dyDescent="0.2">
      <c r="A50" s="284" t="s">
        <v>139</v>
      </c>
      <c r="B50" s="285" t="s">
        <v>354</v>
      </c>
      <c r="C50" s="286">
        <v>116232</v>
      </c>
      <c r="D50" s="287">
        <v>88297</v>
      </c>
      <c r="E50" s="389">
        <v>27935</v>
      </c>
      <c r="F50" s="288">
        <v>0.7596617110606374</v>
      </c>
    </row>
    <row r="51" spans="1:6" ht="15" customHeight="1" x14ac:dyDescent="0.2">
      <c r="A51" s="284" t="s">
        <v>115</v>
      </c>
      <c r="B51" s="285" t="s">
        <v>355</v>
      </c>
      <c r="C51" s="286">
        <v>109204</v>
      </c>
      <c r="D51" s="287">
        <v>73208</v>
      </c>
      <c r="E51" s="389">
        <v>35996</v>
      </c>
      <c r="F51" s="288">
        <v>0.67037837441851944</v>
      </c>
    </row>
    <row r="52" spans="1:6" ht="15" customHeight="1" x14ac:dyDescent="0.2">
      <c r="A52" s="284" t="s">
        <v>106</v>
      </c>
      <c r="B52" s="285" t="s">
        <v>356</v>
      </c>
      <c r="C52" s="286">
        <v>118212</v>
      </c>
      <c r="D52" s="287">
        <v>96439</v>
      </c>
      <c r="E52" s="389">
        <v>21773</v>
      </c>
      <c r="F52" s="288">
        <v>0.81581396135756101</v>
      </c>
    </row>
    <row r="53" spans="1:6" ht="15" customHeight="1" x14ac:dyDescent="0.2">
      <c r="A53" s="284" t="s">
        <v>182</v>
      </c>
      <c r="B53" s="285" t="s">
        <v>357</v>
      </c>
      <c r="C53" s="286">
        <v>159974</v>
      </c>
      <c r="D53" s="287">
        <v>126898</v>
      </c>
      <c r="E53" s="389">
        <v>33076</v>
      </c>
      <c r="F53" s="288">
        <v>0.79324140172778079</v>
      </c>
    </row>
    <row r="54" spans="1:6" ht="15" customHeight="1" x14ac:dyDescent="0.2">
      <c r="A54" s="284" t="s">
        <v>90</v>
      </c>
      <c r="B54" s="285" t="s">
        <v>358</v>
      </c>
      <c r="C54" s="286">
        <v>160242</v>
      </c>
      <c r="D54" s="287">
        <v>112021</v>
      </c>
      <c r="E54" s="389">
        <v>48221</v>
      </c>
      <c r="F54" s="288">
        <v>0.69907390072515319</v>
      </c>
    </row>
    <row r="55" spans="1:6" ht="15" customHeight="1" x14ac:dyDescent="0.2">
      <c r="A55" s="284" t="s">
        <v>70</v>
      </c>
      <c r="B55" s="285" t="s">
        <v>359</v>
      </c>
      <c r="C55" s="286">
        <v>87420</v>
      </c>
      <c r="D55" s="287">
        <v>50455</v>
      </c>
      <c r="E55" s="389">
        <v>36965</v>
      </c>
      <c r="F55" s="288">
        <v>0.57715625714939378</v>
      </c>
    </row>
    <row r="56" spans="1:6" ht="15" customHeight="1" x14ac:dyDescent="0.2">
      <c r="A56" s="284" t="s">
        <v>123</v>
      </c>
      <c r="B56" s="285" t="s">
        <v>360</v>
      </c>
      <c r="C56" s="286">
        <v>155648</v>
      </c>
      <c r="D56" s="287">
        <v>126752</v>
      </c>
      <c r="E56" s="389">
        <v>28896</v>
      </c>
      <c r="F56" s="288">
        <v>0.81435032894736847</v>
      </c>
    </row>
    <row r="57" spans="1:6" ht="15" customHeight="1" x14ac:dyDescent="0.2">
      <c r="A57" s="284" t="s">
        <v>120</v>
      </c>
      <c r="B57" s="285" t="s">
        <v>361</v>
      </c>
      <c r="C57" s="286">
        <v>73032</v>
      </c>
      <c r="D57" s="287">
        <v>64200</v>
      </c>
      <c r="E57" s="389">
        <v>8832</v>
      </c>
      <c r="F57" s="288">
        <v>0.87906671048307594</v>
      </c>
    </row>
    <row r="58" spans="1:6" ht="15" customHeight="1" x14ac:dyDescent="0.2">
      <c r="A58" s="284" t="s">
        <v>144</v>
      </c>
      <c r="B58" s="285" t="s">
        <v>362</v>
      </c>
      <c r="C58" s="286">
        <v>179732</v>
      </c>
      <c r="D58" s="287">
        <v>122129</v>
      </c>
      <c r="E58" s="389">
        <v>57603</v>
      </c>
      <c r="F58" s="288">
        <v>0.67950615360648081</v>
      </c>
    </row>
    <row r="59" spans="1:6" ht="15" customHeight="1" x14ac:dyDescent="0.2">
      <c r="A59" s="284" t="s">
        <v>186</v>
      </c>
      <c r="B59" s="285" t="s">
        <v>363</v>
      </c>
      <c r="C59" s="286">
        <v>148561</v>
      </c>
      <c r="D59" s="287">
        <v>115785</v>
      </c>
      <c r="E59" s="389">
        <v>32776</v>
      </c>
      <c r="F59" s="288">
        <v>0.77937682164228839</v>
      </c>
    </row>
    <row r="60" spans="1:6" ht="15" customHeight="1" x14ac:dyDescent="0.2">
      <c r="A60" s="284" t="s">
        <v>75</v>
      </c>
      <c r="B60" s="285" t="s">
        <v>364</v>
      </c>
      <c r="C60" s="286">
        <v>48718</v>
      </c>
      <c r="D60" s="287">
        <v>36492</v>
      </c>
      <c r="E60" s="389">
        <v>12226</v>
      </c>
      <c r="F60" s="288">
        <v>0.74904552732049756</v>
      </c>
    </row>
    <row r="61" spans="1:6" ht="15" customHeight="1" x14ac:dyDescent="0.2">
      <c r="A61" s="284" t="s">
        <v>68</v>
      </c>
      <c r="B61" s="285" t="s">
        <v>365</v>
      </c>
      <c r="C61" s="286">
        <v>70468</v>
      </c>
      <c r="D61" s="287">
        <v>56237</v>
      </c>
      <c r="E61" s="389">
        <v>14231</v>
      </c>
      <c r="F61" s="288">
        <v>0.79805017880456375</v>
      </c>
    </row>
    <row r="62" spans="1:6" ht="15" customHeight="1" x14ac:dyDescent="0.2">
      <c r="A62" s="284" t="s">
        <v>86</v>
      </c>
      <c r="B62" s="285" t="s">
        <v>366</v>
      </c>
      <c r="C62" s="286">
        <v>179106</v>
      </c>
      <c r="D62" s="287">
        <v>108434</v>
      </c>
      <c r="E62" s="389">
        <v>70672</v>
      </c>
      <c r="F62" s="288">
        <v>0.60541802061349148</v>
      </c>
    </row>
    <row r="63" spans="1:6" ht="15" customHeight="1" x14ac:dyDescent="0.2">
      <c r="A63" s="284" t="s">
        <v>116</v>
      </c>
      <c r="B63" s="285" t="s">
        <v>367</v>
      </c>
      <c r="C63" s="286">
        <v>110182</v>
      </c>
      <c r="D63" s="287">
        <v>95670</v>
      </c>
      <c r="E63" s="389">
        <v>14512</v>
      </c>
      <c r="F63" s="288">
        <v>0.86829064638507192</v>
      </c>
    </row>
    <row r="64" spans="1:6" ht="15" customHeight="1" x14ac:dyDescent="0.2">
      <c r="A64" s="284" t="s">
        <v>141</v>
      </c>
      <c r="B64" s="285" t="s">
        <v>368</v>
      </c>
      <c r="C64" s="286">
        <v>147907</v>
      </c>
      <c r="D64" s="287">
        <v>105756</v>
      </c>
      <c r="E64" s="389">
        <v>42151</v>
      </c>
      <c r="F64" s="288">
        <v>0.71501686870803949</v>
      </c>
    </row>
    <row r="65" spans="1:6" ht="15" customHeight="1" x14ac:dyDescent="0.2">
      <c r="A65" s="284" t="s">
        <v>136</v>
      </c>
      <c r="B65" s="285" t="s">
        <v>369</v>
      </c>
      <c r="C65" s="286">
        <v>107601</v>
      </c>
      <c r="D65" s="287">
        <v>90182</v>
      </c>
      <c r="E65" s="389">
        <v>17419</v>
      </c>
      <c r="F65" s="288">
        <v>0.83811488740810958</v>
      </c>
    </row>
    <row r="66" spans="1:6" ht="15" customHeight="1" x14ac:dyDescent="0.2">
      <c r="A66" s="284" t="s">
        <v>135</v>
      </c>
      <c r="B66" s="285" t="s">
        <v>370</v>
      </c>
      <c r="C66" s="286">
        <v>145141</v>
      </c>
      <c r="D66" s="287">
        <v>111736</v>
      </c>
      <c r="E66" s="389">
        <v>33405</v>
      </c>
      <c r="F66" s="288">
        <v>0.76984449604178007</v>
      </c>
    </row>
    <row r="67" spans="1:6" ht="15" customHeight="1" x14ac:dyDescent="0.2">
      <c r="A67" s="284" t="s">
        <v>151</v>
      </c>
      <c r="B67" s="285" t="s">
        <v>371</v>
      </c>
      <c r="C67" s="286">
        <v>63993</v>
      </c>
      <c r="D67" s="287">
        <v>48318</v>
      </c>
      <c r="E67" s="389">
        <v>15675</v>
      </c>
      <c r="F67" s="288">
        <v>0.75505133373962774</v>
      </c>
    </row>
    <row r="68" spans="1:6" ht="15" customHeight="1" x14ac:dyDescent="0.2">
      <c r="A68" s="284" t="s">
        <v>79</v>
      </c>
      <c r="B68" s="285" t="s">
        <v>372</v>
      </c>
      <c r="C68" s="286">
        <v>87979</v>
      </c>
      <c r="D68" s="287">
        <v>68842</v>
      </c>
      <c r="E68" s="389">
        <v>19137</v>
      </c>
      <c r="F68" s="288">
        <v>0.78248218324827512</v>
      </c>
    </row>
    <row r="69" spans="1:6" ht="15" customHeight="1" x14ac:dyDescent="0.2">
      <c r="A69" s="284" t="s">
        <v>97</v>
      </c>
      <c r="B69" s="285" t="s">
        <v>373</v>
      </c>
      <c r="C69" s="286">
        <v>127161</v>
      </c>
      <c r="D69" s="287">
        <v>78684</v>
      </c>
      <c r="E69" s="389">
        <v>48477</v>
      </c>
      <c r="F69" s="288">
        <v>0.61877462429518482</v>
      </c>
    </row>
    <row r="70" spans="1:6" ht="15" customHeight="1" x14ac:dyDescent="0.2">
      <c r="A70" s="284" t="s">
        <v>112</v>
      </c>
      <c r="B70" s="285" t="s">
        <v>374</v>
      </c>
      <c r="C70" s="286">
        <v>106142</v>
      </c>
      <c r="D70" s="287">
        <v>84363</v>
      </c>
      <c r="E70" s="389">
        <v>21779</v>
      </c>
      <c r="F70" s="288">
        <v>0.79481260952309174</v>
      </c>
    </row>
    <row r="71" spans="1:6" ht="15" customHeight="1" x14ac:dyDescent="0.2">
      <c r="A71" s="284" t="s">
        <v>61</v>
      </c>
      <c r="B71" s="285" t="s">
        <v>375</v>
      </c>
      <c r="C71" s="286">
        <v>112930</v>
      </c>
      <c r="D71" s="287">
        <v>87135</v>
      </c>
      <c r="E71" s="389">
        <v>25795</v>
      </c>
      <c r="F71" s="288">
        <v>0.77158416718321088</v>
      </c>
    </row>
    <row r="72" spans="1:6" ht="15" customHeight="1" x14ac:dyDescent="0.2">
      <c r="A72" s="284" t="s">
        <v>127</v>
      </c>
      <c r="B72" s="285" t="s">
        <v>493</v>
      </c>
      <c r="C72" s="286">
        <v>94853</v>
      </c>
      <c r="D72" s="287">
        <v>71620</v>
      </c>
      <c r="E72" s="389">
        <v>23233</v>
      </c>
      <c r="F72" s="288">
        <v>0.75506309763528834</v>
      </c>
    </row>
    <row r="73" spans="1:6" ht="15" customHeight="1" x14ac:dyDescent="0.2">
      <c r="A73" s="284" t="s">
        <v>81</v>
      </c>
      <c r="B73" s="285" t="s">
        <v>376</v>
      </c>
      <c r="C73" s="286">
        <v>76147</v>
      </c>
      <c r="D73" s="287">
        <v>52095</v>
      </c>
      <c r="E73" s="389">
        <v>24052</v>
      </c>
      <c r="F73" s="288">
        <v>0.68413726082445792</v>
      </c>
    </row>
    <row r="74" spans="1:6" ht="15" customHeight="1" x14ac:dyDescent="0.2">
      <c r="A74" s="284" t="s">
        <v>183</v>
      </c>
      <c r="B74" s="285" t="s">
        <v>377</v>
      </c>
      <c r="C74" s="286">
        <v>122757</v>
      </c>
      <c r="D74" s="287">
        <v>95223</v>
      </c>
      <c r="E74" s="389">
        <v>27534</v>
      </c>
      <c r="F74" s="288">
        <v>0.77570321855372815</v>
      </c>
    </row>
    <row r="75" spans="1:6" ht="15" customHeight="1" x14ac:dyDescent="0.2">
      <c r="A75" s="284" t="s">
        <v>179</v>
      </c>
      <c r="B75" s="285" t="s">
        <v>378</v>
      </c>
      <c r="C75" s="286">
        <v>113231</v>
      </c>
      <c r="D75" s="287">
        <v>84823</v>
      </c>
      <c r="E75" s="389">
        <v>28408</v>
      </c>
      <c r="F75" s="288">
        <v>0.74911464175005082</v>
      </c>
    </row>
    <row r="76" spans="1:6" ht="15" customHeight="1" x14ac:dyDescent="0.2">
      <c r="A76" s="284" t="s">
        <v>129</v>
      </c>
      <c r="B76" s="285" t="s">
        <v>379</v>
      </c>
      <c r="C76" s="286">
        <v>107533</v>
      </c>
      <c r="D76" s="287">
        <v>76600</v>
      </c>
      <c r="E76" s="389">
        <v>30933</v>
      </c>
      <c r="F76" s="288">
        <v>0.71233946788427738</v>
      </c>
    </row>
    <row r="77" spans="1:6" ht="15" customHeight="1" x14ac:dyDescent="0.2">
      <c r="A77" s="284" t="s">
        <v>98</v>
      </c>
      <c r="B77" s="285" t="s">
        <v>380</v>
      </c>
      <c r="C77" s="286">
        <v>49523</v>
      </c>
      <c r="D77" s="287">
        <v>40307</v>
      </c>
      <c r="E77" s="389">
        <v>9216</v>
      </c>
      <c r="F77" s="288">
        <v>0.81390465036447712</v>
      </c>
    </row>
    <row r="78" spans="1:6" ht="15" customHeight="1" x14ac:dyDescent="0.2">
      <c r="A78" s="284" t="s">
        <v>494</v>
      </c>
      <c r="B78" s="285" t="s">
        <v>495</v>
      </c>
      <c r="C78" s="286">
        <v>44815</v>
      </c>
      <c r="D78" s="287">
        <v>33396</v>
      </c>
      <c r="E78" s="389">
        <v>11419</v>
      </c>
      <c r="F78" s="288">
        <v>0.74519692067388155</v>
      </c>
    </row>
    <row r="79" spans="1:6" ht="15" customHeight="1" x14ac:dyDescent="0.2">
      <c r="A79" s="284" t="s">
        <v>100</v>
      </c>
      <c r="B79" s="285" t="s">
        <v>381</v>
      </c>
      <c r="C79" s="286">
        <v>103948</v>
      </c>
      <c r="D79" s="287">
        <v>74343</v>
      </c>
      <c r="E79" s="389">
        <v>29605</v>
      </c>
      <c r="F79" s="288">
        <v>0.71519413552930311</v>
      </c>
    </row>
    <row r="80" spans="1:6" ht="15" customHeight="1" x14ac:dyDescent="0.2">
      <c r="A80" s="284" t="s">
        <v>113</v>
      </c>
      <c r="B80" s="285" t="s">
        <v>382</v>
      </c>
      <c r="C80" s="286">
        <v>50619</v>
      </c>
      <c r="D80" s="287">
        <v>43550</v>
      </c>
      <c r="E80" s="389">
        <v>7069</v>
      </c>
      <c r="F80" s="288">
        <v>0.86034888085501493</v>
      </c>
    </row>
    <row r="81" spans="1:6" ht="15" customHeight="1" x14ac:dyDescent="0.2">
      <c r="A81" s="284" t="s">
        <v>72</v>
      </c>
      <c r="B81" s="285" t="s">
        <v>383</v>
      </c>
      <c r="C81" s="286">
        <v>142682</v>
      </c>
      <c r="D81" s="287">
        <v>120953</v>
      </c>
      <c r="E81" s="389">
        <v>21729</v>
      </c>
      <c r="F81" s="288">
        <v>0.84771029281899613</v>
      </c>
    </row>
    <row r="82" spans="1:6" ht="15" customHeight="1" x14ac:dyDescent="0.2">
      <c r="A82" s="284" t="s">
        <v>93</v>
      </c>
      <c r="B82" s="285" t="s">
        <v>384</v>
      </c>
      <c r="C82" s="286">
        <v>93228</v>
      </c>
      <c r="D82" s="287">
        <v>65673</v>
      </c>
      <c r="E82" s="389">
        <v>27555</v>
      </c>
      <c r="F82" s="288">
        <v>0.70443429012742953</v>
      </c>
    </row>
    <row r="83" spans="1:6" ht="15" customHeight="1" x14ac:dyDescent="0.2">
      <c r="A83" s="284" t="s">
        <v>59</v>
      </c>
      <c r="B83" s="285" t="s">
        <v>385</v>
      </c>
      <c r="C83" s="286">
        <v>60100</v>
      </c>
      <c r="D83" s="287">
        <v>52449</v>
      </c>
      <c r="E83" s="389">
        <v>7651</v>
      </c>
      <c r="F83" s="288">
        <v>0.87269550748752078</v>
      </c>
    </row>
    <row r="84" spans="1:6" ht="15" customHeight="1" x14ac:dyDescent="0.2">
      <c r="A84" s="284" t="s">
        <v>109</v>
      </c>
      <c r="B84" s="285" t="s">
        <v>386</v>
      </c>
      <c r="C84" s="286">
        <v>57860</v>
      </c>
      <c r="D84" s="287">
        <v>43248</v>
      </c>
      <c r="E84" s="389">
        <v>14612</v>
      </c>
      <c r="F84" s="288">
        <v>0.74745938472174211</v>
      </c>
    </row>
    <row r="85" spans="1:6" ht="15" customHeight="1" x14ac:dyDescent="0.2">
      <c r="A85" s="284" t="s">
        <v>95</v>
      </c>
      <c r="B85" s="285" t="s">
        <v>387</v>
      </c>
      <c r="C85" s="286">
        <v>102603</v>
      </c>
      <c r="D85" s="287">
        <v>79806</v>
      </c>
      <c r="E85" s="389">
        <v>22797</v>
      </c>
      <c r="F85" s="288">
        <v>0.77781351422473022</v>
      </c>
    </row>
    <row r="86" spans="1:6" ht="15" customHeight="1" x14ac:dyDescent="0.2">
      <c r="A86" s="284" t="s">
        <v>132</v>
      </c>
      <c r="B86" s="285" t="s">
        <v>388</v>
      </c>
      <c r="C86" s="286">
        <v>109685</v>
      </c>
      <c r="D86" s="287">
        <v>81613</v>
      </c>
      <c r="E86" s="389">
        <v>28072</v>
      </c>
      <c r="F86" s="288">
        <v>0.74406710124447284</v>
      </c>
    </row>
    <row r="87" spans="1:6" ht="15" customHeight="1" x14ac:dyDescent="0.2">
      <c r="A87" s="284" t="s">
        <v>83</v>
      </c>
      <c r="B87" s="285" t="s">
        <v>389</v>
      </c>
      <c r="C87" s="286">
        <v>126017</v>
      </c>
      <c r="D87" s="287">
        <v>118139</v>
      </c>
      <c r="E87" s="389">
        <v>7878</v>
      </c>
      <c r="F87" s="288">
        <v>0.93748462509026564</v>
      </c>
    </row>
    <row r="88" spans="1:6" ht="15" customHeight="1" x14ac:dyDescent="0.2">
      <c r="A88" s="284" t="s">
        <v>181</v>
      </c>
      <c r="B88" s="285" t="s">
        <v>390</v>
      </c>
      <c r="C88" s="286">
        <v>94804</v>
      </c>
      <c r="D88" s="287">
        <v>81919</v>
      </c>
      <c r="E88" s="389">
        <v>12885</v>
      </c>
      <c r="F88" s="288">
        <v>0.86408801316400152</v>
      </c>
    </row>
    <row r="89" spans="1:6" ht="15" customHeight="1" x14ac:dyDescent="0.2">
      <c r="A89" s="284" t="s">
        <v>89</v>
      </c>
      <c r="B89" s="285" t="s">
        <v>391</v>
      </c>
      <c r="C89" s="286">
        <v>203102</v>
      </c>
      <c r="D89" s="287">
        <v>158179</v>
      </c>
      <c r="E89" s="389">
        <v>44923</v>
      </c>
      <c r="F89" s="288">
        <v>0.77881557050152139</v>
      </c>
    </row>
    <row r="90" spans="1:6" ht="15" customHeight="1" x14ac:dyDescent="0.2">
      <c r="A90" s="284" t="s">
        <v>150</v>
      </c>
      <c r="B90" s="285" t="s">
        <v>392</v>
      </c>
      <c r="C90" s="286">
        <v>86522</v>
      </c>
      <c r="D90" s="287">
        <v>63942</v>
      </c>
      <c r="E90" s="389">
        <v>22580</v>
      </c>
      <c r="F90" s="288">
        <v>0.73902591248468597</v>
      </c>
    </row>
    <row r="91" spans="1:6" ht="15" customHeight="1" x14ac:dyDescent="0.2">
      <c r="A91" s="284" t="s">
        <v>189</v>
      </c>
      <c r="B91" s="285" t="s">
        <v>393</v>
      </c>
      <c r="C91" s="286">
        <v>368703</v>
      </c>
      <c r="D91" s="287">
        <v>234666</v>
      </c>
      <c r="E91" s="389">
        <v>134037</v>
      </c>
      <c r="F91" s="288">
        <v>0.63646349500817734</v>
      </c>
    </row>
    <row r="92" spans="1:6" ht="15" customHeight="1" x14ac:dyDescent="0.2">
      <c r="A92" s="284" t="s">
        <v>138</v>
      </c>
      <c r="B92" s="285" t="s">
        <v>394</v>
      </c>
      <c r="C92" s="286">
        <v>147476</v>
      </c>
      <c r="D92" s="287">
        <v>121021</v>
      </c>
      <c r="E92" s="389">
        <v>26455</v>
      </c>
      <c r="F92" s="288">
        <v>0.82061487970924085</v>
      </c>
    </row>
    <row r="93" spans="1:6" ht="15" customHeight="1" x14ac:dyDescent="0.2">
      <c r="A93" s="284" t="s">
        <v>131</v>
      </c>
      <c r="B93" s="285" t="s">
        <v>395</v>
      </c>
      <c r="C93" s="286">
        <v>121859</v>
      </c>
      <c r="D93" s="287">
        <v>109123</v>
      </c>
      <c r="E93" s="389">
        <v>12736</v>
      </c>
      <c r="F93" s="288">
        <v>0.89548576633650367</v>
      </c>
    </row>
    <row r="94" spans="1:6" ht="15" customHeight="1" x14ac:dyDescent="0.2">
      <c r="A94" s="284" t="s">
        <v>80</v>
      </c>
      <c r="B94" s="285" t="s">
        <v>396</v>
      </c>
      <c r="C94" s="286">
        <v>153933</v>
      </c>
      <c r="D94" s="287">
        <v>125588</v>
      </c>
      <c r="E94" s="389">
        <v>28345</v>
      </c>
      <c r="F94" s="288">
        <v>0.81586144621361245</v>
      </c>
    </row>
    <row r="95" spans="1:6" x14ac:dyDescent="0.2">
      <c r="A95" s="284" t="s">
        <v>102</v>
      </c>
      <c r="B95" s="285" t="s">
        <v>397</v>
      </c>
      <c r="C95" s="286">
        <v>106355</v>
      </c>
      <c r="D95" s="287">
        <v>94898</v>
      </c>
      <c r="E95" s="389">
        <v>11457</v>
      </c>
      <c r="F95" s="288">
        <v>0.89227586855342955</v>
      </c>
    </row>
    <row r="96" spans="1:6" ht="14.25" customHeight="1" x14ac:dyDescent="0.2">
      <c r="A96" s="284" t="s">
        <v>71</v>
      </c>
      <c r="B96" s="285" t="s">
        <v>398</v>
      </c>
      <c r="C96" s="286">
        <v>211731</v>
      </c>
      <c r="D96" s="287">
        <v>136785</v>
      </c>
      <c r="E96" s="389">
        <v>74946</v>
      </c>
      <c r="F96" s="288">
        <v>0.64603199342562023</v>
      </c>
    </row>
    <row r="97" spans="1:6" x14ac:dyDescent="0.2">
      <c r="A97" s="284" t="s">
        <v>103</v>
      </c>
      <c r="B97" s="285" t="s">
        <v>399</v>
      </c>
      <c r="C97" s="286">
        <v>140288</v>
      </c>
      <c r="D97" s="287">
        <v>112364</v>
      </c>
      <c r="E97" s="389">
        <v>27924</v>
      </c>
      <c r="F97" s="288">
        <v>0.80095232664233573</v>
      </c>
    </row>
    <row r="98" spans="1:6" x14ac:dyDescent="0.2">
      <c r="A98" s="284" t="s">
        <v>53</v>
      </c>
      <c r="B98" s="285" t="s">
        <v>400</v>
      </c>
      <c r="C98" s="286">
        <v>110153</v>
      </c>
      <c r="D98" s="287">
        <v>84083</v>
      </c>
      <c r="E98" s="389">
        <v>26070</v>
      </c>
      <c r="F98" s="288">
        <v>0.76332918758454149</v>
      </c>
    </row>
    <row r="99" spans="1:6" x14ac:dyDescent="0.2">
      <c r="A99" s="284" t="s">
        <v>126</v>
      </c>
      <c r="B99" s="285" t="s">
        <v>401</v>
      </c>
      <c r="C99" s="286">
        <v>103657</v>
      </c>
      <c r="D99" s="287">
        <v>91459</v>
      </c>
      <c r="E99" s="389">
        <v>12198</v>
      </c>
      <c r="F99" s="288">
        <v>0.88232343208852271</v>
      </c>
    </row>
    <row r="100" spans="1:6" ht="14.25" customHeight="1" x14ac:dyDescent="0.2">
      <c r="A100" s="284" t="s">
        <v>119</v>
      </c>
      <c r="B100" s="285" t="s">
        <v>402</v>
      </c>
      <c r="C100" s="286">
        <v>112160</v>
      </c>
      <c r="D100" s="287">
        <v>93750</v>
      </c>
      <c r="E100" s="389">
        <v>18410</v>
      </c>
      <c r="F100" s="288">
        <v>0.83585948644793151</v>
      </c>
    </row>
    <row r="101" spans="1:6" ht="14.25" customHeight="1" x14ac:dyDescent="0.2">
      <c r="A101" s="284" t="s">
        <v>143</v>
      </c>
      <c r="B101" s="285" t="s">
        <v>403</v>
      </c>
      <c r="C101" s="286">
        <v>94452</v>
      </c>
      <c r="D101" s="287">
        <v>72861</v>
      </c>
      <c r="E101" s="389">
        <v>21591</v>
      </c>
      <c r="F101" s="288">
        <v>0.77140769914877394</v>
      </c>
    </row>
    <row r="102" spans="1:6" x14ac:dyDescent="0.2">
      <c r="A102" s="284" t="s">
        <v>185</v>
      </c>
      <c r="B102" s="285" t="s">
        <v>404</v>
      </c>
      <c r="C102" s="286">
        <v>96993</v>
      </c>
      <c r="D102" s="287">
        <v>75156</v>
      </c>
      <c r="E102" s="389">
        <v>21837</v>
      </c>
      <c r="F102" s="288">
        <v>0.77486004144628995</v>
      </c>
    </row>
    <row r="103" spans="1:6" x14ac:dyDescent="0.2">
      <c r="A103" s="284" t="s">
        <v>180</v>
      </c>
      <c r="B103" s="285" t="s">
        <v>405</v>
      </c>
      <c r="C103" s="286">
        <v>152553</v>
      </c>
      <c r="D103" s="287">
        <v>127183</v>
      </c>
      <c r="E103" s="389">
        <v>25370</v>
      </c>
      <c r="F103" s="288">
        <v>0.83369714132137684</v>
      </c>
    </row>
    <row r="104" spans="1:6" x14ac:dyDescent="0.2">
      <c r="A104" s="284" t="s">
        <v>76</v>
      </c>
      <c r="B104" s="285" t="s">
        <v>406</v>
      </c>
      <c r="C104" s="286">
        <v>185484</v>
      </c>
      <c r="D104" s="287">
        <v>135810</v>
      </c>
      <c r="E104" s="389">
        <v>49674</v>
      </c>
      <c r="F104" s="288">
        <v>0.73219253412693275</v>
      </c>
    </row>
    <row r="105" spans="1:6" x14ac:dyDescent="0.2">
      <c r="A105" s="284" t="s">
        <v>122</v>
      </c>
      <c r="B105" s="285" t="s">
        <v>407</v>
      </c>
      <c r="C105" s="286">
        <v>86131</v>
      </c>
      <c r="D105" s="287">
        <v>68922</v>
      </c>
      <c r="E105" s="389">
        <v>17209</v>
      </c>
      <c r="F105" s="288">
        <v>0.80019969581219308</v>
      </c>
    </row>
    <row r="106" spans="1:6" x14ac:dyDescent="0.2">
      <c r="A106" s="284" t="s">
        <v>104</v>
      </c>
      <c r="B106" s="285" t="s">
        <v>408</v>
      </c>
      <c r="C106" s="286">
        <v>286139</v>
      </c>
      <c r="D106" s="287">
        <v>209873</v>
      </c>
      <c r="E106" s="389">
        <v>76266</v>
      </c>
      <c r="F106" s="288">
        <v>0.73346520397429227</v>
      </c>
    </row>
    <row r="107" spans="1:6" x14ac:dyDescent="0.2">
      <c r="A107" s="284" t="s">
        <v>84</v>
      </c>
      <c r="B107" s="285" t="s">
        <v>434</v>
      </c>
      <c r="C107" s="286">
        <v>134590</v>
      </c>
      <c r="D107" s="287">
        <v>94638</v>
      </c>
      <c r="E107" s="389">
        <v>39952</v>
      </c>
      <c r="F107" s="288">
        <v>0.70315773831636819</v>
      </c>
    </row>
    <row r="108" spans="1:6" x14ac:dyDescent="0.2">
      <c r="A108" s="284" t="s">
        <v>137</v>
      </c>
      <c r="B108" s="285" t="s">
        <v>409</v>
      </c>
      <c r="C108" s="286">
        <v>144559</v>
      </c>
      <c r="D108" s="287">
        <v>86324</v>
      </c>
      <c r="E108" s="389">
        <v>58235</v>
      </c>
      <c r="F108" s="288">
        <v>0.59715410316894835</v>
      </c>
    </row>
    <row r="109" spans="1:6" x14ac:dyDescent="0.2">
      <c r="A109" s="284" t="s">
        <v>142</v>
      </c>
      <c r="B109" s="285" t="s">
        <v>410</v>
      </c>
      <c r="C109" s="286">
        <v>235600</v>
      </c>
      <c r="D109" s="287">
        <v>157477</v>
      </c>
      <c r="E109" s="389">
        <v>78123</v>
      </c>
      <c r="F109" s="288">
        <v>0.66840831918505939</v>
      </c>
    </row>
    <row r="110" spans="1:6" x14ac:dyDescent="0.2">
      <c r="A110" s="284" t="s">
        <v>92</v>
      </c>
      <c r="B110" s="285" t="s">
        <v>411</v>
      </c>
      <c r="C110" s="286">
        <v>164878</v>
      </c>
      <c r="D110" s="287">
        <v>145863</v>
      </c>
      <c r="E110" s="389">
        <v>19015</v>
      </c>
      <c r="F110" s="288">
        <v>0.88467230315748613</v>
      </c>
    </row>
    <row r="111" spans="1:6" x14ac:dyDescent="0.2">
      <c r="A111" s="284" t="s">
        <v>147</v>
      </c>
      <c r="B111" s="285" t="s">
        <v>412</v>
      </c>
      <c r="C111" s="286">
        <v>106011</v>
      </c>
      <c r="D111" s="287">
        <v>75809</v>
      </c>
      <c r="E111" s="389">
        <v>30202</v>
      </c>
      <c r="F111" s="288">
        <v>0.71510503626982103</v>
      </c>
    </row>
    <row r="112" spans="1:6" x14ac:dyDescent="0.2">
      <c r="A112" s="284" t="s">
        <v>74</v>
      </c>
      <c r="B112" s="285" t="s">
        <v>413</v>
      </c>
      <c r="C112" s="286">
        <v>112834</v>
      </c>
      <c r="D112" s="287">
        <v>84307</v>
      </c>
      <c r="E112" s="389">
        <v>28527</v>
      </c>
      <c r="F112" s="288">
        <v>0.74717726926281081</v>
      </c>
    </row>
    <row r="113" spans="1:7" x14ac:dyDescent="0.2">
      <c r="A113" s="284" t="s">
        <v>125</v>
      </c>
      <c r="B113" s="285" t="s">
        <v>414</v>
      </c>
      <c r="C113" s="286">
        <v>99728</v>
      </c>
      <c r="D113" s="287">
        <v>68514</v>
      </c>
      <c r="E113" s="389">
        <v>31214</v>
      </c>
      <c r="F113" s="288">
        <v>0.68700866356489654</v>
      </c>
    </row>
    <row r="114" spans="1:7" x14ac:dyDescent="0.2">
      <c r="A114" s="284" t="s">
        <v>191</v>
      </c>
      <c r="B114" s="285" t="s">
        <v>415</v>
      </c>
      <c r="C114" s="286">
        <v>130374</v>
      </c>
      <c r="D114" s="287">
        <v>82715</v>
      </c>
      <c r="E114" s="389">
        <v>47659</v>
      </c>
      <c r="F114" s="288">
        <v>0.63444398422998449</v>
      </c>
    </row>
    <row r="115" spans="1:7" x14ac:dyDescent="0.2">
      <c r="A115" s="284" t="s">
        <v>146</v>
      </c>
      <c r="B115" s="285" t="s">
        <v>496</v>
      </c>
      <c r="C115" s="286">
        <v>82902</v>
      </c>
      <c r="D115" s="287">
        <v>61344</v>
      </c>
      <c r="E115" s="389">
        <v>21558</v>
      </c>
      <c r="F115" s="288">
        <v>0.73995802272562783</v>
      </c>
    </row>
    <row r="116" spans="1:7" x14ac:dyDescent="0.2">
      <c r="A116" s="284" t="s">
        <v>65</v>
      </c>
      <c r="B116" s="285" t="s">
        <v>416</v>
      </c>
      <c r="C116" s="286">
        <v>154445</v>
      </c>
      <c r="D116" s="287">
        <v>135106</v>
      </c>
      <c r="E116" s="389">
        <v>19339</v>
      </c>
      <c r="F116" s="288">
        <v>0.87478390365502279</v>
      </c>
    </row>
    <row r="117" spans="1:7" x14ac:dyDescent="0.2">
      <c r="A117" s="284" t="s">
        <v>78</v>
      </c>
      <c r="B117" s="285" t="s">
        <v>417</v>
      </c>
      <c r="C117" s="286">
        <v>119929</v>
      </c>
      <c r="D117" s="287">
        <v>98019</v>
      </c>
      <c r="E117" s="389">
        <v>21910</v>
      </c>
      <c r="F117" s="288">
        <v>0.81730857423975856</v>
      </c>
    </row>
    <row r="118" spans="1:7" x14ac:dyDescent="0.2">
      <c r="A118" s="284" t="s">
        <v>63</v>
      </c>
      <c r="B118" s="285" t="s">
        <v>418</v>
      </c>
      <c r="C118" s="286">
        <v>160444</v>
      </c>
      <c r="D118" s="287">
        <v>122491</v>
      </c>
      <c r="E118" s="389">
        <v>37953</v>
      </c>
      <c r="F118" s="288">
        <v>0.76345017576225971</v>
      </c>
    </row>
    <row r="119" spans="1:7" x14ac:dyDescent="0.2">
      <c r="A119" s="284" t="s">
        <v>188</v>
      </c>
      <c r="B119" s="285" t="s">
        <v>419</v>
      </c>
      <c r="C119" s="286">
        <v>167402</v>
      </c>
      <c r="D119" s="287">
        <v>117804</v>
      </c>
      <c r="E119" s="389">
        <v>49598</v>
      </c>
      <c r="F119" s="288">
        <v>0.70371919092961854</v>
      </c>
    </row>
    <row r="120" spans="1:7" x14ac:dyDescent="0.2">
      <c r="A120" s="284" t="s">
        <v>60</v>
      </c>
      <c r="B120" s="285" t="s">
        <v>420</v>
      </c>
      <c r="C120" s="286">
        <v>75127</v>
      </c>
      <c r="D120" s="287">
        <v>42577</v>
      </c>
      <c r="E120" s="389">
        <v>32550</v>
      </c>
      <c r="F120" s="288">
        <v>0.56673366432840389</v>
      </c>
    </row>
    <row r="121" spans="1:7" x14ac:dyDescent="0.2">
      <c r="A121" s="284" t="s">
        <v>88</v>
      </c>
      <c r="B121" s="285" t="s">
        <v>421</v>
      </c>
      <c r="C121" s="286">
        <v>59460</v>
      </c>
      <c r="D121" s="287">
        <v>32577</v>
      </c>
      <c r="E121" s="389">
        <v>26883</v>
      </c>
      <c r="F121" s="288">
        <v>0.54788092835519675</v>
      </c>
    </row>
    <row r="122" spans="1:7" x14ac:dyDescent="0.2">
      <c r="A122" s="284" t="s">
        <v>69</v>
      </c>
      <c r="B122" s="285" t="s">
        <v>422</v>
      </c>
      <c r="C122" s="286">
        <v>141429</v>
      </c>
      <c r="D122" s="287">
        <v>95273</v>
      </c>
      <c r="E122" s="389">
        <v>46156</v>
      </c>
      <c r="F122" s="288">
        <v>0.67364543339767657</v>
      </c>
    </row>
    <row r="123" spans="1:7" x14ac:dyDescent="0.2">
      <c r="A123" s="284" t="s">
        <v>64</v>
      </c>
      <c r="B123" s="285" t="s">
        <v>423</v>
      </c>
      <c r="C123" s="286">
        <v>81990</v>
      </c>
      <c r="D123" s="287">
        <v>57880</v>
      </c>
      <c r="E123" s="389">
        <v>24110</v>
      </c>
      <c r="F123" s="288">
        <v>0.70593974874984755</v>
      </c>
    </row>
    <row r="124" spans="1:7" x14ac:dyDescent="0.2">
      <c r="A124" s="284" t="s">
        <v>77</v>
      </c>
      <c r="B124" s="285" t="s">
        <v>424</v>
      </c>
      <c r="C124" s="286">
        <v>115561</v>
      </c>
      <c r="D124" s="287">
        <v>82645</v>
      </c>
      <c r="E124" s="389">
        <v>32916</v>
      </c>
      <c r="F124" s="288">
        <v>0.71516342018501056</v>
      </c>
    </row>
    <row r="125" spans="1:7" x14ac:dyDescent="0.2">
      <c r="A125" s="284" t="s">
        <v>117</v>
      </c>
      <c r="B125" s="285" t="s">
        <v>425</v>
      </c>
      <c r="C125" s="286">
        <v>118410</v>
      </c>
      <c r="D125" s="287">
        <v>73301</v>
      </c>
      <c r="E125" s="389">
        <v>45109</v>
      </c>
      <c r="F125" s="288">
        <v>0.6190439996621907</v>
      </c>
    </row>
    <row r="126" spans="1:7" ht="15" thickBot="1" x14ac:dyDescent="0.25">
      <c r="A126" s="318" t="s">
        <v>190</v>
      </c>
      <c r="B126" s="319" t="s">
        <v>426</v>
      </c>
      <c r="C126" s="320">
        <v>152158</v>
      </c>
      <c r="D126" s="321">
        <v>135655</v>
      </c>
      <c r="E126" s="390">
        <v>16503</v>
      </c>
      <c r="F126" s="322">
        <v>0.89154037250752505</v>
      </c>
    </row>
    <row r="128" spans="1:7" x14ac:dyDescent="0.2">
      <c r="A128" s="403" t="s">
        <v>436</v>
      </c>
      <c r="B128" s="403"/>
      <c r="C128" s="403"/>
      <c r="D128" s="403"/>
      <c r="E128" s="403"/>
      <c r="F128" s="403"/>
      <c r="G128" s="403"/>
    </row>
    <row r="129" spans="1:12" x14ac:dyDescent="0.2">
      <c r="A129" s="402" t="s">
        <v>499</v>
      </c>
      <c r="B129" s="414"/>
      <c r="C129" s="414"/>
      <c r="D129" s="414"/>
      <c r="E129" s="414"/>
      <c r="F129" s="414"/>
      <c r="G129" s="90"/>
    </row>
    <row r="130" spans="1:12" x14ac:dyDescent="0.2">
      <c r="A130" s="27"/>
      <c r="B130" s="27"/>
      <c r="C130" s="27"/>
      <c r="D130" s="27"/>
      <c r="E130" s="27"/>
      <c r="F130" s="27"/>
      <c r="G130" s="27"/>
    </row>
    <row r="131" spans="1:12" s="7" customFormat="1" ht="30.75" customHeight="1" x14ac:dyDescent="0.2">
      <c r="A131" s="418" t="s">
        <v>506</v>
      </c>
      <c r="B131" s="418"/>
      <c r="C131" s="418"/>
      <c r="D131" s="418"/>
      <c r="E131" s="418"/>
      <c r="F131" s="418"/>
      <c r="G131" s="386"/>
      <c r="H131" s="386"/>
      <c r="I131" s="386"/>
      <c r="J131" s="386"/>
      <c r="K131" s="386"/>
      <c r="L131" s="386"/>
    </row>
    <row r="132" spans="1:12" s="7" customFormat="1" x14ac:dyDescent="0.2">
      <c r="A132" s="385" t="s">
        <v>504</v>
      </c>
      <c r="B132" s="99"/>
      <c r="C132" s="99"/>
      <c r="D132" s="99"/>
      <c r="E132" s="99"/>
      <c r="F132" s="99"/>
      <c r="G132" s="99"/>
      <c r="H132" s="99"/>
      <c r="I132" s="99"/>
      <c r="J132" s="99"/>
      <c r="K132" s="99"/>
      <c r="L132" s="99"/>
    </row>
    <row r="133" spans="1:12" s="7" customFormat="1" x14ac:dyDescent="0.2">
      <c r="A133" s="385"/>
      <c r="B133" s="99"/>
      <c r="C133" s="99"/>
      <c r="D133" s="99"/>
      <c r="E133" s="99"/>
      <c r="F133" s="99"/>
      <c r="G133" s="99"/>
      <c r="H133" s="99"/>
      <c r="I133" s="99"/>
      <c r="J133" s="99"/>
      <c r="K133" s="99"/>
      <c r="L133" s="99"/>
    </row>
    <row r="134" spans="1:12" ht="15" thickBot="1" x14ac:dyDescent="0.25">
      <c r="A134" s="415" t="s">
        <v>1</v>
      </c>
      <c r="B134" s="415"/>
      <c r="C134" s="415"/>
      <c r="D134" s="415"/>
      <c r="E134" s="415"/>
      <c r="F134" s="415"/>
      <c r="G134" s="415"/>
    </row>
    <row r="135" spans="1:12" ht="14.25" customHeight="1" x14ac:dyDescent="0.2">
      <c r="A135" s="313" t="s">
        <v>428</v>
      </c>
      <c r="B135" s="313"/>
      <c r="C135" s="313"/>
      <c r="D135" s="313"/>
      <c r="E135" s="313"/>
      <c r="F135" s="313"/>
      <c r="G135" s="313"/>
    </row>
    <row r="136" spans="1:12" x14ac:dyDescent="0.2">
      <c r="A136" s="412" t="s">
        <v>510</v>
      </c>
      <c r="B136" s="412"/>
      <c r="C136" s="412"/>
      <c r="D136" s="412"/>
      <c r="E136" s="412"/>
      <c r="F136" s="412"/>
      <c r="G136" s="412"/>
    </row>
    <row r="137" spans="1:12" x14ac:dyDescent="0.2">
      <c r="A137" s="408" t="s">
        <v>247</v>
      </c>
      <c r="B137" s="408"/>
      <c r="C137" s="408"/>
      <c r="D137" s="408"/>
      <c r="E137" s="408"/>
      <c r="F137" s="408"/>
      <c r="G137" s="408"/>
    </row>
    <row r="138" spans="1:12" ht="15" thickBot="1" x14ac:dyDescent="0.25">
      <c r="A138" s="409" t="s">
        <v>442</v>
      </c>
      <c r="B138" s="409"/>
      <c r="C138" s="409"/>
      <c r="D138" s="409"/>
      <c r="E138" s="419"/>
      <c r="F138" s="409"/>
      <c r="G138" s="409"/>
    </row>
    <row r="139" spans="1:12" x14ac:dyDescent="0.2">
      <c r="A139" s="29"/>
      <c r="B139" s="30"/>
      <c r="C139" s="30"/>
      <c r="D139" s="30"/>
      <c r="E139" s="30"/>
      <c r="F139" s="30"/>
      <c r="G139" s="30"/>
    </row>
    <row r="140" spans="1:12" x14ac:dyDescent="0.2">
      <c r="A140" s="410" t="s">
        <v>157</v>
      </c>
      <c r="B140" s="410"/>
      <c r="C140" s="30"/>
      <c r="D140" s="30"/>
      <c r="E140" s="30"/>
      <c r="F140" s="30"/>
      <c r="G140" s="30"/>
    </row>
    <row r="141" spans="1:12" x14ac:dyDescent="0.2">
      <c r="A141" s="11"/>
      <c r="B141" s="30"/>
      <c r="C141" s="30"/>
      <c r="D141" s="30"/>
      <c r="E141" s="30"/>
      <c r="F141" s="30"/>
      <c r="G141" s="30"/>
    </row>
  </sheetData>
  <sortState xmlns:xlrd2="http://schemas.microsoft.com/office/spreadsheetml/2017/richdata2" ref="A7:F126">
    <sortCondition ref="B7:B126"/>
  </sortState>
  <mergeCells count="11">
    <mergeCell ref="A138:G138"/>
    <mergeCell ref="A140:B140"/>
    <mergeCell ref="A3:G3"/>
    <mergeCell ref="A134:G134"/>
    <mergeCell ref="A2:G2"/>
    <mergeCell ref="A129:F129"/>
    <mergeCell ref="A136:G136"/>
    <mergeCell ref="A128:G128"/>
    <mergeCell ref="A137:G137"/>
    <mergeCell ref="A4:B4"/>
    <mergeCell ref="A131:F131"/>
  </mergeCells>
  <hyperlinks>
    <hyperlink ref="A137:G137" r:id="rId1" display="Contact via enquiries@NHSDigital.nhs.uk or 0300 303 5678" xr:uid="{00000000-0004-0000-0800-000000000000}"/>
    <hyperlink ref="A140" location="Contents!A1" display="Return to Contents" xr:uid="{00000000-0004-0000-0800-000001000000}"/>
    <hyperlink ref="A129" r:id="rId2" display="https://www.england.nhs.uk/statistics/statistical-work-areas/ae-waiting-times-and-activity/ae-attendances-and-emergency-admissions-2018-19/" xr:uid="{2236793B-4B0C-425B-BD10-8BA82D0C7D26}"/>
    <hyperlink ref="A132" r:id="rId3" xr:uid="{34EE175E-37A7-4FF7-842D-7BAF2B80265A}"/>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A36"/>
  <sheetViews>
    <sheetView zoomScaleNormal="100" workbookViewId="0">
      <selection sqref="A1:C1"/>
    </sheetView>
  </sheetViews>
  <sheetFormatPr defaultColWidth="9.140625" defaultRowHeight="14.25" x14ac:dyDescent="0.2"/>
  <cols>
    <col min="1" max="1" width="22.5703125" style="28" customWidth="1"/>
    <col min="2" max="25" width="9.28515625" style="28" customWidth="1"/>
    <col min="26" max="16384" width="9.140625" style="28"/>
  </cols>
  <sheetData>
    <row r="1" spans="1:27" ht="15" customHeight="1" x14ac:dyDescent="0.2"/>
    <row r="2" spans="1:27" ht="48.75" customHeight="1" x14ac:dyDescent="0.2">
      <c r="A2" s="404" t="s">
        <v>465</v>
      </c>
      <c r="B2" s="404"/>
      <c r="C2" s="404"/>
      <c r="D2" s="404"/>
      <c r="E2" s="404"/>
      <c r="F2" s="404"/>
      <c r="G2" s="404"/>
      <c r="H2" s="404"/>
      <c r="I2" s="404"/>
      <c r="J2" s="404"/>
      <c r="K2" s="404"/>
    </row>
    <row r="3" spans="1:27" ht="17.25" customHeight="1" x14ac:dyDescent="0.2">
      <c r="A3" s="413" t="s">
        <v>235</v>
      </c>
      <c r="B3" s="413"/>
      <c r="C3" s="413"/>
      <c r="D3" s="413"/>
      <c r="E3" s="413"/>
      <c r="F3" s="413"/>
      <c r="G3" s="413"/>
      <c r="H3" s="413"/>
      <c r="I3" s="413"/>
      <c r="J3" s="413"/>
      <c r="K3" s="413"/>
    </row>
    <row r="4" spans="1:27" ht="17.25" customHeight="1" x14ac:dyDescent="0.2">
      <c r="A4" s="413" t="s">
        <v>433</v>
      </c>
      <c r="B4" s="413"/>
      <c r="C4" s="413"/>
      <c r="D4" s="413"/>
      <c r="E4" s="413"/>
      <c r="F4" s="413"/>
      <c r="G4" s="413"/>
      <c r="H4" s="413"/>
      <c r="I4" s="413"/>
      <c r="J4" s="413"/>
      <c r="K4" s="315"/>
    </row>
    <row r="5" spans="1:27" ht="13.5" customHeight="1" thickBot="1" x14ac:dyDescent="0.25"/>
    <row r="6" spans="1:27" ht="16.5" customHeight="1" thickBot="1" x14ac:dyDescent="0.25">
      <c r="A6" s="195"/>
      <c r="B6" s="81">
        <v>0</v>
      </c>
      <c r="C6" s="82">
        <v>4.1666666666666664E-2</v>
      </c>
      <c r="D6" s="83">
        <v>8.3333333333333329E-2</v>
      </c>
      <c r="E6" s="84">
        <v>0.125</v>
      </c>
      <c r="F6" s="82">
        <v>0.16666666666666666</v>
      </c>
      <c r="G6" s="83">
        <v>0.20833333333333334</v>
      </c>
      <c r="H6" s="83">
        <v>0.25</v>
      </c>
      <c r="I6" s="83">
        <v>0.29166666666666669</v>
      </c>
      <c r="J6" s="84">
        <v>0.33333333333333331</v>
      </c>
      <c r="K6" s="82">
        <v>0.375</v>
      </c>
      <c r="L6" s="83">
        <v>0.41666666666666669</v>
      </c>
      <c r="M6" s="83">
        <v>0.45833333333333331</v>
      </c>
      <c r="N6" s="83">
        <v>0.5</v>
      </c>
      <c r="O6" s="84">
        <v>0.54166666666666663</v>
      </c>
      <c r="P6" s="82">
        <v>0.58333333333333337</v>
      </c>
      <c r="Q6" s="83">
        <v>0.625</v>
      </c>
      <c r="R6" s="83">
        <v>0.66666666666666663</v>
      </c>
      <c r="S6" s="84">
        <v>0.70833333333333337</v>
      </c>
      <c r="T6" s="82">
        <v>0.75</v>
      </c>
      <c r="U6" s="83">
        <v>0.79166666666666663</v>
      </c>
      <c r="V6" s="83">
        <v>0.83333333333333337</v>
      </c>
      <c r="W6" s="84">
        <v>0.875</v>
      </c>
      <c r="X6" s="82">
        <v>0.91666666666666663</v>
      </c>
      <c r="Y6" s="85">
        <v>0.95833333333333337</v>
      </c>
      <c r="Z6" s="43"/>
      <c r="AA6" s="43"/>
    </row>
    <row r="7" spans="1:27" ht="15" customHeight="1" x14ac:dyDescent="0.2">
      <c r="A7" s="55" t="s">
        <v>193</v>
      </c>
      <c r="B7" s="240">
        <v>24477</v>
      </c>
      <c r="C7" s="130">
        <v>20139</v>
      </c>
      <c r="D7" s="130">
        <v>16600</v>
      </c>
      <c r="E7" s="130">
        <v>15102</v>
      </c>
      <c r="F7" s="130">
        <v>14300</v>
      </c>
      <c r="G7" s="130">
        <v>13840</v>
      </c>
      <c r="H7" s="130">
        <v>15351</v>
      </c>
      <c r="I7" s="130">
        <v>29308</v>
      </c>
      <c r="J7" s="130">
        <v>89578</v>
      </c>
      <c r="K7" s="130">
        <v>131716</v>
      </c>
      <c r="L7" s="130">
        <v>132858</v>
      </c>
      <c r="M7" s="130">
        <v>127787</v>
      </c>
      <c r="N7" s="130">
        <v>108223</v>
      </c>
      <c r="O7" s="130">
        <v>98416</v>
      </c>
      <c r="P7" s="130">
        <v>99812</v>
      </c>
      <c r="Q7" s="130">
        <v>99973</v>
      </c>
      <c r="R7" s="130">
        <v>99296</v>
      </c>
      <c r="S7" s="130">
        <v>89208</v>
      </c>
      <c r="T7" s="130">
        <v>87696</v>
      </c>
      <c r="U7" s="130">
        <v>77507</v>
      </c>
      <c r="V7" s="130">
        <v>66790</v>
      </c>
      <c r="W7" s="130">
        <v>52875</v>
      </c>
      <c r="X7" s="130">
        <v>42842</v>
      </c>
      <c r="Y7" s="131">
        <v>32992</v>
      </c>
    </row>
    <row r="8" spans="1:27" ht="15" customHeight="1" x14ac:dyDescent="0.2">
      <c r="A8" s="60" t="s">
        <v>194</v>
      </c>
      <c r="B8" s="261">
        <v>43994</v>
      </c>
      <c r="C8" s="132">
        <v>35196</v>
      </c>
      <c r="D8" s="132">
        <v>29418</v>
      </c>
      <c r="E8" s="132">
        <v>26841</v>
      </c>
      <c r="F8" s="132">
        <v>25406</v>
      </c>
      <c r="G8" s="132">
        <v>25465</v>
      </c>
      <c r="H8" s="132">
        <v>27426</v>
      </c>
      <c r="I8" s="132">
        <v>61097</v>
      </c>
      <c r="J8" s="132">
        <v>137773</v>
      </c>
      <c r="K8" s="132">
        <v>217337</v>
      </c>
      <c r="L8" s="132">
        <v>219200</v>
      </c>
      <c r="M8" s="132">
        <v>200492</v>
      </c>
      <c r="N8" s="132">
        <v>179237</v>
      </c>
      <c r="O8" s="132">
        <v>178475</v>
      </c>
      <c r="P8" s="132">
        <v>179350</v>
      </c>
      <c r="Q8" s="132">
        <v>177196</v>
      </c>
      <c r="R8" s="132">
        <v>173903</v>
      </c>
      <c r="S8" s="132">
        <v>166231</v>
      </c>
      <c r="T8" s="132">
        <v>160029</v>
      </c>
      <c r="U8" s="132">
        <v>141361</v>
      </c>
      <c r="V8" s="132">
        <v>121056</v>
      </c>
      <c r="W8" s="132">
        <v>99252</v>
      </c>
      <c r="X8" s="132">
        <v>78809</v>
      </c>
      <c r="Y8" s="133">
        <v>57893</v>
      </c>
    </row>
    <row r="9" spans="1:27" ht="15" customHeight="1" x14ac:dyDescent="0.2">
      <c r="A9" s="60" t="s">
        <v>195</v>
      </c>
      <c r="B9" s="261">
        <v>62202</v>
      </c>
      <c r="C9" s="132">
        <v>50918</v>
      </c>
      <c r="D9" s="132">
        <v>41801</v>
      </c>
      <c r="E9" s="132">
        <v>37999</v>
      </c>
      <c r="F9" s="132">
        <v>35003</v>
      </c>
      <c r="G9" s="132">
        <v>34305</v>
      </c>
      <c r="H9" s="132">
        <v>40925</v>
      </c>
      <c r="I9" s="132">
        <v>66752</v>
      </c>
      <c r="J9" s="132">
        <v>121166</v>
      </c>
      <c r="K9" s="132">
        <v>201568</v>
      </c>
      <c r="L9" s="132">
        <v>227151</v>
      </c>
      <c r="M9" s="132">
        <v>228668</v>
      </c>
      <c r="N9" s="132">
        <v>232481</v>
      </c>
      <c r="O9" s="132">
        <v>222006</v>
      </c>
      <c r="P9" s="132">
        <v>213392</v>
      </c>
      <c r="Q9" s="132">
        <v>200222</v>
      </c>
      <c r="R9" s="132">
        <v>198436</v>
      </c>
      <c r="S9" s="132">
        <v>195571</v>
      </c>
      <c r="T9" s="132">
        <v>192654</v>
      </c>
      <c r="U9" s="132">
        <v>183450</v>
      </c>
      <c r="V9" s="132">
        <v>168815</v>
      </c>
      <c r="W9" s="132">
        <v>142749</v>
      </c>
      <c r="X9" s="132">
        <v>106039</v>
      </c>
      <c r="Y9" s="133">
        <v>84028</v>
      </c>
    </row>
    <row r="10" spans="1:27" ht="15" customHeight="1" x14ac:dyDescent="0.2">
      <c r="A10" s="60" t="s">
        <v>196</v>
      </c>
      <c r="B10" s="261">
        <v>113118</v>
      </c>
      <c r="C10" s="132">
        <v>88338</v>
      </c>
      <c r="D10" s="132">
        <v>70308</v>
      </c>
      <c r="E10" s="132">
        <v>60602</v>
      </c>
      <c r="F10" s="132">
        <v>57305</v>
      </c>
      <c r="G10" s="132">
        <v>69508</v>
      </c>
      <c r="H10" s="132">
        <v>69575</v>
      </c>
      <c r="I10" s="132">
        <v>86015</v>
      </c>
      <c r="J10" s="132">
        <v>131329</v>
      </c>
      <c r="K10" s="132">
        <v>210422</v>
      </c>
      <c r="L10" s="132">
        <v>274648</v>
      </c>
      <c r="M10" s="132">
        <v>325706</v>
      </c>
      <c r="N10" s="132">
        <v>331882</v>
      </c>
      <c r="O10" s="132">
        <v>307419</v>
      </c>
      <c r="P10" s="132">
        <v>276834</v>
      </c>
      <c r="Q10" s="132">
        <v>262210</v>
      </c>
      <c r="R10" s="132">
        <v>266456</v>
      </c>
      <c r="S10" s="132">
        <v>275983</v>
      </c>
      <c r="T10" s="132">
        <v>284979</v>
      </c>
      <c r="U10" s="132">
        <v>278804</v>
      </c>
      <c r="V10" s="132">
        <v>262922</v>
      </c>
      <c r="W10" s="132">
        <v>221349</v>
      </c>
      <c r="X10" s="132">
        <v>184560</v>
      </c>
      <c r="Y10" s="133">
        <v>147209</v>
      </c>
    </row>
    <row r="11" spans="1:27" ht="15" customHeight="1" thickBot="1" x14ac:dyDescent="0.25">
      <c r="A11" s="54" t="s">
        <v>192</v>
      </c>
      <c r="B11" s="262">
        <v>152742</v>
      </c>
      <c r="C11" s="135">
        <v>125532</v>
      </c>
      <c r="D11" s="135">
        <v>99350</v>
      </c>
      <c r="E11" s="135">
        <v>92599</v>
      </c>
      <c r="F11" s="135">
        <v>88582</v>
      </c>
      <c r="G11" s="135">
        <v>86419</v>
      </c>
      <c r="H11" s="135">
        <v>64776</v>
      </c>
      <c r="I11" s="135">
        <v>60613</v>
      </c>
      <c r="J11" s="135">
        <v>88543</v>
      </c>
      <c r="K11" s="135">
        <v>136817</v>
      </c>
      <c r="L11" s="135">
        <v>182321</v>
      </c>
      <c r="M11" s="135">
        <v>220486</v>
      </c>
      <c r="N11" s="135">
        <v>231332</v>
      </c>
      <c r="O11" s="135">
        <v>226718</v>
      </c>
      <c r="P11" s="135">
        <v>222899</v>
      </c>
      <c r="Q11" s="135">
        <v>234150</v>
      </c>
      <c r="R11" s="135">
        <v>247572</v>
      </c>
      <c r="S11" s="135">
        <v>270216</v>
      </c>
      <c r="T11" s="135">
        <v>271187</v>
      </c>
      <c r="U11" s="135">
        <v>250427</v>
      </c>
      <c r="V11" s="135">
        <v>254119</v>
      </c>
      <c r="W11" s="135">
        <v>242009</v>
      </c>
      <c r="X11" s="135">
        <v>220650</v>
      </c>
      <c r="Y11" s="136">
        <v>192784</v>
      </c>
    </row>
    <row r="12" spans="1:27" ht="15" customHeight="1" thickBot="1" x14ac:dyDescent="0.25">
      <c r="A12" s="54" t="s">
        <v>5</v>
      </c>
      <c r="B12" s="262">
        <v>396533</v>
      </c>
      <c r="C12" s="134">
        <v>320123</v>
      </c>
      <c r="D12" s="134">
        <v>257477</v>
      </c>
      <c r="E12" s="134">
        <v>233143</v>
      </c>
      <c r="F12" s="134">
        <v>220596</v>
      </c>
      <c r="G12" s="134">
        <v>229537</v>
      </c>
      <c r="H12" s="134">
        <v>218053</v>
      </c>
      <c r="I12" s="134">
        <v>303785</v>
      </c>
      <c r="J12" s="134">
        <v>568389</v>
      </c>
      <c r="K12" s="134">
        <v>897860</v>
      </c>
      <c r="L12" s="134">
        <v>1036178</v>
      </c>
      <c r="M12" s="134">
        <v>1103139</v>
      </c>
      <c r="N12" s="134">
        <v>1083155</v>
      </c>
      <c r="O12" s="134">
        <v>1033034</v>
      </c>
      <c r="P12" s="134">
        <v>992287</v>
      </c>
      <c r="Q12" s="134">
        <v>973751</v>
      </c>
      <c r="R12" s="134">
        <v>985663</v>
      </c>
      <c r="S12" s="134">
        <v>997209</v>
      </c>
      <c r="T12" s="134">
        <v>996545</v>
      </c>
      <c r="U12" s="134">
        <v>931549</v>
      </c>
      <c r="V12" s="134">
        <v>873702</v>
      </c>
      <c r="W12" s="134">
        <v>758234</v>
      </c>
      <c r="X12" s="134">
        <v>632900</v>
      </c>
      <c r="Y12" s="263">
        <v>514906</v>
      </c>
    </row>
    <row r="13" spans="1:27" ht="13.5" customHeight="1" thickBot="1" x14ac:dyDescent="0.25"/>
    <row r="14" spans="1:27" ht="16.5" customHeight="1" thickBot="1" x14ac:dyDescent="0.25">
      <c r="A14" s="195"/>
      <c r="B14" s="237">
        <v>0</v>
      </c>
      <c r="C14" s="82">
        <v>4.1666666666666664E-2</v>
      </c>
      <c r="D14" s="231">
        <v>8.3333333333333329E-2</v>
      </c>
      <c r="E14" s="238">
        <v>0.125</v>
      </c>
      <c r="F14" s="82">
        <v>0.16666666666666666</v>
      </c>
      <c r="G14" s="231">
        <v>0.20833333333333334</v>
      </c>
      <c r="H14" s="231">
        <v>0.25</v>
      </c>
      <c r="I14" s="231">
        <v>0.29166666666666669</v>
      </c>
      <c r="J14" s="238">
        <v>0.33333333333333331</v>
      </c>
      <c r="K14" s="82">
        <v>0.375</v>
      </c>
      <c r="L14" s="231">
        <v>0.41666666666666669</v>
      </c>
      <c r="M14" s="231">
        <v>0.45833333333333331</v>
      </c>
      <c r="N14" s="231">
        <v>0.5</v>
      </c>
      <c r="O14" s="238">
        <v>0.54166666666666663</v>
      </c>
      <c r="P14" s="82">
        <v>0.58333333333333337</v>
      </c>
      <c r="Q14" s="231">
        <v>0.625</v>
      </c>
      <c r="R14" s="231">
        <v>0.66666666666666663</v>
      </c>
      <c r="S14" s="238">
        <v>0.70833333333333337</v>
      </c>
      <c r="T14" s="82">
        <v>0.75</v>
      </c>
      <c r="U14" s="231">
        <v>0.79166666666666663</v>
      </c>
      <c r="V14" s="231">
        <v>0.83333333333333337</v>
      </c>
      <c r="W14" s="238">
        <v>0.875</v>
      </c>
      <c r="X14" s="82">
        <v>0.91666666666666663</v>
      </c>
      <c r="Y14" s="239">
        <v>0.95833333333333337</v>
      </c>
      <c r="Z14" s="43"/>
      <c r="AA14" s="43"/>
    </row>
    <row r="15" spans="1:27" ht="15" customHeight="1" x14ac:dyDescent="0.2">
      <c r="A15" s="234" t="s">
        <v>193</v>
      </c>
      <c r="B15" s="247">
        <v>6.2E-2</v>
      </c>
      <c r="C15" s="233">
        <v>6.3E-2</v>
      </c>
      <c r="D15" s="233">
        <v>6.4000000000000001E-2</v>
      </c>
      <c r="E15" s="233">
        <v>6.5000000000000002E-2</v>
      </c>
      <c r="F15" s="233">
        <v>6.5000000000000002E-2</v>
      </c>
      <c r="G15" s="233">
        <v>0.06</v>
      </c>
      <c r="H15" s="233">
        <v>7.0000000000000007E-2</v>
      </c>
      <c r="I15" s="233">
        <v>9.6000000000000002E-2</v>
      </c>
      <c r="J15" s="233">
        <v>0.158</v>
      </c>
      <c r="K15" s="233">
        <v>0.14699999999999999</v>
      </c>
      <c r="L15" s="233">
        <v>0.128</v>
      </c>
      <c r="M15" s="233">
        <v>0.11600000000000001</v>
      </c>
      <c r="N15" s="233">
        <v>0.1</v>
      </c>
      <c r="O15" s="233">
        <v>9.5000000000000001E-2</v>
      </c>
      <c r="P15" s="233">
        <v>0.10100000000000001</v>
      </c>
      <c r="Q15" s="233">
        <v>0.10299999999999999</v>
      </c>
      <c r="R15" s="233">
        <v>0.10100000000000001</v>
      </c>
      <c r="S15" s="233">
        <v>8.8999999999999996E-2</v>
      </c>
      <c r="T15" s="233">
        <v>8.7999999999999995E-2</v>
      </c>
      <c r="U15" s="233">
        <v>8.3000000000000004E-2</v>
      </c>
      <c r="V15" s="233">
        <v>7.5999999999999998E-2</v>
      </c>
      <c r="W15" s="233">
        <v>7.0000000000000007E-2</v>
      </c>
      <c r="X15" s="233">
        <v>6.8000000000000005E-2</v>
      </c>
      <c r="Y15" s="241">
        <v>6.4000000000000001E-2</v>
      </c>
    </row>
    <row r="16" spans="1:27" ht="15" customHeight="1" x14ac:dyDescent="0.2">
      <c r="A16" s="235" t="s">
        <v>194</v>
      </c>
      <c r="B16" s="242">
        <v>0.111</v>
      </c>
      <c r="C16" s="232">
        <v>0.11</v>
      </c>
      <c r="D16" s="232">
        <v>0.114</v>
      </c>
      <c r="E16" s="232">
        <v>0.115</v>
      </c>
      <c r="F16" s="232">
        <v>0.115</v>
      </c>
      <c r="G16" s="232">
        <v>0.111</v>
      </c>
      <c r="H16" s="232">
        <v>0.126</v>
      </c>
      <c r="I16" s="232">
        <v>0.20100000000000001</v>
      </c>
      <c r="J16" s="232">
        <v>0.24199999999999999</v>
      </c>
      <c r="K16" s="232">
        <v>0.24199999999999999</v>
      </c>
      <c r="L16" s="232">
        <v>0.21199999999999999</v>
      </c>
      <c r="M16" s="232">
        <v>0.182</v>
      </c>
      <c r="N16" s="232">
        <v>0.16500000000000001</v>
      </c>
      <c r="O16" s="232">
        <v>0.17299999999999999</v>
      </c>
      <c r="P16" s="232">
        <v>0.18099999999999999</v>
      </c>
      <c r="Q16" s="232">
        <v>0.182</v>
      </c>
      <c r="R16" s="232">
        <v>0.17599999999999999</v>
      </c>
      <c r="S16" s="232">
        <v>0.16700000000000001</v>
      </c>
      <c r="T16" s="232">
        <v>0.161</v>
      </c>
      <c r="U16" s="232">
        <v>0.152</v>
      </c>
      <c r="V16" s="232">
        <v>0.13900000000000001</v>
      </c>
      <c r="W16" s="232">
        <v>0.13100000000000001</v>
      </c>
      <c r="X16" s="232">
        <v>0.125</v>
      </c>
      <c r="Y16" s="243">
        <v>0.112</v>
      </c>
    </row>
    <row r="17" spans="1:26" ht="15" customHeight="1" x14ac:dyDescent="0.2">
      <c r="A17" s="235" t="s">
        <v>195</v>
      </c>
      <c r="B17" s="242">
        <v>0.157</v>
      </c>
      <c r="C17" s="232">
        <v>0.159</v>
      </c>
      <c r="D17" s="232">
        <v>0.16200000000000001</v>
      </c>
      <c r="E17" s="232">
        <v>0.16300000000000001</v>
      </c>
      <c r="F17" s="232">
        <v>0.159</v>
      </c>
      <c r="G17" s="232">
        <v>0.14899999999999999</v>
      </c>
      <c r="H17" s="232">
        <v>0.188</v>
      </c>
      <c r="I17" s="232">
        <v>0.22</v>
      </c>
      <c r="J17" s="232">
        <v>0.21299999999999999</v>
      </c>
      <c r="K17" s="232">
        <v>0.224</v>
      </c>
      <c r="L17" s="232">
        <v>0.219</v>
      </c>
      <c r="M17" s="232">
        <v>0.20699999999999999</v>
      </c>
      <c r="N17" s="232">
        <v>0.215</v>
      </c>
      <c r="O17" s="232">
        <v>0.215</v>
      </c>
      <c r="P17" s="232">
        <v>0.215</v>
      </c>
      <c r="Q17" s="232">
        <v>0.20599999999999999</v>
      </c>
      <c r="R17" s="232">
        <v>0.20100000000000001</v>
      </c>
      <c r="S17" s="232">
        <v>0.19600000000000001</v>
      </c>
      <c r="T17" s="232">
        <v>0.193</v>
      </c>
      <c r="U17" s="232">
        <v>0.19700000000000001</v>
      </c>
      <c r="V17" s="232">
        <v>0.193</v>
      </c>
      <c r="W17" s="232">
        <v>0.188</v>
      </c>
      <c r="X17" s="232">
        <v>0.16800000000000001</v>
      </c>
      <c r="Y17" s="243">
        <v>0.16300000000000001</v>
      </c>
    </row>
    <row r="18" spans="1:26" ht="15" customHeight="1" x14ac:dyDescent="0.2">
      <c r="A18" s="235" t="s">
        <v>196</v>
      </c>
      <c r="B18" s="242">
        <v>0.28499999999999998</v>
      </c>
      <c r="C18" s="232">
        <v>0.27600000000000002</v>
      </c>
      <c r="D18" s="232">
        <v>0.27300000000000002</v>
      </c>
      <c r="E18" s="232">
        <v>0.26</v>
      </c>
      <c r="F18" s="232">
        <v>0.26</v>
      </c>
      <c r="G18" s="232">
        <v>0.30299999999999999</v>
      </c>
      <c r="H18" s="232">
        <v>0.31900000000000001</v>
      </c>
      <c r="I18" s="232">
        <v>0.28299999999999997</v>
      </c>
      <c r="J18" s="232">
        <v>0.23100000000000001</v>
      </c>
      <c r="K18" s="232">
        <v>0.23400000000000001</v>
      </c>
      <c r="L18" s="232">
        <v>0.26500000000000001</v>
      </c>
      <c r="M18" s="232">
        <v>0.29499999999999998</v>
      </c>
      <c r="N18" s="232">
        <v>0.30599999999999999</v>
      </c>
      <c r="O18" s="232">
        <v>0.29799999999999999</v>
      </c>
      <c r="P18" s="232">
        <v>0.27900000000000003</v>
      </c>
      <c r="Q18" s="232">
        <v>0.26900000000000002</v>
      </c>
      <c r="R18" s="232">
        <v>0.27</v>
      </c>
      <c r="S18" s="232">
        <v>0.27700000000000002</v>
      </c>
      <c r="T18" s="232">
        <v>0.28599999999999998</v>
      </c>
      <c r="U18" s="232">
        <v>0.29899999999999999</v>
      </c>
      <c r="V18" s="232">
        <v>0.30099999999999999</v>
      </c>
      <c r="W18" s="232">
        <v>0.29199999999999998</v>
      </c>
      <c r="X18" s="232">
        <v>0.29199999999999998</v>
      </c>
      <c r="Y18" s="243">
        <v>0.28599999999999998</v>
      </c>
    </row>
    <row r="19" spans="1:26" ht="15" customHeight="1" thickBot="1" x14ac:dyDescent="0.25">
      <c r="A19" s="236" t="s">
        <v>192</v>
      </c>
      <c r="B19" s="244">
        <v>0.38500000000000001</v>
      </c>
      <c r="C19" s="245">
        <v>0.39200000000000002</v>
      </c>
      <c r="D19" s="245">
        <v>0.38600000000000001</v>
      </c>
      <c r="E19" s="245">
        <v>0.39700000000000002</v>
      </c>
      <c r="F19" s="245">
        <v>0.40200000000000002</v>
      </c>
      <c r="G19" s="245">
        <v>0.376</v>
      </c>
      <c r="H19" s="245">
        <v>0.29699999999999999</v>
      </c>
      <c r="I19" s="245">
        <v>0.2</v>
      </c>
      <c r="J19" s="245">
        <v>0.156</v>
      </c>
      <c r="K19" s="245">
        <v>0.152</v>
      </c>
      <c r="L19" s="245">
        <v>0.17599999999999999</v>
      </c>
      <c r="M19" s="245">
        <v>0.2</v>
      </c>
      <c r="N19" s="245">
        <v>0.214</v>
      </c>
      <c r="O19" s="245">
        <v>0.219</v>
      </c>
      <c r="P19" s="245">
        <v>0.22500000000000001</v>
      </c>
      <c r="Q19" s="245">
        <v>0.24</v>
      </c>
      <c r="R19" s="245">
        <v>0.251</v>
      </c>
      <c r="S19" s="245">
        <v>0.27100000000000002</v>
      </c>
      <c r="T19" s="245">
        <v>0.27200000000000002</v>
      </c>
      <c r="U19" s="245">
        <v>0.26900000000000002</v>
      </c>
      <c r="V19" s="245">
        <v>0.29099999999999998</v>
      </c>
      <c r="W19" s="245">
        <v>0.31900000000000001</v>
      </c>
      <c r="X19" s="245">
        <v>0.34899999999999998</v>
      </c>
      <c r="Y19" s="246">
        <v>0.374</v>
      </c>
    </row>
    <row r="20" spans="1:26" x14ac:dyDescent="0.2">
      <c r="A20" s="121"/>
      <c r="B20" s="12"/>
      <c r="C20" s="12"/>
      <c r="D20" s="12"/>
      <c r="E20" s="12"/>
      <c r="F20" s="12"/>
      <c r="G20" s="12"/>
      <c r="H20" s="29"/>
      <c r="I20" s="29"/>
      <c r="J20" s="341"/>
      <c r="K20" s="29"/>
      <c r="L20" s="29"/>
      <c r="M20" s="29"/>
      <c r="N20" s="29"/>
      <c r="O20" s="29"/>
      <c r="P20" s="29"/>
      <c r="Q20" s="29"/>
      <c r="R20" s="29"/>
      <c r="S20" s="29"/>
      <c r="T20" s="29"/>
      <c r="U20" s="29"/>
      <c r="V20" s="29"/>
      <c r="W20" s="29"/>
      <c r="X20" s="29"/>
      <c r="Y20" s="29"/>
    </row>
    <row r="21" spans="1:26" ht="13.15" customHeight="1" x14ac:dyDescent="0.2">
      <c r="A21" s="416" t="s">
        <v>466</v>
      </c>
      <c r="B21" s="416"/>
      <c r="C21" s="416"/>
      <c r="D21" s="416"/>
      <c r="E21" s="416"/>
      <c r="F21" s="416"/>
      <c r="G21" s="416"/>
      <c r="H21" s="416"/>
      <c r="I21" s="416"/>
      <c r="J21" s="416"/>
      <c r="K21" s="416"/>
      <c r="L21" s="29"/>
    </row>
    <row r="22" spans="1:26" ht="15" customHeight="1" x14ac:dyDescent="0.2">
      <c r="A22" s="416" t="s">
        <v>312</v>
      </c>
      <c r="B22" s="416"/>
      <c r="C22" s="416"/>
      <c r="D22" s="416"/>
      <c r="E22" s="416"/>
      <c r="F22" s="416"/>
      <c r="G22" s="416"/>
      <c r="H22" s="416"/>
      <c r="I22" s="416"/>
      <c r="J22" s="416"/>
      <c r="K22" s="416"/>
      <c r="L22" s="29"/>
    </row>
    <row r="23" spans="1:26" ht="15" customHeight="1" x14ac:dyDescent="0.2">
      <c r="A23" s="310"/>
      <c r="B23" s="310"/>
      <c r="C23" s="310"/>
      <c r="D23" s="310"/>
      <c r="E23" s="310"/>
      <c r="F23" s="310"/>
      <c r="G23" s="310"/>
      <c r="H23" s="310"/>
      <c r="I23" s="310"/>
      <c r="J23" s="310"/>
      <c r="K23" s="310"/>
      <c r="L23" s="29"/>
    </row>
    <row r="24" spans="1:26" ht="15" thickBot="1" x14ac:dyDescent="0.25">
      <c r="A24" s="429" t="s">
        <v>1</v>
      </c>
      <c r="B24" s="429"/>
      <c r="C24" s="429"/>
      <c r="D24" s="429"/>
      <c r="E24" s="429"/>
      <c r="F24" s="429"/>
      <c r="G24" s="429"/>
      <c r="H24" s="429"/>
      <c r="I24" s="429"/>
      <c r="J24" s="429"/>
    </row>
    <row r="25" spans="1:26" ht="14.25" customHeight="1" x14ac:dyDescent="0.2">
      <c r="A25" s="313" t="s">
        <v>428</v>
      </c>
      <c r="B25" s="313"/>
      <c r="C25" s="313"/>
      <c r="D25" s="313"/>
      <c r="E25" s="313"/>
      <c r="F25" s="313"/>
      <c r="G25" s="313"/>
      <c r="H25" s="313"/>
      <c r="I25" s="313"/>
      <c r="J25" s="313"/>
      <c r="K25" s="189"/>
      <c r="L25" s="189"/>
      <c r="M25" s="189"/>
      <c r="N25" s="189"/>
      <c r="O25" s="189"/>
      <c r="P25" s="189"/>
      <c r="Q25" s="189"/>
      <c r="R25" s="189"/>
      <c r="S25" s="189"/>
      <c r="T25" s="189"/>
      <c r="U25" s="189"/>
      <c r="V25" s="189"/>
      <c r="W25" s="189"/>
      <c r="X25" s="189"/>
      <c r="Y25" s="189"/>
      <c r="Z25" s="189"/>
    </row>
    <row r="26" spans="1:26" x14ac:dyDescent="0.2">
      <c r="A26" s="412" t="s">
        <v>510</v>
      </c>
      <c r="B26" s="412"/>
      <c r="C26" s="412"/>
      <c r="D26" s="412"/>
      <c r="E26" s="412"/>
      <c r="F26" s="412"/>
      <c r="G26" s="412"/>
      <c r="K26" s="99"/>
      <c r="L26" s="99"/>
      <c r="M26" s="99"/>
      <c r="N26" s="99"/>
      <c r="O26" s="99"/>
      <c r="P26" s="99"/>
      <c r="Q26" s="99"/>
      <c r="R26" s="99"/>
      <c r="S26" s="99"/>
      <c r="T26" s="99"/>
      <c r="U26" s="99"/>
      <c r="V26" s="99"/>
      <c r="W26" s="99"/>
      <c r="X26" s="99"/>
      <c r="Y26" s="99"/>
      <c r="Z26" s="99"/>
    </row>
    <row r="27" spans="1:26" x14ac:dyDescent="0.2">
      <c r="A27" s="408" t="s">
        <v>156</v>
      </c>
      <c r="B27" s="408"/>
      <c r="C27" s="408"/>
      <c r="D27" s="408"/>
      <c r="E27" s="408"/>
      <c r="F27" s="408"/>
      <c r="G27" s="408"/>
      <c r="H27" s="408"/>
      <c r="I27" s="408"/>
      <c r="J27" s="408"/>
      <c r="K27" s="99"/>
      <c r="L27" s="99"/>
      <c r="M27" s="99"/>
      <c r="N27" s="99"/>
      <c r="O27" s="99"/>
      <c r="P27" s="99"/>
      <c r="Q27" s="99"/>
      <c r="R27" s="99"/>
      <c r="S27" s="99"/>
      <c r="T27" s="99"/>
      <c r="U27" s="99"/>
      <c r="V27" s="99"/>
      <c r="W27" s="99"/>
      <c r="X27" s="99"/>
      <c r="Y27" s="99"/>
      <c r="Z27" s="99"/>
    </row>
    <row r="28" spans="1:26" ht="15" thickBot="1" x14ac:dyDescent="0.25">
      <c r="A28" s="409" t="s">
        <v>442</v>
      </c>
      <c r="B28" s="409"/>
      <c r="C28" s="409"/>
      <c r="D28" s="409"/>
      <c r="E28" s="409"/>
      <c r="F28" s="409"/>
      <c r="G28" s="409"/>
      <c r="H28" s="409"/>
      <c r="I28" s="409"/>
      <c r="J28" s="409"/>
      <c r="K28" s="190"/>
      <c r="L28" s="190"/>
      <c r="M28" s="190"/>
      <c r="N28" s="190"/>
      <c r="O28" s="190"/>
      <c r="P28" s="190"/>
      <c r="Q28" s="190"/>
      <c r="R28" s="190"/>
      <c r="S28" s="190"/>
      <c r="T28" s="190"/>
      <c r="U28" s="190"/>
      <c r="V28" s="190"/>
      <c r="W28" s="190"/>
      <c r="X28" s="190"/>
      <c r="Y28" s="190"/>
      <c r="Z28" s="190"/>
    </row>
    <row r="29" spans="1:26" x14ac:dyDescent="0.2">
      <c r="A29" s="29"/>
      <c r="B29" s="30"/>
      <c r="C29" s="30"/>
      <c r="D29" s="30"/>
      <c r="E29" s="30"/>
      <c r="F29" s="30"/>
      <c r="G29" s="30"/>
    </row>
    <row r="30" spans="1:26" x14ac:dyDescent="0.2">
      <c r="A30" s="410" t="s">
        <v>157</v>
      </c>
      <c r="B30" s="410"/>
      <c r="C30" s="30"/>
      <c r="D30" s="30"/>
      <c r="E30" s="30"/>
      <c r="F30" s="30"/>
      <c r="G30" s="31"/>
    </row>
    <row r="31" spans="1:26" s="44" customFormat="1" x14ac:dyDescent="0.2">
      <c r="A31" s="11"/>
      <c r="B31" s="30"/>
      <c r="C31" s="30"/>
      <c r="D31" s="30"/>
      <c r="E31" s="30"/>
      <c r="F31" s="30"/>
      <c r="G31" s="28"/>
      <c r="H31" s="28"/>
      <c r="I31" s="28"/>
      <c r="J31" s="28"/>
      <c r="K31" s="28"/>
      <c r="L31" s="28"/>
      <c r="M31" s="28"/>
      <c r="N31" s="28"/>
      <c r="O31" s="28"/>
      <c r="P31" s="28"/>
      <c r="Q31" s="28"/>
      <c r="R31" s="28"/>
    </row>
    <row r="32" spans="1:26" s="44" customFormat="1" x14ac:dyDescent="0.2"/>
    <row r="33" spans="1:25" s="44" customFormat="1" x14ac:dyDescent="0.2">
      <c r="B33" s="45"/>
      <c r="C33" s="45"/>
      <c r="D33" s="45"/>
      <c r="E33" s="45"/>
      <c r="F33" s="45"/>
      <c r="G33" s="45"/>
      <c r="H33" s="45"/>
      <c r="I33" s="45"/>
      <c r="J33" s="45"/>
      <c r="K33" s="45"/>
      <c r="L33" s="45"/>
      <c r="M33" s="45"/>
      <c r="N33" s="45"/>
      <c r="O33" s="45"/>
      <c r="P33" s="45"/>
      <c r="Q33" s="45"/>
      <c r="R33" s="45"/>
      <c r="S33" s="45"/>
      <c r="T33" s="45"/>
      <c r="U33" s="45"/>
      <c r="V33" s="45"/>
      <c r="W33" s="45"/>
      <c r="X33" s="45"/>
      <c r="Y33" s="45"/>
    </row>
    <row r="34" spans="1:25" s="44" customFormat="1" x14ac:dyDescent="0.2"/>
    <row r="35" spans="1:25" s="44" customFormat="1" x14ac:dyDescent="0.2"/>
    <row r="36" spans="1:25" x14ac:dyDescent="0.2">
      <c r="A36" s="44"/>
      <c r="B36" s="44"/>
      <c r="C36" s="44"/>
      <c r="D36" s="44"/>
      <c r="E36" s="44"/>
      <c r="F36" s="44"/>
      <c r="G36" s="44"/>
      <c r="H36" s="44"/>
      <c r="I36" s="44"/>
      <c r="J36" s="44"/>
      <c r="K36" s="44"/>
      <c r="L36" s="44"/>
      <c r="M36" s="44"/>
      <c r="N36" s="44"/>
      <c r="O36" s="44"/>
      <c r="P36" s="44"/>
      <c r="Q36" s="44"/>
      <c r="R36" s="44"/>
    </row>
  </sheetData>
  <mergeCells count="10">
    <mergeCell ref="A27:J27"/>
    <mergeCell ref="A28:J28"/>
    <mergeCell ref="A30:B30"/>
    <mergeCell ref="A2:K2"/>
    <mergeCell ref="A3:K3"/>
    <mergeCell ref="A24:J24"/>
    <mergeCell ref="A26:G26"/>
    <mergeCell ref="A21:K21"/>
    <mergeCell ref="A22:K22"/>
    <mergeCell ref="A4:J4"/>
  </mergeCells>
  <hyperlinks>
    <hyperlink ref="A27:F27" r:id="rId1" display="Contact via enquiries@NHSDigital.nhs.uk or 0300 303 5678" xr:uid="{00000000-0004-0000-0900-000000000000}"/>
    <hyperlink ref="A30" location="Contents!A1" display="Return to Contents" xr:uid="{00000000-0004-0000-0900-000001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P28"/>
  <sheetViews>
    <sheetView workbookViewId="0">
      <selection sqref="A1:C1"/>
    </sheetView>
  </sheetViews>
  <sheetFormatPr defaultColWidth="9.140625" defaultRowHeight="14.25" x14ac:dyDescent="0.2"/>
  <cols>
    <col min="1" max="1" width="17.85546875" style="28" customWidth="1"/>
    <col min="2" max="16384" width="9.140625" style="28"/>
  </cols>
  <sheetData>
    <row r="1" spans="1:16" ht="15" customHeight="1" x14ac:dyDescent="0.2"/>
    <row r="2" spans="1:16" ht="48.75" customHeight="1" x14ac:dyDescent="0.2">
      <c r="A2" s="404" t="s">
        <v>444</v>
      </c>
      <c r="B2" s="404"/>
      <c r="C2" s="404"/>
      <c r="D2" s="404"/>
      <c r="E2" s="404"/>
      <c r="F2" s="404"/>
      <c r="G2" s="404"/>
      <c r="H2" s="404"/>
      <c r="I2" s="404"/>
      <c r="J2" s="404"/>
      <c r="K2" s="404"/>
      <c r="L2" s="404"/>
      <c r="M2" s="98"/>
    </row>
    <row r="3" spans="1:16" ht="17.25" customHeight="1" x14ac:dyDescent="0.2">
      <c r="A3" s="413" t="s">
        <v>235</v>
      </c>
      <c r="B3" s="413"/>
      <c r="C3" s="413"/>
      <c r="D3" s="413"/>
      <c r="E3" s="413"/>
      <c r="F3" s="413"/>
      <c r="G3" s="413"/>
      <c r="H3" s="413"/>
      <c r="I3" s="413"/>
      <c r="J3" s="413"/>
      <c r="K3" s="413"/>
      <c r="L3" s="15"/>
    </row>
    <row r="4" spans="1:16" ht="17.25" customHeight="1" x14ac:dyDescent="0.2">
      <c r="A4" s="413" t="s">
        <v>432</v>
      </c>
      <c r="B4" s="413"/>
      <c r="C4" s="413"/>
      <c r="D4" s="413"/>
      <c r="E4" s="413"/>
      <c r="F4" s="413"/>
      <c r="G4" s="413"/>
      <c r="H4" s="315"/>
      <c r="I4" s="315"/>
      <c r="J4" s="315"/>
      <c r="K4" s="315"/>
      <c r="L4" s="15"/>
    </row>
    <row r="5" spans="1:16" ht="13.5" customHeight="1" thickBot="1" x14ac:dyDescent="0.25"/>
    <row r="6" spans="1:16" ht="16.5" customHeight="1" thickBot="1" x14ac:dyDescent="0.25">
      <c r="A6" s="192"/>
      <c r="B6" s="9" t="s">
        <v>161</v>
      </c>
      <c r="C6" s="9" t="s">
        <v>0</v>
      </c>
      <c r="D6" s="9" t="s">
        <v>155</v>
      </c>
      <c r="E6" s="9" t="s">
        <v>172</v>
      </c>
      <c r="F6" s="9" t="s">
        <v>243</v>
      </c>
      <c r="G6" s="9" t="s">
        <v>313</v>
      </c>
      <c r="H6" s="10" t="s">
        <v>440</v>
      </c>
    </row>
    <row r="7" spans="1:16" ht="15" customHeight="1" thickBot="1" x14ac:dyDescent="0.25">
      <c r="A7" s="61" t="s">
        <v>226</v>
      </c>
      <c r="B7" s="63">
        <v>102578</v>
      </c>
      <c r="C7" s="63">
        <v>172079</v>
      </c>
      <c r="D7" s="63">
        <v>197111</v>
      </c>
      <c r="E7" s="63">
        <v>262367</v>
      </c>
      <c r="F7" s="63">
        <v>332995</v>
      </c>
      <c r="G7" s="63">
        <v>329961</v>
      </c>
      <c r="H7" s="64">
        <v>522720</v>
      </c>
    </row>
    <row r="8" spans="1:16" x14ac:dyDescent="0.2">
      <c r="A8" s="20"/>
      <c r="B8" s="93"/>
      <c r="C8" s="94"/>
      <c r="D8" s="94"/>
      <c r="E8" s="94"/>
      <c r="F8" s="94"/>
      <c r="G8" s="94"/>
      <c r="H8" s="94"/>
      <c r="I8" s="342"/>
      <c r="J8" s="342"/>
      <c r="K8" s="94"/>
      <c r="L8" s="46"/>
      <c r="M8" s="44"/>
      <c r="N8" s="44"/>
      <c r="O8" s="44"/>
      <c r="P8" s="44"/>
    </row>
    <row r="9" spans="1:16" ht="13.15" customHeight="1" x14ac:dyDescent="0.2">
      <c r="A9" s="416" t="s">
        <v>445</v>
      </c>
      <c r="B9" s="416"/>
      <c r="C9" s="416"/>
      <c r="D9" s="416"/>
      <c r="E9" s="416"/>
      <c r="F9" s="416"/>
      <c r="G9" s="416"/>
      <c r="H9" s="416"/>
      <c r="I9" s="416"/>
      <c r="J9" s="416"/>
      <c r="K9" s="416"/>
      <c r="L9" s="29"/>
    </row>
    <row r="10" spans="1:16" ht="15" customHeight="1" x14ac:dyDescent="0.2">
      <c r="A10" s="416" t="s">
        <v>312</v>
      </c>
      <c r="B10" s="416"/>
      <c r="C10" s="416"/>
      <c r="D10" s="416"/>
      <c r="E10" s="416"/>
      <c r="F10" s="416"/>
      <c r="G10" s="416"/>
      <c r="H10" s="416"/>
      <c r="I10" s="416"/>
      <c r="J10" s="416"/>
      <c r="K10" s="416"/>
      <c r="L10" s="29"/>
    </row>
    <row r="11" spans="1:16" x14ac:dyDescent="0.2">
      <c r="A11" s="20"/>
      <c r="B11" s="93"/>
      <c r="C11" s="93"/>
      <c r="D11" s="93"/>
      <c r="E11" s="93"/>
      <c r="F11" s="93"/>
      <c r="G11" s="93"/>
      <c r="H11" s="93"/>
      <c r="I11" s="93"/>
      <c r="J11" s="93"/>
      <c r="K11" s="93"/>
      <c r="L11" s="46"/>
      <c r="M11" s="44"/>
      <c r="N11" s="44"/>
      <c r="O11" s="44"/>
      <c r="P11" s="44"/>
    </row>
    <row r="12" spans="1:16" ht="48.75" customHeight="1" x14ac:dyDescent="0.2">
      <c r="A12" s="404" t="s">
        <v>446</v>
      </c>
      <c r="B12" s="404"/>
      <c r="C12" s="404"/>
      <c r="D12" s="404"/>
      <c r="E12" s="404"/>
      <c r="F12" s="404"/>
      <c r="G12" s="404"/>
      <c r="H12" s="404"/>
      <c r="I12" s="404"/>
      <c r="J12" s="404"/>
      <c r="K12" s="404"/>
      <c r="L12" s="404"/>
      <c r="M12" s="98"/>
    </row>
    <row r="13" spans="1:16" ht="30" customHeight="1" x14ac:dyDescent="0.2">
      <c r="A13" s="413" t="s">
        <v>235</v>
      </c>
      <c r="B13" s="413"/>
      <c r="C13" s="413"/>
      <c r="D13" s="413"/>
      <c r="E13" s="413"/>
      <c r="F13" s="413"/>
      <c r="G13" s="413"/>
      <c r="H13" s="413"/>
      <c r="I13" s="413"/>
      <c r="J13" s="413"/>
      <c r="K13" s="413"/>
      <c r="L13" s="15"/>
    </row>
    <row r="14" spans="1:16" ht="13.5" customHeight="1" thickBot="1" x14ac:dyDescent="0.25">
      <c r="A14" s="11"/>
      <c r="B14" s="16"/>
      <c r="C14" s="17"/>
      <c r="D14" s="17"/>
      <c r="E14" s="17"/>
      <c r="F14" s="17"/>
      <c r="G14" s="17"/>
      <c r="H14" s="17"/>
      <c r="I14" s="17"/>
      <c r="J14" s="17"/>
      <c r="K14" s="17"/>
      <c r="L14" s="29"/>
    </row>
    <row r="15" spans="1:16" ht="16.5" customHeight="1" thickBot="1" x14ac:dyDescent="0.25">
      <c r="A15" s="192"/>
      <c r="B15" s="353" t="s">
        <v>161</v>
      </c>
      <c r="C15" s="9" t="s">
        <v>0</v>
      </c>
      <c r="D15" s="9" t="s">
        <v>155</v>
      </c>
      <c r="E15" s="9" t="s">
        <v>172</v>
      </c>
      <c r="F15" s="9" t="s">
        <v>243</v>
      </c>
      <c r="G15" s="9" t="s">
        <v>313</v>
      </c>
      <c r="H15" s="10" t="s">
        <v>440</v>
      </c>
    </row>
    <row r="16" spans="1:16" ht="15" customHeight="1" thickBot="1" x14ac:dyDescent="0.25">
      <c r="A16" s="62" t="s">
        <v>226</v>
      </c>
      <c r="B16" s="361">
        <v>240</v>
      </c>
      <c r="C16" s="359">
        <v>1243</v>
      </c>
      <c r="D16" s="359">
        <v>1014</v>
      </c>
      <c r="E16" s="359">
        <v>3502</v>
      </c>
      <c r="F16" s="359">
        <v>3471</v>
      </c>
      <c r="G16" s="359">
        <v>3260</v>
      </c>
      <c r="H16" s="360">
        <v>12435</v>
      </c>
    </row>
    <row r="17" spans="1:13" x14ac:dyDescent="0.2">
      <c r="A17" s="11"/>
      <c r="B17" s="12"/>
      <c r="C17" s="12"/>
      <c r="D17" s="12"/>
      <c r="E17" s="12"/>
      <c r="F17" s="12"/>
      <c r="G17" s="12"/>
      <c r="H17" s="29"/>
      <c r="I17" s="29"/>
      <c r="J17" s="29"/>
      <c r="K17" s="29"/>
      <c r="L17" s="29"/>
    </row>
    <row r="18" spans="1:13" ht="13.5" customHeight="1" x14ac:dyDescent="0.2">
      <c r="A18" s="430" t="s">
        <v>436</v>
      </c>
      <c r="B18" s="430"/>
      <c r="C18" s="430"/>
      <c r="D18" s="430"/>
      <c r="E18" s="430"/>
      <c r="F18" s="430"/>
      <c r="G18" s="430"/>
      <c r="H18" s="430"/>
      <c r="I18" s="430"/>
      <c r="J18" s="430"/>
      <c r="K18" s="430"/>
      <c r="L18" s="430"/>
    </row>
    <row r="19" spans="1:13" x14ac:dyDescent="0.2">
      <c r="A19" s="406" t="s">
        <v>499</v>
      </c>
      <c r="B19" s="406"/>
      <c r="C19" s="406"/>
      <c r="D19" s="406"/>
      <c r="E19" s="406"/>
      <c r="F19" s="406"/>
      <c r="G19" s="406"/>
      <c r="H19" s="406"/>
      <c r="I19" s="406"/>
      <c r="J19" s="406"/>
      <c r="K19" s="406"/>
      <c r="L19" s="406"/>
    </row>
    <row r="20" spans="1:13" ht="13.5" customHeight="1" x14ac:dyDescent="0.2">
      <c r="A20" s="103"/>
      <c r="B20" s="103"/>
      <c r="C20" s="103"/>
      <c r="D20" s="103"/>
      <c r="E20" s="103"/>
      <c r="F20" s="103"/>
      <c r="G20" s="103"/>
      <c r="H20" s="99"/>
      <c r="I20" s="103"/>
      <c r="J20" s="103"/>
      <c r="K20" s="29"/>
      <c r="L20" s="29"/>
    </row>
    <row r="21" spans="1:13" ht="15" customHeight="1" thickBot="1" x14ac:dyDescent="0.25">
      <c r="A21" s="429" t="s">
        <v>1</v>
      </c>
      <c r="B21" s="429"/>
      <c r="C21" s="429"/>
      <c r="D21" s="429"/>
      <c r="E21" s="429"/>
      <c r="F21" s="429"/>
      <c r="G21" s="429"/>
      <c r="H21" s="429"/>
      <c r="I21" s="429"/>
      <c r="J21" s="429"/>
      <c r="K21" s="429"/>
      <c r="L21" s="429"/>
    </row>
    <row r="22" spans="1:13" ht="14.25" customHeight="1" x14ac:dyDescent="0.2">
      <c r="A22" s="313" t="s">
        <v>428</v>
      </c>
      <c r="B22" s="313"/>
      <c r="C22" s="313"/>
      <c r="D22" s="313"/>
      <c r="E22" s="313"/>
      <c r="F22" s="313"/>
      <c r="G22" s="313"/>
      <c r="H22" s="313"/>
      <c r="I22" s="313"/>
      <c r="J22" s="313"/>
      <c r="K22" s="313"/>
      <c r="L22" s="313"/>
      <c r="M22" s="313"/>
    </row>
    <row r="23" spans="1:13" ht="14.25" customHeight="1" x14ac:dyDescent="0.2">
      <c r="A23" s="412" t="s">
        <v>510</v>
      </c>
      <c r="B23" s="412"/>
      <c r="C23" s="412"/>
      <c r="D23" s="412"/>
      <c r="E23" s="412"/>
      <c r="F23" s="412"/>
      <c r="G23" s="412"/>
      <c r="H23" s="412"/>
      <c r="I23" s="412"/>
      <c r="J23" s="412"/>
      <c r="K23" s="412"/>
      <c r="L23" s="412"/>
    </row>
    <row r="24" spans="1:13" ht="14.25" customHeight="1" x14ac:dyDescent="0.2">
      <c r="A24" s="408" t="s">
        <v>156</v>
      </c>
      <c r="B24" s="408"/>
      <c r="C24" s="408"/>
      <c r="D24" s="408"/>
      <c r="E24" s="408"/>
      <c r="F24" s="408"/>
      <c r="G24" s="408"/>
      <c r="H24" s="408"/>
      <c r="I24" s="408"/>
      <c r="J24" s="408"/>
      <c r="K24" s="408"/>
      <c r="L24" s="408"/>
    </row>
    <row r="25" spans="1:13" ht="15" customHeight="1" thickBot="1" x14ac:dyDescent="0.25">
      <c r="A25" s="409" t="s">
        <v>442</v>
      </c>
      <c r="B25" s="409"/>
      <c r="C25" s="409"/>
      <c r="D25" s="409"/>
      <c r="E25" s="409"/>
      <c r="F25" s="409"/>
      <c r="G25" s="409"/>
      <c r="H25" s="409"/>
      <c r="I25" s="409"/>
      <c r="J25" s="409"/>
      <c r="K25" s="409"/>
      <c r="L25" s="409"/>
    </row>
    <row r="26" spans="1:13" x14ac:dyDescent="0.2">
      <c r="A26" s="29"/>
      <c r="B26" s="30"/>
      <c r="C26" s="30"/>
      <c r="D26" s="30"/>
      <c r="E26" s="30"/>
      <c r="F26" s="30"/>
      <c r="G26" s="30"/>
    </row>
    <row r="27" spans="1:13" x14ac:dyDescent="0.2">
      <c r="A27" s="410" t="s">
        <v>157</v>
      </c>
      <c r="B27" s="410"/>
      <c r="C27" s="30"/>
      <c r="D27" s="30"/>
      <c r="E27" s="30"/>
      <c r="F27" s="30"/>
      <c r="G27" s="31"/>
    </row>
    <row r="28" spans="1:13" x14ac:dyDescent="0.2">
      <c r="A28" s="11"/>
      <c r="B28" s="30"/>
      <c r="C28" s="30"/>
      <c r="D28" s="30"/>
      <c r="E28" s="30"/>
      <c r="F28" s="30"/>
    </row>
  </sheetData>
  <mergeCells count="14">
    <mergeCell ref="A12:L12"/>
    <mergeCell ref="A2:L2"/>
    <mergeCell ref="A18:L18"/>
    <mergeCell ref="A27:B27"/>
    <mergeCell ref="A3:K3"/>
    <mergeCell ref="A13:K13"/>
    <mergeCell ref="A19:L19"/>
    <mergeCell ref="A21:L21"/>
    <mergeCell ref="A25:L25"/>
    <mergeCell ref="A24:L24"/>
    <mergeCell ref="A23:L23"/>
    <mergeCell ref="A9:K9"/>
    <mergeCell ref="A10:K10"/>
    <mergeCell ref="A4:G4"/>
  </mergeCells>
  <hyperlinks>
    <hyperlink ref="A24:F24" r:id="rId1" display="Contact via enquiries@NHSDigital.nhs.uk or 0300 303 5678" xr:uid="{00000000-0004-0000-0A00-000000000000}"/>
    <hyperlink ref="A27" location="Contents!A1" display="Return to Contents" xr:uid="{00000000-0004-0000-0A00-000001000000}"/>
    <hyperlink ref="A19" r:id="rId2" display="https://www.england.nhs.uk/statistics/statistical-work-areas/ae-waiting-times-and-activity/ae-attendances-and-emergency-admissions-2018-19/" xr:uid="{941305DC-E543-451A-A432-10A56CB16761}"/>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B29"/>
  <sheetViews>
    <sheetView workbookViewId="0">
      <selection sqref="A1:C1"/>
    </sheetView>
  </sheetViews>
  <sheetFormatPr defaultColWidth="9.140625" defaultRowHeight="14.25" x14ac:dyDescent="0.2"/>
  <cols>
    <col min="1" max="1" width="12.85546875" style="28" customWidth="1"/>
    <col min="2" max="25" width="8.5703125" style="28" customWidth="1"/>
    <col min="26" max="26" width="11.42578125" style="28" customWidth="1"/>
    <col min="27" max="27" width="9.85546875" style="28" bestFit="1" customWidth="1"/>
    <col min="28" max="16384" width="9.140625" style="28"/>
  </cols>
  <sheetData>
    <row r="1" spans="1:28" ht="15" customHeight="1" x14ac:dyDescent="0.2"/>
    <row r="2" spans="1:28" ht="48.75" customHeight="1" x14ac:dyDescent="0.2">
      <c r="A2" s="404" t="s">
        <v>467</v>
      </c>
      <c r="B2" s="404"/>
      <c r="C2" s="404"/>
      <c r="D2" s="404"/>
      <c r="E2" s="404"/>
      <c r="F2" s="404"/>
      <c r="G2" s="404"/>
      <c r="H2" s="404"/>
      <c r="I2" s="404"/>
      <c r="J2" s="404"/>
      <c r="K2" s="404"/>
      <c r="L2" s="404"/>
    </row>
    <row r="3" spans="1:28" ht="17.25" customHeight="1" x14ac:dyDescent="0.2">
      <c r="A3" s="413" t="s">
        <v>235</v>
      </c>
      <c r="B3" s="413"/>
      <c r="C3" s="413"/>
      <c r="D3" s="413"/>
      <c r="E3" s="413"/>
      <c r="F3" s="413"/>
      <c r="G3" s="413"/>
      <c r="H3" s="413"/>
      <c r="I3" s="413"/>
      <c r="J3" s="413"/>
      <c r="K3" s="413"/>
    </row>
    <row r="4" spans="1:28" ht="17.25" customHeight="1" x14ac:dyDescent="0.2">
      <c r="A4" s="413" t="s">
        <v>431</v>
      </c>
      <c r="B4" s="413"/>
      <c r="C4" s="413"/>
      <c r="D4" s="413"/>
      <c r="E4" s="413"/>
      <c r="F4" s="413"/>
      <c r="G4" s="413"/>
      <c r="H4" s="315"/>
      <c r="I4" s="315"/>
      <c r="J4" s="315"/>
      <c r="K4" s="315"/>
    </row>
    <row r="5" spans="1:28" ht="13.5" customHeight="1" thickBot="1" x14ac:dyDescent="0.25"/>
    <row r="6" spans="1:28" ht="16.5" customHeight="1" thickBot="1" x14ac:dyDescent="0.25">
      <c r="A6" s="195"/>
      <c r="B6" s="82" t="s">
        <v>26</v>
      </c>
      <c r="C6" s="83" t="s">
        <v>27</v>
      </c>
      <c r="D6" s="83" t="s">
        <v>28</v>
      </c>
      <c r="E6" s="83" t="s">
        <v>29</v>
      </c>
      <c r="F6" s="83" t="s">
        <v>30</v>
      </c>
      <c r="G6" s="83" t="s">
        <v>31</v>
      </c>
      <c r="H6" s="83" t="s">
        <v>32</v>
      </c>
      <c r="I6" s="83" t="s">
        <v>33</v>
      </c>
      <c r="J6" s="83" t="s">
        <v>34</v>
      </c>
      <c r="K6" s="83" t="s">
        <v>35</v>
      </c>
      <c r="L6" s="83" t="s">
        <v>36</v>
      </c>
      <c r="M6" s="83" t="s">
        <v>37</v>
      </c>
      <c r="N6" s="83" t="s">
        <v>38</v>
      </c>
      <c r="O6" s="83" t="s">
        <v>39</v>
      </c>
      <c r="P6" s="83" t="s">
        <v>40</v>
      </c>
      <c r="Q6" s="84" t="s">
        <v>41</v>
      </c>
      <c r="R6" s="82" t="s">
        <v>42</v>
      </c>
      <c r="S6" s="83" t="s">
        <v>43</v>
      </c>
      <c r="T6" s="84" t="s">
        <v>44</v>
      </c>
      <c r="U6" s="84" t="s">
        <v>45</v>
      </c>
      <c r="V6" s="82" t="s">
        <v>46</v>
      </c>
      <c r="W6" s="84" t="s">
        <v>47</v>
      </c>
      <c r="X6" s="82" t="s">
        <v>48</v>
      </c>
      <c r="Y6" s="85" t="s">
        <v>49</v>
      </c>
      <c r="Z6" s="85" t="s">
        <v>5</v>
      </c>
      <c r="AA6" s="43"/>
      <c r="AB6" s="43"/>
    </row>
    <row r="7" spans="1:28" ht="15" customHeight="1" x14ac:dyDescent="0.2">
      <c r="A7" s="67" t="s">
        <v>19</v>
      </c>
      <c r="B7" s="75">
        <v>61488</v>
      </c>
      <c r="C7" s="204">
        <v>48277</v>
      </c>
      <c r="D7" s="204">
        <v>38618</v>
      </c>
      <c r="E7" s="204">
        <v>34846</v>
      </c>
      <c r="F7" s="204">
        <v>32676</v>
      </c>
      <c r="G7" s="204">
        <v>34861</v>
      </c>
      <c r="H7" s="204">
        <v>35779</v>
      </c>
      <c r="I7" s="204">
        <v>59177</v>
      </c>
      <c r="J7" s="204">
        <v>160609</v>
      </c>
      <c r="K7" s="204">
        <v>256826</v>
      </c>
      <c r="L7" s="204">
        <v>276163</v>
      </c>
      <c r="M7" s="204">
        <v>275986</v>
      </c>
      <c r="N7" s="204">
        <v>260134</v>
      </c>
      <c r="O7" s="204">
        <v>242323</v>
      </c>
      <c r="P7" s="204">
        <v>231697</v>
      </c>
      <c r="Q7" s="204">
        <v>225630</v>
      </c>
      <c r="R7" s="204">
        <v>228618</v>
      </c>
      <c r="S7" s="204">
        <v>225214</v>
      </c>
      <c r="T7" s="204">
        <v>226177</v>
      </c>
      <c r="U7" s="204">
        <v>198375</v>
      </c>
      <c r="V7" s="204">
        <v>163635</v>
      </c>
      <c r="W7" s="204">
        <v>131625</v>
      </c>
      <c r="X7" s="204">
        <v>103160</v>
      </c>
      <c r="Y7" s="205">
        <v>79884</v>
      </c>
      <c r="Z7" s="248">
        <v>3631778</v>
      </c>
    </row>
    <row r="8" spans="1:28" ht="15" customHeight="1" x14ac:dyDescent="0.2">
      <c r="A8" s="68" t="s">
        <v>20</v>
      </c>
      <c r="B8" s="76">
        <v>59286</v>
      </c>
      <c r="C8" s="206">
        <v>46046</v>
      </c>
      <c r="D8" s="206">
        <v>36507</v>
      </c>
      <c r="E8" s="206">
        <v>32937</v>
      </c>
      <c r="F8" s="206">
        <v>31297</v>
      </c>
      <c r="G8" s="206">
        <v>33421</v>
      </c>
      <c r="H8" s="206">
        <v>33307</v>
      </c>
      <c r="I8" s="206">
        <v>54520</v>
      </c>
      <c r="J8" s="206">
        <v>144394</v>
      </c>
      <c r="K8" s="206">
        <v>221772</v>
      </c>
      <c r="L8" s="206">
        <v>237346</v>
      </c>
      <c r="M8" s="206">
        <v>237853</v>
      </c>
      <c r="N8" s="206">
        <v>227442</v>
      </c>
      <c r="O8" s="206">
        <v>214822</v>
      </c>
      <c r="P8" s="206">
        <v>207258</v>
      </c>
      <c r="Q8" s="206">
        <v>204437</v>
      </c>
      <c r="R8" s="206">
        <v>207947</v>
      </c>
      <c r="S8" s="206">
        <v>207211</v>
      </c>
      <c r="T8" s="206">
        <v>212639</v>
      </c>
      <c r="U8" s="206">
        <v>188586</v>
      </c>
      <c r="V8" s="206">
        <v>157377</v>
      </c>
      <c r="W8" s="206">
        <v>127127</v>
      </c>
      <c r="X8" s="206">
        <v>100414</v>
      </c>
      <c r="Y8" s="207">
        <v>78436</v>
      </c>
      <c r="Z8" s="249">
        <v>3302382</v>
      </c>
    </row>
    <row r="9" spans="1:28" ht="15" customHeight="1" x14ac:dyDescent="0.2">
      <c r="A9" s="68" t="s">
        <v>21</v>
      </c>
      <c r="B9" s="76">
        <v>57278</v>
      </c>
      <c r="C9" s="206">
        <v>45433</v>
      </c>
      <c r="D9" s="206">
        <v>35708</v>
      </c>
      <c r="E9" s="206">
        <v>32755</v>
      </c>
      <c r="F9" s="206">
        <v>30754</v>
      </c>
      <c r="G9" s="206">
        <v>32157</v>
      </c>
      <c r="H9" s="206">
        <v>32109</v>
      </c>
      <c r="I9" s="206">
        <v>51554</v>
      </c>
      <c r="J9" s="206">
        <v>135355</v>
      </c>
      <c r="K9" s="206">
        <v>210484</v>
      </c>
      <c r="L9" s="206">
        <v>222592</v>
      </c>
      <c r="M9" s="206">
        <v>226426</v>
      </c>
      <c r="N9" s="206">
        <v>219085</v>
      </c>
      <c r="O9" s="206">
        <v>208507</v>
      </c>
      <c r="P9" s="206">
        <v>201900</v>
      </c>
      <c r="Q9" s="206">
        <v>198600</v>
      </c>
      <c r="R9" s="206">
        <v>203198</v>
      </c>
      <c r="S9" s="206">
        <v>200852</v>
      </c>
      <c r="T9" s="206">
        <v>206048</v>
      </c>
      <c r="U9" s="206">
        <v>184112</v>
      </c>
      <c r="V9" s="206">
        <v>154653</v>
      </c>
      <c r="W9" s="206">
        <v>125535</v>
      </c>
      <c r="X9" s="206">
        <v>99529</v>
      </c>
      <c r="Y9" s="207">
        <v>78389</v>
      </c>
      <c r="Z9" s="249">
        <v>3193013</v>
      </c>
    </row>
    <row r="10" spans="1:28" ht="15" customHeight="1" x14ac:dyDescent="0.2">
      <c r="A10" s="68" t="s">
        <v>22</v>
      </c>
      <c r="B10" s="76">
        <v>57234</v>
      </c>
      <c r="C10" s="206">
        <v>44874</v>
      </c>
      <c r="D10" s="206">
        <v>35579</v>
      </c>
      <c r="E10" s="206">
        <v>32583</v>
      </c>
      <c r="F10" s="206">
        <v>30435</v>
      </c>
      <c r="G10" s="206">
        <v>32223</v>
      </c>
      <c r="H10" s="206">
        <v>31909</v>
      </c>
      <c r="I10" s="206">
        <v>51411</v>
      </c>
      <c r="J10" s="206">
        <v>135026</v>
      </c>
      <c r="K10" s="206">
        <v>208279</v>
      </c>
      <c r="L10" s="206">
        <v>221794</v>
      </c>
      <c r="M10" s="206">
        <v>226414</v>
      </c>
      <c r="N10" s="206">
        <v>218353</v>
      </c>
      <c r="O10" s="206">
        <v>208948</v>
      </c>
      <c r="P10" s="206">
        <v>201093</v>
      </c>
      <c r="Q10" s="206">
        <v>196048</v>
      </c>
      <c r="R10" s="206">
        <v>198520</v>
      </c>
      <c r="S10" s="206">
        <v>196939</v>
      </c>
      <c r="T10" s="206">
        <v>201406</v>
      </c>
      <c r="U10" s="206">
        <v>181032</v>
      </c>
      <c r="V10" s="206">
        <v>153768</v>
      </c>
      <c r="W10" s="206">
        <v>126481</v>
      </c>
      <c r="X10" s="206">
        <v>99678</v>
      </c>
      <c r="Y10" s="207">
        <v>78309</v>
      </c>
      <c r="Z10" s="249">
        <v>3168336</v>
      </c>
    </row>
    <row r="11" spans="1:28" ht="15" customHeight="1" x14ac:dyDescent="0.2">
      <c r="A11" s="68" t="s">
        <v>23</v>
      </c>
      <c r="B11" s="76">
        <v>58083</v>
      </c>
      <c r="C11" s="206">
        <v>45997</v>
      </c>
      <c r="D11" s="206">
        <v>36754</v>
      </c>
      <c r="E11" s="206">
        <v>32649</v>
      </c>
      <c r="F11" s="206">
        <v>31304</v>
      </c>
      <c r="G11" s="206">
        <v>32547</v>
      </c>
      <c r="H11" s="206">
        <v>32234</v>
      </c>
      <c r="I11" s="206">
        <v>51656</v>
      </c>
      <c r="J11" s="206">
        <v>137563</v>
      </c>
      <c r="K11" s="206">
        <v>203721</v>
      </c>
      <c r="L11" s="206">
        <v>219484</v>
      </c>
      <c r="M11" s="206">
        <v>223421</v>
      </c>
      <c r="N11" s="206">
        <v>214082</v>
      </c>
      <c r="O11" s="206">
        <v>206291</v>
      </c>
      <c r="P11" s="206">
        <v>201305</v>
      </c>
      <c r="Q11" s="206">
        <v>195039</v>
      </c>
      <c r="R11" s="206">
        <v>201356</v>
      </c>
      <c r="S11" s="206">
        <v>199024</v>
      </c>
      <c r="T11" s="206">
        <v>193097</v>
      </c>
      <c r="U11" s="206">
        <v>169525</v>
      </c>
      <c r="V11" s="206">
        <v>147182</v>
      </c>
      <c r="W11" s="206">
        <v>123178</v>
      </c>
      <c r="X11" s="206">
        <v>100995</v>
      </c>
      <c r="Y11" s="207">
        <v>82763</v>
      </c>
      <c r="Z11" s="249">
        <v>3139250</v>
      </c>
    </row>
    <row r="12" spans="1:28" ht="15" customHeight="1" x14ac:dyDescent="0.2">
      <c r="A12" s="68" t="s">
        <v>24</v>
      </c>
      <c r="B12" s="76">
        <v>64825</v>
      </c>
      <c r="C12" s="206">
        <v>53710</v>
      </c>
      <c r="D12" s="206">
        <v>44113</v>
      </c>
      <c r="E12" s="206">
        <v>39454</v>
      </c>
      <c r="F12" s="206">
        <v>37537</v>
      </c>
      <c r="G12" s="206">
        <v>38553</v>
      </c>
      <c r="H12" s="206">
        <v>36628</v>
      </c>
      <c r="I12" s="206">
        <v>56836</v>
      </c>
      <c r="J12" s="206">
        <v>143035</v>
      </c>
      <c r="K12" s="206">
        <v>183344</v>
      </c>
      <c r="L12" s="206">
        <v>216001</v>
      </c>
      <c r="M12" s="206">
        <v>221816</v>
      </c>
      <c r="N12" s="206">
        <v>213249</v>
      </c>
      <c r="O12" s="206">
        <v>203637</v>
      </c>
      <c r="P12" s="206">
        <v>200536</v>
      </c>
      <c r="Q12" s="206">
        <v>196233</v>
      </c>
      <c r="R12" s="206">
        <v>185706</v>
      </c>
      <c r="S12" s="206">
        <v>175808</v>
      </c>
      <c r="T12" s="206">
        <v>163127</v>
      </c>
      <c r="U12" s="206">
        <v>150644</v>
      </c>
      <c r="V12" s="206">
        <v>138318</v>
      </c>
      <c r="W12" s="206">
        <v>120028</v>
      </c>
      <c r="X12" s="206">
        <v>102888</v>
      </c>
      <c r="Y12" s="207">
        <v>85586</v>
      </c>
      <c r="Z12" s="249">
        <v>3071612</v>
      </c>
    </row>
    <row r="13" spans="1:28" ht="15" customHeight="1" thickBot="1" x14ac:dyDescent="0.25">
      <c r="A13" s="69" t="s">
        <v>25</v>
      </c>
      <c r="B13" s="77">
        <v>69817</v>
      </c>
      <c r="C13" s="208">
        <v>58522</v>
      </c>
      <c r="D13" s="208">
        <v>47672</v>
      </c>
      <c r="E13" s="208">
        <v>43003</v>
      </c>
      <c r="F13" s="208">
        <v>40437</v>
      </c>
      <c r="G13" s="208">
        <v>40883</v>
      </c>
      <c r="H13" s="208">
        <v>37940</v>
      </c>
      <c r="I13" s="208">
        <v>57142</v>
      </c>
      <c r="J13" s="208">
        <v>139398</v>
      </c>
      <c r="K13" s="208">
        <v>185702</v>
      </c>
      <c r="L13" s="208">
        <v>225304</v>
      </c>
      <c r="M13" s="208">
        <v>231294</v>
      </c>
      <c r="N13" s="208">
        <v>221183</v>
      </c>
      <c r="O13" s="208">
        <v>209297</v>
      </c>
      <c r="P13" s="208">
        <v>200512</v>
      </c>
      <c r="Q13" s="208">
        <v>192867</v>
      </c>
      <c r="R13" s="208">
        <v>182966</v>
      </c>
      <c r="S13" s="208">
        <v>176129</v>
      </c>
      <c r="T13" s="208">
        <v>166690</v>
      </c>
      <c r="U13" s="208">
        <v>157515</v>
      </c>
      <c r="V13" s="208">
        <v>143133</v>
      </c>
      <c r="W13" s="208">
        <v>121517</v>
      </c>
      <c r="X13" s="208">
        <v>98425</v>
      </c>
      <c r="Y13" s="209">
        <v>79232</v>
      </c>
      <c r="Z13" s="250">
        <v>3126580</v>
      </c>
      <c r="AA13" s="352"/>
    </row>
    <row r="14" spans="1:28" x14ac:dyDescent="0.2">
      <c r="A14" s="121"/>
      <c r="B14" s="122"/>
      <c r="C14" s="122"/>
      <c r="D14" s="122"/>
      <c r="E14" s="122"/>
      <c r="F14" s="122"/>
      <c r="G14" s="122"/>
      <c r="H14" s="123"/>
      <c r="I14" s="123"/>
      <c r="J14" s="123"/>
      <c r="K14" s="29"/>
      <c r="L14" s="29"/>
      <c r="M14" s="29"/>
      <c r="N14" s="29"/>
      <c r="O14" s="29"/>
      <c r="P14" s="29"/>
      <c r="Q14" s="117"/>
      <c r="R14" s="29"/>
      <c r="S14" s="117"/>
      <c r="T14" s="29"/>
      <c r="U14" s="29"/>
      <c r="V14" s="29"/>
      <c r="W14" s="29"/>
      <c r="X14" s="29"/>
      <c r="Y14" s="29"/>
    </row>
    <row r="15" spans="1:28" ht="13.15" customHeight="1" x14ac:dyDescent="0.2">
      <c r="A15" s="416" t="s">
        <v>450</v>
      </c>
      <c r="B15" s="416"/>
      <c r="C15" s="416"/>
      <c r="D15" s="416"/>
      <c r="E15" s="416"/>
      <c r="F15" s="416"/>
      <c r="G15" s="416"/>
      <c r="H15" s="416"/>
      <c r="I15" s="416"/>
      <c r="J15" s="416"/>
      <c r="K15" s="416"/>
      <c r="L15" s="29"/>
    </row>
    <row r="16" spans="1:28" ht="15" customHeight="1" x14ac:dyDescent="0.2">
      <c r="A16" s="416" t="s">
        <v>312</v>
      </c>
      <c r="B16" s="416"/>
      <c r="C16" s="416"/>
      <c r="D16" s="416"/>
      <c r="E16" s="416"/>
      <c r="F16" s="416"/>
      <c r="G16" s="416"/>
      <c r="H16" s="416"/>
      <c r="I16" s="416"/>
      <c r="J16" s="416"/>
      <c r="K16" s="416"/>
      <c r="L16" s="29"/>
    </row>
    <row r="17" spans="1:27" x14ac:dyDescent="0.2">
      <c r="A17" s="20"/>
      <c r="B17" s="93"/>
      <c r="C17" s="93"/>
      <c r="D17" s="93"/>
      <c r="E17" s="93"/>
      <c r="F17" s="93"/>
      <c r="G17" s="93"/>
      <c r="H17" s="93"/>
      <c r="I17" s="93"/>
      <c r="J17" s="93"/>
      <c r="K17" s="93"/>
      <c r="L17" s="46"/>
      <c r="M17" s="44"/>
      <c r="N17" s="44"/>
      <c r="O17" s="44"/>
      <c r="P17" s="44"/>
    </row>
    <row r="18" spans="1:27" ht="15" thickBot="1" x14ac:dyDescent="0.25">
      <c r="A18" s="429" t="s">
        <v>1</v>
      </c>
      <c r="B18" s="429"/>
      <c r="C18" s="429"/>
      <c r="D18" s="429"/>
      <c r="E18" s="429"/>
      <c r="F18" s="429"/>
      <c r="G18" s="429"/>
      <c r="H18" s="429"/>
      <c r="I18" s="429"/>
      <c r="J18" s="429"/>
    </row>
    <row r="19" spans="1:27" ht="14.25" customHeight="1" x14ac:dyDescent="0.2">
      <c r="A19" s="313" t="s">
        <v>428</v>
      </c>
      <c r="B19" s="313"/>
      <c r="C19" s="313"/>
      <c r="D19" s="313"/>
      <c r="E19" s="313"/>
      <c r="F19" s="313"/>
      <c r="G19" s="313"/>
      <c r="H19" s="313"/>
      <c r="I19" s="313"/>
      <c r="J19" s="313"/>
      <c r="K19" s="189"/>
      <c r="L19" s="189"/>
      <c r="M19" s="189"/>
      <c r="N19" s="189"/>
      <c r="O19" s="189"/>
      <c r="P19" s="189"/>
      <c r="Q19" s="189"/>
      <c r="R19" s="189"/>
      <c r="S19" s="189"/>
      <c r="T19" s="189"/>
      <c r="U19" s="189"/>
      <c r="V19" s="189"/>
      <c r="W19" s="189"/>
      <c r="X19" s="189"/>
      <c r="Y19" s="189"/>
      <c r="Z19" s="189"/>
    </row>
    <row r="20" spans="1:27" x14ac:dyDescent="0.2">
      <c r="A20" s="412" t="s">
        <v>510</v>
      </c>
      <c r="B20" s="412"/>
      <c r="C20" s="412"/>
      <c r="D20" s="412"/>
      <c r="E20" s="412"/>
      <c r="F20" s="412"/>
      <c r="G20" s="412"/>
      <c r="K20" s="99"/>
      <c r="L20" s="99"/>
      <c r="M20" s="99"/>
      <c r="N20" s="99"/>
      <c r="O20" s="99"/>
      <c r="P20" s="99"/>
      <c r="Q20" s="99"/>
      <c r="R20" s="99"/>
      <c r="S20" s="99"/>
      <c r="T20" s="99"/>
      <c r="U20" s="99"/>
      <c r="V20" s="99"/>
      <c r="W20" s="99"/>
      <c r="X20" s="99"/>
      <c r="Y20" s="99"/>
      <c r="Z20" s="99"/>
    </row>
    <row r="21" spans="1:27" x14ac:dyDescent="0.2">
      <c r="A21" s="408" t="s">
        <v>156</v>
      </c>
      <c r="B21" s="408"/>
      <c r="C21" s="408"/>
      <c r="D21" s="408"/>
      <c r="E21" s="408"/>
      <c r="F21" s="408"/>
      <c r="G21" s="408"/>
      <c r="H21" s="408"/>
      <c r="I21" s="408"/>
      <c r="J21" s="408"/>
      <c r="K21" s="99"/>
      <c r="L21" s="99"/>
      <c r="M21" s="99"/>
      <c r="N21" s="99"/>
      <c r="O21" s="99"/>
      <c r="P21" s="99"/>
      <c r="Q21" s="99"/>
      <c r="R21" s="99"/>
      <c r="S21" s="99"/>
      <c r="T21" s="99"/>
      <c r="U21" s="99"/>
      <c r="V21" s="99"/>
      <c r="W21" s="99"/>
      <c r="X21" s="99"/>
      <c r="Y21" s="99"/>
      <c r="Z21" s="99"/>
    </row>
    <row r="22" spans="1:27" ht="15" thickBot="1" x14ac:dyDescent="0.25">
      <c r="A22" s="409" t="s">
        <v>442</v>
      </c>
      <c r="B22" s="409"/>
      <c r="C22" s="409"/>
      <c r="D22" s="409"/>
      <c r="E22" s="409"/>
      <c r="F22" s="409"/>
      <c r="G22" s="409"/>
      <c r="H22" s="409"/>
      <c r="I22" s="409"/>
      <c r="J22" s="409"/>
      <c r="K22" s="190"/>
      <c r="L22" s="190"/>
      <c r="M22" s="190"/>
      <c r="N22" s="190"/>
      <c r="O22" s="190"/>
      <c r="P22" s="190"/>
      <c r="Q22" s="190"/>
      <c r="R22" s="190"/>
      <c r="S22" s="190"/>
      <c r="T22" s="190"/>
      <c r="U22" s="190"/>
      <c r="V22" s="190"/>
      <c r="W22" s="190"/>
      <c r="X22" s="190"/>
      <c r="Y22" s="190"/>
      <c r="Z22" s="190"/>
    </row>
    <row r="23" spans="1:27" x14ac:dyDescent="0.2">
      <c r="A23" s="29"/>
      <c r="B23" s="30"/>
      <c r="C23" s="30"/>
      <c r="D23" s="30"/>
      <c r="E23" s="30"/>
      <c r="F23" s="30"/>
      <c r="G23" s="30"/>
    </row>
    <row r="24" spans="1:27" x14ac:dyDescent="0.2">
      <c r="A24" s="410" t="s">
        <v>157</v>
      </c>
      <c r="B24" s="410"/>
      <c r="C24" s="30"/>
      <c r="D24" s="30"/>
      <c r="E24" s="30"/>
      <c r="F24" s="30"/>
      <c r="G24" s="31"/>
    </row>
    <row r="25" spans="1:27" x14ac:dyDescent="0.2">
      <c r="A25" s="11"/>
      <c r="B25" s="30"/>
      <c r="C25" s="30"/>
      <c r="D25" s="30"/>
      <c r="E25" s="30"/>
      <c r="F25" s="30"/>
    </row>
    <row r="26" spans="1:27" x14ac:dyDescent="0.2">
      <c r="A26" s="11"/>
      <c r="B26" s="31"/>
      <c r="C26" s="31"/>
      <c r="D26" s="31"/>
      <c r="E26" s="31"/>
      <c r="F26" s="31"/>
      <c r="S26" s="45"/>
      <c r="T26" s="45"/>
      <c r="U26" s="45"/>
      <c r="V26" s="45"/>
      <c r="W26" s="45"/>
      <c r="X26" s="45"/>
      <c r="Y26" s="45"/>
    </row>
    <row r="27" spans="1:27" x14ac:dyDescent="0.2">
      <c r="B27" s="45"/>
      <c r="C27" s="45"/>
      <c r="D27" s="45"/>
      <c r="E27" s="45"/>
      <c r="F27" s="45"/>
      <c r="G27" s="45"/>
      <c r="H27" s="45"/>
      <c r="I27" s="45"/>
      <c r="J27" s="45"/>
      <c r="K27" s="45"/>
      <c r="L27" s="45"/>
      <c r="M27" s="45"/>
      <c r="N27" s="45"/>
      <c r="O27" s="45"/>
      <c r="P27" s="45"/>
      <c r="Q27" s="45"/>
      <c r="R27" s="45"/>
    </row>
    <row r="29" spans="1:27" x14ac:dyDescent="0.2">
      <c r="D29" s="45"/>
      <c r="E29" s="45"/>
      <c r="F29" s="45"/>
      <c r="G29" s="45"/>
      <c r="H29" s="45"/>
      <c r="I29" s="45"/>
      <c r="J29" s="45"/>
      <c r="K29" s="45"/>
      <c r="L29" s="45"/>
      <c r="M29" s="45"/>
      <c r="N29" s="45"/>
      <c r="O29" s="45"/>
      <c r="P29" s="45"/>
      <c r="Q29" s="45"/>
      <c r="R29" s="45"/>
      <c r="S29" s="45"/>
      <c r="T29" s="45"/>
      <c r="U29" s="45"/>
      <c r="V29" s="45"/>
      <c r="W29" s="45"/>
      <c r="X29" s="45"/>
      <c r="Y29" s="45"/>
      <c r="Z29" s="45"/>
      <c r="AA29" s="45"/>
    </row>
  </sheetData>
  <mergeCells count="10">
    <mergeCell ref="A21:J21"/>
    <mergeCell ref="A22:J22"/>
    <mergeCell ref="A24:B24"/>
    <mergeCell ref="A2:L2"/>
    <mergeCell ref="A3:K3"/>
    <mergeCell ref="A18:J18"/>
    <mergeCell ref="A20:G20"/>
    <mergeCell ref="A15:K15"/>
    <mergeCell ref="A16:K16"/>
    <mergeCell ref="A4:G4"/>
  </mergeCells>
  <hyperlinks>
    <hyperlink ref="A21:F21" r:id="rId1" display="Contact via enquiries@NHSDigital.nhs.uk or 0300 303 5678" xr:uid="{00000000-0004-0000-0B00-000000000000}"/>
    <hyperlink ref="A24" location="Contents!A1" display="Return to Contents" xr:uid="{00000000-0004-0000-0B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Z26"/>
  <sheetViews>
    <sheetView workbookViewId="0">
      <selection sqref="A1:C1"/>
    </sheetView>
  </sheetViews>
  <sheetFormatPr defaultColWidth="9.140625" defaultRowHeight="14.25" x14ac:dyDescent="0.2"/>
  <cols>
    <col min="1" max="1" width="27.140625" style="28" customWidth="1"/>
    <col min="2" max="25" width="9.28515625" style="28" customWidth="1"/>
    <col min="26" max="16384" width="9.140625" style="28"/>
  </cols>
  <sheetData>
    <row r="1" spans="1:26" ht="15" customHeight="1" x14ac:dyDescent="0.2"/>
    <row r="2" spans="1:26" ht="49.9" customHeight="1" x14ac:dyDescent="0.2">
      <c r="A2" s="404" t="s">
        <v>447</v>
      </c>
      <c r="B2" s="404"/>
      <c r="C2" s="404"/>
      <c r="D2" s="404"/>
      <c r="E2" s="404"/>
      <c r="F2" s="404"/>
      <c r="G2" s="404"/>
      <c r="H2" s="404"/>
      <c r="I2" s="404"/>
      <c r="J2" s="404"/>
      <c r="K2" s="404"/>
      <c r="L2" s="404"/>
      <c r="M2" s="404"/>
      <c r="N2" s="404"/>
    </row>
    <row r="3" spans="1:26" ht="17.25" customHeight="1" x14ac:dyDescent="0.2">
      <c r="A3" s="413" t="s">
        <v>235</v>
      </c>
      <c r="B3" s="413"/>
      <c r="C3" s="413"/>
      <c r="D3" s="413"/>
      <c r="E3" s="413"/>
      <c r="F3" s="413"/>
      <c r="G3" s="413"/>
      <c r="H3" s="413"/>
      <c r="I3" s="413"/>
      <c r="J3" s="413"/>
      <c r="K3" s="413"/>
    </row>
    <row r="4" spans="1:26" ht="17.25" customHeight="1" x14ac:dyDescent="0.2">
      <c r="A4" s="413" t="s">
        <v>432</v>
      </c>
      <c r="B4" s="413"/>
      <c r="C4" s="413"/>
      <c r="D4" s="413"/>
      <c r="E4" s="413"/>
      <c r="F4" s="413"/>
      <c r="G4" s="413"/>
      <c r="H4" s="315"/>
      <c r="I4" s="315"/>
      <c r="J4" s="315"/>
      <c r="K4" s="315"/>
    </row>
    <row r="5" spans="1:26" ht="13.5" customHeight="1" thickBot="1" x14ac:dyDescent="0.25"/>
    <row r="6" spans="1:26" ht="16.5" customHeight="1" thickBot="1" x14ac:dyDescent="0.25">
      <c r="A6" s="196"/>
      <c r="B6" s="82">
        <v>0</v>
      </c>
      <c r="C6" s="83" t="s">
        <v>27</v>
      </c>
      <c r="D6" s="83" t="s">
        <v>28</v>
      </c>
      <c r="E6" s="83" t="s">
        <v>29</v>
      </c>
      <c r="F6" s="83" t="s">
        <v>30</v>
      </c>
      <c r="G6" s="83" t="s">
        <v>31</v>
      </c>
      <c r="H6" s="83" t="s">
        <v>32</v>
      </c>
      <c r="I6" s="83" t="s">
        <v>33</v>
      </c>
      <c r="J6" s="83" t="s">
        <v>34</v>
      </c>
      <c r="K6" s="83" t="s">
        <v>35</v>
      </c>
      <c r="L6" s="83" t="s">
        <v>36</v>
      </c>
      <c r="M6" s="83" t="s">
        <v>37</v>
      </c>
      <c r="N6" s="83" t="s">
        <v>38</v>
      </c>
      <c r="O6" s="83" t="s">
        <v>39</v>
      </c>
      <c r="P6" s="83" t="s">
        <v>40</v>
      </c>
      <c r="Q6" s="84" t="s">
        <v>41</v>
      </c>
      <c r="R6" s="82" t="s">
        <v>42</v>
      </c>
      <c r="S6" s="83" t="s">
        <v>43</v>
      </c>
      <c r="T6" s="84" t="s">
        <v>44</v>
      </c>
      <c r="U6" s="84" t="s">
        <v>45</v>
      </c>
      <c r="V6" s="82" t="s">
        <v>46</v>
      </c>
      <c r="W6" s="84" t="s">
        <v>47</v>
      </c>
      <c r="X6" s="82" t="s">
        <v>48</v>
      </c>
      <c r="Y6" s="85" t="s">
        <v>49</v>
      </c>
    </row>
    <row r="7" spans="1:26" ht="42" customHeight="1" x14ac:dyDescent="0.2">
      <c r="A7" s="172" t="s">
        <v>302</v>
      </c>
      <c r="B7" s="251">
        <v>172066</v>
      </c>
      <c r="C7" s="70">
        <v>152692</v>
      </c>
      <c r="D7" s="70">
        <v>124236</v>
      </c>
      <c r="E7" s="70">
        <v>118844</v>
      </c>
      <c r="F7" s="70">
        <v>117253</v>
      </c>
      <c r="G7" s="70">
        <v>127792</v>
      </c>
      <c r="H7" s="70">
        <v>89233</v>
      </c>
      <c r="I7" s="70">
        <v>90254</v>
      </c>
      <c r="J7" s="70">
        <v>140686</v>
      </c>
      <c r="K7" s="70">
        <v>188815</v>
      </c>
      <c r="L7" s="70">
        <v>219856</v>
      </c>
      <c r="M7" s="70">
        <v>245473</v>
      </c>
      <c r="N7" s="70">
        <v>253285</v>
      </c>
      <c r="O7" s="70">
        <v>261019</v>
      </c>
      <c r="P7" s="70">
        <v>256190</v>
      </c>
      <c r="Q7" s="70">
        <v>267978</v>
      </c>
      <c r="R7" s="70">
        <v>260955</v>
      </c>
      <c r="S7" s="70">
        <v>279522</v>
      </c>
      <c r="T7" s="70">
        <v>248828</v>
      </c>
      <c r="U7" s="70">
        <v>223947</v>
      </c>
      <c r="V7" s="70">
        <v>248763</v>
      </c>
      <c r="W7" s="70">
        <v>240825</v>
      </c>
      <c r="X7" s="70">
        <v>220215</v>
      </c>
      <c r="Y7" s="71">
        <v>201431</v>
      </c>
    </row>
    <row r="8" spans="1:26" ht="15" customHeight="1" x14ac:dyDescent="0.2">
      <c r="A8" s="173" t="s">
        <v>5</v>
      </c>
      <c r="B8" s="252">
        <v>427582</v>
      </c>
      <c r="C8" s="119">
        <v>342554</v>
      </c>
      <c r="D8" s="119">
        <v>274687</v>
      </c>
      <c r="E8" s="119">
        <v>248007</v>
      </c>
      <c r="F8" s="119">
        <v>234229</v>
      </c>
      <c r="G8" s="119">
        <v>244404</v>
      </c>
      <c r="H8" s="119">
        <v>239623</v>
      </c>
      <c r="I8" s="119">
        <v>379636</v>
      </c>
      <c r="J8" s="119">
        <v>958566</v>
      </c>
      <c r="K8" s="119">
        <v>1425613</v>
      </c>
      <c r="L8" s="119">
        <v>1588584</v>
      </c>
      <c r="M8" s="119">
        <v>1624296</v>
      </c>
      <c r="N8" s="119">
        <v>1560922</v>
      </c>
      <c r="O8" s="119">
        <v>1479188</v>
      </c>
      <c r="P8" s="119">
        <v>1429654</v>
      </c>
      <c r="Q8" s="119">
        <v>1396641</v>
      </c>
      <c r="R8" s="119">
        <v>1399581</v>
      </c>
      <c r="S8" s="119">
        <v>1375031</v>
      </c>
      <c r="T8" s="119">
        <v>1364084</v>
      </c>
      <c r="U8" s="119">
        <v>1226549</v>
      </c>
      <c r="V8" s="119">
        <v>1056224</v>
      </c>
      <c r="W8" s="119">
        <v>874241</v>
      </c>
      <c r="X8" s="119">
        <v>704284</v>
      </c>
      <c r="Y8" s="120">
        <v>562073</v>
      </c>
    </row>
    <row r="9" spans="1:26" ht="15" customHeight="1" thickBot="1" x14ac:dyDescent="0.25">
      <c r="A9" s="174" t="s">
        <v>2</v>
      </c>
      <c r="B9" s="253">
        <v>0.40241637861275698</v>
      </c>
      <c r="C9" s="58">
        <v>0.44574578022735101</v>
      </c>
      <c r="D9" s="58">
        <v>0.45228205193547599</v>
      </c>
      <c r="E9" s="58">
        <v>0.47919615172152402</v>
      </c>
      <c r="F9" s="58">
        <v>0.50059130167485699</v>
      </c>
      <c r="G9" s="58">
        <v>0.52287196608893505</v>
      </c>
      <c r="H9" s="58">
        <v>0.37238912792177697</v>
      </c>
      <c r="I9" s="58">
        <v>0.23773825453855801</v>
      </c>
      <c r="J9" s="58">
        <v>0.14676715009712399</v>
      </c>
      <c r="K9" s="58">
        <v>0.13244477989468401</v>
      </c>
      <c r="L9" s="58">
        <v>0.138397465919334</v>
      </c>
      <c r="M9" s="58">
        <v>0.15112578003024099</v>
      </c>
      <c r="N9" s="58">
        <v>0.162266275957415</v>
      </c>
      <c r="O9" s="58">
        <v>0.176461004280727</v>
      </c>
      <c r="P9" s="58">
        <v>0.179197204358537</v>
      </c>
      <c r="Q9" s="58">
        <v>0.191873215808501</v>
      </c>
      <c r="R9" s="58">
        <v>0.18645223106058201</v>
      </c>
      <c r="S9" s="58">
        <v>0.20328414413929599</v>
      </c>
      <c r="T9" s="58">
        <v>0.18241398623545199</v>
      </c>
      <c r="U9" s="58">
        <v>0.18258300320655799</v>
      </c>
      <c r="V9" s="58">
        <v>0.235521063713758</v>
      </c>
      <c r="W9" s="58">
        <v>0.275467519825769</v>
      </c>
      <c r="X9" s="58">
        <v>0.31267926007122099</v>
      </c>
      <c r="Y9" s="59">
        <v>0.35837159941858099</v>
      </c>
    </row>
    <row r="10" spans="1:26" x14ac:dyDescent="0.2">
      <c r="A10" s="121"/>
      <c r="B10" s="122"/>
      <c r="C10" s="122"/>
      <c r="D10" s="122"/>
      <c r="E10" s="122"/>
      <c r="F10" s="122"/>
      <c r="G10" s="122"/>
      <c r="H10" s="123"/>
      <c r="I10" s="123"/>
      <c r="J10" s="123"/>
      <c r="K10" s="29"/>
      <c r="L10" s="29"/>
      <c r="M10" s="29"/>
      <c r="N10" s="29"/>
      <c r="O10" s="29"/>
      <c r="P10" s="29"/>
      <c r="Q10" s="29"/>
      <c r="R10" s="29"/>
      <c r="S10" s="29"/>
      <c r="T10" s="29"/>
      <c r="U10" s="29"/>
      <c r="V10" s="29"/>
      <c r="W10" s="29"/>
      <c r="X10" s="29"/>
      <c r="Y10" s="29"/>
    </row>
    <row r="11" spans="1:26" ht="13.15" customHeight="1" x14ac:dyDescent="0.2">
      <c r="A11" s="416" t="s">
        <v>448</v>
      </c>
      <c r="B11" s="416"/>
      <c r="C11" s="416"/>
      <c r="D11" s="416"/>
      <c r="E11" s="416"/>
      <c r="F11" s="416"/>
      <c r="G11" s="416"/>
      <c r="H11" s="416"/>
      <c r="I11" s="416"/>
      <c r="J11" s="416"/>
      <c r="K11" s="416"/>
      <c r="L11" s="29"/>
    </row>
    <row r="12" spans="1:26" ht="15" customHeight="1" x14ac:dyDescent="0.2">
      <c r="A12" s="416" t="s">
        <v>312</v>
      </c>
      <c r="B12" s="416"/>
      <c r="C12" s="416"/>
      <c r="D12" s="416"/>
      <c r="E12" s="416"/>
      <c r="F12" s="416"/>
      <c r="G12" s="416"/>
      <c r="H12" s="416"/>
      <c r="I12" s="416"/>
      <c r="J12" s="416"/>
      <c r="K12" s="416"/>
      <c r="L12" s="29"/>
    </row>
    <row r="13" spans="1:26" x14ac:dyDescent="0.2">
      <c r="A13" s="20"/>
      <c r="B13" s="93"/>
      <c r="C13" s="93"/>
      <c r="D13" s="93"/>
      <c r="E13" s="93"/>
      <c r="F13" s="93"/>
      <c r="G13" s="93"/>
      <c r="H13" s="93"/>
      <c r="I13" s="93"/>
      <c r="J13" s="93"/>
      <c r="K13" s="93"/>
      <c r="L13" s="46"/>
      <c r="M13" s="44"/>
      <c r="N13" s="44"/>
      <c r="O13" s="44"/>
      <c r="P13" s="44"/>
    </row>
    <row r="14" spans="1:26" ht="15" thickBot="1" x14ac:dyDescent="0.25">
      <c r="A14" s="429" t="s">
        <v>1</v>
      </c>
      <c r="B14" s="429"/>
      <c r="C14" s="429"/>
      <c r="D14" s="429"/>
      <c r="E14" s="429"/>
      <c r="F14" s="429"/>
      <c r="G14" s="429"/>
      <c r="H14" s="429"/>
      <c r="I14" s="429"/>
      <c r="J14" s="429"/>
    </row>
    <row r="15" spans="1:26" ht="14.25" customHeight="1" x14ac:dyDescent="0.2">
      <c r="A15" s="313" t="s">
        <v>428</v>
      </c>
      <c r="B15" s="313"/>
      <c r="C15" s="313"/>
      <c r="D15" s="313"/>
      <c r="E15" s="313"/>
      <c r="F15" s="313"/>
      <c r="G15" s="313"/>
      <c r="H15" s="313"/>
      <c r="I15" s="313"/>
      <c r="J15" s="313"/>
      <c r="K15" s="189"/>
      <c r="L15" s="189"/>
      <c r="M15" s="189"/>
      <c r="N15" s="189"/>
      <c r="O15" s="189"/>
      <c r="P15" s="189"/>
      <c r="Q15" s="189"/>
      <c r="R15" s="189"/>
      <c r="S15" s="189"/>
      <c r="T15" s="189"/>
      <c r="U15" s="189"/>
      <c r="V15" s="189"/>
      <c r="W15" s="189"/>
      <c r="X15" s="189"/>
      <c r="Y15" s="189"/>
      <c r="Z15" s="189"/>
    </row>
    <row r="16" spans="1:26" x14ac:dyDescent="0.2">
      <c r="A16" s="412" t="s">
        <v>510</v>
      </c>
      <c r="B16" s="412"/>
      <c r="C16" s="412"/>
      <c r="D16" s="412"/>
      <c r="E16" s="412"/>
      <c r="F16" s="412"/>
      <c r="G16" s="412"/>
      <c r="K16" s="99"/>
      <c r="L16" s="99"/>
      <c r="M16" s="99"/>
      <c r="N16" s="99"/>
      <c r="O16" s="99"/>
      <c r="P16" s="99"/>
      <c r="Q16" s="99"/>
      <c r="R16" s="99"/>
      <c r="S16" s="99"/>
      <c r="T16" s="99"/>
      <c r="U16" s="99"/>
      <c r="V16" s="99"/>
      <c r="W16" s="99"/>
      <c r="X16" s="99"/>
      <c r="Y16" s="99"/>
      <c r="Z16" s="99"/>
    </row>
    <row r="17" spans="1:26" x14ac:dyDescent="0.2">
      <c r="A17" s="408" t="s">
        <v>156</v>
      </c>
      <c r="B17" s="408"/>
      <c r="C17" s="408"/>
      <c r="D17" s="408"/>
      <c r="E17" s="408"/>
      <c r="F17" s="408"/>
      <c r="G17" s="408"/>
      <c r="H17" s="408"/>
      <c r="I17" s="408"/>
      <c r="J17" s="408"/>
      <c r="K17" s="99"/>
      <c r="L17" s="99"/>
      <c r="M17" s="99"/>
      <c r="N17" s="99"/>
      <c r="O17" s="99"/>
      <c r="P17" s="99"/>
      <c r="Q17" s="99"/>
      <c r="R17" s="99"/>
      <c r="S17" s="99"/>
      <c r="T17" s="99"/>
      <c r="U17" s="99"/>
      <c r="V17" s="99"/>
      <c r="W17" s="99"/>
      <c r="X17" s="99"/>
      <c r="Y17" s="99"/>
      <c r="Z17" s="99"/>
    </row>
    <row r="18" spans="1:26" ht="15" thickBot="1" x14ac:dyDescent="0.25">
      <c r="A18" s="409" t="s">
        <v>442</v>
      </c>
      <c r="B18" s="409"/>
      <c r="C18" s="409"/>
      <c r="D18" s="409"/>
      <c r="E18" s="409"/>
      <c r="F18" s="409"/>
      <c r="G18" s="409"/>
      <c r="H18" s="409"/>
      <c r="I18" s="409"/>
      <c r="J18" s="409"/>
      <c r="K18" s="190"/>
      <c r="L18" s="190"/>
      <c r="M18" s="190"/>
      <c r="N18" s="190"/>
      <c r="O18" s="190"/>
      <c r="P18" s="190"/>
      <c r="Q18" s="190"/>
      <c r="R18" s="190"/>
      <c r="S18" s="190"/>
      <c r="T18" s="190"/>
      <c r="U18" s="190"/>
      <c r="V18" s="190"/>
      <c r="W18" s="190"/>
      <c r="X18" s="190"/>
      <c r="Y18" s="190"/>
      <c r="Z18" s="190"/>
    </row>
    <row r="19" spans="1:26" x14ac:dyDescent="0.2">
      <c r="A19" s="29"/>
      <c r="B19" s="30"/>
      <c r="C19" s="30"/>
      <c r="D19" s="30"/>
      <c r="E19" s="30"/>
      <c r="F19" s="30"/>
      <c r="G19" s="30"/>
    </row>
    <row r="20" spans="1:26" x14ac:dyDescent="0.2">
      <c r="A20" s="410" t="s">
        <v>157</v>
      </c>
      <c r="B20" s="410"/>
      <c r="C20" s="30"/>
      <c r="D20" s="30"/>
      <c r="E20" s="30"/>
      <c r="F20" s="30"/>
      <c r="G20" s="31"/>
    </row>
    <row r="21" spans="1:26" x14ac:dyDescent="0.2">
      <c r="A21" s="11"/>
      <c r="B21" s="30"/>
      <c r="C21" s="30"/>
      <c r="D21" s="30"/>
      <c r="E21" s="30"/>
      <c r="F21" s="30"/>
    </row>
    <row r="22" spans="1:26" x14ac:dyDescent="0.2">
      <c r="A22" s="11"/>
      <c r="B22" s="31"/>
      <c r="C22" s="31"/>
      <c r="D22" s="31"/>
      <c r="E22" s="31"/>
      <c r="F22" s="31"/>
    </row>
    <row r="26" spans="1:26" x14ac:dyDescent="0.2">
      <c r="B26" s="45"/>
      <c r="C26" s="45"/>
      <c r="D26" s="45"/>
      <c r="E26" s="45"/>
      <c r="F26" s="45"/>
      <c r="G26" s="45"/>
      <c r="H26" s="45"/>
      <c r="I26" s="45"/>
      <c r="J26" s="45"/>
      <c r="K26" s="45"/>
      <c r="L26" s="45"/>
      <c r="M26" s="45"/>
      <c r="N26" s="45"/>
      <c r="O26" s="45"/>
      <c r="P26" s="45"/>
      <c r="Q26" s="45"/>
      <c r="R26" s="45"/>
      <c r="S26" s="45"/>
      <c r="T26" s="45"/>
      <c r="U26" s="45"/>
      <c r="V26" s="45"/>
      <c r="W26" s="45"/>
      <c r="X26" s="45"/>
      <c r="Y26" s="45"/>
    </row>
  </sheetData>
  <mergeCells count="10">
    <mergeCell ref="A2:N2"/>
    <mergeCell ref="A17:J17"/>
    <mergeCell ref="A18:J18"/>
    <mergeCell ref="A20:B20"/>
    <mergeCell ref="A3:K3"/>
    <mergeCell ref="A14:J14"/>
    <mergeCell ref="A16:G16"/>
    <mergeCell ref="A11:K11"/>
    <mergeCell ref="A12:K12"/>
    <mergeCell ref="A4:G4"/>
  </mergeCells>
  <hyperlinks>
    <hyperlink ref="A17:F17" r:id="rId1" display="Contact via enquiries@NHSDigital.nhs.uk or 0300 303 5678" xr:uid="{00000000-0004-0000-0C00-000000000000}"/>
    <hyperlink ref="A20" location="Contents!A1" display="Return to Contents" xr:uid="{00000000-0004-0000-0C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T53"/>
  <sheetViews>
    <sheetView workbookViewId="0">
      <selection sqref="A1:C1"/>
    </sheetView>
  </sheetViews>
  <sheetFormatPr defaultColWidth="9.140625" defaultRowHeight="14.25" x14ac:dyDescent="0.2"/>
  <cols>
    <col min="1" max="1" width="11.42578125" style="28" customWidth="1"/>
    <col min="2" max="4" width="9.28515625" style="28" customWidth="1"/>
    <col min="5" max="6" width="9.140625" style="28" customWidth="1"/>
    <col min="7" max="16384" width="9.140625" style="28"/>
  </cols>
  <sheetData>
    <row r="1" spans="1:14" ht="15" customHeight="1" x14ac:dyDescent="0.2"/>
    <row r="2" spans="1:14" ht="48.75" customHeight="1" x14ac:dyDescent="0.2">
      <c r="A2" s="404" t="s">
        <v>479</v>
      </c>
      <c r="B2" s="404"/>
      <c r="C2" s="404"/>
      <c r="D2" s="404"/>
      <c r="E2" s="404"/>
      <c r="F2" s="404"/>
      <c r="G2" s="404"/>
      <c r="H2" s="404"/>
      <c r="I2" s="404"/>
      <c r="J2" s="404"/>
      <c r="K2" s="404"/>
    </row>
    <row r="3" spans="1:14" ht="17.25" customHeight="1" x14ac:dyDescent="0.2">
      <c r="A3" s="413" t="s">
        <v>235</v>
      </c>
      <c r="B3" s="413"/>
      <c r="C3" s="413"/>
      <c r="D3" s="413"/>
      <c r="E3" s="413"/>
      <c r="F3" s="413"/>
      <c r="G3" s="413"/>
      <c r="H3" s="413"/>
      <c r="I3" s="413"/>
      <c r="J3" s="15"/>
      <c r="K3" s="15"/>
    </row>
    <row r="4" spans="1:14" ht="17.25" customHeight="1" x14ac:dyDescent="0.2">
      <c r="A4" s="413" t="s">
        <v>432</v>
      </c>
      <c r="B4" s="413"/>
      <c r="C4" s="413"/>
      <c r="D4" s="413"/>
      <c r="E4" s="413"/>
      <c r="F4" s="413"/>
      <c r="G4" s="413"/>
      <c r="H4" s="315"/>
      <c r="I4" s="315"/>
      <c r="J4" s="15"/>
      <c r="K4" s="15"/>
    </row>
    <row r="5" spans="1:14" ht="13.5" customHeight="1" thickBot="1" x14ac:dyDescent="0.25"/>
    <row r="6" spans="1:14" ht="16.5" customHeight="1" thickBot="1" x14ac:dyDescent="0.25">
      <c r="A6" s="197"/>
      <c r="B6" s="84" t="s">
        <v>243</v>
      </c>
      <c r="C6" s="84" t="s">
        <v>313</v>
      </c>
      <c r="D6" s="85" t="s">
        <v>440</v>
      </c>
      <c r="E6" s="46"/>
      <c r="F6" s="46"/>
      <c r="G6" s="46"/>
      <c r="H6" s="46"/>
      <c r="I6" s="46"/>
      <c r="J6" s="46"/>
      <c r="K6" s="44"/>
      <c r="L6" s="44"/>
      <c r="M6" s="44"/>
      <c r="N6" s="44"/>
    </row>
    <row r="7" spans="1:14" ht="15" customHeight="1" x14ac:dyDescent="0.2">
      <c r="A7" s="72" t="s">
        <v>7</v>
      </c>
      <c r="B7" s="109">
        <v>64992.066666666666</v>
      </c>
      <c r="C7" s="109">
        <v>66145.633333333331</v>
      </c>
      <c r="D7" s="110">
        <v>70405.5</v>
      </c>
      <c r="E7" s="46"/>
      <c r="F7" s="46"/>
      <c r="G7" s="46"/>
      <c r="H7" s="46"/>
      <c r="I7" s="46"/>
      <c r="J7" s="46"/>
      <c r="K7" s="44"/>
      <c r="L7" s="44"/>
      <c r="M7" s="44"/>
      <c r="N7" s="44"/>
    </row>
    <row r="8" spans="1:14" ht="15" customHeight="1" x14ac:dyDescent="0.2">
      <c r="A8" s="73" t="s">
        <v>8</v>
      </c>
      <c r="B8" s="111">
        <v>66670.612903225803</v>
      </c>
      <c r="C8" s="111">
        <v>69821.225806451606</v>
      </c>
      <c r="D8" s="112">
        <v>70064.709677419349</v>
      </c>
      <c r="E8" s="46"/>
      <c r="F8" s="46"/>
      <c r="G8" s="46"/>
      <c r="H8" s="46"/>
      <c r="I8" s="46"/>
      <c r="J8" s="46"/>
      <c r="K8" s="44"/>
      <c r="L8" s="44"/>
      <c r="M8" s="44"/>
      <c r="N8" s="44"/>
    </row>
    <row r="9" spans="1:14" ht="15" customHeight="1" x14ac:dyDescent="0.2">
      <c r="A9" s="73" t="s">
        <v>9</v>
      </c>
      <c r="B9" s="111">
        <v>66468.53333333334</v>
      </c>
      <c r="C9" s="111">
        <v>69798.066666666666</v>
      </c>
      <c r="D9" s="112">
        <v>70266.233333333337</v>
      </c>
      <c r="E9" s="46"/>
      <c r="F9" s="46"/>
      <c r="G9" s="46"/>
      <c r="H9" s="46"/>
      <c r="I9" s="46"/>
      <c r="J9" s="46"/>
      <c r="K9" s="44"/>
      <c r="L9" s="44"/>
      <c r="M9" s="44"/>
      <c r="N9" s="44"/>
    </row>
    <row r="10" spans="1:14" ht="15" customHeight="1" x14ac:dyDescent="0.2">
      <c r="A10" s="73" t="s">
        <v>10</v>
      </c>
      <c r="B10" s="111">
        <v>66901.419354838712</v>
      </c>
      <c r="C10" s="111">
        <v>70319.225806451606</v>
      </c>
      <c r="D10" s="112">
        <v>73066.129032258061</v>
      </c>
      <c r="E10" s="46"/>
      <c r="F10" s="46"/>
      <c r="G10" s="46"/>
      <c r="H10" s="46"/>
      <c r="I10" s="46"/>
      <c r="J10" s="46"/>
      <c r="K10" s="44"/>
      <c r="L10" s="44"/>
      <c r="M10" s="44"/>
      <c r="N10" s="44"/>
    </row>
    <row r="11" spans="1:14" ht="15" customHeight="1" x14ac:dyDescent="0.2">
      <c r="A11" s="73" t="s">
        <v>11</v>
      </c>
      <c r="B11" s="111">
        <v>62085.903225806454</v>
      </c>
      <c r="C11" s="111">
        <v>64446.903225806454</v>
      </c>
      <c r="D11" s="112">
        <v>68562.419354838712</v>
      </c>
      <c r="E11" s="46"/>
      <c r="F11" s="46"/>
      <c r="G11" s="46"/>
      <c r="H11" s="46"/>
      <c r="I11" s="46"/>
      <c r="J11" s="46"/>
      <c r="K11" s="44"/>
      <c r="L11" s="44"/>
      <c r="M11" s="44"/>
      <c r="N11" s="44"/>
    </row>
    <row r="12" spans="1:14" ht="15" customHeight="1" x14ac:dyDescent="0.2">
      <c r="A12" s="73" t="s">
        <v>12</v>
      </c>
      <c r="B12" s="111">
        <v>64198.7</v>
      </c>
      <c r="C12" s="111">
        <v>66856.5</v>
      </c>
      <c r="D12" s="112">
        <v>70778.166666666672</v>
      </c>
      <c r="E12" s="46"/>
      <c r="F12" s="46"/>
      <c r="G12" s="46"/>
      <c r="H12" s="46"/>
      <c r="I12" s="46"/>
      <c r="J12" s="46"/>
      <c r="K12" s="44"/>
      <c r="L12" s="44"/>
      <c r="M12" s="44"/>
      <c r="N12" s="44"/>
    </row>
    <row r="13" spans="1:14" ht="15" customHeight="1" x14ac:dyDescent="0.2">
      <c r="A13" s="65" t="s">
        <v>13</v>
      </c>
      <c r="B13" s="111">
        <v>65939.903225806454</v>
      </c>
      <c r="C13" s="111">
        <v>67080.387096774197</v>
      </c>
      <c r="D13" s="112">
        <v>70028.548387096773</v>
      </c>
      <c r="E13" s="46"/>
      <c r="F13" s="46"/>
      <c r="G13" s="46"/>
      <c r="H13" s="46"/>
      <c r="I13" s="46"/>
      <c r="J13" s="46"/>
      <c r="K13" s="44"/>
      <c r="L13" s="44"/>
      <c r="M13" s="44"/>
      <c r="N13" s="44"/>
    </row>
    <row r="14" spans="1:14" ht="15" customHeight="1" x14ac:dyDescent="0.2">
      <c r="A14" s="65" t="s">
        <v>14</v>
      </c>
      <c r="B14" s="111">
        <v>65899.03333333334</v>
      </c>
      <c r="C14" s="111">
        <v>67928.233333333337</v>
      </c>
      <c r="D14" s="112">
        <v>71450.166666666672</v>
      </c>
      <c r="E14" s="46"/>
      <c r="F14" s="46"/>
      <c r="G14" s="46"/>
      <c r="H14" s="46"/>
      <c r="I14" s="46"/>
      <c r="J14" s="46"/>
      <c r="K14" s="44"/>
      <c r="L14" s="44"/>
      <c r="M14" s="44"/>
      <c r="N14" s="44"/>
    </row>
    <row r="15" spans="1:14" ht="15" customHeight="1" x14ac:dyDescent="0.2">
      <c r="A15" s="65" t="s">
        <v>15</v>
      </c>
      <c r="B15" s="111">
        <v>64643.677419354841</v>
      </c>
      <c r="C15" s="111">
        <v>66048.967741935485</v>
      </c>
      <c r="D15" s="112">
        <v>70339.903225806454</v>
      </c>
      <c r="E15" s="46"/>
      <c r="F15" s="46"/>
      <c r="G15" s="46"/>
      <c r="H15" s="46"/>
      <c r="I15" s="46"/>
      <c r="J15" s="46"/>
      <c r="K15" s="44"/>
      <c r="L15" s="44"/>
      <c r="M15" s="44"/>
      <c r="N15" s="44"/>
    </row>
    <row r="16" spans="1:14" ht="15" customHeight="1" x14ac:dyDescent="0.2">
      <c r="A16" s="65" t="s">
        <v>16</v>
      </c>
      <c r="B16" s="111">
        <v>64518.903225806454</v>
      </c>
      <c r="C16" s="111">
        <v>68174.612903225803</v>
      </c>
      <c r="D16" s="112">
        <v>68216.419354838712</v>
      </c>
      <c r="E16" s="46"/>
      <c r="F16" s="46"/>
      <c r="G16" s="46"/>
      <c r="H16" s="46"/>
      <c r="I16" s="46"/>
      <c r="J16" s="46"/>
      <c r="K16" s="44"/>
      <c r="L16" s="44"/>
      <c r="M16" s="44"/>
      <c r="N16" s="44"/>
    </row>
    <row r="17" spans="1:20" ht="15" customHeight="1" x14ac:dyDescent="0.2">
      <c r="A17" s="65" t="s">
        <v>17</v>
      </c>
      <c r="B17" s="111">
        <v>65000.428571428572</v>
      </c>
      <c r="C17" s="111">
        <v>69819.53571428571</v>
      </c>
      <c r="D17" s="112">
        <v>67920.379310344826</v>
      </c>
      <c r="E17" s="46"/>
      <c r="F17" s="46"/>
      <c r="G17" s="46"/>
      <c r="H17" s="46"/>
      <c r="I17" s="46"/>
      <c r="J17" s="46"/>
      <c r="K17" s="44"/>
      <c r="L17" s="44"/>
      <c r="M17" s="44"/>
      <c r="N17" s="44"/>
    </row>
    <row r="18" spans="1:20" ht="15" customHeight="1" thickBot="1" x14ac:dyDescent="0.25">
      <c r="A18" s="74" t="s">
        <v>18</v>
      </c>
      <c r="B18" s="113">
        <v>66122.096774193546</v>
      </c>
      <c r="C18" s="113">
        <v>69920.967741935485</v>
      </c>
      <c r="D18" s="114">
        <v>49412.93548387097</v>
      </c>
      <c r="E18" s="46"/>
      <c r="F18" s="46"/>
      <c r="G18" s="46"/>
      <c r="H18" s="46"/>
      <c r="I18" s="46"/>
      <c r="J18" s="46"/>
      <c r="K18" s="44"/>
      <c r="L18" s="44"/>
      <c r="M18" s="44"/>
      <c r="N18" s="44"/>
    </row>
    <row r="19" spans="1:20" x14ac:dyDescent="0.2">
      <c r="A19" s="11"/>
      <c r="B19" s="12"/>
      <c r="C19" s="12"/>
      <c r="D19" s="12"/>
      <c r="E19" s="20"/>
      <c r="F19" s="20"/>
      <c r="G19" s="20"/>
      <c r="H19" s="46"/>
      <c r="I19" s="46"/>
      <c r="J19" s="46"/>
      <c r="K19" s="46"/>
      <c r="L19" s="44"/>
      <c r="M19" s="44"/>
      <c r="N19" s="44"/>
      <c r="O19" s="44"/>
      <c r="P19" s="44"/>
    </row>
    <row r="20" spans="1:20" ht="14.25" customHeight="1" x14ac:dyDescent="0.2">
      <c r="A20" s="430" t="s">
        <v>436</v>
      </c>
      <c r="B20" s="430"/>
      <c r="C20" s="430"/>
      <c r="D20" s="430"/>
      <c r="E20" s="430"/>
      <c r="F20" s="430"/>
      <c r="G20" s="430"/>
      <c r="H20" s="430"/>
      <c r="I20" s="430"/>
      <c r="J20" s="91"/>
      <c r="K20" s="39"/>
      <c r="L20" s="39"/>
      <c r="M20" s="39"/>
      <c r="N20" s="39"/>
      <c r="O20" s="39"/>
      <c r="P20" s="39"/>
      <c r="Q20" s="39"/>
      <c r="R20" s="39"/>
    </row>
    <row r="21" spans="1:20" ht="28.5" customHeight="1" x14ac:dyDescent="0.2">
      <c r="A21" s="406" t="s">
        <v>499</v>
      </c>
      <c r="B21" s="407"/>
      <c r="C21" s="407"/>
      <c r="D21" s="407"/>
      <c r="E21" s="407"/>
      <c r="F21" s="407"/>
      <c r="G21" s="407"/>
      <c r="H21" s="407"/>
      <c r="I21" s="407"/>
      <c r="J21" s="186"/>
      <c r="K21" s="39"/>
      <c r="L21" s="39"/>
      <c r="M21" s="39"/>
      <c r="N21" s="39"/>
      <c r="O21" s="39"/>
      <c r="P21" s="39"/>
      <c r="Q21" s="39"/>
      <c r="R21" s="39"/>
    </row>
    <row r="22" spans="1:20" ht="14.25" customHeight="1" x14ac:dyDescent="0.2">
      <c r="A22" s="103"/>
      <c r="B22" s="103"/>
      <c r="C22" s="103"/>
      <c r="D22" s="103"/>
      <c r="E22" s="103"/>
      <c r="F22" s="103"/>
      <c r="G22" s="103"/>
      <c r="H22" s="99"/>
      <c r="I22" s="91"/>
      <c r="J22" s="91"/>
      <c r="K22" s="39"/>
      <c r="L22" s="39"/>
      <c r="M22" s="39"/>
      <c r="N22" s="39"/>
      <c r="O22" s="39"/>
      <c r="P22" s="39"/>
      <c r="Q22" s="39"/>
      <c r="R22" s="39"/>
    </row>
    <row r="23" spans="1:20" ht="15" customHeight="1" thickBot="1" x14ac:dyDescent="0.25">
      <c r="A23" s="429" t="s">
        <v>1</v>
      </c>
      <c r="B23" s="429"/>
      <c r="C23" s="429"/>
      <c r="D23" s="429"/>
      <c r="E23" s="429"/>
      <c r="F23" s="429"/>
      <c r="G23" s="429"/>
      <c r="H23" s="429"/>
      <c r="I23" s="429"/>
      <c r="J23" s="187"/>
    </row>
    <row r="24" spans="1:20" ht="14.25" customHeight="1" x14ac:dyDescent="0.2">
      <c r="A24" s="313" t="s">
        <v>428</v>
      </c>
      <c r="B24" s="313"/>
      <c r="C24" s="313"/>
      <c r="D24" s="313"/>
      <c r="E24" s="313"/>
      <c r="F24" s="313"/>
      <c r="G24" s="313"/>
      <c r="H24" s="313"/>
      <c r="I24" s="313"/>
      <c r="J24" s="184"/>
    </row>
    <row r="25" spans="1:20" ht="14.25" customHeight="1" x14ac:dyDescent="0.2">
      <c r="A25" s="412" t="s">
        <v>510</v>
      </c>
      <c r="B25" s="412"/>
      <c r="C25" s="412"/>
      <c r="D25" s="412"/>
      <c r="E25" s="412"/>
      <c r="F25" s="412"/>
      <c r="G25" s="412"/>
      <c r="H25" s="412"/>
      <c r="I25" s="412"/>
    </row>
    <row r="26" spans="1:20" ht="14.25" customHeight="1" x14ac:dyDescent="0.2">
      <c r="A26" s="408" t="s">
        <v>156</v>
      </c>
      <c r="B26" s="408"/>
      <c r="C26" s="408"/>
      <c r="D26" s="408"/>
      <c r="E26" s="408"/>
      <c r="F26" s="408"/>
      <c r="G26" s="408"/>
      <c r="H26" s="408"/>
      <c r="I26" s="408"/>
      <c r="J26" s="185"/>
    </row>
    <row r="27" spans="1:20" ht="15" customHeight="1" thickBot="1" x14ac:dyDescent="0.25">
      <c r="A27" s="409" t="s">
        <v>442</v>
      </c>
      <c r="B27" s="409"/>
      <c r="C27" s="409"/>
      <c r="D27" s="409"/>
      <c r="E27" s="409"/>
      <c r="F27" s="409"/>
      <c r="G27" s="409"/>
      <c r="H27" s="409"/>
      <c r="I27" s="409"/>
      <c r="J27" s="11"/>
    </row>
    <row r="28" spans="1:20" x14ac:dyDescent="0.2">
      <c r="A28" s="29"/>
      <c r="B28" s="30"/>
      <c r="C28" s="30"/>
      <c r="D28" s="30"/>
      <c r="E28" s="30"/>
      <c r="F28" s="30"/>
      <c r="G28" s="30"/>
      <c r="S28" s="37"/>
      <c r="T28" s="37"/>
    </row>
    <row r="29" spans="1:20" x14ac:dyDescent="0.2">
      <c r="A29" s="410" t="s">
        <v>157</v>
      </c>
      <c r="B29" s="410"/>
      <c r="C29" s="30"/>
      <c r="D29" s="30"/>
      <c r="E29" s="30"/>
      <c r="F29" s="30"/>
      <c r="G29" s="31"/>
      <c r="S29" s="37"/>
      <c r="T29" s="37"/>
    </row>
    <row r="30" spans="1:20" x14ac:dyDescent="0.2">
      <c r="A30" s="11"/>
      <c r="B30" s="30"/>
      <c r="C30" s="30"/>
      <c r="D30" s="30"/>
      <c r="E30" s="30"/>
      <c r="F30" s="30"/>
      <c r="S30" s="37"/>
      <c r="T30" s="37"/>
    </row>
    <row r="31" spans="1:20" x14ac:dyDescent="0.2">
      <c r="A31" s="20"/>
      <c r="B31" s="47"/>
      <c r="C31" s="47"/>
      <c r="D31" s="47"/>
      <c r="E31" s="47"/>
      <c r="F31" s="47"/>
      <c r="G31" s="44"/>
      <c r="H31" s="44"/>
      <c r="I31" s="44"/>
      <c r="J31" s="44"/>
      <c r="K31" s="44"/>
      <c r="L31" s="44"/>
      <c r="M31" s="44"/>
      <c r="S31" s="37"/>
      <c r="T31" s="37"/>
    </row>
    <row r="32" spans="1:20" x14ac:dyDescent="0.2">
      <c r="A32" s="44"/>
      <c r="B32" s="44"/>
      <c r="C32" s="44"/>
      <c r="D32" s="44"/>
      <c r="E32" s="44"/>
      <c r="F32" s="44"/>
      <c r="G32" s="44"/>
      <c r="H32" s="44"/>
      <c r="I32" s="44"/>
      <c r="J32" s="44"/>
      <c r="K32" s="44"/>
      <c r="L32" s="44"/>
      <c r="M32" s="44"/>
      <c r="N32" s="37"/>
      <c r="O32" s="37"/>
      <c r="P32" s="37"/>
      <c r="Q32" s="37"/>
      <c r="R32" s="37"/>
      <c r="S32" s="37"/>
      <c r="T32" s="37"/>
    </row>
    <row r="33" spans="1:20" x14ac:dyDescent="0.2">
      <c r="A33" s="44"/>
      <c r="B33" s="21"/>
      <c r="C33" s="44"/>
      <c r="D33" s="44"/>
      <c r="E33" s="44"/>
      <c r="F33" s="44"/>
      <c r="G33" s="44"/>
      <c r="H33" s="44"/>
      <c r="I33" s="44"/>
      <c r="J33" s="44"/>
      <c r="K33" s="44"/>
      <c r="L33" s="44"/>
      <c r="M33" s="44"/>
      <c r="N33" s="44"/>
      <c r="O33" s="37"/>
      <c r="P33" s="37"/>
      <c r="Q33" s="37"/>
      <c r="R33" s="37"/>
      <c r="S33" s="37"/>
      <c r="T33" s="37"/>
    </row>
    <row r="34" spans="1:20" x14ac:dyDescent="0.2">
      <c r="A34" s="44"/>
      <c r="B34" s="21"/>
      <c r="C34" s="44"/>
      <c r="D34" s="44"/>
      <c r="E34" s="44"/>
      <c r="F34" s="44"/>
      <c r="G34" s="44"/>
      <c r="H34" s="44"/>
      <c r="I34" s="44"/>
      <c r="J34" s="44"/>
      <c r="K34" s="44"/>
      <c r="L34" s="44"/>
      <c r="M34" s="44"/>
      <c r="N34" s="44"/>
      <c r="O34" s="37"/>
      <c r="P34" s="37"/>
      <c r="Q34" s="37"/>
      <c r="R34" s="37"/>
      <c r="S34" s="37"/>
      <c r="T34" s="37"/>
    </row>
    <row r="35" spans="1:20" x14ac:dyDescent="0.2">
      <c r="A35" s="48"/>
      <c r="B35" s="44"/>
      <c r="C35" s="44"/>
      <c r="D35" s="44"/>
      <c r="E35" s="44"/>
      <c r="F35" s="44"/>
      <c r="G35" s="44"/>
      <c r="H35" s="44"/>
      <c r="I35" s="44"/>
      <c r="J35" s="44"/>
      <c r="K35" s="44"/>
      <c r="L35" s="44"/>
      <c r="M35" s="44"/>
      <c r="N35" s="44"/>
      <c r="O35" s="37"/>
      <c r="P35" s="37"/>
      <c r="Q35" s="37"/>
      <c r="R35" s="37"/>
      <c r="S35" s="37"/>
      <c r="T35" s="37"/>
    </row>
    <row r="36" spans="1:20" x14ac:dyDescent="0.2">
      <c r="A36" s="48"/>
      <c r="B36" s="44"/>
      <c r="C36" s="44"/>
      <c r="D36" s="44"/>
      <c r="E36" s="44"/>
      <c r="F36" s="44"/>
      <c r="G36" s="44"/>
      <c r="H36" s="44"/>
      <c r="I36" s="44"/>
      <c r="J36" s="44"/>
      <c r="K36" s="44"/>
      <c r="L36" s="44"/>
      <c r="M36" s="44"/>
      <c r="N36" s="44"/>
      <c r="O36" s="37"/>
      <c r="P36" s="37"/>
      <c r="Q36" s="37"/>
      <c r="R36" s="37"/>
      <c r="S36" s="37"/>
      <c r="T36" s="37"/>
    </row>
    <row r="37" spans="1:20" x14ac:dyDescent="0.2">
      <c r="A37" s="48"/>
      <c r="B37" s="44"/>
      <c r="C37" s="44"/>
      <c r="D37" s="44"/>
      <c r="E37" s="44"/>
      <c r="F37" s="44"/>
      <c r="G37" s="44"/>
      <c r="H37" s="44"/>
      <c r="I37" s="44"/>
      <c r="J37" s="44"/>
      <c r="K37" s="44"/>
      <c r="L37" s="44"/>
      <c r="M37" s="44"/>
      <c r="N37" s="44"/>
      <c r="O37" s="37"/>
      <c r="P37" s="37"/>
      <c r="Q37" s="37"/>
      <c r="R37" s="37"/>
      <c r="S37" s="37"/>
      <c r="T37" s="37"/>
    </row>
    <row r="38" spans="1:20" x14ac:dyDescent="0.2">
      <c r="A38" s="48"/>
      <c r="B38" s="44"/>
      <c r="C38" s="44"/>
      <c r="D38" s="44"/>
      <c r="E38" s="44"/>
      <c r="F38" s="44"/>
      <c r="G38" s="44"/>
      <c r="H38" s="44"/>
      <c r="I38" s="44"/>
      <c r="J38" s="44"/>
      <c r="K38" s="44"/>
      <c r="L38" s="44"/>
      <c r="M38" s="44"/>
      <c r="N38" s="44"/>
      <c r="O38" s="37"/>
      <c r="P38" s="37"/>
      <c r="Q38" s="37"/>
      <c r="R38" s="37"/>
      <c r="S38" s="37"/>
      <c r="T38" s="37"/>
    </row>
    <row r="39" spans="1:20" x14ac:dyDescent="0.2">
      <c r="A39" s="48"/>
      <c r="B39" s="44"/>
      <c r="C39" s="44"/>
      <c r="D39" s="44"/>
      <c r="E39" s="44"/>
      <c r="F39" s="44"/>
      <c r="G39" s="44"/>
      <c r="H39" s="44"/>
      <c r="I39" s="44"/>
      <c r="J39" s="44"/>
      <c r="K39" s="44"/>
      <c r="L39" s="44"/>
      <c r="M39" s="44"/>
      <c r="N39" s="44"/>
      <c r="O39" s="37"/>
      <c r="P39" s="37"/>
      <c r="Q39" s="37"/>
      <c r="R39" s="37"/>
      <c r="S39" s="37"/>
      <c r="T39" s="37"/>
    </row>
    <row r="40" spans="1:20" x14ac:dyDescent="0.2">
      <c r="A40" s="48"/>
      <c r="B40" s="44"/>
      <c r="C40" s="44"/>
      <c r="D40" s="44"/>
      <c r="E40" s="44"/>
      <c r="F40" s="44"/>
      <c r="G40" s="44"/>
      <c r="H40" s="44"/>
      <c r="I40" s="44"/>
      <c r="J40" s="44"/>
      <c r="K40" s="44"/>
      <c r="L40" s="44"/>
      <c r="M40" s="44"/>
      <c r="N40" s="44"/>
      <c r="O40" s="37"/>
      <c r="P40" s="37"/>
      <c r="Q40" s="37"/>
      <c r="R40" s="37"/>
      <c r="S40" s="37"/>
      <c r="T40" s="37"/>
    </row>
    <row r="41" spans="1:20" x14ac:dyDescent="0.2">
      <c r="A41" s="48"/>
      <c r="B41" s="44"/>
      <c r="C41" s="44"/>
      <c r="D41" s="44"/>
      <c r="E41" s="44"/>
      <c r="F41" s="44"/>
      <c r="G41" s="44"/>
      <c r="H41" s="44"/>
      <c r="I41" s="44"/>
      <c r="J41" s="44"/>
      <c r="K41" s="44"/>
      <c r="L41" s="44"/>
      <c r="M41" s="44"/>
      <c r="N41" s="44"/>
      <c r="O41" s="37"/>
      <c r="P41" s="37"/>
      <c r="Q41" s="37"/>
      <c r="R41" s="37"/>
      <c r="S41" s="37"/>
      <c r="T41" s="37"/>
    </row>
    <row r="42" spans="1:20" x14ac:dyDescent="0.2">
      <c r="A42" s="48"/>
      <c r="B42" s="44"/>
      <c r="C42" s="44"/>
      <c r="D42" s="44"/>
      <c r="E42" s="44"/>
      <c r="F42" s="44"/>
      <c r="G42" s="44"/>
      <c r="H42" s="44"/>
      <c r="I42" s="44"/>
      <c r="J42" s="44"/>
      <c r="K42" s="44"/>
      <c r="L42" s="44"/>
      <c r="M42" s="44"/>
      <c r="N42" s="44"/>
      <c r="O42" s="37"/>
      <c r="P42" s="37"/>
      <c r="Q42" s="37"/>
      <c r="R42" s="37"/>
      <c r="S42" s="37"/>
      <c r="T42" s="37"/>
    </row>
    <row r="43" spans="1:20" x14ac:dyDescent="0.2">
      <c r="A43" s="48"/>
      <c r="B43" s="44"/>
      <c r="C43" s="44"/>
      <c r="D43" s="44"/>
      <c r="E43" s="44"/>
      <c r="F43" s="44"/>
      <c r="G43" s="44"/>
      <c r="H43" s="44"/>
      <c r="I43" s="44"/>
      <c r="J43" s="44"/>
      <c r="K43" s="44"/>
      <c r="L43" s="44"/>
      <c r="M43" s="44"/>
      <c r="N43" s="44"/>
      <c r="O43" s="37"/>
      <c r="P43" s="37"/>
      <c r="Q43" s="37"/>
      <c r="R43" s="37"/>
      <c r="S43" s="37"/>
      <c r="T43" s="37"/>
    </row>
    <row r="44" spans="1:20" x14ac:dyDescent="0.2">
      <c r="A44" s="48"/>
      <c r="B44" s="44"/>
      <c r="C44" s="44"/>
      <c r="D44" s="44"/>
      <c r="E44" s="44"/>
      <c r="F44" s="44"/>
      <c r="G44" s="44"/>
      <c r="H44" s="44"/>
      <c r="I44" s="44"/>
      <c r="J44" s="44"/>
      <c r="K44" s="44"/>
      <c r="L44" s="44"/>
      <c r="M44" s="44"/>
      <c r="N44" s="44"/>
      <c r="O44" s="37"/>
      <c r="P44" s="37"/>
      <c r="Q44" s="37"/>
      <c r="R44" s="37"/>
      <c r="S44" s="37"/>
      <c r="T44" s="37"/>
    </row>
    <row r="45" spans="1:20" x14ac:dyDescent="0.2">
      <c r="A45" s="48"/>
      <c r="B45" s="44"/>
      <c r="C45" s="44"/>
      <c r="D45" s="44"/>
      <c r="E45" s="44"/>
      <c r="F45" s="44"/>
      <c r="G45" s="44"/>
      <c r="H45" s="44"/>
      <c r="I45" s="44"/>
      <c r="J45" s="44"/>
      <c r="K45" s="44"/>
      <c r="L45" s="44"/>
      <c r="M45" s="44"/>
      <c r="N45" s="44"/>
      <c r="O45" s="37"/>
      <c r="P45" s="37"/>
      <c r="Q45" s="37"/>
      <c r="R45" s="37"/>
      <c r="S45" s="37"/>
      <c r="T45" s="37"/>
    </row>
    <row r="46" spans="1:20" x14ac:dyDescent="0.2">
      <c r="A46" s="48"/>
      <c r="B46" s="44"/>
      <c r="C46" s="44"/>
      <c r="D46" s="44"/>
      <c r="E46" s="44"/>
      <c r="F46" s="44"/>
      <c r="G46" s="44"/>
      <c r="H46" s="44"/>
      <c r="I46" s="44"/>
      <c r="J46" s="44"/>
      <c r="K46" s="44"/>
      <c r="L46" s="44"/>
      <c r="M46" s="44"/>
      <c r="N46" s="44"/>
      <c r="O46" s="37"/>
      <c r="P46" s="37"/>
      <c r="Q46" s="37"/>
      <c r="R46" s="37"/>
    </row>
    <row r="47" spans="1:20" x14ac:dyDescent="0.2">
      <c r="A47" s="44"/>
      <c r="B47" s="44"/>
      <c r="C47" s="44"/>
      <c r="D47" s="44"/>
      <c r="E47" s="44"/>
      <c r="F47" s="44"/>
      <c r="G47" s="44"/>
      <c r="H47" s="44"/>
      <c r="I47" s="44"/>
      <c r="J47" s="44"/>
      <c r="K47" s="44"/>
      <c r="L47" s="44"/>
      <c r="M47" s="44"/>
      <c r="N47" s="44"/>
      <c r="O47" s="37"/>
      <c r="P47" s="37"/>
      <c r="Q47" s="37"/>
      <c r="R47" s="37"/>
    </row>
    <row r="48" spans="1:20" x14ac:dyDescent="0.2">
      <c r="A48" s="44"/>
      <c r="B48" s="44"/>
      <c r="C48" s="44"/>
      <c r="D48" s="44"/>
      <c r="E48" s="44"/>
      <c r="F48" s="44"/>
      <c r="G48" s="44"/>
      <c r="H48" s="44"/>
      <c r="I48" s="44"/>
      <c r="J48" s="44"/>
      <c r="K48" s="44"/>
      <c r="L48" s="44"/>
      <c r="M48" s="44"/>
      <c r="N48" s="44"/>
      <c r="O48" s="37"/>
      <c r="P48" s="37"/>
      <c r="Q48" s="37"/>
      <c r="R48" s="37"/>
    </row>
    <row r="49" spans="1:18" x14ac:dyDescent="0.2">
      <c r="A49" s="44"/>
      <c r="B49" s="44"/>
      <c r="C49" s="44"/>
      <c r="D49" s="44"/>
      <c r="E49" s="44"/>
      <c r="F49" s="44"/>
      <c r="G49" s="44"/>
      <c r="H49" s="44"/>
      <c r="I49" s="44"/>
      <c r="J49" s="44"/>
      <c r="K49" s="44"/>
      <c r="L49" s="44"/>
      <c r="M49" s="44"/>
      <c r="N49" s="44"/>
      <c r="O49" s="37"/>
      <c r="P49" s="37"/>
      <c r="Q49" s="37"/>
      <c r="R49" s="37"/>
    </row>
    <row r="50" spans="1:18" x14ac:dyDescent="0.2">
      <c r="A50" s="44"/>
      <c r="B50" s="44"/>
      <c r="G50" s="44"/>
      <c r="H50" s="44"/>
      <c r="I50" s="44"/>
      <c r="J50" s="44"/>
      <c r="K50" s="44"/>
      <c r="L50" s="44"/>
      <c r="M50" s="44"/>
    </row>
    <row r="51" spans="1:18" x14ac:dyDescent="0.2">
      <c r="A51" s="44"/>
      <c r="B51" s="44"/>
      <c r="G51" s="44"/>
      <c r="H51" s="44"/>
      <c r="I51" s="44"/>
      <c r="J51" s="44"/>
      <c r="K51" s="44"/>
      <c r="L51" s="44"/>
      <c r="M51" s="44"/>
    </row>
    <row r="52" spans="1:18" x14ac:dyDescent="0.2">
      <c r="A52" s="44"/>
      <c r="B52" s="44"/>
      <c r="G52" s="44"/>
      <c r="H52" s="44"/>
      <c r="I52" s="44"/>
      <c r="J52" s="44"/>
      <c r="K52" s="44"/>
      <c r="L52" s="44"/>
      <c r="M52" s="44"/>
    </row>
    <row r="53" spans="1:18" x14ac:dyDescent="0.2">
      <c r="A53" s="44"/>
      <c r="B53" s="44"/>
      <c r="G53" s="44"/>
      <c r="H53" s="44"/>
      <c r="I53" s="44"/>
      <c r="J53" s="44"/>
      <c r="K53" s="44"/>
      <c r="L53" s="44"/>
      <c r="M53" s="44"/>
    </row>
  </sheetData>
  <mergeCells count="10">
    <mergeCell ref="A3:I3"/>
    <mergeCell ref="A4:G4"/>
    <mergeCell ref="A2:K2"/>
    <mergeCell ref="A29:B29"/>
    <mergeCell ref="A20:I20"/>
    <mergeCell ref="A21:I21"/>
    <mergeCell ref="A23:I23"/>
    <mergeCell ref="A25:I25"/>
    <mergeCell ref="A26:I26"/>
    <mergeCell ref="A27:I27"/>
  </mergeCells>
  <hyperlinks>
    <hyperlink ref="A26:F26" r:id="rId1" display="Contact via enquiries@NHSDigital.nhs.uk or 0300 303 5678" xr:uid="{00000000-0004-0000-0D00-000000000000}"/>
    <hyperlink ref="A29" location="Contents!A1" display="Return to Contents" xr:uid="{00000000-0004-0000-0D00-000001000000}"/>
    <hyperlink ref="A21" r:id="rId2" display="https://www.england.nhs.uk/statistics/statistical-work-areas/ae-waiting-times-and-activity/ae-attendances-and-emergency-admissions-2018-19/" xr:uid="{D127DF73-F7B1-4341-B7C2-D35D843EBBDA}"/>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S52"/>
  <sheetViews>
    <sheetView workbookViewId="0">
      <selection sqref="A1:C1"/>
    </sheetView>
  </sheetViews>
  <sheetFormatPr defaultColWidth="9.140625" defaultRowHeight="14.25" x14ac:dyDescent="0.2"/>
  <cols>
    <col min="1" max="1" width="11.42578125" style="28" customWidth="1"/>
    <col min="2" max="13" width="12.85546875" style="28" customWidth="1"/>
    <col min="14" max="16384" width="9.140625" style="28"/>
  </cols>
  <sheetData>
    <row r="1" spans="1:16" ht="15" customHeight="1" x14ac:dyDescent="0.2"/>
    <row r="2" spans="1:16" ht="48.75" customHeight="1" x14ac:dyDescent="0.2">
      <c r="A2" s="404" t="s">
        <v>480</v>
      </c>
      <c r="B2" s="404"/>
      <c r="C2" s="404"/>
      <c r="D2" s="404"/>
      <c r="E2" s="404"/>
      <c r="F2" s="404"/>
      <c r="G2" s="404"/>
      <c r="H2" s="404"/>
      <c r="I2" s="404"/>
      <c r="J2" s="404"/>
      <c r="K2" s="98"/>
    </row>
    <row r="3" spans="1:16" ht="17.25" customHeight="1" x14ac:dyDescent="0.2">
      <c r="A3" s="413" t="s">
        <v>235</v>
      </c>
      <c r="B3" s="413"/>
      <c r="C3" s="413"/>
      <c r="D3" s="413"/>
      <c r="E3" s="413"/>
      <c r="F3" s="413"/>
      <c r="G3" s="413"/>
      <c r="H3" s="413"/>
      <c r="I3" s="413"/>
      <c r="J3" s="413"/>
      <c r="K3" s="413"/>
    </row>
    <row r="4" spans="1:16" ht="17.25" customHeight="1" x14ac:dyDescent="0.2">
      <c r="A4" s="413" t="s">
        <v>432</v>
      </c>
      <c r="B4" s="413"/>
      <c r="C4" s="413"/>
      <c r="D4" s="413"/>
      <c r="E4" s="413"/>
      <c r="F4" s="413"/>
      <c r="G4" s="413"/>
      <c r="H4" s="315"/>
      <c r="I4" s="315"/>
      <c r="J4" s="315"/>
      <c r="K4" s="315"/>
    </row>
    <row r="5" spans="1:16" ht="13.5" customHeight="1" thickBot="1" x14ac:dyDescent="0.25"/>
    <row r="6" spans="1:16" ht="13.5" customHeight="1" thickBot="1" x14ac:dyDescent="0.25">
      <c r="B6" s="432" t="s">
        <v>243</v>
      </c>
      <c r="C6" s="433"/>
      <c r="D6" s="434"/>
      <c r="E6" s="432" t="s">
        <v>313</v>
      </c>
      <c r="F6" s="433"/>
      <c r="G6" s="434"/>
      <c r="H6" s="432" t="s">
        <v>440</v>
      </c>
      <c r="I6" s="433"/>
      <c r="J6" s="434"/>
    </row>
    <row r="7" spans="1:16" ht="45" customHeight="1" thickBot="1" x14ac:dyDescent="0.25">
      <c r="A7" s="198" t="s">
        <v>236</v>
      </c>
      <c r="B7" s="149" t="s">
        <v>233</v>
      </c>
      <c r="C7" s="150" t="s">
        <v>231</v>
      </c>
      <c r="D7" s="148" t="s">
        <v>232</v>
      </c>
      <c r="E7" s="149" t="s">
        <v>233</v>
      </c>
      <c r="F7" s="150" t="s">
        <v>231</v>
      </c>
      <c r="G7" s="148" t="s">
        <v>232</v>
      </c>
      <c r="H7" s="149" t="s">
        <v>233</v>
      </c>
      <c r="I7" s="150" t="s">
        <v>231</v>
      </c>
      <c r="J7" s="148" t="s">
        <v>232</v>
      </c>
    </row>
    <row r="8" spans="1:16" ht="15" customHeight="1" x14ac:dyDescent="0.2">
      <c r="A8" s="72" t="s">
        <v>7</v>
      </c>
      <c r="B8" s="151">
        <v>352565</v>
      </c>
      <c r="C8" s="143">
        <v>1949762</v>
      </c>
      <c r="D8" s="144">
        <v>0.18082463398096793</v>
      </c>
      <c r="E8" s="151">
        <v>375850</v>
      </c>
      <c r="F8" s="143">
        <v>1984369</v>
      </c>
      <c r="G8" s="144">
        <v>0.18940529709948101</v>
      </c>
      <c r="H8" s="151">
        <v>405439</v>
      </c>
      <c r="I8" s="143">
        <v>2112165</v>
      </c>
      <c r="J8" s="144">
        <v>0.19195422706085935</v>
      </c>
      <c r="K8" s="44"/>
      <c r="L8" s="44"/>
      <c r="M8" s="44"/>
      <c r="N8" s="44"/>
      <c r="O8" s="44"/>
      <c r="P8" s="44"/>
    </row>
    <row r="9" spans="1:16" ht="15" customHeight="1" x14ac:dyDescent="0.2">
      <c r="A9" s="73" t="s">
        <v>8</v>
      </c>
      <c r="B9" s="152">
        <v>374470</v>
      </c>
      <c r="C9" s="142">
        <v>2066789</v>
      </c>
      <c r="D9" s="145">
        <v>0.18118443634062306</v>
      </c>
      <c r="E9" s="152">
        <v>398703</v>
      </c>
      <c r="F9" s="142">
        <v>2164458</v>
      </c>
      <c r="G9" s="145">
        <v>0.18420454450952617</v>
      </c>
      <c r="H9" s="152">
        <v>412841</v>
      </c>
      <c r="I9" s="142">
        <v>2172006</v>
      </c>
      <c r="J9" s="145">
        <v>0.19007360016500877</v>
      </c>
      <c r="K9" s="44"/>
      <c r="L9" s="44"/>
      <c r="M9" s="44"/>
      <c r="N9" s="44"/>
      <c r="O9" s="44"/>
      <c r="P9" s="44"/>
    </row>
    <row r="10" spans="1:16" ht="15" customHeight="1" x14ac:dyDescent="0.2">
      <c r="A10" s="73" t="s">
        <v>9</v>
      </c>
      <c r="B10" s="152">
        <v>361193</v>
      </c>
      <c r="C10" s="142">
        <v>1994056</v>
      </c>
      <c r="D10" s="145">
        <v>0.18113483272285233</v>
      </c>
      <c r="E10" s="152">
        <v>382934</v>
      </c>
      <c r="F10" s="142">
        <v>2093942</v>
      </c>
      <c r="G10" s="145">
        <v>0.18287708064502264</v>
      </c>
      <c r="H10" s="152">
        <v>398670</v>
      </c>
      <c r="I10" s="142">
        <v>2107987</v>
      </c>
      <c r="J10" s="145">
        <v>0.18912355721358812</v>
      </c>
      <c r="K10" s="44"/>
      <c r="L10" s="44"/>
      <c r="M10" s="44"/>
      <c r="N10" s="44"/>
      <c r="O10" s="44"/>
      <c r="P10" s="44"/>
    </row>
    <row r="11" spans="1:16" ht="15" customHeight="1" x14ac:dyDescent="0.2">
      <c r="A11" s="73" t="s">
        <v>10</v>
      </c>
      <c r="B11" s="152">
        <v>370507</v>
      </c>
      <c r="C11" s="142">
        <v>2073944</v>
      </c>
      <c r="D11" s="145">
        <v>0.17864850738496313</v>
      </c>
      <c r="E11" s="152">
        <v>396725</v>
      </c>
      <c r="F11" s="142">
        <v>2179896</v>
      </c>
      <c r="G11" s="145">
        <v>0.18199262717120449</v>
      </c>
      <c r="H11" s="152">
        <v>415693</v>
      </c>
      <c r="I11" s="142">
        <v>2265050</v>
      </c>
      <c r="J11" s="145">
        <v>0.18352486700072845</v>
      </c>
      <c r="K11" s="44"/>
      <c r="L11" s="44"/>
      <c r="M11" s="44"/>
      <c r="N11" s="44"/>
      <c r="O11" s="44"/>
      <c r="P11" s="44"/>
    </row>
    <row r="12" spans="1:16" ht="15" customHeight="1" x14ac:dyDescent="0.2">
      <c r="A12" s="73" t="s">
        <v>11</v>
      </c>
      <c r="B12" s="152">
        <v>360985</v>
      </c>
      <c r="C12" s="142">
        <v>1924663</v>
      </c>
      <c r="D12" s="145">
        <v>0.18755751006799631</v>
      </c>
      <c r="E12" s="152">
        <v>389074</v>
      </c>
      <c r="F12" s="142">
        <v>1997854</v>
      </c>
      <c r="G12" s="145">
        <v>0.19474596241767417</v>
      </c>
      <c r="H12" s="152">
        <v>399953</v>
      </c>
      <c r="I12" s="142">
        <v>2125435</v>
      </c>
      <c r="J12" s="145">
        <v>0.18817465601159292</v>
      </c>
      <c r="K12" s="44"/>
      <c r="L12" s="44"/>
      <c r="M12" s="44"/>
      <c r="N12" s="44"/>
      <c r="O12" s="44"/>
      <c r="P12" s="44"/>
    </row>
    <row r="13" spans="1:16" ht="15" customHeight="1" x14ac:dyDescent="0.2">
      <c r="A13" s="73" t="s">
        <v>12</v>
      </c>
      <c r="B13" s="152">
        <v>360998</v>
      </c>
      <c r="C13" s="142">
        <v>1925961</v>
      </c>
      <c r="D13" s="145">
        <v>0.18743785569905103</v>
      </c>
      <c r="E13" s="152">
        <v>385975</v>
      </c>
      <c r="F13" s="142">
        <v>2005695</v>
      </c>
      <c r="G13" s="145">
        <v>0.19243952844275924</v>
      </c>
      <c r="H13" s="152">
        <v>399724</v>
      </c>
      <c r="I13" s="142">
        <v>2123345</v>
      </c>
      <c r="J13" s="145">
        <v>0.1882520268726938</v>
      </c>
      <c r="K13" s="44"/>
      <c r="L13" s="44"/>
      <c r="M13" s="44"/>
      <c r="N13" s="44"/>
      <c r="O13" s="44"/>
      <c r="P13" s="44"/>
    </row>
    <row r="14" spans="1:16" ht="15" customHeight="1" x14ac:dyDescent="0.2">
      <c r="A14" s="65" t="s">
        <v>13</v>
      </c>
      <c r="B14" s="152">
        <v>378811</v>
      </c>
      <c r="C14" s="142">
        <v>2044137</v>
      </c>
      <c r="D14" s="145">
        <v>0.185315857009584</v>
      </c>
      <c r="E14" s="152">
        <v>405094</v>
      </c>
      <c r="F14" s="142">
        <v>2079492</v>
      </c>
      <c r="G14" s="145">
        <v>0.19480430797521703</v>
      </c>
      <c r="H14" s="152">
        <v>421106</v>
      </c>
      <c r="I14" s="142">
        <v>2170885</v>
      </c>
      <c r="J14" s="145">
        <v>0.19397895328402934</v>
      </c>
      <c r="K14" s="44"/>
      <c r="L14" s="44"/>
      <c r="M14" s="44"/>
      <c r="N14" s="44"/>
      <c r="O14" s="44"/>
      <c r="P14" s="44"/>
    </row>
    <row r="15" spans="1:16" ht="15" customHeight="1" x14ac:dyDescent="0.2">
      <c r="A15" s="65" t="s">
        <v>14</v>
      </c>
      <c r="B15" s="152">
        <v>377670</v>
      </c>
      <c r="C15" s="142">
        <v>1976971</v>
      </c>
      <c r="D15" s="145">
        <v>0.19103466869266164</v>
      </c>
      <c r="E15" s="152">
        <v>403516</v>
      </c>
      <c r="F15" s="142">
        <v>2037847</v>
      </c>
      <c r="G15" s="145">
        <v>0.19801093997733882</v>
      </c>
      <c r="H15" s="152">
        <v>416459</v>
      </c>
      <c r="I15" s="142">
        <v>2143505</v>
      </c>
      <c r="J15" s="145">
        <v>0.19428879335480906</v>
      </c>
      <c r="K15" s="44"/>
      <c r="L15" s="44"/>
      <c r="M15" s="44"/>
      <c r="N15" s="44"/>
      <c r="O15" s="44"/>
      <c r="P15" s="44"/>
    </row>
    <row r="16" spans="1:16" ht="15" customHeight="1" x14ac:dyDescent="0.2">
      <c r="A16" s="65" t="s">
        <v>15</v>
      </c>
      <c r="B16" s="152">
        <v>393536</v>
      </c>
      <c r="C16" s="142">
        <v>2003954</v>
      </c>
      <c r="D16" s="145">
        <v>0.19637975721997611</v>
      </c>
      <c r="E16" s="152">
        <v>413632</v>
      </c>
      <c r="F16" s="142">
        <v>2047518</v>
      </c>
      <c r="G16" s="145">
        <v>0.20201629485064357</v>
      </c>
      <c r="H16" s="152">
        <v>424634</v>
      </c>
      <c r="I16" s="142">
        <v>2180537</v>
      </c>
      <c r="J16" s="145">
        <v>0.19473826860080798</v>
      </c>
      <c r="K16" s="44"/>
      <c r="L16" s="44"/>
      <c r="M16" s="44"/>
      <c r="N16" s="44"/>
      <c r="O16" s="44"/>
      <c r="P16" s="44"/>
    </row>
    <row r="17" spans="1:19" ht="15" customHeight="1" x14ac:dyDescent="0.2">
      <c r="A17" s="65" t="s">
        <v>16</v>
      </c>
      <c r="B17" s="152">
        <v>389727</v>
      </c>
      <c r="C17" s="142">
        <v>2000086</v>
      </c>
      <c r="D17" s="145">
        <v>0.19485512122978713</v>
      </c>
      <c r="E17" s="152">
        <v>421473</v>
      </c>
      <c r="F17" s="142">
        <v>2113413</v>
      </c>
      <c r="G17" s="145">
        <v>0.19942765564515785</v>
      </c>
      <c r="H17" s="152">
        <v>416541</v>
      </c>
      <c r="I17" s="142">
        <v>2114709</v>
      </c>
      <c r="J17" s="145">
        <v>0.19697320056802142</v>
      </c>
      <c r="K17" s="44"/>
      <c r="L17" s="44"/>
      <c r="M17" s="44"/>
      <c r="N17" s="44"/>
      <c r="O17" s="44"/>
      <c r="P17" s="44"/>
    </row>
    <row r="18" spans="1:19" ht="15" customHeight="1" x14ac:dyDescent="0.2">
      <c r="A18" s="65" t="s">
        <v>17</v>
      </c>
      <c r="B18" s="152">
        <v>352702</v>
      </c>
      <c r="C18" s="142">
        <v>1820012</v>
      </c>
      <c r="D18" s="145">
        <v>0.19379102994925307</v>
      </c>
      <c r="E18" s="152">
        <v>377502</v>
      </c>
      <c r="F18" s="142">
        <v>1954947</v>
      </c>
      <c r="G18" s="145">
        <v>0.1931008871340246</v>
      </c>
      <c r="H18" s="152">
        <v>382277</v>
      </c>
      <c r="I18" s="142">
        <v>1969691</v>
      </c>
      <c r="J18" s="145">
        <v>0.19407968051841634</v>
      </c>
      <c r="K18" s="44"/>
      <c r="L18" s="44"/>
      <c r="M18" s="44"/>
      <c r="N18" s="44"/>
      <c r="O18" s="44"/>
      <c r="P18" s="44"/>
    </row>
    <row r="19" spans="1:19" ht="15" customHeight="1" thickBot="1" x14ac:dyDescent="0.25">
      <c r="A19" s="74" t="s">
        <v>18</v>
      </c>
      <c r="B19" s="153">
        <v>391002</v>
      </c>
      <c r="C19" s="146">
        <v>2049785</v>
      </c>
      <c r="D19" s="147">
        <v>0.1907526886966194</v>
      </c>
      <c r="E19" s="153">
        <v>415964</v>
      </c>
      <c r="F19" s="146">
        <v>2167551</v>
      </c>
      <c r="G19" s="147">
        <v>0.19190514636340569</v>
      </c>
      <c r="H19" s="153">
        <v>325833</v>
      </c>
      <c r="I19" s="146">
        <v>1531801</v>
      </c>
      <c r="J19" s="147">
        <v>0.21271235623948542</v>
      </c>
      <c r="K19" s="44"/>
      <c r="L19" s="44"/>
      <c r="M19" s="44"/>
      <c r="N19" s="44"/>
      <c r="O19" s="44"/>
      <c r="P19" s="44"/>
    </row>
    <row r="20" spans="1:19" x14ac:dyDescent="0.2">
      <c r="A20" s="11"/>
      <c r="B20" s="12"/>
      <c r="C20" s="12"/>
      <c r="D20" s="336"/>
      <c r="E20" s="12"/>
      <c r="F20" s="12"/>
      <c r="G20" s="336"/>
      <c r="H20" s="12"/>
      <c r="I20" s="12"/>
      <c r="J20" s="336"/>
      <c r="K20" s="29"/>
      <c r="L20" s="44"/>
      <c r="M20" s="44"/>
      <c r="N20" s="44"/>
      <c r="O20" s="44"/>
      <c r="P20" s="44"/>
      <c r="Q20" s="44"/>
      <c r="R20" s="44"/>
      <c r="S20" s="44"/>
    </row>
    <row r="21" spans="1:19" x14ac:dyDescent="0.2">
      <c r="A21" s="430" t="s">
        <v>436</v>
      </c>
      <c r="B21" s="430"/>
      <c r="C21" s="430"/>
      <c r="D21" s="430"/>
      <c r="E21" s="430"/>
      <c r="F21" s="430"/>
      <c r="G21" s="430"/>
      <c r="H21" s="430"/>
      <c r="I21" s="91"/>
      <c r="J21" s="91"/>
      <c r="K21" s="39"/>
      <c r="L21" s="39"/>
      <c r="M21" s="39"/>
      <c r="N21" s="39"/>
      <c r="O21" s="39"/>
      <c r="P21" s="39"/>
    </row>
    <row r="22" spans="1:19" x14ac:dyDescent="0.2">
      <c r="A22" s="431" t="s">
        <v>499</v>
      </c>
      <c r="B22" s="431"/>
      <c r="C22" s="431"/>
      <c r="D22" s="431"/>
      <c r="E22" s="431"/>
      <c r="F22" s="431"/>
      <c r="G22" s="431"/>
      <c r="H22" s="431"/>
      <c r="I22" s="431"/>
      <c r="J22" s="431"/>
      <c r="K22" s="311"/>
      <c r="L22" s="311"/>
      <c r="M22" s="39"/>
      <c r="N22" s="39"/>
      <c r="O22" s="39"/>
      <c r="P22" s="39"/>
    </row>
    <row r="23" spans="1:19" x14ac:dyDescent="0.2">
      <c r="A23" s="103"/>
      <c r="B23" s="103"/>
      <c r="C23" s="103"/>
      <c r="D23" s="103"/>
      <c r="E23" s="103"/>
      <c r="F23" s="103"/>
      <c r="G23" s="103"/>
      <c r="H23" s="99"/>
      <c r="I23" s="91"/>
      <c r="J23" s="91"/>
      <c r="K23" s="39"/>
      <c r="L23" s="39"/>
      <c r="M23" s="39"/>
      <c r="N23" s="39"/>
      <c r="O23" s="39"/>
      <c r="P23" s="39"/>
    </row>
    <row r="24" spans="1:19" ht="15" thickBot="1" x14ac:dyDescent="0.25">
      <c r="A24" s="429" t="s">
        <v>1</v>
      </c>
      <c r="B24" s="429"/>
      <c r="C24" s="429"/>
      <c r="D24" s="429"/>
      <c r="E24" s="429"/>
      <c r="F24" s="429"/>
      <c r="G24" s="429"/>
      <c r="H24" s="429"/>
      <c r="I24" s="429"/>
      <c r="J24" s="429"/>
    </row>
    <row r="25" spans="1:19" ht="14.25" customHeight="1" x14ac:dyDescent="0.2">
      <c r="A25" s="313" t="s">
        <v>428</v>
      </c>
      <c r="B25" s="313"/>
      <c r="C25" s="313"/>
      <c r="D25" s="313"/>
      <c r="E25" s="313"/>
      <c r="F25" s="313"/>
      <c r="G25" s="313"/>
      <c r="H25" s="313"/>
      <c r="I25" s="313"/>
      <c r="J25" s="313"/>
      <c r="K25" s="189"/>
    </row>
    <row r="26" spans="1:19" x14ac:dyDescent="0.2">
      <c r="A26" s="412" t="s">
        <v>510</v>
      </c>
      <c r="B26" s="412"/>
      <c r="C26" s="412"/>
      <c r="D26" s="412"/>
      <c r="E26" s="412"/>
      <c r="F26" s="412"/>
      <c r="G26" s="412"/>
      <c r="K26" s="99"/>
    </row>
    <row r="27" spans="1:19" x14ac:dyDescent="0.2">
      <c r="A27" s="408" t="s">
        <v>156</v>
      </c>
      <c r="B27" s="408"/>
      <c r="C27" s="408"/>
      <c r="D27" s="408"/>
      <c r="E27" s="408"/>
      <c r="F27" s="408"/>
      <c r="G27" s="408"/>
      <c r="H27" s="408"/>
      <c r="I27" s="408"/>
      <c r="J27" s="408"/>
      <c r="K27" s="99"/>
    </row>
    <row r="28" spans="1:19" ht="15" thickBot="1" x14ac:dyDescent="0.25">
      <c r="A28" s="409" t="s">
        <v>442</v>
      </c>
      <c r="B28" s="409"/>
      <c r="C28" s="409"/>
      <c r="D28" s="409"/>
      <c r="E28" s="409"/>
      <c r="F28" s="409"/>
      <c r="G28" s="409"/>
      <c r="H28" s="409"/>
      <c r="I28" s="409"/>
      <c r="J28" s="409"/>
      <c r="K28" s="190"/>
    </row>
    <row r="29" spans="1:19" x14ac:dyDescent="0.2">
      <c r="A29" s="29"/>
      <c r="B29" s="30"/>
      <c r="C29" s="30"/>
      <c r="D29" s="30"/>
      <c r="E29" s="30"/>
      <c r="F29" s="30"/>
      <c r="G29" s="30"/>
    </row>
    <row r="30" spans="1:19" x14ac:dyDescent="0.2">
      <c r="A30" s="410" t="s">
        <v>157</v>
      </c>
      <c r="B30" s="410"/>
      <c r="C30" s="30"/>
      <c r="D30" s="30"/>
      <c r="E30" s="30"/>
      <c r="F30" s="30"/>
      <c r="G30" s="31"/>
    </row>
    <row r="31" spans="1:19" x14ac:dyDescent="0.2">
      <c r="A31" s="11"/>
      <c r="B31" s="30"/>
      <c r="C31" s="30"/>
      <c r="D31" s="30"/>
      <c r="E31" s="30"/>
      <c r="F31" s="30"/>
    </row>
    <row r="52" spans="5:6" x14ac:dyDescent="0.2">
      <c r="E52" s="99"/>
      <c r="F52" s="99"/>
    </row>
  </sheetData>
  <mergeCells count="13">
    <mergeCell ref="A2:J2"/>
    <mergeCell ref="A30:B30"/>
    <mergeCell ref="A3:K3"/>
    <mergeCell ref="A24:J24"/>
    <mergeCell ref="A21:H21"/>
    <mergeCell ref="A22:J22"/>
    <mergeCell ref="A26:G26"/>
    <mergeCell ref="E6:G6"/>
    <mergeCell ref="A27:J27"/>
    <mergeCell ref="A28:J28"/>
    <mergeCell ref="H6:J6"/>
    <mergeCell ref="A4:G4"/>
    <mergeCell ref="B6:D6"/>
  </mergeCells>
  <hyperlinks>
    <hyperlink ref="A27:F27" r:id="rId1" display="Contact via enquiries@NHSDigital.nhs.uk or 0300 303 5678" xr:uid="{00000000-0004-0000-0E00-000000000000}"/>
    <hyperlink ref="A30" location="Contents!A1" display="Return to Contents" xr:uid="{00000000-0004-0000-0E00-000001000000}"/>
    <hyperlink ref="A22" r:id="rId2" display="https://www.england.nhs.uk/statistics/statistical-work-areas/ae-waiting-times-and-activity/ae-attendances-and-emergency-admissions-2018-19/" xr:uid="{7E1BA417-A54A-4529-9596-0B41C9E05BDC}"/>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V30"/>
  <sheetViews>
    <sheetView workbookViewId="0">
      <selection sqref="A1:C1"/>
    </sheetView>
  </sheetViews>
  <sheetFormatPr defaultColWidth="9.140625" defaultRowHeight="14.25" x14ac:dyDescent="0.2"/>
  <cols>
    <col min="1" max="1" width="28.85546875" style="28" bestFit="1" customWidth="1"/>
    <col min="2" max="11" width="11.5703125" style="28" bestFit="1" customWidth="1"/>
    <col min="12" max="12" width="11.5703125" style="28" customWidth="1"/>
    <col min="13" max="16384" width="9.140625" style="28"/>
  </cols>
  <sheetData>
    <row r="1" spans="1:17" ht="15" customHeight="1" x14ac:dyDescent="0.2"/>
    <row r="2" spans="1:17" ht="51" customHeight="1" x14ac:dyDescent="0.2">
      <c r="A2" s="404" t="s">
        <v>476</v>
      </c>
      <c r="B2" s="404"/>
      <c r="C2" s="404"/>
      <c r="D2" s="404"/>
      <c r="E2" s="404"/>
      <c r="F2" s="404"/>
      <c r="G2" s="404"/>
      <c r="H2" s="404"/>
      <c r="I2" s="404"/>
      <c r="J2" s="404"/>
      <c r="K2" s="98"/>
      <c r="L2" s="228"/>
    </row>
    <row r="3" spans="1:17" ht="16.5" customHeight="1" x14ac:dyDescent="0.2">
      <c r="A3" s="413" t="s">
        <v>235</v>
      </c>
      <c r="B3" s="413"/>
      <c r="C3" s="413"/>
      <c r="D3" s="413"/>
      <c r="E3" s="413"/>
      <c r="F3" s="413"/>
      <c r="G3" s="413"/>
      <c r="H3" s="413"/>
      <c r="I3" s="413"/>
      <c r="J3" s="413"/>
      <c r="K3" s="413"/>
      <c r="L3" s="230"/>
    </row>
    <row r="4" spans="1:17" ht="16.5" customHeight="1" x14ac:dyDescent="0.2">
      <c r="A4" s="413" t="s">
        <v>432</v>
      </c>
      <c r="B4" s="413"/>
      <c r="C4" s="413"/>
      <c r="D4" s="413"/>
      <c r="E4" s="413"/>
      <c r="F4" s="413"/>
      <c r="G4" s="315"/>
      <c r="H4" s="315"/>
      <c r="I4" s="315"/>
      <c r="J4" s="315"/>
      <c r="K4" s="315"/>
      <c r="L4" s="315"/>
    </row>
    <row r="5" spans="1:17" ht="13.5" customHeight="1" thickBot="1" x14ac:dyDescent="0.25"/>
    <row r="6" spans="1:17" ht="16.5" customHeight="1" thickBot="1" x14ac:dyDescent="0.25">
      <c r="A6" s="196"/>
      <c r="B6" s="164" t="s">
        <v>158</v>
      </c>
      <c r="C6" s="83" t="s">
        <v>159</v>
      </c>
      <c r="D6" s="83" t="s">
        <v>160</v>
      </c>
      <c r="E6" s="84" t="s">
        <v>161</v>
      </c>
      <c r="F6" s="164" t="s">
        <v>0</v>
      </c>
      <c r="G6" s="83" t="s">
        <v>155</v>
      </c>
      <c r="H6" s="83" t="s">
        <v>172</v>
      </c>
      <c r="I6" s="83" t="s">
        <v>243</v>
      </c>
      <c r="J6" s="83" t="s">
        <v>313</v>
      </c>
      <c r="K6" s="85" t="s">
        <v>440</v>
      </c>
      <c r="L6" s="43"/>
    </row>
    <row r="7" spans="1:17" ht="16.5" customHeight="1" x14ac:dyDescent="0.2">
      <c r="A7" s="165" t="s">
        <v>233</v>
      </c>
      <c r="B7" s="156">
        <v>3564555</v>
      </c>
      <c r="C7" s="157">
        <v>3663756</v>
      </c>
      <c r="D7" s="157">
        <v>3781335</v>
      </c>
      <c r="E7" s="158">
        <v>3836320</v>
      </c>
      <c r="F7" s="156">
        <v>4020138</v>
      </c>
      <c r="G7" s="157">
        <v>4145054</v>
      </c>
      <c r="H7" s="157">
        <v>4263276</v>
      </c>
      <c r="I7" s="157">
        <v>4464166</v>
      </c>
      <c r="J7" s="157">
        <v>4766442</v>
      </c>
      <c r="K7" s="159">
        <v>4819170</v>
      </c>
      <c r="L7" s="43"/>
    </row>
    <row r="8" spans="1:17" ht="16.5" customHeight="1" x14ac:dyDescent="0.2">
      <c r="A8" s="166" t="s">
        <v>162</v>
      </c>
      <c r="B8" s="160">
        <v>21380985</v>
      </c>
      <c r="C8" s="161">
        <v>21481402</v>
      </c>
      <c r="D8" s="161">
        <v>21738637</v>
      </c>
      <c r="E8" s="162">
        <v>21778657</v>
      </c>
      <c r="F8" s="160">
        <v>22354781</v>
      </c>
      <c r="G8" s="161">
        <v>22920435.428571429</v>
      </c>
      <c r="H8" s="161">
        <v>23362301</v>
      </c>
      <c r="I8" s="161">
        <v>23830120</v>
      </c>
      <c r="J8" s="161">
        <v>24826982</v>
      </c>
      <c r="K8" s="163">
        <v>25017116</v>
      </c>
      <c r="L8" s="43"/>
    </row>
    <row r="9" spans="1:17" ht="15" customHeight="1" thickBot="1" x14ac:dyDescent="0.25">
      <c r="A9" s="167" t="s">
        <v>234</v>
      </c>
      <c r="B9" s="154">
        <v>0.16671612650212325</v>
      </c>
      <c r="C9" s="154">
        <v>0.17055478967341145</v>
      </c>
      <c r="D9" s="154">
        <v>0.1739453582117407</v>
      </c>
      <c r="E9" s="154">
        <v>0.17615043939578093</v>
      </c>
      <c r="F9" s="154">
        <v>0.17983347723245421</v>
      </c>
      <c r="G9" s="154">
        <v>0.18084534270378608</v>
      </c>
      <c r="H9" s="154">
        <v>0.18248527831226899</v>
      </c>
      <c r="I9" s="154">
        <v>0.18733292152956008</v>
      </c>
      <c r="J9" s="154">
        <v>0.19198637160112217</v>
      </c>
      <c r="K9" s="155">
        <v>0.19263491443218314</v>
      </c>
    </row>
    <row r="10" spans="1:17" x14ac:dyDescent="0.2">
      <c r="A10" s="11"/>
      <c r="B10" s="12"/>
      <c r="C10" s="12"/>
      <c r="D10" s="12"/>
      <c r="E10" s="12"/>
      <c r="F10" s="12"/>
      <c r="G10" s="12"/>
      <c r="H10" s="29"/>
      <c r="I10" s="29"/>
      <c r="J10" s="29"/>
      <c r="K10" s="29"/>
      <c r="L10" s="29"/>
    </row>
    <row r="11" spans="1:17" x14ac:dyDescent="0.2">
      <c r="A11" s="430" t="s">
        <v>436</v>
      </c>
      <c r="B11" s="430"/>
      <c r="C11" s="430"/>
      <c r="D11" s="430"/>
      <c r="E11" s="430"/>
      <c r="F11" s="430"/>
      <c r="G11" s="430"/>
      <c r="H11" s="430"/>
      <c r="I11" s="91"/>
      <c r="J11" s="91"/>
      <c r="K11" s="39"/>
      <c r="L11" s="39"/>
      <c r="M11" s="39"/>
      <c r="N11" s="39"/>
      <c r="O11" s="39"/>
      <c r="P11" s="39"/>
      <c r="Q11" s="39"/>
    </row>
    <row r="12" spans="1:17" ht="28.5" customHeight="1" x14ac:dyDescent="0.2">
      <c r="A12" s="406" t="s">
        <v>499</v>
      </c>
      <c r="B12" s="406"/>
      <c r="C12" s="406"/>
      <c r="D12" s="406"/>
      <c r="E12" s="406"/>
      <c r="F12" s="406"/>
      <c r="G12" s="406"/>
      <c r="H12" s="406"/>
      <c r="I12" s="406"/>
      <c r="J12" s="406"/>
      <c r="K12" s="39"/>
      <c r="L12" s="39"/>
      <c r="M12" s="39"/>
      <c r="N12" s="39"/>
      <c r="O12" s="39"/>
      <c r="P12" s="39"/>
      <c r="Q12" s="39"/>
    </row>
    <row r="13" spans="1:17" x14ac:dyDescent="0.2">
      <c r="A13" s="103"/>
      <c r="B13" s="103"/>
      <c r="C13" s="103"/>
      <c r="D13" s="103"/>
      <c r="E13" s="103"/>
      <c r="F13" s="103"/>
      <c r="G13" s="103"/>
      <c r="H13" s="99"/>
      <c r="I13" s="91"/>
      <c r="J13" s="91"/>
      <c r="K13" s="39"/>
      <c r="L13" s="39"/>
      <c r="M13" s="39"/>
      <c r="N13" s="39"/>
      <c r="O13" s="39"/>
      <c r="P13" s="39"/>
      <c r="Q13" s="39"/>
    </row>
    <row r="14" spans="1:17" ht="15" thickBot="1" x14ac:dyDescent="0.25">
      <c r="A14" s="429" t="s">
        <v>1</v>
      </c>
      <c r="B14" s="429"/>
      <c r="C14" s="429"/>
      <c r="D14" s="429"/>
      <c r="E14" s="429"/>
      <c r="F14" s="429"/>
      <c r="G14" s="429"/>
      <c r="H14" s="429"/>
      <c r="I14" s="429"/>
      <c r="J14" s="429"/>
    </row>
    <row r="15" spans="1:17" ht="14.25" customHeight="1" x14ac:dyDescent="0.2">
      <c r="A15" s="313" t="s">
        <v>428</v>
      </c>
      <c r="B15" s="313"/>
      <c r="C15" s="313"/>
      <c r="D15" s="313"/>
      <c r="E15" s="313"/>
      <c r="F15" s="313"/>
      <c r="G15" s="313"/>
      <c r="H15" s="313"/>
      <c r="I15" s="313"/>
      <c r="J15" s="313"/>
      <c r="K15" s="189"/>
      <c r="L15" s="189"/>
    </row>
    <row r="16" spans="1:17" x14ac:dyDescent="0.2">
      <c r="A16" s="412" t="s">
        <v>510</v>
      </c>
      <c r="B16" s="412"/>
      <c r="C16" s="412"/>
      <c r="D16" s="412"/>
      <c r="E16" s="412"/>
      <c r="F16" s="412"/>
      <c r="G16" s="412"/>
      <c r="K16" s="99"/>
      <c r="L16" s="99"/>
    </row>
    <row r="17" spans="1:22" x14ac:dyDescent="0.2">
      <c r="A17" s="408" t="s">
        <v>156</v>
      </c>
      <c r="B17" s="408"/>
      <c r="C17" s="408"/>
      <c r="D17" s="408"/>
      <c r="E17" s="408"/>
      <c r="F17" s="408"/>
      <c r="G17" s="408"/>
      <c r="H17" s="408"/>
      <c r="I17" s="408"/>
      <c r="J17" s="408"/>
      <c r="K17" s="99"/>
      <c r="L17" s="99"/>
    </row>
    <row r="18" spans="1:22" ht="15" thickBot="1" x14ac:dyDescent="0.25">
      <c r="A18" s="409" t="s">
        <v>442</v>
      </c>
      <c r="B18" s="409"/>
      <c r="C18" s="409"/>
      <c r="D18" s="409"/>
      <c r="E18" s="409"/>
      <c r="F18" s="409"/>
      <c r="G18" s="409"/>
      <c r="H18" s="409"/>
      <c r="I18" s="409"/>
      <c r="J18" s="409"/>
      <c r="K18" s="190"/>
      <c r="L18" s="190"/>
      <c r="R18" s="44"/>
      <c r="S18" s="44"/>
      <c r="T18" s="44"/>
      <c r="U18" s="44"/>
      <c r="V18" s="44"/>
    </row>
    <row r="19" spans="1:22" x14ac:dyDescent="0.2">
      <c r="A19" s="29"/>
      <c r="B19" s="30"/>
      <c r="C19" s="30"/>
      <c r="D19" s="30"/>
      <c r="E19" s="30"/>
      <c r="F19" s="30"/>
      <c r="G19" s="30"/>
      <c r="R19" s="44"/>
      <c r="S19" s="44"/>
      <c r="T19" s="44"/>
      <c r="U19" s="44"/>
      <c r="V19" s="44"/>
    </row>
    <row r="20" spans="1:22" x14ac:dyDescent="0.2">
      <c r="A20" s="410" t="s">
        <v>157</v>
      </c>
      <c r="B20" s="410"/>
      <c r="C20" s="30"/>
      <c r="D20" s="30"/>
      <c r="E20" s="30"/>
      <c r="F20" s="30"/>
      <c r="G20" s="31"/>
      <c r="R20" s="44"/>
      <c r="S20" s="44"/>
      <c r="T20" s="44"/>
      <c r="U20" s="44"/>
      <c r="V20" s="44"/>
    </row>
    <row r="21" spans="1:22" x14ac:dyDescent="0.2">
      <c r="A21" s="11"/>
      <c r="B21" s="30"/>
      <c r="C21" s="30"/>
      <c r="D21" s="30"/>
      <c r="E21" s="30"/>
      <c r="F21" s="30"/>
      <c r="R21" s="44"/>
      <c r="S21" s="44"/>
      <c r="T21" s="44"/>
      <c r="U21" s="44"/>
      <c r="V21" s="44"/>
    </row>
    <row r="22" spans="1:22" x14ac:dyDescent="0.2">
      <c r="A22" s="20"/>
      <c r="B22" s="47"/>
      <c r="C22" s="47"/>
      <c r="D22" s="47"/>
      <c r="E22" s="47"/>
      <c r="F22" s="47"/>
      <c r="G22" s="44"/>
      <c r="H22" s="44"/>
      <c r="I22" s="44"/>
      <c r="J22" s="44"/>
      <c r="K22" s="44"/>
      <c r="L22" s="44"/>
      <c r="M22" s="44"/>
      <c r="N22" s="44"/>
      <c r="O22" s="44"/>
      <c r="P22" s="44"/>
      <c r="Q22" s="44"/>
      <c r="R22" s="44"/>
      <c r="S22" s="44"/>
      <c r="T22" s="44"/>
      <c r="U22" s="44"/>
      <c r="V22" s="44"/>
    </row>
    <row r="23" spans="1:22" x14ac:dyDescent="0.2">
      <c r="A23" s="49"/>
      <c r="B23" s="50"/>
      <c r="C23" s="49"/>
      <c r="D23" s="49"/>
      <c r="E23" s="49"/>
      <c r="F23" s="49"/>
      <c r="G23" s="49"/>
      <c r="H23" s="49"/>
      <c r="I23" s="49"/>
      <c r="J23" s="49"/>
      <c r="K23" s="49"/>
      <c r="L23" s="49"/>
      <c r="M23" s="44"/>
      <c r="N23" s="44"/>
      <c r="O23" s="44"/>
      <c r="P23" s="44"/>
      <c r="Q23" s="44"/>
      <c r="R23" s="44"/>
      <c r="S23" s="44"/>
      <c r="T23" s="44"/>
      <c r="U23" s="44"/>
      <c r="V23" s="44"/>
    </row>
    <row r="24" spans="1:22" x14ac:dyDescent="0.2">
      <c r="A24" s="44"/>
      <c r="B24" s="44"/>
      <c r="C24" s="44"/>
      <c r="D24" s="44"/>
      <c r="E24" s="44"/>
      <c r="F24" s="44"/>
      <c r="G24" s="44"/>
      <c r="H24" s="44"/>
      <c r="I24" s="44"/>
      <c r="J24" s="44"/>
      <c r="K24" s="44"/>
      <c r="L24" s="44"/>
      <c r="M24" s="44"/>
      <c r="N24" s="44"/>
      <c r="O24" s="44"/>
      <c r="P24" s="44"/>
      <c r="Q24" s="44"/>
      <c r="R24" s="44"/>
      <c r="S24" s="44"/>
      <c r="T24" s="44"/>
      <c r="U24" s="44"/>
      <c r="V24" s="44"/>
    </row>
    <row r="25" spans="1:22" x14ac:dyDescent="0.2">
      <c r="A25" s="44"/>
      <c r="B25" s="44"/>
      <c r="C25" s="44"/>
      <c r="D25" s="44"/>
      <c r="E25" s="44"/>
      <c r="F25" s="44"/>
      <c r="G25" s="44"/>
      <c r="H25" s="44"/>
      <c r="I25" s="44"/>
      <c r="J25" s="44"/>
      <c r="K25" s="44"/>
      <c r="L25" s="44"/>
      <c r="M25" s="44"/>
      <c r="N25" s="44"/>
      <c r="O25" s="44"/>
      <c r="P25" s="44"/>
      <c r="Q25" s="44"/>
      <c r="R25" s="44"/>
      <c r="S25" s="44"/>
      <c r="T25" s="44"/>
      <c r="U25" s="44"/>
      <c r="V25" s="44"/>
    </row>
    <row r="26" spans="1:22" x14ac:dyDescent="0.2">
      <c r="A26" s="44"/>
      <c r="B26" s="44"/>
      <c r="C26" s="44"/>
      <c r="D26" s="44"/>
      <c r="E26" s="44"/>
      <c r="F26" s="44"/>
      <c r="G26" s="44"/>
      <c r="H26" s="44"/>
      <c r="I26" s="44"/>
      <c r="J26" s="44"/>
      <c r="K26" s="44"/>
      <c r="L26" s="44"/>
      <c r="M26" s="44"/>
      <c r="N26" s="44"/>
      <c r="O26" s="44"/>
      <c r="P26" s="44"/>
      <c r="Q26" s="44"/>
      <c r="R26" s="44"/>
      <c r="S26" s="44"/>
      <c r="T26" s="44"/>
      <c r="U26" s="44"/>
      <c r="V26" s="44"/>
    </row>
    <row r="27" spans="1:22" x14ac:dyDescent="0.2">
      <c r="A27" s="44"/>
      <c r="B27" s="44"/>
      <c r="C27" s="44"/>
      <c r="D27" s="44"/>
      <c r="E27" s="44"/>
      <c r="F27" s="44"/>
      <c r="G27" s="44"/>
      <c r="H27" s="44"/>
      <c r="I27" s="44"/>
      <c r="J27" s="44"/>
      <c r="K27" s="44"/>
      <c r="L27" s="44"/>
      <c r="M27" s="44"/>
      <c r="N27" s="44"/>
      <c r="O27" s="44"/>
      <c r="P27" s="44"/>
      <c r="Q27" s="44"/>
    </row>
    <row r="28" spans="1:22" x14ac:dyDescent="0.2">
      <c r="A28" s="44"/>
      <c r="B28" s="44"/>
      <c r="C28" s="44"/>
      <c r="D28" s="44"/>
      <c r="E28" s="44"/>
      <c r="F28" s="44"/>
      <c r="G28" s="44"/>
      <c r="H28" s="44"/>
      <c r="I28" s="44"/>
      <c r="J28" s="44"/>
      <c r="K28" s="44"/>
      <c r="L28" s="44"/>
      <c r="M28" s="44"/>
      <c r="N28" s="44"/>
      <c r="O28" s="44"/>
      <c r="P28" s="44"/>
      <c r="Q28" s="44"/>
    </row>
    <row r="29" spans="1:22" x14ac:dyDescent="0.2">
      <c r="A29" s="44"/>
      <c r="B29" s="44"/>
      <c r="C29" s="44"/>
      <c r="D29" s="44"/>
      <c r="E29" s="44"/>
      <c r="F29" s="44"/>
      <c r="G29" s="44"/>
      <c r="H29" s="44"/>
      <c r="I29" s="44"/>
      <c r="J29" s="44"/>
      <c r="K29" s="44"/>
      <c r="L29" s="44"/>
      <c r="M29" s="44"/>
      <c r="N29" s="44"/>
      <c r="O29" s="44"/>
      <c r="P29" s="44"/>
      <c r="Q29" s="44"/>
    </row>
    <row r="30" spans="1:22" x14ac:dyDescent="0.2">
      <c r="A30" s="44"/>
      <c r="B30" s="44"/>
      <c r="C30" s="44"/>
      <c r="D30" s="44"/>
      <c r="E30" s="44"/>
      <c r="F30" s="44"/>
      <c r="G30" s="44"/>
      <c r="H30" s="44"/>
      <c r="I30" s="44"/>
      <c r="J30" s="44"/>
      <c r="K30" s="44"/>
      <c r="L30" s="44"/>
      <c r="M30" s="44"/>
      <c r="N30" s="44"/>
      <c r="O30" s="44"/>
      <c r="P30" s="44"/>
      <c r="Q30" s="44"/>
    </row>
  </sheetData>
  <mergeCells count="10">
    <mergeCell ref="A2:J2"/>
    <mergeCell ref="A17:J17"/>
    <mergeCell ref="A18:J18"/>
    <mergeCell ref="A20:B20"/>
    <mergeCell ref="A3:K3"/>
    <mergeCell ref="A14:J14"/>
    <mergeCell ref="A11:H11"/>
    <mergeCell ref="A12:J12"/>
    <mergeCell ref="A16:G16"/>
    <mergeCell ref="A4:F4"/>
  </mergeCells>
  <hyperlinks>
    <hyperlink ref="A17:F17" r:id="rId1" display="Contact via enquiries@NHSDigital.nhs.uk or 0300 303 5678" xr:uid="{00000000-0004-0000-0F00-000000000000}"/>
    <hyperlink ref="A20" location="Contents!A1" display="Return to Contents" xr:uid="{00000000-0004-0000-0F00-000001000000}"/>
    <hyperlink ref="A12" r:id="rId2" display="https://www.england.nhs.uk/statistics/statistical-work-areas/ae-waiting-times-and-activity/ae-attendances-and-emergency-admissions-2018-19/" xr:uid="{CE9127B9-F9C8-4782-BEF4-FFC7274C75C0}"/>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29"/>
  <sheetViews>
    <sheetView workbookViewId="0">
      <selection sqref="A1:C1"/>
    </sheetView>
  </sheetViews>
  <sheetFormatPr defaultColWidth="9.140625" defaultRowHeight="14.25" x14ac:dyDescent="0.2"/>
  <cols>
    <col min="1" max="1" width="10" style="28" customWidth="1"/>
    <col min="2" max="4" width="17.85546875" style="28" customWidth="1"/>
    <col min="5" max="5" width="9.140625" style="28"/>
    <col min="6" max="6" width="11.85546875" style="28" bestFit="1" customWidth="1"/>
    <col min="7" max="7" width="13.140625" style="28" bestFit="1" customWidth="1"/>
    <col min="8" max="16384" width="9.140625" style="28"/>
  </cols>
  <sheetData>
    <row r="1" spans="1:13" ht="15" customHeight="1" x14ac:dyDescent="0.2"/>
    <row r="2" spans="1:13" ht="48.75" customHeight="1" x14ac:dyDescent="0.2">
      <c r="A2" s="404" t="s">
        <v>449</v>
      </c>
      <c r="B2" s="404"/>
      <c r="C2" s="404"/>
      <c r="D2" s="404"/>
      <c r="E2" s="404"/>
      <c r="F2" s="404"/>
      <c r="G2" s="404"/>
      <c r="H2" s="98"/>
      <c r="I2" s="98"/>
    </row>
    <row r="3" spans="1:13" ht="16.5" customHeight="1" x14ac:dyDescent="0.2">
      <c r="A3" s="416" t="s">
        <v>235</v>
      </c>
      <c r="B3" s="416"/>
      <c r="C3" s="416"/>
      <c r="D3" s="416"/>
      <c r="E3" s="416"/>
      <c r="F3" s="416"/>
      <c r="G3" s="416"/>
      <c r="H3" s="11"/>
      <c r="I3" s="11"/>
    </row>
    <row r="4" spans="1:13" ht="16.5" customHeight="1" x14ac:dyDescent="0.2">
      <c r="A4" s="416" t="s">
        <v>432</v>
      </c>
      <c r="B4" s="416"/>
      <c r="C4" s="416"/>
      <c r="D4" s="416"/>
      <c r="E4" s="416"/>
      <c r="F4" s="316"/>
      <c r="G4" s="316"/>
      <c r="H4" s="11"/>
      <c r="I4" s="11"/>
    </row>
    <row r="5" spans="1:13" ht="13.5" customHeight="1" thickBot="1" x14ac:dyDescent="0.25">
      <c r="A5" s="29"/>
      <c r="B5" s="29"/>
      <c r="C5" s="29"/>
    </row>
    <row r="6" spans="1:13" ht="40.9" customHeight="1" thickBot="1" x14ac:dyDescent="0.25">
      <c r="A6" s="199"/>
      <c r="B6" s="254" t="s">
        <v>303</v>
      </c>
      <c r="C6" s="255" t="s">
        <v>230</v>
      </c>
      <c r="D6" s="137" t="s">
        <v>304</v>
      </c>
      <c r="E6" s="51"/>
      <c r="F6" s="51"/>
      <c r="G6" s="51"/>
      <c r="H6" s="51"/>
      <c r="I6" s="51"/>
      <c r="J6" s="43"/>
      <c r="K6" s="43"/>
    </row>
    <row r="7" spans="1:13" ht="15" customHeight="1" x14ac:dyDescent="0.2">
      <c r="A7" s="72" t="s">
        <v>158</v>
      </c>
      <c r="B7" s="268">
        <v>1210358</v>
      </c>
      <c r="C7" s="75">
        <v>15818846</v>
      </c>
      <c r="D7" s="218">
        <v>7.65136723626995E-2</v>
      </c>
      <c r="E7" s="217"/>
      <c r="F7" s="44"/>
      <c r="G7" s="44"/>
      <c r="H7" s="217"/>
      <c r="I7" s="217"/>
      <c r="J7" s="44"/>
      <c r="K7" s="44"/>
      <c r="L7" s="44"/>
      <c r="M7" s="44"/>
    </row>
    <row r="8" spans="1:13" ht="15" customHeight="1" x14ac:dyDescent="0.2">
      <c r="A8" s="73" t="s">
        <v>159</v>
      </c>
      <c r="B8" s="269">
        <v>1298555</v>
      </c>
      <c r="C8" s="76">
        <v>17286648</v>
      </c>
      <c r="D8" s="219">
        <v>7.5118958863511304E-2</v>
      </c>
      <c r="E8" s="217"/>
      <c r="F8" s="44"/>
      <c r="G8" s="44"/>
      <c r="H8" s="217"/>
      <c r="I8" s="217"/>
      <c r="J8" s="44"/>
      <c r="K8" s="44"/>
      <c r="L8" s="44"/>
      <c r="M8" s="44"/>
    </row>
    <row r="9" spans="1:13" ht="15" customHeight="1" x14ac:dyDescent="0.2">
      <c r="A9" s="73" t="s">
        <v>160</v>
      </c>
      <c r="B9" s="269">
        <v>1364382</v>
      </c>
      <c r="C9" s="76">
        <v>18005435</v>
      </c>
      <c r="D9" s="219">
        <v>7.5776119821598306E-2</v>
      </c>
      <c r="E9" s="217"/>
      <c r="F9" s="44"/>
      <c r="G9" s="44"/>
      <c r="H9" s="217"/>
      <c r="I9" s="217"/>
      <c r="J9" s="44"/>
      <c r="K9" s="44"/>
      <c r="L9" s="44"/>
      <c r="M9" s="44"/>
    </row>
    <row r="10" spans="1:13" ht="15" customHeight="1" x14ac:dyDescent="0.2">
      <c r="A10" s="73" t="s">
        <v>161</v>
      </c>
      <c r="B10" s="269">
        <v>1400232</v>
      </c>
      <c r="C10" s="76">
        <v>18197530</v>
      </c>
      <c r="D10" s="219">
        <v>7.69462668834726E-2</v>
      </c>
      <c r="E10" s="217"/>
      <c r="F10" s="44"/>
      <c r="G10" s="44"/>
      <c r="H10" s="217"/>
      <c r="I10" s="217"/>
      <c r="J10" s="44"/>
      <c r="K10" s="44"/>
      <c r="L10" s="44"/>
      <c r="M10" s="44"/>
    </row>
    <row r="11" spans="1:13" ht="15" customHeight="1" x14ac:dyDescent="0.2">
      <c r="A11" s="73" t="s">
        <v>0</v>
      </c>
      <c r="B11" s="269">
        <v>1499582</v>
      </c>
      <c r="C11" s="76">
        <v>19254853</v>
      </c>
      <c r="D11" s="219">
        <v>7.7880729600999801E-2</v>
      </c>
      <c r="E11" s="217"/>
      <c r="F11" s="44"/>
      <c r="G11" s="44"/>
      <c r="H11" s="217"/>
      <c r="I11" s="217"/>
      <c r="J11" s="44"/>
      <c r="K11" s="44"/>
      <c r="L11" s="44"/>
      <c r="M11" s="44"/>
    </row>
    <row r="12" spans="1:13" ht="15" customHeight="1" x14ac:dyDescent="0.2">
      <c r="A12" s="65" t="s">
        <v>155</v>
      </c>
      <c r="B12" s="269">
        <v>1627031</v>
      </c>
      <c r="C12" s="76">
        <v>20168071</v>
      </c>
      <c r="D12" s="219">
        <v>8.06736053239797E-2</v>
      </c>
      <c r="E12" s="217"/>
      <c r="F12" s="44"/>
      <c r="G12" s="44"/>
      <c r="H12" s="217"/>
      <c r="I12" s="217"/>
      <c r="J12" s="44"/>
      <c r="K12" s="44"/>
      <c r="L12" s="44"/>
      <c r="M12" s="44"/>
    </row>
    <row r="13" spans="1:13" ht="15" customHeight="1" x14ac:dyDescent="0.2">
      <c r="A13" s="65" t="s">
        <v>172</v>
      </c>
      <c r="B13" s="269">
        <v>1716765</v>
      </c>
      <c r="C13" s="76">
        <v>20603774</v>
      </c>
      <c r="D13" s="219">
        <v>8.3322841727928101E-2</v>
      </c>
      <c r="E13" s="217"/>
      <c r="F13" s="44"/>
      <c r="G13" s="44"/>
      <c r="H13" s="217"/>
      <c r="I13" s="217"/>
      <c r="J13" s="44"/>
      <c r="K13" s="44"/>
      <c r="L13" s="44"/>
      <c r="M13" s="44"/>
    </row>
    <row r="14" spans="1:13" ht="15" customHeight="1" x14ac:dyDescent="0.2">
      <c r="A14" s="65" t="s">
        <v>243</v>
      </c>
      <c r="B14" s="269">
        <v>1796526</v>
      </c>
      <c r="C14" s="76">
        <v>21011705</v>
      </c>
      <c r="D14" s="219">
        <v>8.5501200402347197E-2</v>
      </c>
      <c r="E14" s="217"/>
      <c r="F14" s="44"/>
      <c r="G14" s="44"/>
      <c r="H14" s="217"/>
      <c r="I14" s="217"/>
      <c r="J14" s="44"/>
      <c r="K14" s="44"/>
      <c r="L14" s="44"/>
      <c r="M14" s="44"/>
    </row>
    <row r="15" spans="1:13" ht="15" customHeight="1" x14ac:dyDescent="0.2">
      <c r="A15" s="65" t="s">
        <v>313</v>
      </c>
      <c r="B15" s="269">
        <v>1919425</v>
      </c>
      <c r="C15" s="76">
        <v>22119885</v>
      </c>
      <c r="D15" s="219">
        <v>8.6773733226913202E-2</v>
      </c>
      <c r="E15" s="217"/>
      <c r="F15" s="44"/>
      <c r="G15" s="44"/>
      <c r="H15" s="217"/>
      <c r="I15" s="217"/>
      <c r="J15" s="44"/>
      <c r="K15" s="44"/>
      <c r="L15" s="44"/>
      <c r="M15" s="44"/>
    </row>
    <row r="16" spans="1:13" ht="15" customHeight="1" thickBot="1" x14ac:dyDescent="0.25">
      <c r="A16" s="66" t="s">
        <v>440</v>
      </c>
      <c r="B16" s="270">
        <v>1949937</v>
      </c>
      <c r="C16" s="77">
        <v>22416253</v>
      </c>
      <c r="D16" s="220">
        <v>8.6987642403929005E-2</v>
      </c>
      <c r="E16" s="217"/>
      <c r="F16" s="339"/>
      <c r="G16" s="44"/>
      <c r="H16" s="217"/>
      <c r="I16" s="312"/>
      <c r="J16" s="44"/>
      <c r="K16" s="44"/>
      <c r="L16" s="44"/>
      <c r="M16" s="44"/>
    </row>
    <row r="17" spans="1:16" x14ac:dyDescent="0.2">
      <c r="A17" s="11"/>
      <c r="B17" s="12"/>
      <c r="C17" s="12"/>
      <c r="D17" s="12"/>
      <c r="E17" s="12"/>
      <c r="F17" s="12"/>
      <c r="G17" s="12"/>
      <c r="H17" s="12"/>
      <c r="I17" s="29"/>
    </row>
    <row r="18" spans="1:16" ht="13.15" customHeight="1" x14ac:dyDescent="0.2">
      <c r="A18" s="416" t="s">
        <v>450</v>
      </c>
      <c r="B18" s="416"/>
      <c r="C18" s="416"/>
      <c r="D18" s="416"/>
      <c r="E18" s="416"/>
      <c r="F18" s="416"/>
      <c r="G18" s="416"/>
      <c r="H18" s="416"/>
      <c r="I18" s="416"/>
      <c r="J18" s="416"/>
      <c r="K18" s="416"/>
      <c r="L18" s="29"/>
    </row>
    <row r="19" spans="1:16" ht="15" customHeight="1" x14ac:dyDescent="0.2">
      <c r="A19" s="416" t="s">
        <v>312</v>
      </c>
      <c r="B19" s="416"/>
      <c r="C19" s="416"/>
      <c r="D19" s="416"/>
      <c r="E19" s="416"/>
      <c r="F19" s="416"/>
      <c r="G19" s="416"/>
      <c r="H19" s="416"/>
      <c r="I19" s="416"/>
      <c r="J19" s="416"/>
      <c r="K19" s="416"/>
      <c r="L19" s="29"/>
    </row>
    <row r="20" spans="1:16" x14ac:dyDescent="0.2">
      <c r="A20" s="20"/>
      <c r="B20" s="93"/>
      <c r="C20" s="93"/>
      <c r="D20" s="93"/>
      <c r="E20" s="93"/>
      <c r="F20" s="93"/>
      <c r="G20" s="93"/>
      <c r="H20" s="93"/>
      <c r="I20" s="93"/>
      <c r="J20" s="93"/>
      <c r="K20" s="93"/>
      <c r="L20" s="46"/>
      <c r="M20" s="44"/>
      <c r="N20" s="44"/>
      <c r="O20" s="44"/>
      <c r="P20" s="44"/>
    </row>
    <row r="21" spans="1:16" ht="15" thickBot="1" x14ac:dyDescent="0.25">
      <c r="A21" s="429" t="s">
        <v>1</v>
      </c>
      <c r="B21" s="429"/>
      <c r="C21" s="429"/>
      <c r="D21" s="429"/>
      <c r="E21" s="429"/>
      <c r="F21" s="429"/>
      <c r="G21" s="429"/>
      <c r="H21" s="411"/>
    </row>
    <row r="22" spans="1:16" ht="14.25" customHeight="1" x14ac:dyDescent="0.2">
      <c r="A22" s="313" t="s">
        <v>428</v>
      </c>
      <c r="B22" s="313"/>
      <c r="C22" s="313"/>
      <c r="D22" s="313"/>
      <c r="E22" s="313"/>
      <c r="F22" s="313"/>
      <c r="G22" s="313"/>
      <c r="H22" s="312"/>
    </row>
    <row r="23" spans="1:16" ht="14.25" customHeight="1" x14ac:dyDescent="0.2">
      <c r="A23" s="412" t="s">
        <v>510</v>
      </c>
      <c r="B23" s="412"/>
      <c r="C23" s="412"/>
      <c r="D23" s="412"/>
      <c r="E23" s="412"/>
      <c r="F23" s="412"/>
      <c r="G23" s="412"/>
    </row>
    <row r="24" spans="1:16" ht="14.25" customHeight="1" x14ac:dyDescent="0.2">
      <c r="A24" s="408" t="s">
        <v>156</v>
      </c>
      <c r="B24" s="408"/>
      <c r="C24" s="408"/>
      <c r="D24" s="408"/>
      <c r="E24" s="408"/>
      <c r="F24" s="408"/>
      <c r="G24" s="408"/>
      <c r="H24" s="185"/>
    </row>
    <row r="25" spans="1:16" ht="15" customHeight="1" thickBot="1" x14ac:dyDescent="0.25">
      <c r="A25" s="409" t="s">
        <v>442</v>
      </c>
      <c r="B25" s="409"/>
      <c r="C25" s="409"/>
      <c r="D25" s="409"/>
      <c r="E25" s="409"/>
      <c r="F25" s="409"/>
      <c r="G25" s="409"/>
      <c r="H25" s="11"/>
    </row>
    <row r="26" spans="1:16" x14ac:dyDescent="0.2">
      <c r="A26" s="29"/>
      <c r="B26" s="30"/>
      <c r="C26" s="30"/>
      <c r="D26" s="30"/>
      <c r="E26" s="30"/>
      <c r="F26" s="30"/>
      <c r="G26" s="30"/>
      <c r="H26" s="99"/>
    </row>
    <row r="27" spans="1:16" x14ac:dyDescent="0.2">
      <c r="A27" s="410" t="s">
        <v>157</v>
      </c>
      <c r="B27" s="410"/>
      <c r="C27" s="30"/>
      <c r="D27" s="30"/>
      <c r="E27" s="30"/>
      <c r="F27" s="30"/>
      <c r="G27" s="31"/>
    </row>
    <row r="28" spans="1:16" x14ac:dyDescent="0.2">
      <c r="A28" s="11"/>
      <c r="B28" s="30"/>
      <c r="C28" s="30"/>
      <c r="D28" s="30"/>
      <c r="E28" s="30"/>
      <c r="F28" s="30"/>
    </row>
    <row r="29" spans="1:16" x14ac:dyDescent="0.2">
      <c r="A29" s="11"/>
      <c r="B29" s="31"/>
      <c r="C29" s="31"/>
      <c r="D29" s="31"/>
      <c r="E29" s="31"/>
      <c r="F29" s="31"/>
    </row>
  </sheetData>
  <mergeCells count="10">
    <mergeCell ref="A27:B27"/>
    <mergeCell ref="A21:H21"/>
    <mergeCell ref="A23:G23"/>
    <mergeCell ref="A2:G2"/>
    <mergeCell ref="A24:G24"/>
    <mergeCell ref="A25:G25"/>
    <mergeCell ref="A3:G3"/>
    <mergeCell ref="A18:K18"/>
    <mergeCell ref="A19:K19"/>
    <mergeCell ref="A4:E4"/>
  </mergeCells>
  <phoneticPr fontId="57" type="noConversion"/>
  <hyperlinks>
    <hyperlink ref="A24:F24" r:id="rId1" display="Contact via enquiries@NHSDigital.nhs.uk or 0300 303 5678" xr:uid="{00000000-0004-0000-1000-000000000000}"/>
    <hyperlink ref="A27" location="Contents!A1" display="Return to Contents" xr:uid="{00000000-0004-0000-10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P25"/>
  <sheetViews>
    <sheetView workbookViewId="0">
      <selection sqref="A1:C1"/>
    </sheetView>
  </sheetViews>
  <sheetFormatPr defaultColWidth="9.140625" defaultRowHeight="14.25" x14ac:dyDescent="0.2"/>
  <cols>
    <col min="1" max="1" width="13.42578125" style="28" customWidth="1"/>
    <col min="2" max="4" width="17.85546875" style="28" customWidth="1"/>
    <col min="5" max="16384" width="9.140625" style="28"/>
  </cols>
  <sheetData>
    <row r="1" spans="1:14" ht="15" customHeight="1" x14ac:dyDescent="0.2"/>
    <row r="2" spans="1:14" ht="48.75" customHeight="1" x14ac:dyDescent="0.2">
      <c r="A2" s="404" t="s">
        <v>468</v>
      </c>
      <c r="B2" s="404"/>
      <c r="C2" s="404"/>
      <c r="D2" s="404"/>
      <c r="E2" s="404"/>
      <c r="F2" s="404"/>
      <c r="G2" s="404"/>
      <c r="H2" s="404"/>
      <c r="I2" s="404"/>
      <c r="J2" s="98"/>
    </row>
    <row r="3" spans="1:14" ht="16.5" customHeight="1" x14ac:dyDescent="0.2">
      <c r="A3" s="413" t="s">
        <v>235</v>
      </c>
      <c r="B3" s="413"/>
      <c r="C3" s="413"/>
      <c r="D3" s="413"/>
      <c r="E3" s="413"/>
      <c r="F3" s="413"/>
      <c r="G3" s="413"/>
      <c r="H3" s="413"/>
      <c r="I3" s="413"/>
    </row>
    <row r="4" spans="1:14" ht="16.5" customHeight="1" x14ac:dyDescent="0.2">
      <c r="A4" s="413" t="s">
        <v>432</v>
      </c>
      <c r="B4" s="413"/>
      <c r="C4" s="413"/>
      <c r="D4" s="413"/>
      <c r="E4" s="413"/>
      <c r="F4" s="315"/>
      <c r="G4" s="315"/>
      <c r="H4" s="315"/>
      <c r="I4" s="315"/>
    </row>
    <row r="5" spans="1:14" ht="13.5" customHeight="1" thickBot="1" x14ac:dyDescent="0.25">
      <c r="A5" s="29"/>
      <c r="B5" s="29"/>
      <c r="C5" s="29"/>
    </row>
    <row r="6" spans="1:14" ht="44.25" customHeight="1" thickBot="1" x14ac:dyDescent="0.25">
      <c r="A6" s="200"/>
      <c r="B6" s="254" t="s">
        <v>303</v>
      </c>
      <c r="C6" s="255" t="s">
        <v>230</v>
      </c>
      <c r="D6" s="137" t="s">
        <v>304</v>
      </c>
      <c r="E6" s="51"/>
      <c r="F6" s="51"/>
      <c r="G6" s="51"/>
      <c r="K6" s="43"/>
      <c r="L6" s="43"/>
      <c r="M6" s="43"/>
      <c r="N6" s="43"/>
    </row>
    <row r="7" spans="1:14" ht="15" customHeight="1" x14ac:dyDescent="0.2">
      <c r="A7" s="72" t="s">
        <v>19</v>
      </c>
      <c r="B7" s="179">
        <v>298778</v>
      </c>
      <c r="C7" s="180">
        <v>3593322</v>
      </c>
      <c r="D7" s="218">
        <v>8.3148128667567198E-2</v>
      </c>
      <c r="E7" s="29"/>
    </row>
    <row r="8" spans="1:14" ht="15" customHeight="1" x14ac:dyDescent="0.2">
      <c r="A8" s="73" t="s">
        <v>20</v>
      </c>
      <c r="B8" s="181">
        <v>273027</v>
      </c>
      <c r="C8" s="182">
        <v>3267576</v>
      </c>
      <c r="D8" s="219">
        <v>8.3556434494561099E-2</v>
      </c>
      <c r="E8" s="52"/>
    </row>
    <row r="9" spans="1:14" ht="15" customHeight="1" x14ac:dyDescent="0.2">
      <c r="A9" s="73" t="s">
        <v>21</v>
      </c>
      <c r="B9" s="181">
        <v>268625</v>
      </c>
      <c r="C9" s="182">
        <v>3161829</v>
      </c>
      <c r="D9" s="219">
        <v>8.4958737490231098E-2</v>
      </c>
      <c r="E9" s="29"/>
    </row>
    <row r="10" spans="1:14" ht="15" customHeight="1" x14ac:dyDescent="0.2">
      <c r="A10" s="73" t="s">
        <v>22</v>
      </c>
      <c r="B10" s="181">
        <v>267425</v>
      </c>
      <c r="C10" s="182">
        <v>3135978</v>
      </c>
      <c r="D10" s="219">
        <v>8.5276427321875306E-2</v>
      </c>
      <c r="E10" s="29"/>
    </row>
    <row r="11" spans="1:14" ht="15" customHeight="1" x14ac:dyDescent="0.2">
      <c r="A11" s="73" t="s">
        <v>23</v>
      </c>
      <c r="B11" s="181">
        <v>273665</v>
      </c>
      <c r="C11" s="182">
        <v>3105610</v>
      </c>
      <c r="D11" s="219">
        <v>8.8119564272397394E-2</v>
      </c>
      <c r="E11" s="29"/>
    </row>
    <row r="12" spans="1:14" ht="15" customHeight="1" x14ac:dyDescent="0.2">
      <c r="A12" s="73" t="s">
        <v>24</v>
      </c>
      <c r="B12" s="181">
        <v>285592</v>
      </c>
      <c r="C12" s="182">
        <v>3049211</v>
      </c>
      <c r="D12" s="219">
        <v>9.3660950324526607E-2</v>
      </c>
      <c r="E12" s="29"/>
    </row>
    <row r="13" spans="1:14" ht="15" customHeight="1" thickBot="1" x14ac:dyDescent="0.25">
      <c r="A13" s="66" t="s">
        <v>25</v>
      </c>
      <c r="B13" s="183">
        <v>282825</v>
      </c>
      <c r="C13" s="86">
        <v>3102727</v>
      </c>
      <c r="D13" s="220">
        <v>9.1153685129242795E-2</v>
      </c>
      <c r="E13" s="29"/>
    </row>
    <row r="14" spans="1:14" ht="15" x14ac:dyDescent="0.2">
      <c r="A14" s="11"/>
      <c r="B14" s="12"/>
      <c r="C14" s="12"/>
      <c r="D14" s="12"/>
      <c r="E14" s="12"/>
      <c r="G14" s="12"/>
      <c r="H14" s="175"/>
      <c r="I14" s="29"/>
    </row>
    <row r="15" spans="1:14" ht="13.15" customHeight="1" x14ac:dyDescent="0.2">
      <c r="A15" s="416" t="s">
        <v>450</v>
      </c>
      <c r="B15" s="416"/>
      <c r="C15" s="416"/>
      <c r="D15" s="416"/>
      <c r="E15" s="416"/>
      <c r="F15" s="416"/>
      <c r="G15" s="416"/>
      <c r="H15" s="416"/>
      <c r="I15" s="416"/>
      <c r="J15" s="416"/>
      <c r="K15" s="416"/>
      <c r="L15" s="29"/>
    </row>
    <row r="16" spans="1:14" ht="15" customHeight="1" x14ac:dyDescent="0.2">
      <c r="A16" s="416" t="s">
        <v>312</v>
      </c>
      <c r="B16" s="416"/>
      <c r="C16" s="416"/>
      <c r="D16" s="416"/>
      <c r="E16" s="416"/>
      <c r="F16" s="416"/>
      <c r="G16" s="416"/>
      <c r="H16" s="416"/>
      <c r="I16" s="416"/>
      <c r="J16" s="416"/>
      <c r="K16" s="416"/>
      <c r="L16" s="29"/>
    </row>
    <row r="17" spans="1:16" x14ac:dyDescent="0.2">
      <c r="A17" s="20"/>
      <c r="B17" s="93"/>
      <c r="C17" s="93"/>
      <c r="D17" s="93"/>
      <c r="E17" s="93"/>
      <c r="F17" s="93"/>
      <c r="G17" s="93"/>
      <c r="H17" s="93"/>
      <c r="I17" s="93"/>
      <c r="J17" s="93"/>
      <c r="K17" s="93"/>
      <c r="L17" s="46"/>
      <c r="M17" s="44"/>
      <c r="N17" s="44"/>
      <c r="O17" s="44"/>
      <c r="P17" s="44"/>
    </row>
    <row r="18" spans="1:16" ht="15" thickBot="1" x14ac:dyDescent="0.25">
      <c r="A18" s="429" t="s">
        <v>1</v>
      </c>
      <c r="B18" s="429"/>
      <c r="C18" s="429"/>
      <c r="D18" s="429"/>
      <c r="E18" s="429"/>
      <c r="F18" s="429"/>
      <c r="G18" s="429"/>
      <c r="H18" s="429"/>
      <c r="I18" s="29"/>
    </row>
    <row r="19" spans="1:16" ht="14.25" customHeight="1" x14ac:dyDescent="0.2">
      <c r="A19" s="313" t="s">
        <v>428</v>
      </c>
      <c r="B19" s="313"/>
      <c r="C19" s="313"/>
      <c r="D19" s="313"/>
      <c r="E19" s="313"/>
      <c r="F19" s="313"/>
      <c r="G19" s="313"/>
      <c r="H19" s="312"/>
      <c r="I19" s="29"/>
    </row>
    <row r="20" spans="1:16" x14ac:dyDescent="0.2">
      <c r="A20" s="412" t="s">
        <v>510</v>
      </c>
      <c r="B20" s="412"/>
      <c r="C20" s="412"/>
      <c r="D20" s="412"/>
      <c r="E20" s="412"/>
      <c r="F20" s="412"/>
      <c r="G20" s="412"/>
      <c r="I20" s="29"/>
    </row>
    <row r="21" spans="1:16" x14ac:dyDescent="0.2">
      <c r="A21" s="408" t="s">
        <v>156</v>
      </c>
      <c r="B21" s="408"/>
      <c r="C21" s="408"/>
      <c r="D21" s="408"/>
      <c r="E21" s="408"/>
      <c r="F21" s="408"/>
      <c r="G21" s="408"/>
      <c r="H21" s="408"/>
      <c r="I21" s="29"/>
    </row>
    <row r="22" spans="1:16" ht="15" thickBot="1" x14ac:dyDescent="0.25">
      <c r="A22" s="409" t="s">
        <v>442</v>
      </c>
      <c r="B22" s="409"/>
      <c r="C22" s="409"/>
      <c r="D22" s="409"/>
      <c r="E22" s="409"/>
      <c r="F22" s="409"/>
      <c r="G22" s="409"/>
      <c r="H22" s="409"/>
      <c r="I22" s="29"/>
    </row>
    <row r="23" spans="1:16" x14ac:dyDescent="0.2">
      <c r="A23" s="29"/>
      <c r="B23" s="30"/>
      <c r="C23" s="30"/>
      <c r="D23" s="30"/>
      <c r="E23" s="30"/>
      <c r="F23" s="30"/>
      <c r="G23" s="30"/>
    </row>
    <row r="24" spans="1:16" x14ac:dyDescent="0.2">
      <c r="A24" s="410" t="s">
        <v>157</v>
      </c>
      <c r="B24" s="410"/>
      <c r="C24" s="30"/>
      <c r="D24" s="30"/>
      <c r="E24" s="30"/>
      <c r="F24" s="30"/>
      <c r="G24" s="31"/>
    </row>
    <row r="25" spans="1:16" x14ac:dyDescent="0.2">
      <c r="A25" s="11"/>
      <c r="B25" s="30"/>
      <c r="C25" s="30"/>
      <c r="D25" s="30"/>
      <c r="E25" s="30"/>
      <c r="F25" s="30"/>
    </row>
  </sheetData>
  <mergeCells count="10">
    <mergeCell ref="A2:I2"/>
    <mergeCell ref="A24:B24"/>
    <mergeCell ref="A3:I3"/>
    <mergeCell ref="A18:H18"/>
    <mergeCell ref="A20:G20"/>
    <mergeCell ref="A21:H21"/>
    <mergeCell ref="A22:H22"/>
    <mergeCell ref="A15:K15"/>
    <mergeCell ref="A16:K16"/>
    <mergeCell ref="A4:E4"/>
  </mergeCells>
  <hyperlinks>
    <hyperlink ref="A21:F21" r:id="rId1" display="Contact via enquiries@NHSDigital.nhs.uk or 0300 303 5678" xr:uid="{00000000-0004-0000-1100-000000000000}"/>
    <hyperlink ref="A24" location="Contents!A1" display="Return to Contents" xr:uid="{00000000-0004-0000-1100-000001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P47"/>
  <sheetViews>
    <sheetView workbookViewId="0">
      <selection sqref="A1:C1"/>
    </sheetView>
  </sheetViews>
  <sheetFormatPr defaultColWidth="9.140625" defaultRowHeight="14.25" x14ac:dyDescent="0.2"/>
  <cols>
    <col min="1" max="1" width="9.140625" style="28"/>
    <col min="2" max="7" width="17.85546875" style="28" customWidth="1"/>
    <col min="8" max="11" width="10.28515625" style="28" customWidth="1"/>
    <col min="12" max="16384" width="9.140625" style="28"/>
  </cols>
  <sheetData>
    <row r="1" spans="1:11" ht="15" customHeight="1" x14ac:dyDescent="0.2"/>
    <row r="2" spans="1:11" ht="55.15" customHeight="1" x14ac:dyDescent="0.2">
      <c r="A2" s="404" t="s">
        <v>469</v>
      </c>
      <c r="B2" s="404"/>
      <c r="C2" s="404"/>
      <c r="D2" s="404"/>
      <c r="E2" s="404"/>
      <c r="F2" s="404"/>
      <c r="G2" s="404"/>
      <c r="H2" s="404"/>
      <c r="I2" s="98"/>
      <c r="J2" s="98"/>
      <c r="K2" s="98"/>
    </row>
    <row r="3" spans="1:11" ht="16.5" customHeight="1" x14ac:dyDescent="0.2">
      <c r="A3" s="416" t="s">
        <v>235</v>
      </c>
      <c r="B3" s="416"/>
      <c r="C3" s="416"/>
      <c r="D3" s="416"/>
      <c r="E3" s="416"/>
      <c r="F3" s="416"/>
      <c r="G3" s="416"/>
      <c r="H3" s="416"/>
      <c r="I3" s="11"/>
      <c r="J3" s="11"/>
    </row>
    <row r="4" spans="1:11" ht="16.5" customHeight="1" x14ac:dyDescent="0.2">
      <c r="A4" s="416" t="s">
        <v>432</v>
      </c>
      <c r="B4" s="416"/>
      <c r="C4" s="416"/>
      <c r="D4" s="416"/>
      <c r="E4" s="416"/>
      <c r="F4" s="316"/>
      <c r="G4" s="316"/>
      <c r="H4" s="316"/>
      <c r="I4" s="11"/>
      <c r="J4" s="11"/>
    </row>
    <row r="5" spans="1:11" ht="13.5" customHeight="1" thickBot="1" x14ac:dyDescent="0.25">
      <c r="A5" s="29"/>
      <c r="B5" s="29"/>
      <c r="C5" s="29"/>
    </row>
    <row r="6" spans="1:11" ht="15" thickBot="1" x14ac:dyDescent="0.25">
      <c r="A6" s="11"/>
      <c r="B6" s="435" t="s">
        <v>3</v>
      </c>
      <c r="C6" s="436"/>
      <c r="D6" s="437"/>
      <c r="E6" s="438" t="s">
        <v>4</v>
      </c>
      <c r="F6" s="439"/>
      <c r="G6" s="440"/>
    </row>
    <row r="7" spans="1:11" ht="45.75" customHeight="1" thickBot="1" x14ac:dyDescent="0.25">
      <c r="A7" s="11"/>
      <c r="B7" s="254" t="s">
        <v>303</v>
      </c>
      <c r="C7" s="255" t="s">
        <v>230</v>
      </c>
      <c r="D7" s="137" t="s">
        <v>304</v>
      </c>
      <c r="E7" s="254" t="s">
        <v>303</v>
      </c>
      <c r="F7" s="255" t="s">
        <v>230</v>
      </c>
      <c r="G7" s="137" t="s">
        <v>304</v>
      </c>
    </row>
    <row r="8" spans="1:11" x14ac:dyDescent="0.2">
      <c r="A8" s="256" t="s">
        <v>197</v>
      </c>
      <c r="B8" s="259">
        <v>146093</v>
      </c>
      <c r="C8" s="260">
        <v>1791703</v>
      </c>
      <c r="D8" s="264">
        <v>8.1538625542291299E-2</v>
      </c>
      <c r="E8" s="259">
        <v>115322</v>
      </c>
      <c r="F8" s="260">
        <v>1453527</v>
      </c>
      <c r="G8" s="264">
        <v>7.9339427475375396E-2</v>
      </c>
      <c r="H8" s="343"/>
      <c r="I8" s="212"/>
      <c r="J8" s="212"/>
      <c r="K8" s="340"/>
    </row>
    <row r="9" spans="1:11" x14ac:dyDescent="0.2">
      <c r="A9" s="257" t="s">
        <v>198</v>
      </c>
      <c r="B9" s="168">
        <v>81204</v>
      </c>
      <c r="C9" s="169">
        <v>1161441</v>
      </c>
      <c r="D9" s="265">
        <v>6.9916594988466904E-2</v>
      </c>
      <c r="E9" s="168">
        <v>102857</v>
      </c>
      <c r="F9" s="169">
        <v>1179024</v>
      </c>
      <c r="G9" s="265">
        <v>8.7239106243808401E-2</v>
      </c>
      <c r="H9" s="343"/>
      <c r="I9" s="212"/>
      <c r="J9" s="212"/>
      <c r="K9" s="340"/>
    </row>
    <row r="10" spans="1:11" x14ac:dyDescent="0.2">
      <c r="A10" s="257" t="s">
        <v>199</v>
      </c>
      <c r="B10" s="168">
        <v>141417</v>
      </c>
      <c r="C10" s="169">
        <v>1418511</v>
      </c>
      <c r="D10" s="265">
        <v>9.9693974879292394E-2</v>
      </c>
      <c r="E10" s="168">
        <v>181377</v>
      </c>
      <c r="F10" s="169">
        <v>1739639</v>
      </c>
      <c r="G10" s="265">
        <v>0.10426128639332601</v>
      </c>
      <c r="H10" s="343"/>
      <c r="I10" s="212"/>
      <c r="J10" s="212"/>
      <c r="K10" s="340"/>
    </row>
    <row r="11" spans="1:11" x14ac:dyDescent="0.2">
      <c r="A11" s="257" t="s">
        <v>200</v>
      </c>
      <c r="B11" s="168">
        <v>137886</v>
      </c>
      <c r="C11" s="169">
        <v>1314464</v>
      </c>
      <c r="D11" s="265">
        <v>0.10489903108795701</v>
      </c>
      <c r="E11" s="168">
        <v>139604</v>
      </c>
      <c r="F11" s="169">
        <v>1451472</v>
      </c>
      <c r="G11" s="265">
        <v>9.6180980411609704E-2</v>
      </c>
      <c r="H11" s="343"/>
      <c r="I11" s="212"/>
      <c r="J11" s="212"/>
      <c r="K11" s="340"/>
    </row>
    <row r="12" spans="1:11" x14ac:dyDescent="0.2">
      <c r="A12" s="257" t="s">
        <v>201</v>
      </c>
      <c r="B12" s="168">
        <v>116297</v>
      </c>
      <c r="C12" s="169">
        <v>1119228</v>
      </c>
      <c r="D12" s="265">
        <v>0.10390822960111799</v>
      </c>
      <c r="E12" s="168">
        <v>99711</v>
      </c>
      <c r="F12" s="169">
        <v>1136110</v>
      </c>
      <c r="G12" s="265">
        <v>8.7765269208087193E-2</v>
      </c>
      <c r="H12" s="343"/>
      <c r="I12" s="212"/>
      <c r="J12" s="212"/>
      <c r="K12" s="340"/>
    </row>
    <row r="13" spans="1:11" x14ac:dyDescent="0.2">
      <c r="A13" s="257" t="s">
        <v>202</v>
      </c>
      <c r="B13" s="168">
        <v>115042</v>
      </c>
      <c r="C13" s="169">
        <v>1139223</v>
      </c>
      <c r="D13" s="265">
        <v>0.100982862881104</v>
      </c>
      <c r="E13" s="168">
        <v>96168</v>
      </c>
      <c r="F13" s="169">
        <v>1180159</v>
      </c>
      <c r="G13" s="265">
        <v>8.1487325012985501E-2</v>
      </c>
      <c r="H13" s="343"/>
      <c r="I13" s="212"/>
      <c r="J13" s="212"/>
      <c r="K13" s="340"/>
    </row>
    <row r="14" spans="1:11" x14ac:dyDescent="0.2">
      <c r="A14" s="257" t="s">
        <v>203</v>
      </c>
      <c r="B14" s="168">
        <v>84449</v>
      </c>
      <c r="C14" s="169">
        <v>912357</v>
      </c>
      <c r="D14" s="265">
        <v>9.2561354820536304E-2</v>
      </c>
      <c r="E14" s="168">
        <v>71499</v>
      </c>
      <c r="F14" s="169">
        <v>919833</v>
      </c>
      <c r="G14" s="265">
        <v>7.7730414107778298E-2</v>
      </c>
      <c r="H14" s="343"/>
      <c r="I14" s="212"/>
      <c r="J14" s="212"/>
      <c r="K14" s="340"/>
    </row>
    <row r="15" spans="1:11" x14ac:dyDescent="0.2">
      <c r="A15" s="257" t="s">
        <v>204</v>
      </c>
      <c r="B15" s="168">
        <v>82287</v>
      </c>
      <c r="C15" s="169">
        <v>907252</v>
      </c>
      <c r="D15" s="265">
        <v>9.0699166273538107E-2</v>
      </c>
      <c r="E15" s="168">
        <v>75402</v>
      </c>
      <c r="F15" s="169">
        <v>968466</v>
      </c>
      <c r="G15" s="265">
        <v>7.7857147282403297E-2</v>
      </c>
      <c r="H15" s="343"/>
      <c r="I15" s="212"/>
      <c r="J15" s="212"/>
      <c r="K15" s="340"/>
    </row>
    <row r="16" spans="1:11" x14ac:dyDescent="0.2">
      <c r="A16" s="257" t="s">
        <v>205</v>
      </c>
      <c r="B16" s="168">
        <v>60668</v>
      </c>
      <c r="C16" s="169">
        <v>691076</v>
      </c>
      <c r="D16" s="265">
        <v>8.7787739698672804E-2</v>
      </c>
      <c r="E16" s="168">
        <v>66302</v>
      </c>
      <c r="F16" s="169">
        <v>865232</v>
      </c>
      <c r="G16" s="265">
        <v>7.6629158422249793E-2</v>
      </c>
      <c r="H16" s="343"/>
      <c r="I16" s="212"/>
      <c r="J16" s="212"/>
      <c r="K16" s="340"/>
    </row>
    <row r="17" spans="1:16" ht="15" thickBot="1" x14ac:dyDescent="0.25">
      <c r="A17" s="258" t="s">
        <v>6</v>
      </c>
      <c r="B17" s="170">
        <v>14000</v>
      </c>
      <c r="C17" s="171">
        <v>174148</v>
      </c>
      <c r="D17" s="266">
        <v>8.0391391230447695E-2</v>
      </c>
      <c r="E17" s="170">
        <v>22352</v>
      </c>
      <c r="F17" s="171">
        <v>316509</v>
      </c>
      <c r="G17" s="266">
        <v>7.0620424695664305E-2</v>
      </c>
      <c r="H17" s="343"/>
      <c r="I17" s="212"/>
      <c r="J17" s="212"/>
      <c r="K17" s="340"/>
    </row>
    <row r="18" spans="1:16" x14ac:dyDescent="0.2">
      <c r="A18" s="11"/>
      <c r="B18" s="12"/>
      <c r="C18" s="12"/>
      <c r="D18" s="12"/>
      <c r="E18" s="12"/>
      <c r="F18" s="12"/>
      <c r="G18" s="12"/>
      <c r="H18" s="29"/>
    </row>
    <row r="19" spans="1:16" ht="13.15" customHeight="1" x14ac:dyDescent="0.2">
      <c r="A19" s="416" t="s">
        <v>466</v>
      </c>
      <c r="B19" s="416"/>
      <c r="C19" s="416"/>
      <c r="D19" s="416"/>
      <c r="E19" s="416"/>
      <c r="F19" s="416"/>
      <c r="G19" s="416"/>
      <c r="H19" s="416"/>
      <c r="I19" s="416"/>
      <c r="J19" s="416"/>
      <c r="K19" s="416"/>
      <c r="L19" s="29"/>
    </row>
    <row r="20" spans="1:16" ht="15" customHeight="1" x14ac:dyDescent="0.2">
      <c r="A20" s="416" t="s">
        <v>312</v>
      </c>
      <c r="B20" s="416"/>
      <c r="C20" s="416"/>
      <c r="D20" s="416"/>
      <c r="E20" s="416"/>
      <c r="F20" s="416"/>
      <c r="G20" s="416"/>
      <c r="H20" s="416"/>
      <c r="I20" s="416"/>
      <c r="J20" s="416"/>
      <c r="K20" s="416"/>
      <c r="L20" s="29"/>
    </row>
    <row r="21" spans="1:16" x14ac:dyDescent="0.2">
      <c r="A21" s="20"/>
      <c r="B21" s="93"/>
      <c r="C21" s="93"/>
      <c r="D21" s="93"/>
      <c r="E21" s="93"/>
      <c r="F21" s="93"/>
      <c r="G21" s="93"/>
      <c r="H21" s="93"/>
      <c r="I21" s="93"/>
      <c r="J21" s="93"/>
      <c r="K21" s="93"/>
      <c r="L21" s="46"/>
      <c r="M21" s="44"/>
      <c r="N21" s="44"/>
      <c r="O21" s="44"/>
      <c r="P21" s="44"/>
    </row>
    <row r="22" spans="1:16" ht="15" thickBot="1" x14ac:dyDescent="0.25">
      <c r="A22" s="429" t="s">
        <v>1</v>
      </c>
      <c r="B22" s="429"/>
      <c r="C22" s="429"/>
      <c r="D22" s="429"/>
      <c r="E22" s="429"/>
      <c r="F22" s="429"/>
      <c r="G22" s="429"/>
      <c r="H22" s="429"/>
    </row>
    <row r="23" spans="1:16" ht="14.25" customHeight="1" x14ac:dyDescent="0.2">
      <c r="A23" s="313" t="s">
        <v>428</v>
      </c>
      <c r="B23" s="313"/>
      <c r="C23" s="313"/>
      <c r="D23" s="313"/>
      <c r="E23" s="313"/>
      <c r="F23" s="313"/>
      <c r="G23" s="313"/>
      <c r="H23" s="312"/>
    </row>
    <row r="24" spans="1:16" x14ac:dyDescent="0.2">
      <c r="A24" s="412" t="s">
        <v>510</v>
      </c>
      <c r="B24" s="412"/>
      <c r="C24" s="412"/>
      <c r="D24" s="412"/>
      <c r="E24" s="412"/>
      <c r="F24" s="412"/>
      <c r="G24" s="412"/>
    </row>
    <row r="25" spans="1:16" x14ac:dyDescent="0.2">
      <c r="A25" s="408" t="s">
        <v>156</v>
      </c>
      <c r="B25" s="408"/>
      <c r="C25" s="408"/>
      <c r="D25" s="408"/>
      <c r="E25" s="408"/>
      <c r="F25" s="408"/>
      <c r="G25" s="408"/>
      <c r="H25" s="408"/>
    </row>
    <row r="26" spans="1:16" ht="15" thickBot="1" x14ac:dyDescent="0.25">
      <c r="A26" s="409" t="s">
        <v>442</v>
      </c>
      <c r="B26" s="409"/>
      <c r="C26" s="409"/>
      <c r="D26" s="409"/>
      <c r="E26" s="409"/>
      <c r="F26" s="409"/>
      <c r="G26" s="409"/>
      <c r="H26" s="409"/>
    </row>
    <row r="27" spans="1:16" x14ac:dyDescent="0.2">
      <c r="A27" s="29"/>
      <c r="B27" s="30"/>
      <c r="C27" s="30"/>
      <c r="D27" s="30"/>
      <c r="E27" s="30"/>
      <c r="F27" s="30"/>
      <c r="G27" s="30"/>
    </row>
    <row r="28" spans="1:16" x14ac:dyDescent="0.2">
      <c r="A28" s="410" t="s">
        <v>157</v>
      </c>
      <c r="B28" s="410"/>
      <c r="C28" s="30"/>
      <c r="D28" s="30"/>
      <c r="E28" s="30"/>
      <c r="F28" s="30"/>
      <c r="G28" s="31"/>
    </row>
    <row r="29" spans="1:16" x14ac:dyDescent="0.2">
      <c r="A29" s="11"/>
      <c r="B29" s="30"/>
      <c r="C29" s="30"/>
      <c r="D29" s="30"/>
      <c r="E29" s="30"/>
      <c r="F29" s="30"/>
    </row>
    <row r="30" spans="1:16" x14ac:dyDescent="0.2">
      <c r="A30" s="11"/>
      <c r="B30" s="31"/>
      <c r="C30" s="31"/>
      <c r="D30" s="31"/>
      <c r="E30" s="31"/>
      <c r="F30" s="31"/>
    </row>
    <row r="35" spans="3:8" x14ac:dyDescent="0.2">
      <c r="C35" s="97"/>
    </row>
    <row r="37" spans="3:8" x14ac:dyDescent="0.2">
      <c r="H37" s="97"/>
    </row>
    <row r="45" spans="3:8" x14ac:dyDescent="0.2">
      <c r="C45" s="97"/>
    </row>
    <row r="47" spans="3:8" x14ac:dyDescent="0.2">
      <c r="H47" s="97"/>
    </row>
  </sheetData>
  <mergeCells count="12">
    <mergeCell ref="A2:H2"/>
    <mergeCell ref="A3:H3"/>
    <mergeCell ref="A25:H25"/>
    <mergeCell ref="A26:H26"/>
    <mergeCell ref="A28:B28"/>
    <mergeCell ref="A22:H22"/>
    <mergeCell ref="B6:D6"/>
    <mergeCell ref="A24:G24"/>
    <mergeCell ref="E6:G6"/>
    <mergeCell ref="A19:K19"/>
    <mergeCell ref="A20:K20"/>
    <mergeCell ref="A4:E4"/>
  </mergeCells>
  <hyperlinks>
    <hyperlink ref="A25:F25" r:id="rId1" display="Contact via enquiries@NHSDigital.nhs.uk or 0300 303 5678" xr:uid="{00000000-0004-0000-1200-000000000000}"/>
    <hyperlink ref="A28" location="Contents!A1" display="Return to Contents" xr:uid="{00000000-0004-0000-1200-000001000000}"/>
  </hyperlinks>
  <pageMargins left="0.7" right="0.7" top="0.75" bottom="0.75" header="0.3" footer="0.3"/>
  <pageSetup paperSize="9" orientation="portrait" r:id="rId2"/>
  <ignoredErrors>
    <ignoredError sqref="A9" twoDigitTextYear="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E555-9172-4E36-AB3E-433A3B87D1DE}">
  <dimension ref="A1:P34"/>
  <sheetViews>
    <sheetView showGridLines="0" workbookViewId="0">
      <selection sqref="A1:C1"/>
    </sheetView>
  </sheetViews>
  <sheetFormatPr defaultColWidth="9.140625" defaultRowHeight="14.25" x14ac:dyDescent="0.2"/>
  <cols>
    <col min="1" max="1" width="34.85546875" style="28" customWidth="1"/>
    <col min="2" max="4" width="17.85546875" style="28" customWidth="1"/>
    <col min="5" max="5" width="9.140625" style="28"/>
    <col min="6" max="6" width="13.28515625" style="28" bestFit="1" customWidth="1"/>
    <col min="7" max="16384" width="9.140625" style="28"/>
  </cols>
  <sheetData>
    <row r="1" spans="1:14" ht="15" customHeight="1" x14ac:dyDescent="0.2"/>
    <row r="2" spans="1:14" ht="48.75" customHeight="1" x14ac:dyDescent="0.2">
      <c r="A2" s="404" t="s">
        <v>481</v>
      </c>
      <c r="B2" s="404"/>
      <c r="C2" s="404"/>
      <c r="D2" s="404"/>
      <c r="E2" s="404"/>
      <c r="F2" s="404"/>
      <c r="G2" s="404"/>
      <c r="H2" s="404"/>
      <c r="I2" s="404"/>
      <c r="J2" s="98"/>
    </row>
    <row r="3" spans="1:14" ht="16.5" customHeight="1" x14ac:dyDescent="0.2">
      <c r="A3" s="413" t="s">
        <v>235</v>
      </c>
      <c r="B3" s="413"/>
      <c r="C3" s="413"/>
      <c r="D3" s="413"/>
      <c r="E3" s="413"/>
      <c r="F3" s="413"/>
      <c r="G3" s="413"/>
      <c r="H3" s="413"/>
      <c r="I3" s="413"/>
    </row>
    <row r="4" spans="1:14" ht="16.5" customHeight="1" x14ac:dyDescent="0.2">
      <c r="A4" s="413" t="s">
        <v>432</v>
      </c>
      <c r="B4" s="413"/>
      <c r="C4" s="413"/>
      <c r="D4" s="413"/>
      <c r="E4" s="413"/>
      <c r="F4" s="315"/>
      <c r="G4" s="315"/>
      <c r="H4" s="315"/>
      <c r="I4" s="315"/>
    </row>
    <row r="5" spans="1:14" ht="13.5" customHeight="1" thickBot="1" x14ac:dyDescent="0.25">
      <c r="A5" s="29"/>
      <c r="B5" s="29"/>
      <c r="C5" s="29"/>
    </row>
    <row r="6" spans="1:14" ht="30" customHeight="1" thickBot="1" x14ac:dyDescent="0.25">
      <c r="A6" s="291" t="s">
        <v>311</v>
      </c>
      <c r="B6" s="294" t="s">
        <v>440</v>
      </c>
      <c r="C6" s="324" t="s">
        <v>280</v>
      </c>
      <c r="D6" s="325" t="s">
        <v>285</v>
      </c>
      <c r="E6" s="51"/>
      <c r="F6" s="51"/>
      <c r="G6" s="51"/>
      <c r="K6" s="43"/>
      <c r="L6" s="43"/>
      <c r="M6" s="43"/>
      <c r="N6" s="43"/>
    </row>
    <row r="7" spans="1:14" ht="15" customHeight="1" x14ac:dyDescent="0.2">
      <c r="A7" s="293" t="s">
        <v>259</v>
      </c>
      <c r="B7" s="151">
        <v>3065121</v>
      </c>
      <c r="C7" s="326">
        <v>5553968</v>
      </c>
      <c r="D7" s="327">
        <v>55187.948508165697</v>
      </c>
      <c r="E7" s="29"/>
      <c r="F7" s="338"/>
    </row>
    <row r="8" spans="1:14" ht="15" customHeight="1" x14ac:dyDescent="0.2">
      <c r="A8" s="292" t="s">
        <v>255</v>
      </c>
      <c r="B8" s="152">
        <v>2827181</v>
      </c>
      <c r="C8" s="328">
        <v>5653651</v>
      </c>
      <c r="D8" s="329">
        <v>50006.287972144011</v>
      </c>
      <c r="E8" s="29"/>
      <c r="F8" s="338"/>
    </row>
    <row r="9" spans="1:14" ht="15" customHeight="1" x14ac:dyDescent="0.2">
      <c r="A9" s="292" t="s">
        <v>256</v>
      </c>
      <c r="B9" s="152">
        <v>2525172</v>
      </c>
      <c r="C9" s="328">
        <v>5780879</v>
      </c>
      <c r="D9" s="329">
        <v>43681.453979576465</v>
      </c>
      <c r="E9" s="29"/>
      <c r="F9" s="340"/>
    </row>
    <row r="10" spans="1:14" ht="15" customHeight="1" x14ac:dyDescent="0.2">
      <c r="A10" s="292" t="s">
        <v>257</v>
      </c>
      <c r="B10" s="152">
        <v>2328876</v>
      </c>
      <c r="C10" s="328">
        <v>5734472</v>
      </c>
      <c r="D10" s="329">
        <v>40611.864527370613</v>
      </c>
      <c r="E10" s="29"/>
      <c r="F10" s="338"/>
    </row>
    <row r="11" spans="1:14" ht="15" customHeight="1" x14ac:dyDescent="0.2">
      <c r="A11" s="292" t="s">
        <v>258</v>
      </c>
      <c r="B11" s="152">
        <v>2132573</v>
      </c>
      <c r="C11" s="328">
        <v>5661080</v>
      </c>
      <c r="D11" s="329">
        <v>37670.780133826054</v>
      </c>
      <c r="E11" s="29"/>
      <c r="F11" s="338"/>
    </row>
    <row r="12" spans="1:14" ht="15" customHeight="1" x14ac:dyDescent="0.2">
      <c r="A12" s="292" t="s">
        <v>254</v>
      </c>
      <c r="B12" s="152">
        <v>1998449</v>
      </c>
      <c r="C12" s="328">
        <v>5694686</v>
      </c>
      <c r="D12" s="329">
        <v>35093.225508834024</v>
      </c>
      <c r="E12" s="29"/>
      <c r="F12" s="338"/>
    </row>
    <row r="13" spans="1:14" ht="15" customHeight="1" x14ac:dyDescent="0.2">
      <c r="A13" s="292" t="s">
        <v>253</v>
      </c>
      <c r="B13" s="152">
        <v>1862937</v>
      </c>
      <c r="C13" s="328">
        <v>5531143</v>
      </c>
      <c r="D13" s="329">
        <v>33680.868493184862</v>
      </c>
      <c r="E13" s="29"/>
      <c r="F13" s="338"/>
    </row>
    <row r="14" spans="1:14" ht="15" customHeight="1" x14ac:dyDescent="0.2">
      <c r="A14" s="292" t="s">
        <v>252</v>
      </c>
      <c r="B14" s="152">
        <v>1775179</v>
      </c>
      <c r="C14" s="328">
        <v>5521294</v>
      </c>
      <c r="D14" s="329">
        <v>32151.502890445609</v>
      </c>
      <c r="E14" s="29"/>
      <c r="F14" s="338"/>
    </row>
    <row r="15" spans="1:14" ht="15" customHeight="1" x14ac:dyDescent="0.2">
      <c r="A15" s="292" t="s">
        <v>251</v>
      </c>
      <c r="B15" s="152">
        <v>1733907</v>
      </c>
      <c r="C15" s="328">
        <v>5459105</v>
      </c>
      <c r="D15" s="329">
        <v>31761.744828135747</v>
      </c>
      <c r="E15" s="29"/>
      <c r="F15" s="338"/>
      <c r="G15" s="332"/>
    </row>
    <row r="16" spans="1:14" ht="15" customHeight="1" thickBot="1" x14ac:dyDescent="0.25">
      <c r="A16" s="308" t="s">
        <v>250</v>
      </c>
      <c r="B16" s="153">
        <v>1564592</v>
      </c>
      <c r="C16" s="330">
        <v>5386900</v>
      </c>
      <c r="D16" s="331">
        <v>29044.385453600404</v>
      </c>
      <c r="E16" s="29"/>
      <c r="F16" s="338"/>
    </row>
    <row r="17" spans="1:16" ht="15" customHeight="1" x14ac:dyDescent="0.2">
      <c r="A17" s="289"/>
      <c r="B17" s="289"/>
      <c r="C17" s="289"/>
      <c r="D17" s="289"/>
      <c r="E17" s="29"/>
    </row>
    <row r="18" spans="1:16" s="362" customFormat="1" ht="30" customHeight="1" x14ac:dyDescent="0.2">
      <c r="A18" s="442" t="s">
        <v>497</v>
      </c>
      <c r="B18" s="442"/>
      <c r="C18" s="442"/>
      <c r="D18" s="442"/>
      <c r="E18" s="442"/>
      <c r="F18" s="442"/>
      <c r="G18" s="442"/>
      <c r="H18" s="442"/>
    </row>
    <row r="19" spans="1:16" ht="15" customHeight="1" x14ac:dyDescent="0.2">
      <c r="A19" s="11" t="s">
        <v>288</v>
      </c>
      <c r="B19" s="289"/>
      <c r="C19" s="289"/>
      <c r="D19" s="289"/>
      <c r="E19" s="29"/>
    </row>
    <row r="20" spans="1:16" s="332" customFormat="1" ht="28.5" customHeight="1" x14ac:dyDescent="0.2">
      <c r="A20" s="441" t="s">
        <v>498</v>
      </c>
      <c r="B20" s="441"/>
      <c r="C20" s="441"/>
      <c r="D20" s="441"/>
      <c r="E20" s="441"/>
      <c r="F20" s="441"/>
      <c r="G20" s="441"/>
    </row>
    <row r="21" spans="1:16" ht="15" customHeight="1" x14ac:dyDescent="0.2">
      <c r="A21" s="289" t="s">
        <v>287</v>
      </c>
      <c r="B21" s="289"/>
      <c r="C21" s="289"/>
      <c r="D21" s="289"/>
      <c r="E21" s="29"/>
    </row>
    <row r="22" spans="1:16" ht="15" customHeight="1" x14ac:dyDescent="0.2">
      <c r="A22" s="333" t="s">
        <v>289</v>
      </c>
      <c r="B22" s="334"/>
      <c r="C22" s="334"/>
      <c r="D22" s="334"/>
      <c r="E22" s="29"/>
    </row>
    <row r="23" spans="1:16" ht="15" x14ac:dyDescent="0.2">
      <c r="A23" s="11"/>
      <c r="B23" s="12"/>
      <c r="C23" s="12"/>
      <c r="D23" s="12"/>
      <c r="E23" s="12"/>
      <c r="G23" s="12"/>
      <c r="H23" s="175"/>
      <c r="I23" s="29"/>
    </row>
    <row r="24" spans="1:16" ht="13.15" customHeight="1" x14ac:dyDescent="0.2">
      <c r="A24" s="416" t="s">
        <v>448</v>
      </c>
      <c r="B24" s="416"/>
      <c r="C24" s="416"/>
      <c r="D24" s="416"/>
      <c r="E24" s="416"/>
      <c r="F24" s="416"/>
      <c r="G24" s="416"/>
      <c r="H24" s="416"/>
      <c r="I24" s="416"/>
      <c r="J24" s="416"/>
      <c r="K24" s="416"/>
      <c r="L24" s="29"/>
    </row>
    <row r="25" spans="1:16" ht="15" customHeight="1" x14ac:dyDescent="0.2">
      <c r="A25" s="416" t="s">
        <v>312</v>
      </c>
      <c r="B25" s="416"/>
      <c r="C25" s="416"/>
      <c r="D25" s="416"/>
      <c r="E25" s="416"/>
      <c r="F25" s="416"/>
      <c r="G25" s="416"/>
      <c r="H25" s="416"/>
      <c r="I25" s="416"/>
      <c r="J25" s="416"/>
      <c r="K25" s="416"/>
      <c r="L25" s="29"/>
    </row>
    <row r="26" spans="1:16" x14ac:dyDescent="0.2">
      <c r="A26" s="20"/>
      <c r="B26" s="93"/>
      <c r="C26" s="93"/>
      <c r="D26" s="93"/>
      <c r="E26" s="93"/>
      <c r="F26" s="93"/>
      <c r="G26" s="93"/>
      <c r="H26" s="93"/>
      <c r="I26" s="93"/>
      <c r="J26" s="93"/>
      <c r="K26" s="93"/>
      <c r="L26" s="46"/>
      <c r="M26" s="44"/>
      <c r="N26" s="44"/>
      <c r="O26" s="44"/>
      <c r="P26" s="44"/>
    </row>
    <row r="27" spans="1:16" ht="15" thickBot="1" x14ac:dyDescent="0.25">
      <c r="A27" s="429" t="s">
        <v>1</v>
      </c>
      <c r="B27" s="429"/>
      <c r="C27" s="429"/>
      <c r="D27" s="429"/>
      <c r="E27" s="429"/>
      <c r="F27" s="429"/>
      <c r="G27" s="429"/>
      <c r="H27" s="429"/>
      <c r="I27" s="29"/>
    </row>
    <row r="28" spans="1:16" ht="14.25" customHeight="1" x14ac:dyDescent="0.2">
      <c r="A28" s="313" t="s">
        <v>428</v>
      </c>
      <c r="B28" s="313"/>
      <c r="C28" s="313"/>
      <c r="D28" s="313"/>
      <c r="E28" s="313"/>
      <c r="F28" s="313"/>
      <c r="G28" s="313"/>
      <c r="H28" s="312"/>
      <c r="I28" s="29"/>
    </row>
    <row r="29" spans="1:16" x14ac:dyDescent="0.2">
      <c r="A29" s="412" t="s">
        <v>510</v>
      </c>
      <c r="B29" s="412"/>
      <c r="C29" s="412"/>
      <c r="D29" s="412"/>
      <c r="E29" s="412"/>
      <c r="F29" s="412"/>
      <c r="G29" s="412"/>
      <c r="I29" s="29"/>
    </row>
    <row r="30" spans="1:16" x14ac:dyDescent="0.2">
      <c r="A30" s="408" t="s">
        <v>156</v>
      </c>
      <c r="B30" s="408"/>
      <c r="C30" s="408"/>
      <c r="D30" s="408"/>
      <c r="E30" s="408"/>
      <c r="F30" s="408"/>
      <c r="G30" s="408"/>
      <c r="H30" s="408"/>
      <c r="I30" s="29"/>
    </row>
    <row r="31" spans="1:16" ht="15" thickBot="1" x14ac:dyDescent="0.25">
      <c r="A31" s="409" t="s">
        <v>442</v>
      </c>
      <c r="B31" s="409"/>
      <c r="C31" s="409"/>
      <c r="D31" s="409"/>
      <c r="E31" s="409"/>
      <c r="F31" s="409"/>
      <c r="G31" s="409"/>
      <c r="H31" s="409"/>
      <c r="I31" s="29"/>
    </row>
    <row r="32" spans="1:16" x14ac:dyDescent="0.2">
      <c r="A32" s="29"/>
      <c r="B32" s="30"/>
      <c r="C32" s="30"/>
      <c r="D32" s="30"/>
      <c r="E32" s="30"/>
      <c r="F32" s="30"/>
      <c r="G32" s="30"/>
    </row>
    <row r="33" spans="1:7" x14ac:dyDescent="0.2">
      <c r="A33" s="410" t="s">
        <v>157</v>
      </c>
      <c r="B33" s="410"/>
      <c r="C33" s="30"/>
      <c r="D33" s="30"/>
      <c r="E33" s="30"/>
      <c r="F33" s="30"/>
      <c r="G33" s="31"/>
    </row>
    <row r="34" spans="1:7" x14ac:dyDescent="0.2">
      <c r="A34" s="11"/>
      <c r="B34" s="30"/>
      <c r="C34" s="30"/>
      <c r="D34" s="30"/>
      <c r="E34" s="30"/>
      <c r="F34" s="30"/>
    </row>
  </sheetData>
  <mergeCells count="12">
    <mergeCell ref="A31:H31"/>
    <mergeCell ref="A33:B33"/>
    <mergeCell ref="A2:I2"/>
    <mergeCell ref="A3:I3"/>
    <mergeCell ref="A27:H27"/>
    <mergeCell ref="A29:G29"/>
    <mergeCell ref="A30:H30"/>
    <mergeCell ref="A24:K24"/>
    <mergeCell ref="A25:K25"/>
    <mergeCell ref="A4:E4"/>
    <mergeCell ref="A20:G20"/>
    <mergeCell ref="A18:H18"/>
  </mergeCells>
  <hyperlinks>
    <hyperlink ref="A30:F30" r:id="rId1" display="Contact via enquiries@NHSDigital.nhs.uk or 0300 303 5678" xr:uid="{E36046CF-8737-4589-A430-D835246DCD92}"/>
    <hyperlink ref="A33" location="Contents!A1" display="Return to Contents" xr:uid="{CE8F00A9-4488-4793-81F6-F562FE9FAACB}"/>
    <hyperlink ref="A22" r:id="rId2" xr:uid="{1AAF28D5-57E0-4440-B27F-7F4689EA622B}"/>
    <hyperlink ref="A20" r:id="rId3" display="https://www.ons.gov.uk/peoplepopulationandcommunity/populationandmigration/populationestimates/adhocs/009316populationsbysexsingleyearofageandindexofmultipledeprivationimdengland2001to2017" xr:uid="{04132A61-9085-4F01-947A-B19923748656}"/>
    <hyperlink ref="A20:G20" r:id="rId4" display="https://www.ons.gov.uk/peoplepopulationandcommunity/birthsdeathsandmarriages/deaths/adhocs/11169deathregistrationsandpopulationsbyindexofmultipledeprivationengland2001to2018" xr:uid="{7A0575AA-9625-4B67-AEA4-2150D13BA6F6}"/>
  </hyperlinks>
  <pageMargins left="0.7" right="0.7" top="0.75" bottom="0.75" header="0.3" footer="0.3"/>
  <pageSetup paperSize="9" orientation="portrait"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42D6-8EFA-445C-87DD-427A77FBADEF}">
  <dimension ref="A1:M34"/>
  <sheetViews>
    <sheetView topLeftCell="A7" workbookViewId="0">
      <selection activeCell="L8" sqref="L8"/>
    </sheetView>
  </sheetViews>
  <sheetFormatPr defaultColWidth="9.140625" defaultRowHeight="14.25" x14ac:dyDescent="0.2"/>
  <cols>
    <col min="1" max="1" width="32.7109375" style="28" customWidth="1"/>
    <col min="2" max="4" width="17.85546875" style="28" customWidth="1"/>
    <col min="5" max="16384" width="9.140625" style="28"/>
  </cols>
  <sheetData>
    <row r="1" spans="1:13" ht="15" customHeight="1" x14ac:dyDescent="0.2"/>
    <row r="2" spans="1:13" ht="48.75" customHeight="1" x14ac:dyDescent="0.2">
      <c r="A2" s="404" t="s">
        <v>305</v>
      </c>
      <c r="B2" s="404"/>
      <c r="C2" s="404"/>
      <c r="D2" s="404"/>
      <c r="E2" s="404"/>
      <c r="F2" s="404"/>
      <c r="G2" s="404"/>
      <c r="H2" s="404"/>
      <c r="I2" s="98"/>
    </row>
    <row r="3" spans="1:13" ht="30" customHeight="1" x14ac:dyDescent="0.2">
      <c r="A3" s="413" t="s">
        <v>235</v>
      </c>
      <c r="B3" s="413"/>
      <c r="C3" s="413"/>
      <c r="D3" s="413"/>
      <c r="E3" s="413"/>
      <c r="F3" s="413"/>
      <c r="G3" s="413"/>
      <c r="H3" s="413"/>
    </row>
    <row r="4" spans="1:13" ht="13.5" customHeight="1" thickBot="1" x14ac:dyDescent="0.25">
      <c r="A4" s="29"/>
      <c r="B4" s="29"/>
      <c r="C4" s="29"/>
    </row>
    <row r="5" spans="1:13" ht="30" customHeight="1" thickBot="1" x14ac:dyDescent="0.25">
      <c r="A5" s="297" t="s">
        <v>278</v>
      </c>
      <c r="B5" s="294" t="s">
        <v>279</v>
      </c>
      <c r="C5" s="138" t="s">
        <v>280</v>
      </c>
      <c r="D5" s="295" t="s">
        <v>285</v>
      </c>
      <c r="E5" s="51"/>
      <c r="F5" s="51"/>
      <c r="G5" s="51"/>
      <c r="J5" s="43"/>
      <c r="K5" s="43"/>
      <c r="L5" s="43"/>
      <c r="M5" s="43"/>
    </row>
    <row r="6" spans="1:13" ht="15" customHeight="1" x14ac:dyDescent="0.2">
      <c r="A6" s="305" t="s">
        <v>275</v>
      </c>
      <c r="B6" s="298">
        <v>13357378</v>
      </c>
      <c r="C6" s="299">
        <v>43618132.393821448</v>
      </c>
      <c r="D6" s="300">
        <f>B6/C6*100000</f>
        <v>30623.452373884964</v>
      </c>
      <c r="E6" s="29"/>
    </row>
    <row r="7" spans="1:13" ht="15" customHeight="1" x14ac:dyDescent="0.2">
      <c r="A7" s="296" t="s">
        <v>274</v>
      </c>
      <c r="B7" s="301">
        <v>125752</v>
      </c>
      <c r="C7" s="290">
        <v>488856.64097409992</v>
      </c>
      <c r="D7" s="302">
        <f t="shared" ref="D7:D21" si="0">B7/C7*100000</f>
        <v>25723.696777326273</v>
      </c>
      <c r="E7" s="52"/>
    </row>
    <row r="8" spans="1:13" ht="15" customHeight="1" x14ac:dyDescent="0.2">
      <c r="A8" s="296" t="s">
        <v>273</v>
      </c>
      <c r="B8" s="301">
        <v>1345788</v>
      </c>
      <c r="C8" s="290">
        <v>2711450.0425143843</v>
      </c>
      <c r="D8" s="302">
        <f t="shared" si="0"/>
        <v>49633.516343602729</v>
      </c>
      <c r="E8" s="29"/>
    </row>
    <row r="9" spans="1:13" ht="15" customHeight="1" x14ac:dyDescent="0.2">
      <c r="A9" s="296" t="s">
        <v>272</v>
      </c>
      <c r="B9" s="301">
        <v>82554</v>
      </c>
      <c r="C9" s="290">
        <v>509089.73349783517</v>
      </c>
      <c r="D9" s="302">
        <f t="shared" si="0"/>
        <v>16216.001731716526</v>
      </c>
      <c r="E9" s="29"/>
    </row>
    <row r="10" spans="1:13" ht="15" customHeight="1" x14ac:dyDescent="0.2">
      <c r="A10" s="296" t="s">
        <v>271</v>
      </c>
      <c r="B10" s="301">
        <v>41900</v>
      </c>
      <c r="C10" s="290">
        <v>211036.74929383237</v>
      </c>
      <c r="D10" s="302">
        <f t="shared" si="0"/>
        <v>19854.361925212113</v>
      </c>
      <c r="E10" s="29"/>
    </row>
    <row r="11" spans="1:13" ht="15" customHeight="1" x14ac:dyDescent="0.2">
      <c r="A11" s="296" t="s">
        <v>270</v>
      </c>
      <c r="B11" s="301">
        <v>55734</v>
      </c>
      <c r="C11" s="290">
        <v>427472.72202188306</v>
      </c>
      <c r="D11" s="302">
        <f t="shared" si="0"/>
        <v>13038.024914522353</v>
      </c>
      <c r="E11" s="29"/>
      <c r="H11" s="99"/>
    </row>
    <row r="12" spans="1:13" ht="15" customHeight="1" x14ac:dyDescent="0.2">
      <c r="A12" s="296" t="s">
        <v>269</v>
      </c>
      <c r="B12" s="301">
        <v>196255</v>
      </c>
      <c r="C12" s="290">
        <v>353243.22682281898</v>
      </c>
      <c r="D12" s="302">
        <f t="shared" si="0"/>
        <v>55558.036247482902</v>
      </c>
      <c r="E12" s="29"/>
      <c r="H12" s="99"/>
    </row>
    <row r="13" spans="1:13" x14ac:dyDescent="0.2">
      <c r="A13" s="296" t="s">
        <v>268</v>
      </c>
      <c r="B13" s="301">
        <v>422782</v>
      </c>
      <c r="C13" s="290">
        <v>1515993.1304252169</v>
      </c>
      <c r="D13" s="302">
        <f t="shared" si="0"/>
        <v>27888.121094679034</v>
      </c>
      <c r="E13" s="12"/>
      <c r="G13" s="12"/>
      <c r="H13" s="29"/>
    </row>
    <row r="14" spans="1:13" x14ac:dyDescent="0.2">
      <c r="A14" s="296" t="s">
        <v>267</v>
      </c>
      <c r="B14" s="301">
        <v>473974</v>
      </c>
      <c r="C14" s="290">
        <v>1276940.4191435371</v>
      </c>
      <c r="D14" s="302">
        <f t="shared" si="0"/>
        <v>37117.941674827824</v>
      </c>
      <c r="E14" s="12"/>
      <c r="G14" s="12"/>
      <c r="H14" s="29"/>
    </row>
    <row r="15" spans="1:13" x14ac:dyDescent="0.2">
      <c r="A15" s="296" t="s">
        <v>266</v>
      </c>
      <c r="B15" s="301">
        <v>153957</v>
      </c>
      <c r="C15" s="290">
        <v>506347.53402412386</v>
      </c>
      <c r="D15" s="302">
        <f t="shared" si="0"/>
        <v>30405.401360691736</v>
      </c>
      <c r="E15" s="12"/>
      <c r="G15" s="12"/>
      <c r="H15" s="29"/>
    </row>
    <row r="16" spans="1:13" x14ac:dyDescent="0.2">
      <c r="A16" s="296" t="s">
        <v>265</v>
      </c>
      <c r="B16" s="301">
        <v>371587</v>
      </c>
      <c r="C16" s="290">
        <v>907708.41137086658</v>
      </c>
      <c r="D16" s="302">
        <f t="shared" si="0"/>
        <v>40936.824573302205</v>
      </c>
      <c r="E16" s="12"/>
      <c r="G16" s="12"/>
      <c r="H16" s="29"/>
    </row>
    <row r="17" spans="1:8" x14ac:dyDescent="0.2">
      <c r="A17" s="296" t="s">
        <v>264</v>
      </c>
      <c r="B17" s="301">
        <v>207200</v>
      </c>
      <c r="C17" s="290">
        <v>614504.3146863525</v>
      </c>
      <c r="D17" s="302">
        <f t="shared" si="0"/>
        <v>33718.233549874487</v>
      </c>
      <c r="E17" s="12"/>
      <c r="G17" s="12"/>
      <c r="H17" s="29"/>
    </row>
    <row r="18" spans="1:8" x14ac:dyDescent="0.2">
      <c r="A18" s="296" t="s">
        <v>263</v>
      </c>
      <c r="B18" s="301">
        <v>379116</v>
      </c>
      <c r="C18" s="290">
        <v>1127093.6037837099</v>
      </c>
      <c r="D18" s="302">
        <f t="shared" si="0"/>
        <v>33636.602916322874</v>
      </c>
      <c r="E18" s="12"/>
      <c r="G18" s="12"/>
      <c r="H18" s="29"/>
    </row>
    <row r="19" spans="1:8" x14ac:dyDescent="0.2">
      <c r="A19" s="296" t="s">
        <v>262</v>
      </c>
      <c r="B19" s="301">
        <v>198216</v>
      </c>
      <c r="C19" s="290">
        <v>327876.0152069722</v>
      </c>
      <c r="D19" s="302">
        <f t="shared" si="0"/>
        <v>60454.559286648604</v>
      </c>
      <c r="E19" s="12"/>
      <c r="G19" s="12"/>
      <c r="H19" s="29"/>
    </row>
    <row r="20" spans="1:8" x14ac:dyDescent="0.2">
      <c r="A20" s="296" t="s">
        <v>261</v>
      </c>
      <c r="B20" s="301">
        <v>70068</v>
      </c>
      <c r="C20" s="290">
        <v>408805.18369655125</v>
      </c>
      <c r="D20" s="302">
        <f t="shared" si="0"/>
        <v>17139.704385942965</v>
      </c>
      <c r="E20" s="12"/>
      <c r="G20" s="12"/>
      <c r="H20" s="29"/>
    </row>
    <row r="21" spans="1:8" ht="15" thickBot="1" x14ac:dyDescent="0.25">
      <c r="A21" s="304" t="s">
        <v>260</v>
      </c>
      <c r="B21" s="303">
        <v>628264</v>
      </c>
      <c r="C21" s="306">
        <v>614879.87871640944</v>
      </c>
      <c r="D21" s="307">
        <f t="shared" si="0"/>
        <v>102176.70503571047</v>
      </c>
      <c r="E21" s="12"/>
      <c r="G21" s="12"/>
      <c r="H21" s="29"/>
    </row>
    <row r="22" spans="1:8" x14ac:dyDescent="0.2">
      <c r="A22" s="11"/>
      <c r="B22" s="12"/>
      <c r="C22" s="12"/>
      <c r="D22" s="12"/>
      <c r="E22" s="12"/>
      <c r="G22" s="12"/>
      <c r="H22" s="29"/>
    </row>
    <row r="23" spans="1:8" ht="75.75" customHeight="1" x14ac:dyDescent="0.2">
      <c r="A23" s="416" t="s">
        <v>284</v>
      </c>
      <c r="B23" s="416"/>
      <c r="C23" s="416"/>
      <c r="D23" s="416"/>
      <c r="E23" s="416"/>
      <c r="F23" s="416"/>
      <c r="G23" s="416"/>
      <c r="H23" s="29"/>
    </row>
    <row r="24" spans="1:8" x14ac:dyDescent="0.2">
      <c r="A24" s="309" t="s">
        <v>290</v>
      </c>
      <c r="B24" s="12"/>
      <c r="C24" s="12"/>
      <c r="D24" s="12"/>
      <c r="E24" s="12"/>
      <c r="G24" s="12"/>
      <c r="H24" s="29"/>
    </row>
    <row r="25" spans="1:8" ht="30" customHeight="1" x14ac:dyDescent="0.2">
      <c r="A25" s="406" t="s">
        <v>286</v>
      </c>
      <c r="B25" s="406"/>
      <c r="C25" s="406"/>
      <c r="D25" s="406"/>
      <c r="E25" s="406"/>
      <c r="F25" s="406"/>
      <c r="G25" s="406"/>
      <c r="H25" s="29"/>
    </row>
    <row r="26" spans="1:8" x14ac:dyDescent="0.2">
      <c r="A26" s="11"/>
      <c r="B26" s="12"/>
      <c r="C26" s="12"/>
      <c r="D26" s="12"/>
      <c r="E26" s="12"/>
      <c r="G26" s="12"/>
      <c r="H26" s="29"/>
    </row>
    <row r="27" spans="1:8" ht="15" thickBot="1" x14ac:dyDescent="0.25">
      <c r="A27" s="429" t="s">
        <v>1</v>
      </c>
      <c r="B27" s="429"/>
      <c r="C27" s="429"/>
      <c r="D27" s="429"/>
      <c r="E27" s="429"/>
      <c r="F27" s="429"/>
      <c r="G27" s="429"/>
      <c r="H27" s="29"/>
    </row>
    <row r="28" spans="1:8" x14ac:dyDescent="0.2">
      <c r="A28" s="412" t="s">
        <v>246</v>
      </c>
      <c r="B28" s="412"/>
      <c r="C28" s="412"/>
      <c r="D28" s="412"/>
      <c r="E28" s="412"/>
      <c r="F28" s="412"/>
      <c r="G28" s="412"/>
      <c r="H28" s="29"/>
    </row>
    <row r="29" spans="1:8" x14ac:dyDescent="0.2">
      <c r="A29" s="412" t="s">
        <v>229</v>
      </c>
      <c r="B29" s="412"/>
      <c r="C29" s="412"/>
      <c r="D29" s="412"/>
      <c r="E29" s="412"/>
      <c r="F29" s="412"/>
      <c r="G29" s="412"/>
      <c r="H29" s="29"/>
    </row>
    <row r="30" spans="1:8" x14ac:dyDescent="0.2">
      <c r="A30" s="408" t="s">
        <v>156</v>
      </c>
      <c r="B30" s="408"/>
      <c r="C30" s="408"/>
      <c r="D30" s="408"/>
      <c r="E30" s="408"/>
      <c r="F30" s="408"/>
      <c r="G30" s="408"/>
      <c r="H30" s="29"/>
    </row>
    <row r="31" spans="1:8" ht="15" thickBot="1" x14ac:dyDescent="0.25">
      <c r="A31" s="409" t="s">
        <v>244</v>
      </c>
      <c r="B31" s="409"/>
      <c r="C31" s="409"/>
      <c r="D31" s="409"/>
      <c r="E31" s="409"/>
      <c r="F31" s="409"/>
      <c r="G31" s="409"/>
      <c r="H31" s="29"/>
    </row>
    <row r="32" spans="1:8" x14ac:dyDescent="0.2">
      <c r="A32" s="29"/>
      <c r="B32" s="30"/>
      <c r="C32" s="30"/>
      <c r="D32" s="30"/>
      <c r="E32" s="30"/>
      <c r="F32" s="30"/>
      <c r="G32" s="30"/>
    </row>
    <row r="33" spans="1:7" x14ac:dyDescent="0.2">
      <c r="A33" s="410" t="s">
        <v>157</v>
      </c>
      <c r="B33" s="410"/>
      <c r="C33" s="30"/>
      <c r="D33" s="30"/>
      <c r="E33" s="30"/>
      <c r="F33" s="30"/>
      <c r="G33" s="31"/>
    </row>
    <row r="34" spans="1:7" x14ac:dyDescent="0.2">
      <c r="A34" s="11"/>
      <c r="B34" s="30"/>
      <c r="C34" s="30"/>
      <c r="D34" s="30"/>
      <c r="E34" s="30"/>
      <c r="F34" s="30"/>
    </row>
  </sheetData>
  <mergeCells count="10">
    <mergeCell ref="A31:G31"/>
    <mergeCell ref="A33:B33"/>
    <mergeCell ref="A2:H2"/>
    <mergeCell ref="A3:H3"/>
    <mergeCell ref="A27:G27"/>
    <mergeCell ref="A28:G28"/>
    <mergeCell ref="A29:G29"/>
    <mergeCell ref="A30:G30"/>
    <mergeCell ref="A23:G23"/>
    <mergeCell ref="A25:G25"/>
  </mergeCells>
  <hyperlinks>
    <hyperlink ref="A30:F30" r:id="rId1" display="Contact via enquiries@NHSDigital.nhs.uk or 0300 303 5678" xr:uid="{FA1D46A2-4524-49B9-A39B-F3E932553516}"/>
    <hyperlink ref="A33" location="Contents!A1" display="Return to Contents" xr:uid="{EBF4774D-7F07-4A3B-9922-20E00B23405B}"/>
    <hyperlink ref="A25:G25" r:id="rId2" display="https://www.ons.gov.uk/peoplepopulationandcommunity/populationandmigration/populationestimates/adhocs/008780populationdenominatorsbyethnicgroupregionsandcountriesenglandandwales2011to2017" xr:uid="{B48768F8-1B2F-4C90-A384-8741A2E3B7FC}"/>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21F01-1FE2-4DBC-BC6C-66276413AF1F}">
  <dimension ref="A1:N26"/>
  <sheetViews>
    <sheetView showGridLines="0" zoomScale="90" zoomScaleNormal="90" workbookViewId="0">
      <selection sqref="A1:C1"/>
    </sheetView>
  </sheetViews>
  <sheetFormatPr defaultColWidth="9.140625" defaultRowHeight="14.25" x14ac:dyDescent="0.2"/>
  <cols>
    <col min="1" max="1" width="32.7109375" style="28" customWidth="1"/>
    <col min="2" max="4" width="17.85546875" style="28" customWidth="1"/>
    <col min="5" max="12" width="9.140625" style="28"/>
    <col min="13" max="13" width="39.5703125" style="28" customWidth="1"/>
    <col min="14" max="14" width="26.140625" style="28" customWidth="1"/>
    <col min="15" max="16384" width="9.140625" style="28"/>
  </cols>
  <sheetData>
    <row r="1" spans="1:14" ht="15" customHeight="1" x14ac:dyDescent="0.2"/>
    <row r="2" spans="1:14" ht="48.75" customHeight="1" x14ac:dyDescent="0.2">
      <c r="A2" s="404" t="s">
        <v>482</v>
      </c>
      <c r="B2" s="404"/>
      <c r="C2" s="404"/>
      <c r="D2" s="404"/>
      <c r="E2" s="404"/>
      <c r="F2" s="404"/>
      <c r="G2" s="404"/>
      <c r="H2" s="404"/>
      <c r="I2" s="98"/>
    </row>
    <row r="3" spans="1:14" ht="16.5" customHeight="1" x14ac:dyDescent="0.2">
      <c r="A3" s="413" t="s">
        <v>235</v>
      </c>
      <c r="B3" s="413"/>
      <c r="C3" s="413"/>
      <c r="D3" s="413"/>
      <c r="E3" s="413"/>
      <c r="F3" s="413"/>
      <c r="G3" s="413"/>
      <c r="H3" s="413"/>
    </row>
    <row r="4" spans="1:14" ht="16.5" customHeight="1" x14ac:dyDescent="0.2">
      <c r="A4" s="413" t="s">
        <v>432</v>
      </c>
      <c r="B4" s="413"/>
      <c r="C4" s="413"/>
      <c r="D4" s="413"/>
      <c r="E4" s="413"/>
      <c r="F4" s="315"/>
      <c r="G4" s="315"/>
      <c r="H4" s="315"/>
    </row>
    <row r="5" spans="1:14" ht="13.5" customHeight="1" thickBot="1" x14ac:dyDescent="0.25">
      <c r="A5" s="29"/>
      <c r="B5" s="29"/>
      <c r="C5" s="29"/>
      <c r="N5" s="371"/>
    </row>
    <row r="6" spans="1:14" ht="30" customHeight="1" thickBot="1" x14ac:dyDescent="0.25">
      <c r="A6" s="297" t="s">
        <v>278</v>
      </c>
      <c r="B6" s="294" t="s">
        <v>279</v>
      </c>
      <c r="C6" s="138" t="s">
        <v>280</v>
      </c>
      <c r="D6" s="295" t="s">
        <v>285</v>
      </c>
      <c r="E6" s="51"/>
      <c r="F6" s="51"/>
      <c r="G6" s="51"/>
      <c r="J6" s="43"/>
      <c r="K6" s="43"/>
      <c r="N6" s="371"/>
    </row>
    <row r="7" spans="1:14" ht="15" customHeight="1" x14ac:dyDescent="0.2">
      <c r="A7" s="305" t="s">
        <v>306</v>
      </c>
      <c r="B7" s="301">
        <v>15372162</v>
      </c>
      <c r="C7" s="365">
        <v>47010723.618325196</v>
      </c>
      <c r="D7" s="366">
        <v>33108.011964174264</v>
      </c>
      <c r="E7" s="323"/>
      <c r="G7" s="373"/>
      <c r="N7" s="371"/>
    </row>
    <row r="8" spans="1:14" ht="15" customHeight="1" x14ac:dyDescent="0.2">
      <c r="A8" s="296" t="s">
        <v>307</v>
      </c>
      <c r="B8" s="301">
        <v>405510</v>
      </c>
      <c r="C8" s="367">
        <v>1550543.4472078881</v>
      </c>
      <c r="D8" s="368">
        <v>26149.799331978196</v>
      </c>
      <c r="E8" s="323"/>
      <c r="G8" s="373"/>
      <c r="N8" s="371"/>
    </row>
    <row r="9" spans="1:14" ht="15" customHeight="1" x14ac:dyDescent="0.2">
      <c r="A9" s="296" t="s">
        <v>308</v>
      </c>
      <c r="B9" s="301">
        <v>1458911</v>
      </c>
      <c r="C9" s="367">
        <v>4273902.1663117148</v>
      </c>
      <c r="D9" s="368">
        <v>35638.789582178484</v>
      </c>
      <c r="E9" s="323"/>
      <c r="G9" s="373"/>
      <c r="N9" s="371"/>
    </row>
    <row r="10" spans="1:14" ht="15" customHeight="1" x14ac:dyDescent="0.2">
      <c r="A10" s="296" t="s">
        <v>309</v>
      </c>
      <c r="B10" s="301">
        <v>784433</v>
      </c>
      <c r="C10" s="367">
        <v>2104814.3059505783</v>
      </c>
      <c r="D10" s="368">
        <v>39559.78433090102</v>
      </c>
      <c r="E10" s="323"/>
      <c r="G10" s="373"/>
      <c r="N10" s="371"/>
    </row>
    <row r="11" spans="1:14" ht="15" customHeight="1" thickBot="1" x14ac:dyDescent="0.25">
      <c r="A11" s="304" t="s">
        <v>310</v>
      </c>
      <c r="B11" s="303">
        <v>1293050</v>
      </c>
      <c r="C11" s="369">
        <v>1037194.4621713231</v>
      </c>
      <c r="D11" s="370">
        <v>71021.108082075778</v>
      </c>
      <c r="E11" s="323"/>
      <c r="G11" s="373"/>
      <c r="N11" s="371"/>
    </row>
    <row r="12" spans="1:14" x14ac:dyDescent="0.2">
      <c r="A12" s="11"/>
      <c r="B12" s="12"/>
      <c r="C12" s="12"/>
      <c r="D12" s="12"/>
      <c r="E12" s="12"/>
      <c r="G12" s="363"/>
      <c r="H12" s="29"/>
      <c r="N12" s="371"/>
    </row>
    <row r="13" spans="1:14" ht="75.75" customHeight="1" x14ac:dyDescent="0.2">
      <c r="A13" s="416" t="s">
        <v>437</v>
      </c>
      <c r="B13" s="416"/>
      <c r="C13" s="416"/>
      <c r="D13" s="416"/>
      <c r="E13" s="416"/>
      <c r="F13" s="416"/>
      <c r="G13" s="416"/>
      <c r="H13" s="29"/>
      <c r="N13" s="371"/>
    </row>
    <row r="14" spans="1:14" x14ac:dyDescent="0.2">
      <c r="A14" s="309" t="s">
        <v>290</v>
      </c>
      <c r="B14" s="363"/>
      <c r="C14" s="363"/>
      <c r="D14" s="363"/>
      <c r="E14" s="363"/>
      <c r="G14" s="363"/>
      <c r="H14" s="29"/>
      <c r="N14" s="371"/>
    </row>
    <row r="15" spans="1:14" s="332" customFormat="1" ht="30" customHeight="1" x14ac:dyDescent="0.2">
      <c r="A15" s="406" t="s">
        <v>438</v>
      </c>
      <c r="B15" s="406"/>
      <c r="C15" s="406"/>
      <c r="D15" s="406"/>
      <c r="E15" s="406"/>
      <c r="F15" s="406"/>
      <c r="G15" s="406"/>
      <c r="H15" s="29"/>
      <c r="I15" s="28"/>
      <c r="J15" s="28"/>
      <c r="K15" s="28"/>
      <c r="N15" s="372"/>
    </row>
    <row r="16" spans="1:14" ht="13.15" customHeight="1" x14ac:dyDescent="0.2">
      <c r="A16" s="416" t="s">
        <v>466</v>
      </c>
      <c r="B16" s="416"/>
      <c r="C16" s="416"/>
      <c r="D16" s="416"/>
      <c r="E16" s="416"/>
      <c r="F16" s="416"/>
      <c r="G16" s="416"/>
      <c r="H16" s="416"/>
      <c r="I16" s="416"/>
      <c r="J16" s="416"/>
      <c r="K16" s="416"/>
      <c r="N16" s="371"/>
    </row>
    <row r="17" spans="1:14" ht="15" customHeight="1" x14ac:dyDescent="0.2">
      <c r="A17" s="416" t="s">
        <v>312</v>
      </c>
      <c r="B17" s="416"/>
      <c r="C17" s="416"/>
      <c r="D17" s="416"/>
      <c r="E17" s="416"/>
      <c r="F17" s="416"/>
      <c r="G17" s="416"/>
      <c r="H17" s="416"/>
      <c r="I17" s="416"/>
      <c r="J17" s="416"/>
      <c r="K17" s="416"/>
      <c r="N17" s="371"/>
    </row>
    <row r="18" spans="1:14" x14ac:dyDescent="0.2">
      <c r="A18" s="20"/>
      <c r="B18" s="93"/>
      <c r="C18" s="93"/>
      <c r="D18" s="93"/>
      <c r="E18" s="93"/>
      <c r="F18" s="93"/>
      <c r="G18" s="93"/>
      <c r="H18" s="93"/>
      <c r="I18" s="93"/>
      <c r="J18" s="93"/>
      <c r="K18" s="93"/>
      <c r="L18" s="44"/>
      <c r="N18" s="371"/>
    </row>
    <row r="19" spans="1:14" ht="15" thickBot="1" x14ac:dyDescent="0.25">
      <c r="A19" s="429" t="s">
        <v>1</v>
      </c>
      <c r="B19" s="429"/>
      <c r="C19" s="429"/>
      <c r="D19" s="429"/>
      <c r="E19" s="429"/>
      <c r="F19" s="429"/>
      <c r="G19" s="429"/>
      <c r="H19" s="29"/>
      <c r="N19" s="371"/>
    </row>
    <row r="20" spans="1:14" ht="14.25" customHeight="1" x14ac:dyDescent="0.2">
      <c r="A20" s="313" t="s">
        <v>428</v>
      </c>
      <c r="B20" s="313"/>
      <c r="C20" s="313"/>
      <c r="D20" s="313"/>
      <c r="E20" s="313"/>
      <c r="F20" s="313"/>
      <c r="G20" s="313"/>
      <c r="H20" s="29"/>
      <c r="N20" s="371"/>
    </row>
    <row r="21" spans="1:14" x14ac:dyDescent="0.2">
      <c r="A21" s="412" t="s">
        <v>510</v>
      </c>
      <c r="B21" s="412"/>
      <c r="C21" s="412"/>
      <c r="D21" s="412"/>
      <c r="E21" s="412"/>
      <c r="F21" s="412"/>
      <c r="G21" s="412"/>
      <c r="H21" s="29"/>
      <c r="N21" s="371"/>
    </row>
    <row r="22" spans="1:14" x14ac:dyDescent="0.2">
      <c r="A22" s="408" t="s">
        <v>156</v>
      </c>
      <c r="B22" s="408"/>
      <c r="C22" s="408"/>
      <c r="D22" s="408"/>
      <c r="E22" s="408"/>
      <c r="F22" s="408"/>
      <c r="G22" s="408"/>
      <c r="H22" s="29"/>
      <c r="N22" s="371"/>
    </row>
    <row r="23" spans="1:14" ht="15" thickBot="1" x14ac:dyDescent="0.25">
      <c r="A23" s="409" t="s">
        <v>442</v>
      </c>
      <c r="B23" s="409"/>
      <c r="C23" s="409"/>
      <c r="D23" s="409"/>
      <c r="E23" s="409"/>
      <c r="F23" s="409"/>
      <c r="G23" s="409"/>
      <c r="H23" s="29"/>
      <c r="N23" s="371"/>
    </row>
    <row r="24" spans="1:14" x14ac:dyDescent="0.2">
      <c r="A24" s="29"/>
      <c r="B24" s="30"/>
      <c r="C24" s="30"/>
      <c r="D24" s="30"/>
      <c r="E24" s="30"/>
      <c r="F24" s="30"/>
      <c r="G24" s="30"/>
    </row>
    <row r="25" spans="1:14" x14ac:dyDescent="0.2">
      <c r="A25" s="410" t="s">
        <v>157</v>
      </c>
      <c r="B25" s="410"/>
      <c r="C25" s="30"/>
      <c r="D25" s="30"/>
      <c r="E25" s="30"/>
      <c r="F25" s="30"/>
      <c r="G25" s="31"/>
    </row>
    <row r="26" spans="1:14" x14ac:dyDescent="0.2">
      <c r="A26" s="11"/>
      <c r="B26" s="30"/>
      <c r="C26" s="30"/>
      <c r="D26" s="30"/>
      <c r="E26" s="30"/>
      <c r="F26" s="30"/>
    </row>
  </sheetData>
  <mergeCells count="12">
    <mergeCell ref="A21:G21"/>
    <mergeCell ref="A22:G22"/>
    <mergeCell ref="A23:G23"/>
    <mergeCell ref="A25:B25"/>
    <mergeCell ref="A2:H2"/>
    <mergeCell ref="A3:H3"/>
    <mergeCell ref="A13:G13"/>
    <mergeCell ref="A15:G15"/>
    <mergeCell ref="A19:G19"/>
    <mergeCell ref="A16:K16"/>
    <mergeCell ref="A17:K17"/>
    <mergeCell ref="A4:E4"/>
  </mergeCells>
  <hyperlinks>
    <hyperlink ref="A22:F22" r:id="rId1" display="Contact via enquiries@NHSDigital.nhs.uk or 0300 303 5678" xr:uid="{C188454A-24EE-4C8F-8F71-FB3B1ECB2ACF}"/>
    <hyperlink ref="A25" location="Contents!A1" display="Return to Contents" xr:uid="{76F292D6-E74B-40FC-85FA-002F204650CF}"/>
    <hyperlink ref="A15:G15" r:id="rId2" display="https://www.ons.gov.uk/peoplepopulationandcommunity/populationandmigration/populationestimates/adhocs/008780populationdenominatorsbyethnicgroupregionsandcountriesenglandandwales2011to2018" xr:uid="{D587C7E7-DB92-48D1-A391-51235AECB105}"/>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248FFECF8F0D554792D64B70CF7BF038" PreviousValue="false"/>
</file>

<file path=customXml/item2.xml><?xml version="1.0" encoding="utf-8"?>
<p:properties xmlns:p="http://schemas.microsoft.com/office/2006/metadata/properties" xmlns:xsi="http://www.w3.org/2001/XMLSchema-instance" xmlns:pc="http://schemas.microsoft.com/office/infopath/2007/PartnerControls">
  <documentManagement>
    <SecurityClassification xmlns="5668c8bc-6c30-45e9-80ca-5109d4270dfd">Official</SecurityClassification>
    <InformationVersion xmlns="5668c8bc-6c30-45e9-80ca-5109d4270dfd" xsi:nil="true"/>
    <Summary xmlns="5668c8bc-6c30-45e9-80ca-5109d4270dfd" xsi:nil="true"/>
    <SecurityDescriptor xmlns="5668c8bc-6c30-45e9-80ca-5109d4270dfd" xsi:nil="true"/>
    <InformationStatus xmlns="5668c8bc-6c30-45e9-80ca-5109d4270dfd">Draft</InformationStatus>
    <AuthoredDate xmlns="5668c8bc-6c30-45e9-80ca-5109d4270dfd">2019-08-09T13:55:46+00:00</AuthoredDat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DocId xmlns="2c0b3723-ae66-45ac-94fb-aaf049c45b50">NHSD-2119-515027077-1264</_dlc_DocId>
    <_dlc_DocIdUrl xmlns="2c0b3723-ae66-45ac-94fb-aaf049c45b50">
      <Url>https://hscic365.sharepoint.com/sites/Teams 2/SUSprogramme/sushesanalysis/hesanalysis/ande/_layouts/15/DocIdRedir.aspx?ID=NHSD-2119-515027077-1264</Url>
      <Description>NHSD-2119-515027077-1264</Description>
    </_dlc_DocIdUrl>
    <_dlc_ExpireDate xmlns="http://schemas.microsoft.com/sharepoint/v3">2022-08-09T13:55:46+00:00</_dlc_ExpireDate>
    <_dlc_ExpireDateSaved xmlns="http://schemas.microsoft.com/sharepoint/v3" xsi:nil="true"/>
  </documentManagement>
</p:properties>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p:Policy xmlns:p="office.server.policy" id="" local="true">
  <p:Name>NHSD Basic Document (3 years)</p:Name>
  <p:Description/>
  <p:Statement>This document implements 3 years retention from Authored Date</p:Statement>
  <p:PolicyItems>
    <p:PolicyItem featureId="Microsoft.Office.RecordsManagement.PolicyFeatures.Expiration" staticId="0x010100248FFECF8F0D554792D64B70CF7BF038|1875765322" UniqueId="869a2099-ee93-4b40-ae02-4cec0d172ec1">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3</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ct:contentTypeSchema xmlns:ct="http://schemas.microsoft.com/office/2006/metadata/contentType" xmlns:ma="http://schemas.microsoft.com/office/2006/metadata/properties/metaAttributes" ct:_="" ma:_="" ma:contentTypeName="NHSD Basic Document (3 years)" ma:contentTypeID="0x010100248FFECF8F0D554792D64B70CF7BF03800B2886F3C57D1BC43A8B71A984923D6DD" ma:contentTypeVersion="1954" ma:contentTypeDescription="Any general NHS Digital document with 3 years retention" ma:contentTypeScope="" ma:versionID="bcb8327ba2695fb7b66ff2e57fff00ac">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5c1c47da5d3626476134e822038f157a"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uthorName" minOccurs="0"/>
                <xsd:element ref="ns2:AuthoredDate"/>
                <xsd:element ref="ns2:e076e489fa624670a6d5030aa6510568" minOccurs="0"/>
                <xsd:element ref="ns2:TaxCatchAll" minOccurs="0"/>
                <xsd:element ref="ns2:TaxCatchAllLabel" minOccurs="0"/>
                <xsd:element ref="ns2:InformationStatus"/>
                <xsd:element ref="ns2:InformationVersion"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9" nillable="true" ma:displayName="Exempt from Policy" ma:hidden="true" ma:internalName="_dlc_Exempt" ma:readOnly="true">
      <xsd:simpleType>
        <xsd:restriction base="dms:Unknown"/>
      </xsd:simpleType>
    </xsd:element>
    <xsd:element name="_dlc_ExpireDateSaved" ma:index="20" nillable="true" ma:displayName="Original Expiration Date" ma:hidden="true" ma:internalName="_dlc_ExpireDateSaved" ma:readOnly="true">
      <xsd:simpleType>
        <xsd:restriction base="dms:DateTime"/>
      </xsd:simpleType>
    </xsd:element>
    <xsd:element name="_dlc_ExpireDate" ma:index="21"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internalName="AuthoredDate" ma:readOnly="false">
      <xsd:simpleType>
        <xsd:restriction base="dms:DateTime"/>
      </xsd:simpleType>
    </xsd:element>
    <xsd:element name="e076e489fa624670a6d5030aa6510568" ma:index="10"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InformationVersion" ma:index="15"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SecurityClassification" ma:index="16"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17"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18"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2" nillable="true" ma:displayName="Document ID Value" ma:description="The value of the document ID assigned to this item."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E0E98B-ABDB-479E-AA9C-101A43AEF825}">
  <ds:schemaRefs>
    <ds:schemaRef ds:uri="Microsoft.SharePoint.Taxonomy.ContentTypeSync"/>
  </ds:schemaRefs>
</ds:datastoreItem>
</file>

<file path=customXml/itemProps2.xml><?xml version="1.0" encoding="utf-8"?>
<ds:datastoreItem xmlns:ds="http://schemas.openxmlformats.org/officeDocument/2006/customXml" ds:itemID="{153AC959-A0B0-467B-93F6-DC13C1C8E002}">
  <ds:schemaRefs>
    <ds:schemaRef ds:uri="http://purl.org/dc/terms/"/>
    <ds:schemaRef ds:uri="http://www.w3.org/XML/1998/namespace"/>
    <ds:schemaRef ds:uri="http://schemas.microsoft.com/office/2006/metadata/properties"/>
    <ds:schemaRef ds:uri="2c0b3723-ae66-45ac-94fb-aaf049c45b50"/>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5668c8bc-6c30-45e9-80ca-5109d4270dfd"/>
    <ds:schemaRef ds:uri="http://schemas.microsoft.com/sharepoint/v3"/>
    <ds:schemaRef ds:uri="http://purl.org/dc/dcmitype/"/>
  </ds:schemaRefs>
</ds:datastoreItem>
</file>

<file path=customXml/itemProps3.xml><?xml version="1.0" encoding="utf-8"?>
<ds:datastoreItem xmlns:ds="http://schemas.openxmlformats.org/officeDocument/2006/customXml" ds:itemID="{A42F6C03-6B32-44C9-8407-C1745AA7646C}">
  <ds:schemaRefs>
    <ds:schemaRef ds:uri="http://schemas.microsoft.com/sharepoint/events"/>
  </ds:schemaRefs>
</ds:datastoreItem>
</file>

<file path=customXml/itemProps4.xml><?xml version="1.0" encoding="utf-8"?>
<ds:datastoreItem xmlns:ds="http://schemas.openxmlformats.org/officeDocument/2006/customXml" ds:itemID="{E15B2BC5-EA75-4137-9B15-77537074477E}">
  <ds:schemaRefs>
    <ds:schemaRef ds:uri="http://schemas.microsoft.com/sharepoint/v3/contenttype/forms"/>
  </ds:schemaRefs>
</ds:datastoreItem>
</file>

<file path=customXml/itemProps5.xml><?xml version="1.0" encoding="utf-8"?>
<ds:datastoreItem xmlns:ds="http://schemas.openxmlformats.org/officeDocument/2006/customXml" ds:itemID="{020EBEC8-1C02-47B6-A513-B149DFCE639A}">
  <ds:schemaRefs>
    <ds:schemaRef ds:uri="office.server.policy"/>
  </ds:schemaRefs>
</ds:datastoreItem>
</file>

<file path=customXml/itemProps6.xml><?xml version="1.0" encoding="utf-8"?>
<ds:datastoreItem xmlns:ds="http://schemas.openxmlformats.org/officeDocument/2006/customXml" ds:itemID="{EFBE2E94-9CC1-4230-AB03-80F62167B6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22</vt:i4>
      </vt:variant>
    </vt:vector>
  </HeadingPairs>
  <TitlesOfParts>
    <vt:vector size="44" baseType="lpstr">
      <vt:lpstr>Title sheet</vt:lpstr>
      <vt:lpstr>Contents</vt:lpstr>
      <vt:lpstr>Summary report 1</vt:lpstr>
      <vt:lpstr>Summary report 2</vt:lpstr>
      <vt:lpstr>Summary report 3</vt:lpstr>
      <vt:lpstr>Summary report 4</vt:lpstr>
      <vt:lpstr>Summary report 5</vt:lpstr>
      <vt:lpstr>Summary report 6</vt:lpstr>
      <vt:lpstr>Summary report 7</vt:lpstr>
      <vt:lpstr>Summary report 8</vt:lpstr>
      <vt:lpstr>Summary report 9-10</vt:lpstr>
      <vt:lpstr>Summary report 11</vt:lpstr>
      <vt:lpstr>Summary report 12</vt:lpstr>
      <vt:lpstr>Summary report 13</vt:lpstr>
      <vt:lpstr>Summary report 14</vt:lpstr>
      <vt:lpstr>Summary report 15</vt:lpstr>
      <vt:lpstr>Summary report 16</vt:lpstr>
      <vt:lpstr>Summary report 17</vt:lpstr>
      <vt:lpstr>Summary report 18</vt:lpstr>
      <vt:lpstr>Summary report 19</vt:lpstr>
      <vt:lpstr>Summary report 20 full</vt:lpstr>
      <vt:lpstr>Summary report 20</vt:lpstr>
      <vt:lpstr>Contents!Print_Area</vt:lpstr>
      <vt:lpstr>'Summary report 1'!Print_Area</vt:lpstr>
      <vt:lpstr>'Summary report 11'!Print_Area</vt:lpstr>
      <vt:lpstr>'Summary report 12'!Print_Area</vt:lpstr>
      <vt:lpstr>'Summary report 13'!Print_Area</vt:lpstr>
      <vt:lpstr>'Summary report 14'!Print_Area</vt:lpstr>
      <vt:lpstr>'Summary report 15'!Print_Area</vt:lpstr>
      <vt:lpstr>'Summary report 16'!Print_Area</vt:lpstr>
      <vt:lpstr>'Summary report 17'!Print_Area</vt:lpstr>
      <vt:lpstr>'Summary report 18'!Print_Area</vt:lpstr>
      <vt:lpstr>'Summary report 19'!Print_Area</vt:lpstr>
      <vt:lpstr>'Summary report 2'!Print_Area</vt:lpstr>
      <vt:lpstr>'Summary report 20'!Print_Area</vt:lpstr>
      <vt:lpstr>'Summary report 20 full'!Print_Area</vt:lpstr>
      <vt:lpstr>'Summary report 3'!Print_Area</vt:lpstr>
      <vt:lpstr>'Summary report 4'!Print_Area</vt:lpstr>
      <vt:lpstr>'Summary report 5'!Print_Area</vt:lpstr>
      <vt:lpstr>'Summary report 6'!Print_Area</vt:lpstr>
      <vt:lpstr>'Summary report 7'!Print_Area</vt:lpstr>
      <vt:lpstr>'Summary report 8'!Print_Area</vt:lpstr>
      <vt:lpstr>'Summary report 9-10'!Print_Area</vt:lpstr>
      <vt:lpstr>'Title sheet'!Print_Area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Accident and Emergency Activity, 2015-16: Tables</dc:title>
  <dc:creator/>
  <cp:lastModifiedBy/>
  <dcterms:created xsi:type="dcterms:W3CDTF">2015-10-12T09:44:32Z</dcterms:created>
  <dcterms:modified xsi:type="dcterms:W3CDTF">2020-09-04T13:33:25Z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0x010100248FFECF8F0D554792D64B70CF7BF03800B2886F3C57D1BC43A8B71A984923D6DD</vt:lpwstr>
  </property>
  <property fmtid="{D5CDD505-2E9C-101B-9397-08002B2CF9AE}" pid="3" name="Order">
    <vt:r8>118000</vt:r8>
  </property>
  <property fmtid="{D5CDD505-2E9C-101B-9397-08002B2CF9AE}" pid="4" name="_dlc_DocIdItemGuid">
    <vt:lpwstr>fd7ffbb0-b938-4e2a-ae15-c255d1d3f931</vt:lpwstr>
  </property>
  <property fmtid="{D5CDD505-2E9C-101B-9397-08002B2CF9AE}" pid="5" name="_dlc_policyId">
    <vt:lpwstr>0x010100248FFECF8F0D554792D64B70CF7BF038|1875765322</vt:lpwstr>
  </property>
  <property fmtid="{D5CDD505-2E9C-101B-9397-08002B2CF9AE}" pid="6"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y fmtid="{D5CDD505-2E9C-101B-9397-08002B2CF9AE}" pid="9" name="i8502cb9d1b74c4f9e1ea45824336350">
    <vt:lpwstr/>
  </property>
</Properties>
</file>