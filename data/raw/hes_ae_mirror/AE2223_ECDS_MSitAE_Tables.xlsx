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ic.green.net\IC_Data_DFS\SU\Data Analysts-Leeds\HES Publications 2022-23\ECDS\Tables for publishing\"/>
    </mc:Choice>
  </mc:AlternateContent>
  <xr:revisionPtr revIDLastSave="0" documentId="13_ncr:1_{8071ED8D-C2E5-4260-BDE4-FAE3C87D712A}" xr6:coauthVersionLast="47" xr6:coauthVersionMax="47" xr10:uidLastSave="{00000000-0000-0000-0000-000000000000}"/>
  <bookViews>
    <workbookView xWindow="-30828" yWindow="96" windowWidth="30936" windowHeight="16896" tabRatio="724" xr2:uid="{846297AC-E25F-4902-8823-83F88896CE1B}"/>
  </bookViews>
  <sheets>
    <sheet name="Title Page" sheetId="2" r:id="rId1"/>
    <sheet name="Table 1" sheetId="8" r:id="rId2"/>
    <sheet name="Table 2" sheetId="14" r:id="rId3"/>
    <sheet name="Table 3" sheetId="19" r:id="rId4"/>
    <sheet name="Table 4" sheetId="20" r:id="rId5"/>
    <sheet name="Table 5" sheetId="21" r:id="rId6"/>
    <sheet name="Table 6" sheetId="22" r:id="rId7"/>
    <sheet name="Table 7" sheetId="23" r:id="rId8"/>
    <sheet name="Table 8" sheetId="24" r:id="rId9"/>
    <sheet name="Table 9" sheetId="25" r:id="rId10"/>
    <sheet name="Table 10" sheetId="26" r:id="rId11"/>
    <sheet name="Table 11" sheetId="27" r:id="rId12"/>
    <sheet name="Table 12" sheetId="29" r:id="rId13"/>
    <sheet name="Table 13" sheetId="30" r:id="rId14"/>
  </sheets>
  <definedNames>
    <definedName name="_xlnm._FilterDatabase" localSheetId="13" hidden="1">'Table 13'!$A$16:$J$263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5" i="25" l="1"/>
  <c r="P24" i="25"/>
  <c r="P23" i="25"/>
  <c r="P22" i="25"/>
  <c r="P21" i="25"/>
  <c r="P20" i="25"/>
  <c r="P19" i="25"/>
  <c r="P18" i="25"/>
  <c r="P17" i="25"/>
  <c r="P16" i="25"/>
  <c r="P15" i="25"/>
  <c r="P14" i="25"/>
  <c r="D122" i="22" l="1"/>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alcChain>
</file>

<file path=xl/sharedStrings.xml><?xml version="1.0" encoding="utf-8"?>
<sst xmlns="http://schemas.openxmlformats.org/spreadsheetml/2006/main" count="1197" uniqueCount="653">
  <si>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</si>
  <si>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</si>
  <si>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</si>
  <si>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</si>
  <si>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</si>
  <si>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</si>
  <si>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Responsible Statistician: Emily Michelmore</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</si>
  <si>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</si>
  <si>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</si>
  <si>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</si>
  <si>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</si>
  <si>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Copyright © 2023</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</si>
  <si>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</si>
  <si>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Copyright © 2023, NHS England.</t>
  </si>
  <si>
    <t>Link to publication: https://digital.nhs.uk/data-and-information/publications/statistical/hospital-accident--emergency-activity/2022-23</t>
  </si>
  <si>
    <t>More about ECDS:</t>
  </si>
  <si>
    <t>Emergency Care Data Set (ECDS) - NHS Digital</t>
  </si>
  <si>
    <t>ECDS Technical Output Specification:</t>
  </si>
  <si>
    <t>DAPB0092-2062 : Commissioning Data Sets: Emergency Care Data Set - NHS Digital</t>
  </si>
  <si>
    <t>Publication date: 21st September 2023</t>
  </si>
  <si>
    <r>
      <t>Hospital Accident and Emergency Activity - 2022-23</t>
    </r>
    <r>
      <rPr>
        <sz val="27"/>
        <color rgb="FF005EB8"/>
        <rFont val="Arial"/>
        <family val="2"/>
      </rPr>
      <t xml:space="preserve">
</t>
    </r>
  </si>
  <si>
    <t>Table 1</t>
  </si>
  <si>
    <t>Summary of A&amp;E Attendances (MSitAE)</t>
  </si>
  <si>
    <t>2020-21</t>
  </si>
  <si>
    <t>2021-22</t>
  </si>
  <si>
    <t>MSitAE</t>
  </si>
  <si>
    <t>Population estimates</t>
  </si>
  <si>
    <t>2022-23</t>
  </si>
  <si>
    <t>https://www.ons.gov.uk/peoplepopulationandcommunity/populationandmigration/populationestimates/timeseries/enpop/pop</t>
  </si>
  <si>
    <t>Table 2</t>
  </si>
  <si>
    <t>A&amp;E Attendances by Department Type (MSitAE)</t>
  </si>
  <si>
    <t>The table below shows a count of all A&amp;E MSitAE attendances and ONS population estimates. Planned A&amp;E attendances are excluded.</t>
  </si>
  <si>
    <t>Activity recorded in English NHS Hospitals and English NHS commissioned activity in the independent sector. </t>
  </si>
  <si>
    <t>Major A&amp;E Departments</t>
  </si>
  <si>
    <t>Minor injuries and Walk In Centres</t>
  </si>
  <si>
    <t>Summary of A&amp;E Attendances (MSitAE), 2020-21 to 2022-23</t>
  </si>
  <si>
    <t>A&amp;E Attendances by Department Type (MSitAE), 2020-21 to 2022-23</t>
  </si>
  <si>
    <t>Table 3</t>
  </si>
  <si>
    <t>Percentage of Patients Spending 4 Hours or Less in A&amp;E (MSitAE)</t>
  </si>
  <si>
    <t>Percentage of Patients Spending 4 Hours or Less in A&amp;E (MSitAE), 2020-21 to 2022-23</t>
  </si>
  <si>
    <t>Attendances 4 hours or less</t>
  </si>
  <si>
    <t>Attendances over 4 hours</t>
  </si>
  <si>
    <t>Total attendances</t>
  </si>
  <si>
    <t>% 4 Hours or Less</t>
  </si>
  <si>
    <r>
      <t xml:space="preserve">% Standard </t>
    </r>
    <r>
      <rPr>
        <vertAlign val="superscript"/>
        <sz val="10"/>
        <color rgb="FF000000"/>
        <rFont val="Arial"/>
        <family val="2"/>
      </rPr>
      <t>1</t>
    </r>
  </si>
  <si>
    <t>Table 4</t>
  </si>
  <si>
    <t>Average Number of Attendances of 4 Hours or Less (MSitAE)</t>
  </si>
  <si>
    <t>Average Number of Attendances of 4 Hours or Less (MSitAE), 2020-21 to 2022-23</t>
  </si>
  <si>
    <t>Under 4 hours attendances per day</t>
  </si>
  <si>
    <t>Under 4 hours per day 12 month rolling average</t>
  </si>
  <si>
    <t>Table 5</t>
  </si>
  <si>
    <t>Average Number of Attendances Over 4 Hours (MSitAE), 2020-21 to 2022-23</t>
  </si>
  <si>
    <t>Average Number of Attendances of over 4 Hours (MSitAE)</t>
  </si>
  <si>
    <t>Over 4 hours attendances per day</t>
  </si>
  <si>
    <t>Over 4 hours per day 12 month rolling average</t>
  </si>
  <si>
    <t xml:space="preserve">Percentage of Patients Spending 4 Hours or Less in A&amp;E by Provider (MSitAE) </t>
  </si>
  <si>
    <t>The table below shows a count of A&amp;E MSitAE attendances by A&amp;E department types. Planned A&amp;E attendances are excluded.</t>
  </si>
  <si>
    <t>The table below shows a monthly count of A&amp;E MSitAE attendances by the waiting times dailly and by a rolling annual average
Planned A&amp;E attendances are excluded.</t>
  </si>
  <si>
    <t>The table below shows a count and calculation of all A&amp;E MSitAE attendances and attendances by the following waiting times:
- Less than 4 hours from arrival. 
- More than 4 hours from arrival.
Planned A&amp;E attendances are excluded.</t>
  </si>
  <si>
    <t>Provider code</t>
  </si>
  <si>
    <t>Provider name</t>
  </si>
  <si>
    <t>A&amp;E Attendances</t>
  </si>
  <si>
    <t>Attendances waiting 4 hours or less</t>
  </si>
  <si>
    <t>Attendances waiting  over 4 hours</t>
  </si>
  <si>
    <t>Percentage waiting 4 hours or less</t>
  </si>
  <si>
    <t>R0A</t>
  </si>
  <si>
    <t>MANCHESTER UNIVERSITY NHS FOUNDATION TRUST</t>
  </si>
  <si>
    <t>R0B</t>
  </si>
  <si>
    <t>SOUTH TYNESIDE AND SUNDERLAND NHS FOUNDATION TRUST</t>
  </si>
  <si>
    <t>R1F</t>
  </si>
  <si>
    <t>ISLE OF WIGHT NHS TRUST</t>
  </si>
  <si>
    <t>R1H</t>
  </si>
  <si>
    <t>BARTS HEALTH NHS TRUST</t>
  </si>
  <si>
    <t>R1K</t>
  </si>
  <si>
    <t>LONDON NORTH WEST UNIVERSITY HEALTHCARE NHS TRUST</t>
  </si>
  <si>
    <t>RA2</t>
  </si>
  <si>
    <t>ROYAL SURREY COUNTY HOSPITAL NHS FOUNDATION TRUST</t>
  </si>
  <si>
    <t>RA4</t>
  </si>
  <si>
    <t>YEOVIL DISTRICT HOSPITAL NHS FOUNDATION TRUST</t>
  </si>
  <si>
    <t>RA7</t>
  </si>
  <si>
    <t>UNIVERSITY HOSPITALS BRISTOL AND WESTON NHS FOUNDATION TRUST</t>
  </si>
  <si>
    <t>RA9</t>
  </si>
  <si>
    <t>TORBAY AND SOUTH DEVON NHS FOUNDATION TRUST</t>
  </si>
  <si>
    <t>RAE</t>
  </si>
  <si>
    <t>BRADFORD TEACHING HOSPITALS NHS FOUNDATION TRUST</t>
  </si>
  <si>
    <t>RAJ</t>
  </si>
  <si>
    <t>MID AND SOUTH ESSEX NHS FOUNDATION TRUST</t>
  </si>
  <si>
    <t>RAL</t>
  </si>
  <si>
    <t>ROYAL FREE LONDON NHS FOUNDATION TRUST</t>
  </si>
  <si>
    <t>RAP</t>
  </si>
  <si>
    <t>NORTH MIDDLESEX UNIVERSITY HOSPITAL NHS TRUST</t>
  </si>
  <si>
    <t>RAS</t>
  </si>
  <si>
    <t>THE HILLINGDON HOSPITALS NHS FOUNDATION TRUST</t>
  </si>
  <si>
    <t>RAX</t>
  </si>
  <si>
    <t>KINGSTON HOSPITAL NHS FOUNDATION TRUST</t>
  </si>
  <si>
    <t>RBD</t>
  </si>
  <si>
    <t>DORSET COUNTY HOSPITAL NHS FOUNDATION TRUST</t>
  </si>
  <si>
    <t>RBK</t>
  </si>
  <si>
    <t>WALSALL HEALTHCARE NHS TRUST</t>
  </si>
  <si>
    <t>RBL</t>
  </si>
  <si>
    <t>WIRRAL UNIVERSITY TEACHING HOSPITAL NHS FOUNDATION TRUST</t>
  </si>
  <si>
    <t>RBN</t>
  </si>
  <si>
    <t>ST HELENS AND KNOWSLEY TEACHING HOSPITALS NHS TRUST</t>
  </si>
  <si>
    <t>RBS</t>
  </si>
  <si>
    <t>ALDER HEY CHILDREN'S NHS FOUNDATION TRUST</t>
  </si>
  <si>
    <t>RBT</t>
  </si>
  <si>
    <t>MID CHESHIRE HOSPITALS NHS FOUNDATION TRUST</t>
  </si>
  <si>
    <t>RCB</t>
  </si>
  <si>
    <t>YORK AND SCARBOROUGH TEACHING HOSPITALS NHS FOUNDATION TRUST</t>
  </si>
  <si>
    <t>RCD</t>
  </si>
  <si>
    <t>HARROGATE AND DISTRICT NHS FOUNDATION TRUST</t>
  </si>
  <si>
    <t>RCF</t>
  </si>
  <si>
    <t>AIREDALE NHS FOUNDATION TRUST</t>
  </si>
  <si>
    <t>RCU</t>
  </si>
  <si>
    <t>SHEFFIELD CHILDREN'S NHS FOUNDATION TRUST</t>
  </si>
  <si>
    <t>RCX</t>
  </si>
  <si>
    <t>THE QUEEN ELIZABETH HOSPITAL, KING'S LYNN, NHS FOUNDATION TRUST</t>
  </si>
  <si>
    <t>RD1</t>
  </si>
  <si>
    <t>ROYAL UNITED HOSPITALS BATH NHS FOUNDATION TRUST</t>
  </si>
  <si>
    <t>RD8</t>
  </si>
  <si>
    <t>MILTON KEYNES UNIVERSITY HOSPITAL NHS FOUNDATION TRUST</t>
  </si>
  <si>
    <t>RDE</t>
  </si>
  <si>
    <t>EAST SUFFOLK AND NORTH ESSEX NHS FOUNDATION TRUST</t>
  </si>
  <si>
    <t>REF</t>
  </si>
  <si>
    <t>ROYAL CORNWALL HOSPITALS NHS TRUST</t>
  </si>
  <si>
    <t>REM</t>
  </si>
  <si>
    <t>LIVERPOOL UNIVERSITY HOSPITALS NHS FOUNDATION TRUST</t>
  </si>
  <si>
    <t>RF4</t>
  </si>
  <si>
    <t>BARKING, HAVERING AND REDBRIDGE UNIVERSITY HOSPITALS NHS TRUST</t>
  </si>
  <si>
    <t>RFF</t>
  </si>
  <si>
    <t>BARNSLEY HOSPITAL NHS FOUNDATION TRUST</t>
  </si>
  <si>
    <t>RFS</t>
  </si>
  <si>
    <t>CHESTERFIELD ROYAL HOSPITAL NHS FOUNDATION TRUST</t>
  </si>
  <si>
    <t>RGN</t>
  </si>
  <si>
    <t>NORTH WEST ANGLIA NHS FOUNDATION TRUST</t>
  </si>
  <si>
    <t>RGP</t>
  </si>
  <si>
    <t>JAMES PAGET UNIVERSITY HOSPITALS NHS FOUNDATION TRUST</t>
  </si>
  <si>
    <t>RH5</t>
  </si>
  <si>
    <t>SOMERSET NHS FOUNDATION TRUST</t>
  </si>
  <si>
    <t>RH8</t>
  </si>
  <si>
    <t>ROYAL DEVON UNIVERSITY HEALTHCARE NHS FOUNDATION TRUST</t>
  </si>
  <si>
    <t>RHM</t>
  </si>
  <si>
    <t>UNIVERSITY HOSPITAL SOUTHAMPTON NHS FOUNDATION TRUST</t>
  </si>
  <si>
    <t>RHQ</t>
  </si>
  <si>
    <t>SHEFFIELD TEACHING HOSPITALS NHS FOUNDATION TRUST</t>
  </si>
  <si>
    <t>RHW</t>
  </si>
  <si>
    <t>ROYAL BERKSHIRE NHS FOUNDATION TRUST</t>
  </si>
  <si>
    <t>RJ1</t>
  </si>
  <si>
    <t>GUY'S AND ST THOMAS' NHS FOUNDATION TRUST</t>
  </si>
  <si>
    <t>RJ2</t>
  </si>
  <si>
    <t>LEWISHAM AND GREENWICH NHS TRUST</t>
  </si>
  <si>
    <t>RJ6</t>
  </si>
  <si>
    <t>CROYDON HEALTH SERVICES NHS TRUST</t>
  </si>
  <si>
    <t>RJ7</t>
  </si>
  <si>
    <t>ST GEORGE'S UNIVERSITY HOSPITALS NHS FOUNDATION TRUST</t>
  </si>
  <si>
    <t>RJC</t>
  </si>
  <si>
    <t>SOUTH WARWICKSHIRE NHS FOUNDATION TRUST</t>
  </si>
  <si>
    <t>RJE</t>
  </si>
  <si>
    <t>UNIVERSITY HOSPITALS OF NORTH MIDLANDS NHS TRUST</t>
  </si>
  <si>
    <t>RJL</t>
  </si>
  <si>
    <t>NORTHERN LINCOLNSHIRE AND GOOLE NHS FOUNDATION TRUST</t>
  </si>
  <si>
    <t>RJN</t>
  </si>
  <si>
    <t>EAST CHESHIRE NHS TRUST</t>
  </si>
  <si>
    <t>RJR</t>
  </si>
  <si>
    <t>COUNTESS OF CHESTER HOSPITAL NHS FOUNDATION TRUST</t>
  </si>
  <si>
    <t>RJZ</t>
  </si>
  <si>
    <t>KING'S COLLEGE HOSPITAL NHS FOUNDATION TRUST</t>
  </si>
  <si>
    <t>RK5</t>
  </si>
  <si>
    <t>SHERWOOD FOREST HOSPITALS NHS FOUNDATION TRUST</t>
  </si>
  <si>
    <t>RKB</t>
  </si>
  <si>
    <t>UNIVERSITY HOSPITALS COVENTRY AND WARWICKSHIRE NHS TRUST</t>
  </si>
  <si>
    <t>RKE</t>
  </si>
  <si>
    <t>WHITTINGTON HEALTH NHS TRUST</t>
  </si>
  <si>
    <t>RL4</t>
  </si>
  <si>
    <t>THE ROYAL WOLVERHAMPTON NHS TRUST</t>
  </si>
  <si>
    <t>RLQ</t>
  </si>
  <si>
    <t>WYE VALLEY NHS TRUST</t>
  </si>
  <si>
    <t>RLT</t>
  </si>
  <si>
    <t>GEORGE ELIOT HOSPITAL NHS TRUST</t>
  </si>
  <si>
    <t>RM1</t>
  </si>
  <si>
    <t>NORFOLK AND NORWICH UNIVERSITY HOSPITALS NHS FOUNDATION TRUST</t>
  </si>
  <si>
    <t>RM3</t>
  </si>
  <si>
    <t>NORTHERN CARE ALLIANCE</t>
  </si>
  <si>
    <t>RMC</t>
  </si>
  <si>
    <t>BOLTON NHS FOUNDATION TRUST</t>
  </si>
  <si>
    <t>RMP</t>
  </si>
  <si>
    <t>TAMESIDE AND GLOSSOP INTEGRATED CARE NHS FOUNDATION TRUST</t>
  </si>
  <si>
    <t>RN3</t>
  </si>
  <si>
    <t>GREAT WESTERN HOSPITALS NHS FOUNDATION TRUST</t>
  </si>
  <si>
    <t>RN5</t>
  </si>
  <si>
    <t>HAMPSHIRE HOSPITALS NHS FOUNDATION TRUST</t>
  </si>
  <si>
    <t>RN7</t>
  </si>
  <si>
    <t>DARTFORD AND GRAVESHAM NHS TRUST</t>
  </si>
  <si>
    <t>RNA</t>
  </si>
  <si>
    <t>THE DUDLEY GROUP NHS FOUNDATION TRUST</t>
  </si>
  <si>
    <t>RNN</t>
  </si>
  <si>
    <t>NORTH CUMBRIA INTEGRATED CARE NHS FOUNDATION TRUST</t>
  </si>
  <si>
    <t>RNS</t>
  </si>
  <si>
    <t>NORTHAMPTON GENERAL HOSPITAL NHS TRUST</t>
  </si>
  <si>
    <t>RNZ</t>
  </si>
  <si>
    <t>SALISBURY NHS FOUNDATION TRUST</t>
  </si>
  <si>
    <t>RP5</t>
  </si>
  <si>
    <t>DONCASTER AND BASSETLAW TEACHING HOSPITALS NHS FOUNDATION TRUST</t>
  </si>
  <si>
    <t>RPA</t>
  </si>
  <si>
    <t>MEDWAY NHS FOUNDATION TRUST</t>
  </si>
  <si>
    <t>RQ3</t>
  </si>
  <si>
    <t>BIRMINGHAM WOMEN'S AND CHILDREN'S NHS FOUNDATION TRUST</t>
  </si>
  <si>
    <t>RQW</t>
  </si>
  <si>
    <t>THE PRINCESS ALEXANDRA HOSPITAL NHS TRUST</t>
  </si>
  <si>
    <t>RQX</t>
  </si>
  <si>
    <t>HOMERTON HEALTHCARE NHS FOUNDATION TRUST</t>
  </si>
  <si>
    <t>RR7</t>
  </si>
  <si>
    <t>GATESHEAD HEALTH NHS FOUNDATION TRUST</t>
  </si>
  <si>
    <t>RR8</t>
  </si>
  <si>
    <t>LEEDS TEACHING HOSPITALS NHS TRUST</t>
  </si>
  <si>
    <t>RRF</t>
  </si>
  <si>
    <t>WRIGHTINGTON, WIGAN AND LEIGH NHS FOUNDATION TRUST</t>
  </si>
  <si>
    <t>RRK</t>
  </si>
  <si>
    <t>UNIVERSITY HOSPITALS BIRMINGHAM NHS FOUNDATION TRUST</t>
  </si>
  <si>
    <t>RRV</t>
  </si>
  <si>
    <t>UNIVERSITY COLLEGE LONDON HOSPITALS NHS FOUNDATION TRUST</t>
  </si>
  <si>
    <t>RTD</t>
  </si>
  <si>
    <t>THE NEWCASTLE UPON TYNE HOSPITALS NHS FOUNDATION TRUST</t>
  </si>
  <si>
    <t>RTE</t>
  </si>
  <si>
    <t>GLOUCESTERSHIRE HOSPITALS NHS FOUNDATION TRUST</t>
  </si>
  <si>
    <t>RTF</t>
  </si>
  <si>
    <t>NORTHUMBRIA HEALTHCARE NHS FOUNDATION TRUST</t>
  </si>
  <si>
    <t>RTG</t>
  </si>
  <si>
    <t>UNIVERSITY HOSPITALS OF DERBY AND BURTON NHS FOUNDATION TRUST</t>
  </si>
  <si>
    <t>RTH</t>
  </si>
  <si>
    <t>OXFORD UNIVERSITY HOSPITALS NHS FOUNDATION TRUST</t>
  </si>
  <si>
    <t>RTK</t>
  </si>
  <si>
    <t>ASHFORD AND ST PETER'S HOSPITALS NHS FOUNDATION TRUST</t>
  </si>
  <si>
    <t>RTP</t>
  </si>
  <si>
    <t>SURREY AND SUSSEX HEALTHCARE NHS TRUST</t>
  </si>
  <si>
    <t>RTR</t>
  </si>
  <si>
    <t>SOUTH TEES HOSPITALS NHS FOUNDATION TRUST</t>
  </si>
  <si>
    <t>RTX</t>
  </si>
  <si>
    <t>UNIVERSITY HOSPITALS OF MORECAMBE BAY NHS FOUNDATION TRUST</t>
  </si>
  <si>
    <t>RVJ</t>
  </si>
  <si>
    <t>NORTH BRISTOL NHS TRUST</t>
  </si>
  <si>
    <t>RVR</t>
  </si>
  <si>
    <t>EPSOM AND ST HELIER UNIVERSITY HOSPITALS NHS TRUST</t>
  </si>
  <si>
    <t>RVV</t>
  </si>
  <si>
    <t>EAST KENT HOSPITALS UNIVERSITY NHS FOUNDATION TRUST</t>
  </si>
  <si>
    <t>RVY</t>
  </si>
  <si>
    <t>SOUTHPORT AND ORMSKIRK HOSPITAL NHS TRUST</t>
  </si>
  <si>
    <t>RWA</t>
  </si>
  <si>
    <t>HULL UNIVERSITY TEACHING HOSPITALS NHS TRUST</t>
  </si>
  <si>
    <t>RWD</t>
  </si>
  <si>
    <t>UNITED LINCOLNSHIRE HOSPITALS NHS TRUST</t>
  </si>
  <si>
    <t>RWE</t>
  </si>
  <si>
    <t>UNIVERSITY HOSPITALS OF LEICESTER NHS TRUST</t>
  </si>
  <si>
    <t>RWF</t>
  </si>
  <si>
    <t>MAIDSTONE AND TUNBRIDGE WELLS NHS TRUST</t>
  </si>
  <si>
    <t>RWG</t>
  </si>
  <si>
    <t>WEST HERTFORDSHIRE TEACHING HOSPITALS NHS TRUST</t>
  </si>
  <si>
    <t>RWH</t>
  </si>
  <si>
    <t>EAST AND NORTH HERTFORDSHIRE NHS TRUST</t>
  </si>
  <si>
    <t>RWJ</t>
  </si>
  <si>
    <t>STOCKPORT NHS FOUNDATION TRUST</t>
  </si>
  <si>
    <t>RWP</t>
  </si>
  <si>
    <t>WORCESTERSHIRE ACUTE HOSPITALS NHS TRUST</t>
  </si>
  <si>
    <t>RWW</t>
  </si>
  <si>
    <t>WARRINGTON AND HALTON TEACHING HOSPITALS NHS FOUNDATION TRUST</t>
  </si>
  <si>
    <t>RWY</t>
  </si>
  <si>
    <t>CALDERDALE AND HUDDERSFIELD NHS FOUNDATION TRUST</t>
  </si>
  <si>
    <t>RXC</t>
  </si>
  <si>
    <t>EAST SUSSEX HEALTHCARE NHS TRUST</t>
  </si>
  <si>
    <t>RXK</t>
  </si>
  <si>
    <t>SANDWELL AND WEST BIRMINGHAM HOSPITALS NHS TRUST</t>
  </si>
  <si>
    <t>RXL</t>
  </si>
  <si>
    <t>BLACKPOOL TEACHING HOSPITALS NHS FOUNDATION TRUST</t>
  </si>
  <si>
    <t>RXN</t>
  </si>
  <si>
    <t>LANCASHIRE TEACHING HOSPITALS NHS FOUNDATION TRUST</t>
  </si>
  <si>
    <t>RXP</t>
  </si>
  <si>
    <t>COUNTY DURHAM AND DARLINGTON NHS FOUNDATION TRUST</t>
  </si>
  <si>
    <t>RXQ</t>
  </si>
  <si>
    <t>BUCKINGHAMSHIRE HEALTHCARE NHS TRUST</t>
  </si>
  <si>
    <t>RXR</t>
  </si>
  <si>
    <t>EAST LANCASHIRE HOSPITALS NHS TRUST</t>
  </si>
  <si>
    <t>RXW</t>
  </si>
  <si>
    <t>THE SHREWSBURY AND TELFORD HOSPITAL NHS TRUST</t>
  </si>
  <si>
    <t>RYR</t>
  </si>
  <si>
    <t>UNIVERSITY HOSPITALS SUSSEX NHS FOUNDATION TRUST</t>
  </si>
  <si>
    <t>Table 6</t>
  </si>
  <si>
    <t>Table 7</t>
  </si>
  <si>
    <t xml:space="preserve">Patients Waiting Over 12 Hours From Decision to Admit to Admission to a Ward (MSitAE) </t>
  </si>
  <si>
    <t>Patients Waiting Over 12 Hours From Decision to Admit to Admission to a Ward (MSitAE), 2020-21 to 2022-23</t>
  </si>
  <si>
    <t>The table below shows a count and calculation of A&amp;E MSitAE attendances at hospital provider level by the waiting times for 'Type 1' departments only
Planned A&amp;E attendances are excluded.</t>
  </si>
  <si>
    <t>The table below shows a count of A&amp;E MSitAE attendances by the waiting times. Planned A&amp;E attendances are excluded.</t>
  </si>
  <si>
    <t>Over 12 hours wait</t>
  </si>
  <si>
    <t xml:space="preserve">Average Number of Attendances per Day by Month (MSitAE) </t>
  </si>
  <si>
    <t>Table 8</t>
  </si>
  <si>
    <t>Average Number of Attendances per Day by Month (MSitAE), 2020-21 to 2022-23</t>
  </si>
  <si>
    <t>April</t>
  </si>
  <si>
    <t>May</t>
  </si>
  <si>
    <t>June</t>
  </si>
  <si>
    <t>July</t>
  </si>
  <si>
    <t>August</t>
  </si>
  <si>
    <t>September</t>
  </si>
  <si>
    <t>October</t>
  </si>
  <si>
    <t>November</t>
  </si>
  <si>
    <t>December</t>
  </si>
  <si>
    <t>January</t>
  </si>
  <si>
    <t>February</t>
  </si>
  <si>
    <t>March</t>
  </si>
  <si>
    <t>The table below shows an average daily count of A&amp;E MSitAE attendances by month. Planned A&amp;E attendances are excluded.</t>
  </si>
  <si>
    <t>Table 9</t>
  </si>
  <si>
    <t>Percentage of Attendances Admitted from A&amp;E by Month (MSitAE)</t>
  </si>
  <si>
    <t>Percentage of Attendances Admitted from A&amp;E by Month (MSitAE), 2020-21 to 2022-23</t>
  </si>
  <si>
    <t>Month</t>
  </si>
  <si>
    <t>Emergency Admissions via A&amp;E</t>
  </si>
  <si>
    <t>Total Attendances</t>
  </si>
  <si>
    <t>Percentage Admitted</t>
  </si>
  <si>
    <t>The table below shows a count of all A&amp;E MSitAE attendances and a count and calculation of emergency admissions by month. Planned A&amp;E attendances are excluded.</t>
  </si>
  <si>
    <t>Percentage of Attendances Admitted from A&amp;E by Year (MSitAE)</t>
  </si>
  <si>
    <t>Percentage attendances via A&amp;E</t>
  </si>
  <si>
    <t>The table below shows annual counts of all A&amp;E MSitAE attendances and counts and calculations of emergency admissions. Planned A&amp;E attendances are excluded.</t>
  </si>
  <si>
    <t>Table 10</t>
  </si>
  <si>
    <t>Percentage of Attendances Admitted from A&amp;E by Year (MSitAE), 2020-21 to 2022-23</t>
  </si>
  <si>
    <t>Attendances Recorded by Type in A&amp;E ECDS and A&amp;E MSitAE</t>
  </si>
  <si>
    <t>Table 11</t>
  </si>
  <si>
    <t>Attendances Recorded by Type in A&amp;E ECDS and A&amp;E MSitAE, 2020-21 to 2022-23</t>
  </si>
  <si>
    <t xml:space="preserve">Comparison of Unplanned A&amp;E Attendances in ECDS against those reported in MSitAE, broken down by the Organisation Type </t>
  </si>
  <si>
    <t>Table 12</t>
  </si>
  <si>
    <t>Comparison of Unplanned A&amp;E Attendances in ECDS against those reported in MSitAE, broken down by the Organisation Type, 2020-21 to 2022-23</t>
  </si>
  <si>
    <t>Table 13</t>
  </si>
  <si>
    <t>Number of A&amp;E Attendances, Recorded in A&amp;E HES (Excluding Planned Follow-up Attendances) and MSitAE by each Provider</t>
  </si>
  <si>
    <t>A&amp;E Department Type</t>
  </si>
  <si>
    <t>ECDS</t>
  </si>
  <si>
    <t>% of total attendances</t>
  </si>
  <si>
    <t>Type 1 - Consultant led A&amp;E</t>
  </si>
  <si>
    <t>Type 2 - Single specialty A&amp;E</t>
  </si>
  <si>
    <t>Total (Excluding planned follow-up)¹</t>
  </si>
  <si>
    <t>Types 3 - Minor Injury/Walk in units</t>
  </si>
  <si>
    <t>ECDS*</t>
  </si>
  <si>
    <t>All Providers</t>
  </si>
  <si>
    <t>NHS Trust</t>
  </si>
  <si>
    <t>Other NHS</t>
  </si>
  <si>
    <t>Private</t>
  </si>
  <si>
    <t>All attendances</t>
  </si>
  <si>
    <t>The table below shows counts of all A&amp;E ECDS and MSitAE attendances and counts by department type. Planned A&amp;E attendances are excluded.</t>
  </si>
  <si>
    <t>HES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</si>
  <si>
    <t>*Independent and invalid providers for ECDS data are not included in each of the Commissioning Regions, and are listed separately.</t>
  </si>
  <si>
    <t>Number of A&amp;E Attendances, Recorded in A&amp;E HES (Excluding Planned Follow-up Attendances) and MSitAE by each Provider, 2022-23</t>
  </si>
  <si>
    <t>Percentage of Patients Spending 4 Hours or Less in A&amp;E by Provider (MSitAE), 2022-23</t>
  </si>
  <si>
    <t>The table below shows counts of all A&amp;E ECDS and MSitAE attendances, counts by waiting times by Commissioning Reions and hospital provider level. Planned A&amp;E attendances are excluded.</t>
  </si>
  <si>
    <t>The table below shows counts of all A&amp;E ECDS and MSitAE attendances and counts by hospital provider type. Planned A&amp;E attendances are excluded.</t>
  </si>
  <si>
    <t>https://www.england.nhs.uk/statistics/statistical-work-areas/ae-waiting-times-and-activity/ae-attendances-and-emergency-admissions-2022-23/</t>
  </si>
  <si>
    <t xml:space="preserve">The population estimates for 2020-21 and 2021-22 are the mid-year population estimates for England taken from Office for National Statistics (ONS). </t>
  </si>
  <si>
    <t xml:space="preserve">The population estimate for 2022-23 is the 2021 census result for England taken from Office for National Statistics (ONS). </t>
  </si>
  <si>
    <t>https://www.ons.gov.uk/peoplepopulationandcommunity/populationandmigration/populationestimates/bulletins/populationandhouseholdestimatesenglandandwales/census2021</t>
  </si>
  <si>
    <t>Provider description</t>
  </si>
  <si>
    <t>Code</t>
  </si>
  <si>
    <t>Total Attendances </t>
  </si>
  <si>
    <t>Number of attendances with a duration of more than  4 hrs in A&amp;E</t>
  </si>
  <si>
    <t>Number of attendances with a duration of less than or equal to 4 hrs in A&amp;E</t>
  </si>
  <si>
    <t>% of total attendances - 4 hrs or less in A&amp;E</t>
  </si>
  <si>
    <t>National</t>
  </si>
  <si>
    <t>ENG</t>
  </si>
  <si>
    <t>LONDON COMMISSIONING REGION (Y56)</t>
  </si>
  <si>
    <t>Y56</t>
  </si>
  <si>
    <t>SOUTH WEST COMMISSIONING REGION (Y58)</t>
  </si>
  <si>
    <t>Y58</t>
  </si>
  <si>
    <t>SOUTH EAST COMMISSIONING REGION (Y59)</t>
  </si>
  <si>
    <t>Y59</t>
  </si>
  <si>
    <t>MIDLANDS COMMISSIONING REGION (Y60)</t>
  </si>
  <si>
    <t>Y60</t>
  </si>
  <si>
    <t>EAST OF ENGLAND COMMISSIONING REGION (Y61)</t>
  </si>
  <si>
    <t>Y61</t>
  </si>
  <si>
    <t>NORTH WEST COMMISSIONING REGION (Y62)</t>
  </si>
  <si>
    <t>Y62</t>
  </si>
  <si>
    <t>NORTH EAST AND YORKSHIRE COMMISSIONING REGION (Y63)</t>
  </si>
  <si>
    <t>Y63</t>
  </si>
  <si>
    <t>BADGER LTD (8J094)</t>
  </si>
  <si>
    <t>8J094</t>
  </si>
  <si>
    <t>TETBURY HOSPITAL TRUST LTD</t>
  </si>
  <si>
    <t>AAH</t>
  </si>
  <si>
    <t>TETBURY HOSPITAL TRUST</t>
  </si>
  <si>
    <t>AAH01</t>
  </si>
  <si>
    <t>WHITSTABLE MEDICAL PRACTICE</t>
  </si>
  <si>
    <t>ACH01</t>
  </si>
  <si>
    <t>GREENBROOK HEALTHCARE</t>
  </si>
  <si>
    <t>AD9</t>
  </si>
  <si>
    <t>AD903</t>
  </si>
  <si>
    <t>UCC AT HILLINGDON HOSPITAL</t>
  </si>
  <si>
    <t>AD904</t>
  </si>
  <si>
    <t>UCC - NORTHWICK PARK HOSPITAL</t>
  </si>
  <si>
    <t>AD906</t>
  </si>
  <si>
    <t>BECKENHAM BEACON UCC</t>
  </si>
  <si>
    <t>AD913</t>
  </si>
  <si>
    <t>UCC - QUEEN ELIZABETH HOSPITAL</t>
  </si>
  <si>
    <t>AD914</t>
  </si>
  <si>
    <t>UTC - CENTRAL MIDDLESEX HOSPITAL</t>
  </si>
  <si>
    <t>AD918</t>
  </si>
  <si>
    <t>WORKINGTON HEALTH LIMITED</t>
  </si>
  <si>
    <t>AJN</t>
  </si>
  <si>
    <t>MALLING HEALTH</t>
  </si>
  <si>
    <t>ANH</t>
  </si>
  <si>
    <t>PHL LYMINGTON UTC</t>
  </si>
  <si>
    <t>AQN04</t>
  </si>
  <si>
    <t>LOCAL CARE DIRECT</t>
  </si>
  <si>
    <t>ARN03</t>
  </si>
  <si>
    <t>TOWER HAMLETS GP CARE GROUP CIC</t>
  </si>
  <si>
    <t>AXA</t>
  </si>
  <si>
    <t>AXG</t>
  </si>
  <si>
    <t>ONE MEDICAL GROUP LIMITED</t>
  </si>
  <si>
    <t>AXT</t>
  </si>
  <si>
    <t>MARKET HARBOROUGH MED.CTR</t>
  </si>
  <si>
    <t>C82009</t>
  </si>
  <si>
    <t>OAKHAM MEDICAL PRACTICE</t>
  </si>
  <si>
    <t>C82010</t>
  </si>
  <si>
    <t>LATHAM HOUSE MEDICAL PRACTICE</t>
  </si>
  <si>
    <t>C82038</t>
  </si>
  <si>
    <t>SLEAFORD MEDICAL GROUP (C83023)</t>
  </si>
  <si>
    <t>C83023</t>
  </si>
  <si>
    <t>HEALTH &amp; WELLBEING CENTRE</t>
  </si>
  <si>
    <t>D0W0K</t>
  </si>
  <si>
    <t>EXMOUTH MINOR INJURY UNIT</t>
  </si>
  <si>
    <t>DD401</t>
  </si>
  <si>
    <t>HERTS URGENT CARE (ASCOTS LANE)</t>
  </si>
  <si>
    <t>DT301</t>
  </si>
  <si>
    <t>WHITEGATE DRIVE HEALTH CENTRE</t>
  </si>
  <si>
    <t>F4I4D</t>
  </si>
  <si>
    <t>OKEHAMPTON MEDICAL CENTRE</t>
  </si>
  <si>
    <t>L83087</t>
  </si>
  <si>
    <t>BIRMINGHAM WIC</t>
  </si>
  <si>
    <t>M85813</t>
  </si>
  <si>
    <t>HASLEMERE MINOR INJURIES UNIT</t>
  </si>
  <si>
    <t>NDA57</t>
  </si>
  <si>
    <t>FIRST COMMUNITY HEALTH AND CARE CIC</t>
  </si>
  <si>
    <t>NDJ</t>
  </si>
  <si>
    <t>ASSURA VERTIS URGENT CARE CENTRES (BIRMINGHAM)</t>
  </si>
  <si>
    <t>NL7</t>
  </si>
  <si>
    <t>SCARBOROUGH URGENT CARE CENTRE</t>
  </si>
  <si>
    <t>NLO08</t>
  </si>
  <si>
    <t>WEST MIDLANDS DOCTORS URGENT CARE</t>
  </si>
  <si>
    <t>NLO14</t>
  </si>
  <si>
    <t>YORKSHIRE DOCTORS URGENT CARE - VALE OF YORK</t>
  </si>
  <si>
    <t>NLO15</t>
  </si>
  <si>
    <t>ST MARY'S URGENT CARE CENTRE</t>
  </si>
  <si>
    <t>NLO21</t>
  </si>
  <si>
    <t>YORK HOSPITAL URGENT CARE CENTRE</t>
  </si>
  <si>
    <t>NLO24</t>
  </si>
  <si>
    <t>ROYAL STOKE UNIVERSITY HOSPITAL URGENT CARE CENTRE</t>
  </si>
  <si>
    <t>NLO26</t>
  </si>
  <si>
    <t>SIRONA CARE &amp; HEALTH</t>
  </si>
  <si>
    <t>NLX</t>
  </si>
  <si>
    <t>CITY HEALTH CARE PARTNERSHIP CIC</t>
  </si>
  <si>
    <t>NNF</t>
  </si>
  <si>
    <t>BRANSHOLME HEALTH CENTRE (NNF09)</t>
  </si>
  <si>
    <t>NNF09</t>
  </si>
  <si>
    <t>THE WILBERFORCE HEALTH CENTRE</t>
  </si>
  <si>
    <t>NNF76</t>
  </si>
  <si>
    <t>EAST RIDING COMMUNITY HOSPITAL (NNF94)</t>
  </si>
  <si>
    <t>NNF94</t>
  </si>
  <si>
    <t>GOOLE &amp; DISTRICT HOSPITAL</t>
  </si>
  <si>
    <t>NNFA7</t>
  </si>
  <si>
    <t>DERBYSHIRE HEALTH UNITED LTD</t>
  </si>
  <si>
    <t>NNJ</t>
  </si>
  <si>
    <t>LOUGHBOROUGH URGENT CARE CENTRE</t>
  </si>
  <si>
    <t>NNJ07</t>
  </si>
  <si>
    <t>LLR EA - THE MERLYN VAZ HEALTH &amp; SOCIAL CARE CENTRE</t>
  </si>
  <si>
    <t>NNJ0H</t>
  </si>
  <si>
    <t>MARKET HARBOROUGH</t>
  </si>
  <si>
    <t>NNJ12</t>
  </si>
  <si>
    <t>MELTON MOWBRAY</t>
  </si>
  <si>
    <t>NNJ13</t>
  </si>
  <si>
    <t>OADBY</t>
  </si>
  <si>
    <t>NNJ14</t>
  </si>
  <si>
    <t>OAKHAM</t>
  </si>
  <si>
    <t>NNJ15</t>
  </si>
  <si>
    <t>FRYATT HOSPITAL</t>
  </si>
  <si>
    <t>NQ106</t>
  </si>
  <si>
    <t>CLACTON HOSPITAL</t>
  </si>
  <si>
    <t>NQ108</t>
  </si>
  <si>
    <t>HCRG CARE LTD</t>
  </si>
  <si>
    <t>NQT</t>
  </si>
  <si>
    <t>ASSURA READING LLP (NQT10)</t>
  </si>
  <si>
    <t>NQT10</t>
  </si>
  <si>
    <t>-</t>
  </si>
  <si>
    <t>STATION PLAZA HEALTH CENTRE</t>
  </si>
  <si>
    <t>NQT51</t>
  </si>
  <si>
    <t>NQT5F</t>
  </si>
  <si>
    <t>NQT5G</t>
  </si>
  <si>
    <t>NQT5H</t>
  </si>
  <si>
    <t>SUMMERFIELD URGENT CARE CENTRE</t>
  </si>
  <si>
    <t>NQTE4</t>
  </si>
  <si>
    <t>NOTTINGHAM CITYCARE PARTNERSHIP</t>
  </si>
  <si>
    <t>NR3</t>
  </si>
  <si>
    <t>SEATON HOUSE</t>
  </si>
  <si>
    <t>NR318</t>
  </si>
  <si>
    <t>SOUTHAMPTON NHS TREATMENT CENTRE</t>
  </si>
  <si>
    <t>NTP11</t>
  </si>
  <si>
    <t>NTPAD</t>
  </si>
  <si>
    <t>PRACTICE PLUS GROUP URGENT TREATMENT CENTRE - SOUTHAMPTON</t>
  </si>
  <si>
    <t>NTPAN</t>
  </si>
  <si>
    <t>PRACTICE PLUS GROUP HOSPITAL - SHEPTON MALLET</t>
  </si>
  <si>
    <t>NTPH1</t>
  </si>
  <si>
    <t>NTV0B</t>
  </si>
  <si>
    <t>NTV0W</t>
  </si>
  <si>
    <t>ROSSENDALE MINOR INJURIES UNIT AND OOH</t>
  </si>
  <si>
    <t>NV693</t>
  </si>
  <si>
    <t>OPEROSE HEALTH (GROUP) UK LIMITED</t>
  </si>
  <si>
    <t>NX1</t>
  </si>
  <si>
    <t>UNIVERSITY HOSPITALS DORSET NHS FOUNDATION TRUST</t>
  </si>
  <si>
    <t>R0D</t>
  </si>
  <si>
    <t>SHROPSHIRE COMMUNITY HEALTH NHS TRUST</t>
  </si>
  <si>
    <t>R1D</t>
  </si>
  <si>
    <t>NORTH EAST LONDON NHS FOUNDATION TRUST</t>
  </si>
  <si>
    <t>RAT</t>
  </si>
  <si>
    <t>BEDFORDSHIRE HOSPITALS NHS FOUNDATION TRUST</t>
  </si>
  <si>
    <t>RC9</t>
  </si>
  <si>
    <t>SUSSEX COMMUNITY NHS FOUNDATION TRUST</t>
  </si>
  <si>
    <t>RDR</t>
  </si>
  <si>
    <t>FRIMLEY HEALTH NHS FOUNDATION TRUST</t>
  </si>
  <si>
    <t>RDU</t>
  </si>
  <si>
    <t>AINTREE UNIVERSITY HOSPITAL NHS FOUNDATION TRUST</t>
  </si>
  <si>
    <t>LIVERPOOL WOMEN'S NHS FOUNDATION TRUST</t>
  </si>
  <si>
    <t>REP</t>
  </si>
  <si>
    <t>THE ROTHERHAM NHS FOUNDATION TRUST</t>
  </si>
  <si>
    <t>RFR</t>
  </si>
  <si>
    <t>WEST SUFFOLK NHS FOUNDATION TRUST</t>
  </si>
  <si>
    <t>RGR</t>
  </si>
  <si>
    <t>CAMBRIDGE UNIVERSITY HOSPITALS NHS FOUNDATION TRUST</t>
  </si>
  <si>
    <t>RGT</t>
  </si>
  <si>
    <t>ROYAL DEVON AND EXETER NHS FOUNDATION TRUST</t>
  </si>
  <si>
    <t>PORTSMOUTH HOSPITALS NHS TRUST</t>
  </si>
  <si>
    <t>RHU</t>
  </si>
  <si>
    <t>PLYMOUTH HOSPITALS NHS TRUST</t>
  </si>
  <si>
    <t>RK9</t>
  </si>
  <si>
    <t>NORTHERN CARE ALLIANCE NHS FOUNDATION TRUST</t>
  </si>
  <si>
    <t>KETTERING GENERAL HOSPITAL NHS FOUNDATION TRUST</t>
  </si>
  <si>
    <t>RNQ</t>
  </si>
  <si>
    <t>OXFORD HEALTH NHS FOUNDATION TRUST</t>
  </si>
  <si>
    <t>RNU</t>
  </si>
  <si>
    <t>MOORFIELDS EYE HOSPITAL NHS FOUNDATION TRUST</t>
  </si>
  <si>
    <t>RP6</t>
  </si>
  <si>
    <t>QUEEN VICTORIA HOSPITAL NHS FOUNDATION TRUST</t>
  </si>
  <si>
    <t>RPC</t>
  </si>
  <si>
    <t>CHELSEA AND WESTMINSTER HOSPITAL NHS FOUNDATION TRUST</t>
  </si>
  <si>
    <t>RQM</t>
  </si>
  <si>
    <t>GLOUCESTERSHIRE HEALTH AND CARE NHS FOUNDATION TRUST</t>
  </si>
  <si>
    <t>RTQ</t>
  </si>
  <si>
    <t>HUMBER TEACHING NHS FOUNDATION TRUST</t>
  </si>
  <si>
    <t>RV9</t>
  </si>
  <si>
    <t>NORTH TEES AND HARTLEPOOL NHS FOUNDATION TRUST</t>
  </si>
  <si>
    <t>RVW</t>
  </si>
  <si>
    <t>SOUTHERN HEALTH NHS FOUNDATION TRUST</t>
  </si>
  <si>
    <t>RW1</t>
  </si>
  <si>
    <t>MERSEY CARE NHS FOUNDATION TRUST</t>
  </si>
  <si>
    <t>RW4</t>
  </si>
  <si>
    <t>PENNINE ACUTE HOSPITALS NHS TRUST</t>
  </si>
  <si>
    <t>RW6</t>
  </si>
  <si>
    <t>WEST HERTFORDSHIRE HOSPITALS NHS TRUST</t>
  </si>
  <si>
    <t>WARRINGTON AND HALTON HOSPITALS NHS FOUNDATION TRUST</t>
  </si>
  <si>
    <t>BERKSHIRE HEALTHCARE NHS FOUNDATION TRUST</t>
  </si>
  <si>
    <t>RWX</t>
  </si>
  <si>
    <t>NOTTINGHAM UNIVERSITY HOSPITALS NHS TRUST</t>
  </si>
  <si>
    <t>RX1</t>
  </si>
  <si>
    <t>MID YORKSHIRE HOSPITALS NHS TRUST</t>
  </si>
  <si>
    <t>RXF</t>
  </si>
  <si>
    <t>SHREWSBURY AND TELFORD HOSPITAL NHS TRUST</t>
  </si>
  <si>
    <t>BRIDGEWATER COMMUNITY HEALTHCARE NHS FOUNDATION TRUST</t>
  </si>
  <si>
    <t>RY2</t>
  </si>
  <si>
    <t>HERTFORDSHIRE COMMUNITY NHS TRUST</t>
  </si>
  <si>
    <t>RY4</t>
  </si>
  <si>
    <t>LINCOLNSHIRE COMMUNITY HEALTH SERVICES NHS TRUST</t>
  </si>
  <si>
    <t>RY5</t>
  </si>
  <si>
    <t>RY7</t>
  </si>
  <si>
    <t>DERBYSHIRE COMMUNITY HEALTH SERVICES NHS FOUNDATION TRUST</t>
  </si>
  <si>
    <t>RY8</t>
  </si>
  <si>
    <t>HOUNSLOW AND RICHMOND COMMUNITY HEALTHCARE NHS TRUST</t>
  </si>
  <si>
    <t>RY9</t>
  </si>
  <si>
    <t>SOUTH WESTERN AMBULANCE SERVICE NHS FOUNDATION TRUST</t>
  </si>
  <si>
    <t>RYF</t>
  </si>
  <si>
    <t>IMPERIAL COLLEGE HEALTHCARE NHS TRUST</t>
  </si>
  <si>
    <t>RYJ</t>
  </si>
  <si>
    <t>CENTRAL LONDON COMMUNITY HEALTHCARE NHS TRUST</t>
  </si>
  <si>
    <t>RYX</t>
  </si>
  <si>
    <t>KENT COMMUNITY HEALTH NHS FOUNDATION TRUST</t>
  </si>
  <si>
    <t>RYY</t>
  </si>
  <si>
    <t>BLACKPOOL VICTORIA URGENT CARE CENTRE</t>
  </si>
  <si>
    <t>W5R9N</t>
  </si>
  <si>
    <t>EAST BERKS PRIMARY CARE OOH(WAM)</t>
  </si>
  <si>
    <t>Y00751</t>
  </si>
  <si>
    <t>URGENT CARE CENTRE (QMS)</t>
  </si>
  <si>
    <t>Y02147</t>
  </si>
  <si>
    <t>PUTNOE MEDICAL CENTRE WALK IN CENTRE</t>
  </si>
  <si>
    <t>Y02428</t>
  </si>
  <si>
    <t>MIRIAM MINOR EMERGENCY</t>
  </si>
  <si>
    <t>Y02532</t>
  </si>
  <si>
    <t>SOUTH BIRMINGHAM GP WALK IN CENTRE</t>
  </si>
  <si>
    <t>Y02615</t>
  </si>
  <si>
    <t>BRIGHTON STATION HEALTH CENTRE</t>
  </si>
  <si>
    <t>Y02676</t>
  </si>
  <si>
    <t>EASTBOURNE STATION HEALTH CENTRE</t>
  </si>
  <si>
    <t>Y02816</t>
  </si>
  <si>
    <t>SUMMERFIELD GP SURG &amp; URGENT CARE CENTRE</t>
  </si>
  <si>
    <t>Y02961</t>
  </si>
  <si>
    <t>ERDINGTON GP HEALTH &amp; WELLBEING WIC (Y03007)</t>
  </si>
  <si>
    <t>Y03007</t>
  </si>
  <si>
    <t>THE PINN UNREGISTERED</t>
  </si>
  <si>
    <t>Y03218</t>
  </si>
  <si>
    <t>CORBY URGENT CARE CENTRE</t>
  </si>
  <si>
    <t>Y03571</t>
  </si>
  <si>
    <t>BRACKNELL URGENT CARE CENTRE WIC</t>
  </si>
  <si>
    <t>Y04538</t>
  </si>
  <si>
    <t>UNKNOWN</t>
  </si>
  <si>
    <t>URGENT CARE CENTRE</t>
  </si>
  <si>
    <t>WILTSHIRE HEALTH &amp; CARE</t>
  </si>
  <si>
    <t>AXT05</t>
  </si>
  <si>
    <t>HERNE BAY HEALTH CARE LTD</t>
  </si>
  <si>
    <t>DJV01</t>
  </si>
  <si>
    <t>MIU/UTC @ TETBURY HOSPITAL TRUST LTD</t>
  </si>
  <si>
    <t>F7H7R</t>
  </si>
  <si>
    <t>MALTON URGENT TREATMENT CENTRE</t>
  </si>
  <si>
    <t>K3O1X</t>
  </si>
  <si>
    <t>SKELMERSDALE WALK IN CENTRE</t>
  </si>
  <si>
    <t>PAULTON MEMORIAL HOSPITAL</t>
  </si>
  <si>
    <t>PRACTICE PLUS GROUP SURGICAL CENTRE - ST MARYS PORTSMOUTH</t>
  </si>
  <si>
    <t>ASHFORD WALK-IN-CENTRE</t>
  </si>
  <si>
    <t>WOKING WALK IN CENTRE</t>
  </si>
  <si>
    <t>FAVERSHAM MIU</t>
  </si>
  <si>
    <t>NVE16</t>
  </si>
  <si>
    <t>MERSEY AND WEST LANCASHIRE TEACHING HOSPITALS NHS TRUST</t>
  </si>
  <si>
    <t>DORSET HEALTHCARE UNIVERSITY NHS FOUNDATION TRUST</t>
  </si>
  <si>
    <t>RDY</t>
  </si>
  <si>
    <t>WIRRAL COMMUNITY HEALTH AND CARE NHS FOUNDATION TRUST</t>
  </si>
  <si>
    <t>PARTNERSHIP OF EAST LONDON COOPERATIVES</t>
  </si>
  <si>
    <t>S4K9Q</t>
  </si>
  <si>
    <t>DERBY URGENT TREATMENT CENTRE</t>
  </si>
  <si>
    <t>S6U2C</t>
  </si>
  <si>
    <t>URGENT TREATMENT CENTRE</t>
  </si>
  <si>
    <t>V3G5N</t>
  </si>
  <si>
    <t>INDEPENDENT PROVIDERS</t>
  </si>
  <si>
    <t>2011-12</t>
  </si>
  <si>
    <t>2012-13</t>
  </si>
  <si>
    <t>2013-14</t>
  </si>
  <si>
    <t>2014-15</t>
  </si>
  <si>
    <t>2015-16</t>
  </si>
  <si>
    <t>2016-17</t>
  </si>
  <si>
    <t>2017-18</t>
  </si>
  <si>
    <t>2018-19</t>
  </si>
  <si>
    <t>2019-20</t>
  </si>
  <si>
    <t>Fourteen hospital trusts are excluded from the ‘Number and percentage attendances 4 hours or less / over 4 hours’ (highlighted) due to their involvement with testing new proposal standards for emergency care, which has made them exempt from this measure. More details can be found on the link below:</t>
  </si>
  <si>
    <t>https://www.england.nhs.uk/statistics/wp-content/uploads/sites/2/2019/06/Publication-of-May-AE-data.pdf</t>
  </si>
  <si>
    <t>Link to supporting information:
https://digital.nhs.uk/data-and-information/publications/statistical/hospital-accident--emergency-activity/supporting-information</t>
  </si>
  <si>
    <t>MSitAE data is published monthly.</t>
  </si>
  <si>
    <t>*The count of providers in the below table is a count of the number of distinct provider codes from each data set. Where providers have submitted to each data set at a different level of aggregation, this will be reflected in the provider count. For example Peninsula Health - NLL makes a single submission to MSitAE under code NLL, but submits data to HES under 12 distinct site codes. In previous years, these data have been represented as counts of distinct three character codes, however, the inclusion of GP practice codes has made this methodology unsustainable for the future.</t>
  </si>
  <si>
    <t>*</t>
  </si>
  <si>
    <t xml:space="preserve">This is a joint publication between the Secondary Care Open Data and Publications Team and the Urgent and Emergency Care Teams. Each team uses a different data source for Accident &amp; Emergency Data which enables a wider set of breakdowns and measures in the detailed reports.  
The data sources for this publication are:
• Emergency Care Dataset (ECDS)
• A&amp;E Attendances and Emergency Admissions Monthly Situation Reports (MSitAE) 
This file provides some high level analyses of both HES and MSitAE data relating to A&amp;E attendances in NHS hospitals, minor injury units and walk-in centres. This document provides data tables to support the summary report and to provide additional analysis. The annual publication covers the financial year ending March 2020 as well as earlier time periods.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</si>
</sst>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0_);_(* \(#,##0\);_(* &quot;-&quot;??_);_(@_)"/>
    <numFmt numFmtId="166" formatCode="0.0%"/>
    <numFmt numFmtId="167" formatCode="0.00000000%"/>
    <numFmt numFmtId="168" formatCode="#,##0.0"/>
    <numFmt numFmtId="169" formatCode="_-* #,##0_-;\-* #,##0_-;_-* &quot;-&quot;??_-;_-@_-"/>
  </numFmts>
  <fonts count="31" x14ac:knownFonts="1">
    <font>
      <sz val="12"/>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sz val="27"/>
      <color rgb="FF005EB8"/>
      <name val="Arial"/>
      <family val="2"/>
    </font>
    <font>
      <b/>
      <sz val="10"/>
      <color indexed="8"/>
      <name val="Arial"/>
      <family val="2"/>
    </font>
    <font>
      <b/>
      <sz val="10"/>
      <name val="Arial"/>
      <family val="2"/>
    </font>
    <font>
      <vertAlign val="superscript"/>
      <sz val="10"/>
      <color rgb="FF000000"/>
      <name val="Arial"/>
      <family val="2"/>
    </font>
    <font>
      <sz val="11"/>
      <color theme="1"/>
      <name val="Calibri"/>
      <family val="2"/>
      <scheme val="minor"/>
    </font>
    <font>
      <sz val="12"/>
      <color theme="1"/>
      <name val="Arial"/>
      <family val="2"/>
    </font>
    <font>
      <i/>
      <sz val="10"/>
      <name val="Arial"/>
      <family val="2"/>
    </font>
    <font>
      <i/>
      <sz val="10"/>
      <color indexed="8"/>
      <name val="Arial"/>
      <family val="2"/>
    </font>
    <font>
      <sz val="15"/>
      <color rgb="FF202124"/>
      <name val="Arial"/>
      <family val="2"/>
    </font>
    <font>
      <sz val="11"/>
      <color rgb="FFFF0000"/>
      <name val="Arial"/>
      <family val="2"/>
    </font>
    <font>
      <sz val="10"/>
      <color rgb="FFFF0000"/>
      <name val="Arial"/>
      <family val="2"/>
    </font>
    <font>
      <b/>
      <i/>
      <sz val="10"/>
      <color indexed="8"/>
      <name val="Arial"/>
      <family val="2"/>
    </font>
    <font>
      <b/>
      <i/>
      <sz val="10"/>
      <name val="Arial"/>
      <family val="2"/>
    </font>
    <font>
      <sz val="9"/>
      <name val="Arial"/>
      <family val="2"/>
    </font>
    <font>
      <sz val="9"/>
      <color theme="1"/>
      <name val="Arial"/>
      <family val="2"/>
    </font>
    <font>
      <sz val="12"/>
      <color theme="10"/>
      <name val="Arial"/>
      <family val="2"/>
    </font>
    <font>
      <sz val="11"/>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s>
  <borders count="16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dotted">
        <color indexed="64"/>
      </left>
      <right style="medium">
        <color indexed="64"/>
      </right>
      <top style="medium">
        <color indexed="64"/>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medium">
        <color indexed="64"/>
      </right>
      <top style="dotted">
        <color indexed="64"/>
      </top>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medium">
        <color indexed="64"/>
      </top>
      <bottom style="medium">
        <color indexed="64"/>
      </bottom>
      <diagonal/>
    </border>
    <border>
      <left style="dotted">
        <color indexed="64"/>
      </left>
      <right/>
      <top style="medium">
        <color indexed="64"/>
      </top>
      <bottom style="dotted">
        <color indexed="64"/>
      </bottom>
      <diagonal/>
    </border>
    <border>
      <left style="dotted">
        <color indexed="64"/>
      </left>
      <right/>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medium">
        <color indexed="8"/>
      </right>
      <top style="medium">
        <color indexed="64"/>
      </top>
      <bottom style="medium">
        <color indexed="8"/>
      </bottom>
      <diagonal/>
    </border>
    <border>
      <left style="medium">
        <color indexed="8"/>
      </left>
      <right style="dotted">
        <color indexed="64"/>
      </right>
      <top style="medium">
        <color indexed="64"/>
      </top>
      <bottom style="medium">
        <color indexed="8"/>
      </bottom>
      <diagonal/>
    </border>
    <border>
      <left/>
      <right style="dotted">
        <color indexed="64"/>
      </right>
      <top style="medium">
        <color indexed="64"/>
      </top>
      <bottom style="medium">
        <color indexed="8"/>
      </bottom>
      <diagonal/>
    </border>
    <border>
      <left/>
      <right style="medium">
        <color indexed="8"/>
      </right>
      <top style="medium">
        <color indexed="64"/>
      </top>
      <bottom style="medium">
        <color indexed="8"/>
      </bottom>
      <diagonal/>
    </border>
    <border>
      <left style="dotted">
        <color indexed="64"/>
      </left>
      <right style="dotted">
        <color indexed="64"/>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style="medium">
        <color indexed="8"/>
      </right>
      <top style="medium">
        <color indexed="8"/>
      </top>
      <bottom style="dotted">
        <color indexed="8"/>
      </bottom>
      <diagonal/>
    </border>
    <border>
      <left style="medium">
        <color indexed="8"/>
      </left>
      <right style="dotted">
        <color indexed="64"/>
      </right>
      <top style="medium">
        <color indexed="8"/>
      </top>
      <bottom style="dotted">
        <color indexed="8"/>
      </bottom>
      <diagonal/>
    </border>
    <border>
      <left style="dotted">
        <color indexed="64"/>
      </left>
      <right style="dotted">
        <color indexed="64"/>
      </right>
      <top style="medium">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medium">
        <color indexed="8"/>
      </right>
      <top style="dotted">
        <color indexed="8"/>
      </top>
      <bottom style="dotted">
        <color indexed="8"/>
      </bottom>
      <diagonal/>
    </border>
    <border>
      <left style="medium">
        <color indexed="8"/>
      </left>
      <right style="dotted">
        <color indexed="64"/>
      </right>
      <top style="dotted">
        <color indexed="8"/>
      </top>
      <bottom style="dotted">
        <color indexed="8"/>
      </bottom>
      <diagonal/>
    </border>
    <border>
      <left style="dotted">
        <color indexed="64"/>
      </left>
      <right style="dotted">
        <color indexed="64"/>
      </right>
      <top style="dotted">
        <color indexed="8"/>
      </top>
      <bottom style="dotted">
        <color indexed="8"/>
      </bottom>
      <diagonal/>
    </border>
    <border>
      <left style="medium">
        <color indexed="64"/>
      </left>
      <right style="medium">
        <color indexed="8"/>
      </right>
      <top style="medium">
        <color indexed="8"/>
      </top>
      <bottom style="medium">
        <color indexed="64"/>
      </bottom>
      <diagonal/>
    </border>
    <border>
      <left style="medium">
        <color indexed="8"/>
      </left>
      <right style="dotted">
        <color indexed="64"/>
      </right>
      <top style="medium">
        <color indexed="8"/>
      </top>
      <bottom style="medium">
        <color indexed="64"/>
      </bottom>
      <diagonal/>
    </border>
    <border>
      <left/>
      <right/>
      <top style="medium">
        <color indexed="8"/>
      </top>
      <bottom style="medium">
        <color indexed="64"/>
      </bottom>
      <diagonal/>
    </border>
    <border>
      <left/>
      <right style="medium">
        <color indexed="64"/>
      </right>
      <top style="medium">
        <color indexed="8"/>
      </top>
      <bottom style="medium">
        <color indexed="64"/>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64"/>
      </left>
      <right style="dotted">
        <color indexed="64"/>
      </right>
      <top style="medium">
        <color indexed="8"/>
      </top>
      <bottom style="medium">
        <color indexed="8"/>
      </bottom>
      <diagonal/>
    </border>
    <border>
      <left style="medium">
        <color indexed="8"/>
      </left>
      <right style="medium">
        <color indexed="8"/>
      </right>
      <top style="dotted">
        <color indexed="8"/>
      </top>
      <bottom style="dotted">
        <color indexed="8"/>
      </bottom>
      <diagonal/>
    </border>
    <border>
      <left style="medium">
        <color indexed="64"/>
      </left>
      <right style="dotted">
        <color indexed="64"/>
      </right>
      <top style="dotted">
        <color indexed="8"/>
      </top>
      <bottom style="dotted">
        <color indexed="8"/>
      </bottom>
      <diagonal/>
    </border>
    <border>
      <left/>
      <right style="medium">
        <color indexed="8"/>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right style="medium">
        <color indexed="8"/>
      </right>
      <top style="dotted">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dotted">
        <color indexed="8"/>
      </right>
      <top style="medium">
        <color indexed="8"/>
      </top>
      <bottom/>
      <diagonal/>
    </border>
    <border>
      <left style="dotted">
        <color indexed="8"/>
      </left>
      <right style="dotted">
        <color indexed="8"/>
      </right>
      <top style="medium">
        <color indexed="8"/>
      </top>
      <bottom/>
      <diagonal/>
    </border>
    <border>
      <left style="dotted">
        <color indexed="8"/>
      </left>
      <right style="medium">
        <color indexed="8"/>
      </right>
      <top style="medium">
        <color indexed="8"/>
      </top>
      <bottom/>
      <diagonal/>
    </border>
    <border>
      <left/>
      <right/>
      <top style="medium">
        <color indexed="64"/>
      </top>
      <bottom style="medium">
        <color indexed="8"/>
      </bottom>
      <diagonal/>
    </border>
    <border>
      <left style="medium">
        <color indexed="64"/>
      </left>
      <right style="medium">
        <color indexed="8"/>
      </right>
      <top style="medium">
        <color indexed="64"/>
      </top>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top style="medium">
        <color indexed="64"/>
      </top>
      <bottom style="medium">
        <color indexed="8"/>
      </bottom>
      <diagonal/>
    </border>
    <border>
      <left style="medium">
        <color indexed="64"/>
      </left>
      <right style="dotted">
        <color indexed="8"/>
      </right>
      <top style="medium">
        <color indexed="64"/>
      </top>
      <bottom style="medium">
        <color indexed="8"/>
      </bottom>
      <diagonal/>
    </border>
    <border>
      <left style="dotted">
        <color indexed="8"/>
      </left>
      <right style="medium">
        <color indexed="64"/>
      </right>
      <top style="medium">
        <color indexed="8"/>
      </top>
      <bottom style="medium">
        <color indexed="8"/>
      </bottom>
      <diagonal/>
    </border>
    <border>
      <left/>
      <right style="dotted">
        <color indexed="8"/>
      </right>
      <top/>
      <bottom/>
      <diagonal/>
    </border>
    <border>
      <left style="dotted">
        <color indexed="8"/>
      </left>
      <right style="dotted">
        <color indexed="8"/>
      </right>
      <top/>
      <bottom/>
      <diagonal/>
    </border>
    <border>
      <left style="dotted">
        <color indexed="8"/>
      </left>
      <right/>
      <top/>
      <bottom/>
      <diagonal/>
    </border>
    <border>
      <left style="medium">
        <color indexed="64"/>
      </left>
      <right style="dotted">
        <color indexed="8"/>
      </right>
      <top style="dotted">
        <color indexed="8"/>
      </top>
      <bottom style="dotted">
        <color indexed="8"/>
      </bottom>
      <diagonal/>
    </border>
    <border>
      <left style="medium">
        <color indexed="64"/>
      </left>
      <right style="medium">
        <color indexed="64"/>
      </right>
      <top style="medium">
        <color indexed="8"/>
      </top>
      <bottom style="dotted">
        <color indexed="8"/>
      </bottom>
      <diagonal/>
    </border>
    <border>
      <left/>
      <right style="medium">
        <color indexed="64"/>
      </right>
      <top style="dotted">
        <color indexed="8"/>
      </top>
      <bottom style="dotted">
        <color indexed="8"/>
      </bottom>
      <diagonal/>
    </border>
    <border>
      <left/>
      <right/>
      <top style="dotted">
        <color indexed="8"/>
      </top>
      <bottom style="dotted">
        <color indexed="8"/>
      </bottom>
      <diagonal/>
    </border>
    <border>
      <left style="medium">
        <color indexed="64"/>
      </left>
      <right style="medium">
        <color indexed="64"/>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top style="dotted">
        <color indexed="8"/>
      </top>
      <bottom style="dotted">
        <color indexed="8"/>
      </bottom>
      <diagonal/>
    </border>
    <border>
      <left style="medium">
        <color indexed="64"/>
      </left>
      <right/>
      <top style="dotted">
        <color indexed="8"/>
      </top>
      <bottom style="dotted">
        <color indexed="8"/>
      </bottom>
      <diagonal/>
    </border>
    <border>
      <left style="medium">
        <color indexed="8"/>
      </left>
      <right/>
      <top style="dotted">
        <color indexed="8"/>
      </top>
      <bottom style="dotted">
        <color indexed="8"/>
      </bottom>
      <diagonal/>
    </border>
    <border>
      <left style="medium">
        <color indexed="64"/>
      </left>
      <right style="hair">
        <color indexed="64"/>
      </right>
      <top style="hair">
        <color indexed="64"/>
      </top>
      <bottom style="hair">
        <color indexed="64"/>
      </bottom>
      <diagonal/>
    </border>
    <border>
      <left style="medium">
        <color indexed="64"/>
      </left>
      <right/>
      <top style="dotted">
        <color indexed="8"/>
      </top>
      <bottom style="medium">
        <color indexed="64"/>
      </bottom>
      <diagonal/>
    </border>
    <border>
      <left style="medium">
        <color indexed="8"/>
      </left>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style="medium">
        <color indexed="64"/>
      </right>
      <top style="dotted">
        <color indexed="8"/>
      </top>
      <bottom style="medium">
        <color indexed="64"/>
      </bottom>
      <diagonal/>
    </border>
    <border>
      <left/>
      <right/>
      <top style="dotted">
        <color indexed="8"/>
      </top>
      <bottom/>
      <diagonal/>
    </border>
    <border>
      <left style="medium">
        <color indexed="64"/>
      </left>
      <right style="medium">
        <color indexed="64"/>
      </right>
      <top style="dotted">
        <color indexed="8"/>
      </top>
      <bottom/>
      <diagonal/>
    </border>
    <border>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top style="dotted">
        <color indexed="8"/>
      </top>
      <bottom/>
      <diagonal/>
    </border>
    <border>
      <left style="medium">
        <color indexed="64"/>
      </left>
      <right style="dotted">
        <color indexed="8"/>
      </right>
      <top style="dotted">
        <color indexed="8"/>
      </top>
      <bottom/>
      <diagonal/>
    </border>
    <border>
      <left/>
      <right style="medium">
        <color indexed="64"/>
      </right>
      <top style="dotted">
        <color indexed="8"/>
      </top>
      <bottom/>
      <diagonal/>
    </border>
    <border>
      <left style="medium">
        <color indexed="64"/>
      </left>
      <right/>
      <top style="medium">
        <color indexed="64"/>
      </top>
      <bottom style="dotted">
        <color indexed="8"/>
      </bottom>
      <diagonal/>
    </border>
    <border>
      <left style="medium">
        <color indexed="64"/>
      </left>
      <right style="medium">
        <color indexed="64"/>
      </right>
      <top style="medium">
        <color indexed="64"/>
      </top>
      <bottom style="dotted">
        <color indexed="8"/>
      </bottom>
      <diagonal/>
    </border>
    <border>
      <left/>
      <right style="dotted">
        <color indexed="8"/>
      </right>
      <top style="medium">
        <color indexed="64"/>
      </top>
      <bottom style="dotted">
        <color indexed="8"/>
      </bottom>
      <diagonal/>
    </border>
    <border>
      <left style="dotted">
        <color indexed="8"/>
      </left>
      <right/>
      <top style="medium">
        <color indexed="64"/>
      </top>
      <bottom style="dotted">
        <color indexed="8"/>
      </bottom>
      <diagonal/>
    </border>
    <border>
      <left style="medium">
        <color indexed="64"/>
      </left>
      <right style="dotted">
        <color indexed="8"/>
      </right>
      <top style="medium">
        <color indexed="64"/>
      </top>
      <bottom style="dotted">
        <color indexed="8"/>
      </bottom>
      <diagonal/>
    </border>
    <border>
      <left/>
      <right style="medium">
        <color indexed="64"/>
      </right>
      <top style="medium">
        <color indexed="64"/>
      </top>
      <bottom style="dotted">
        <color indexed="8"/>
      </bottom>
      <diagonal/>
    </border>
    <border>
      <left style="dotted">
        <color indexed="8"/>
      </left>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style="medium">
        <color indexed="64"/>
      </left>
      <right style="medium">
        <color indexed="64"/>
      </right>
      <top style="dotted">
        <color indexed="8"/>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8"/>
      </right>
      <top style="thin">
        <color indexed="8"/>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8"/>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8"/>
      </right>
      <top style="hair">
        <color indexed="64"/>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top style="medium">
        <color indexed="64"/>
      </top>
      <bottom style="dotted">
        <color indexed="64"/>
      </bottom>
      <diagonal/>
    </border>
    <border>
      <left/>
      <right/>
      <top/>
      <bottom style="dotted">
        <color indexed="64"/>
      </bottom>
      <diagonal/>
    </border>
    <border>
      <left style="medium">
        <color indexed="64"/>
      </left>
      <right/>
      <top/>
      <bottom style="dotted">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top style="medium">
        <color indexed="64"/>
      </top>
      <bottom/>
      <diagonal/>
    </border>
    <border>
      <left style="thin">
        <color indexed="9"/>
      </left>
      <right/>
      <top/>
      <bottom/>
      <diagonal/>
    </border>
    <border>
      <left style="medium">
        <color indexed="64"/>
      </left>
      <right style="dotted">
        <color indexed="64"/>
      </right>
      <top/>
      <bottom style="medium">
        <color indexed="8"/>
      </bottom>
      <diagonal/>
    </border>
    <border>
      <left/>
      <right style="medium">
        <color indexed="8"/>
      </right>
      <top/>
      <bottom style="medium">
        <color indexed="8"/>
      </bottom>
      <diagonal/>
    </border>
    <border>
      <left/>
      <right style="medium">
        <color indexed="8"/>
      </right>
      <top style="medium">
        <color indexed="64"/>
      </top>
      <bottom/>
      <diagonal/>
    </border>
    <border>
      <left style="medium">
        <color indexed="64"/>
      </left>
      <right style="dotted">
        <color indexed="64"/>
      </right>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64"/>
      </top>
      <bottom/>
      <diagonal/>
    </border>
    <border>
      <left/>
      <right style="medium">
        <color indexed="8"/>
      </right>
      <top/>
      <bottom style="medium">
        <color indexed="64"/>
      </bottom>
      <diagonal/>
    </border>
    <border>
      <left style="medium">
        <color indexed="64"/>
      </left>
      <right/>
      <top style="dotted">
        <color indexed="64"/>
      </top>
      <bottom style="dotted">
        <color indexed="64"/>
      </bottom>
      <diagonal/>
    </border>
    <border>
      <left style="medium">
        <color indexed="8"/>
      </left>
      <right/>
      <top style="dotted">
        <color indexed="8"/>
      </top>
      <bottom/>
      <diagonal/>
    </border>
    <border>
      <left style="medium">
        <color indexed="8"/>
      </left>
      <right/>
      <top/>
      <bottom style="dotted">
        <color indexed="8"/>
      </bottom>
      <diagonal/>
    </border>
    <border>
      <left style="medium">
        <color indexed="8"/>
      </left>
      <right/>
      <top/>
      <bottom/>
      <diagonal/>
    </border>
    <border>
      <left style="hair">
        <color indexed="64"/>
      </left>
      <right/>
      <top style="hair">
        <color indexed="64"/>
      </top>
      <bottom style="hair">
        <color indexed="64"/>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s>
  <cellStyleXfs count="15">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0" fontId="1" fillId="0" borderId="0"/>
    <xf numFmtId="164" fontId="1" fillId="0" borderId="0" applyFont="0" applyFill="0" applyBorder="0" applyAlignment="0" applyProtection="0"/>
    <xf numFmtId="9" fontId="11" fillId="0" borderId="0" applyFont="0" applyFill="0" applyBorder="0" applyAlignment="0" applyProtection="0"/>
    <xf numFmtId="0" fontId="18" fillId="0" borderId="0"/>
    <xf numFmtId="0" fontId="11" fillId="0" borderId="0"/>
    <xf numFmtId="43" fontId="11"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 fillId="0" borderId="0"/>
    <xf numFmtId="43" fontId="19" fillId="0" borderId="0" applyFont="0" applyFill="0" applyBorder="0" applyAlignment="0" applyProtection="0"/>
  </cellStyleXfs>
  <cellXfs count="355">
    <xf numFmtId="0" fontId="0" fillId="0" borderId="0" xfId="0"/>
    <xf numFmtId="0" fontId="1" fillId="0" borderId="0" xfId="1"/>
    <xf numFmtId="0" fontId="2" fillId="0" borderId="0" xfId="1" applyFont="1" applyAlignment="1" applyProtection="1">
      <alignment vertical="top" wrapText="1" readingOrder="1"/>
      <protection locked="0"/>
    </xf>
    <xf numFmtId="0" fontId="8" fillId="0" borderId="0" xfId="4" applyFont="1" applyAlignment="1">
      <alignment vertical="top" wrapText="1" readingOrder="1"/>
    </xf>
    <xf numFmtId="0" fontId="7" fillId="0" borderId="0" xfId="4" applyFont="1"/>
    <xf numFmtId="0" fontId="9" fillId="2" borderId="0" xfId="0" applyFont="1" applyFill="1"/>
    <xf numFmtId="0" fontId="10" fillId="2" borderId="0" xfId="0" applyFont="1" applyFill="1"/>
    <xf numFmtId="0" fontId="11" fillId="2" borderId="0" xfId="0" applyFont="1" applyFill="1"/>
    <xf numFmtId="0" fontId="10" fillId="2" borderId="0" xfId="0" applyFont="1" applyFill="1" applyAlignment="1">
      <alignment vertical="top"/>
    </xf>
    <xf numFmtId="0" fontId="11" fillId="0" borderId="0" xfId="0" applyFont="1" applyAlignment="1">
      <alignment horizontal="left"/>
    </xf>
    <xf numFmtId="0" fontId="6" fillId="0" borderId="0" xfId="0" applyFont="1" applyAlignment="1">
      <alignment vertical="top" readingOrder="1"/>
    </xf>
    <xf numFmtId="0" fontId="3" fillId="0" borderId="0" xfId="3" applyFont="1"/>
    <xf numFmtId="0" fontId="6" fillId="0" borderId="0" xfId="4" applyFont="1" applyAlignment="1">
      <alignment vertical="top" wrapText="1" readingOrder="1"/>
    </xf>
    <xf numFmtId="0" fontId="13" fillId="3" borderId="0" xfId="1" applyFont="1" applyFill="1" applyAlignment="1">
      <alignment horizontal="left" vertical="top"/>
    </xf>
    <xf numFmtId="0" fontId="1" fillId="0" borderId="0" xfId="0" applyFont="1" applyAlignment="1">
      <alignment vertical="top" wrapText="1"/>
    </xf>
    <xf numFmtId="0" fontId="3" fillId="0" borderId="0" xfId="3" applyFont="1" applyFill="1" applyBorder="1" applyAlignment="1">
      <alignment horizontal="left" vertical="center"/>
    </xf>
    <xf numFmtId="0" fontId="2" fillId="0" borderId="0" xfId="1" applyFont="1" applyAlignment="1" applyProtection="1">
      <alignment horizontal="left" vertical="center" wrapText="1" readingOrder="1"/>
      <protection locked="0"/>
    </xf>
    <xf numFmtId="0" fontId="13" fillId="3" borderId="0" xfId="1" applyFont="1" applyFill="1" applyAlignment="1">
      <alignment vertical="top"/>
    </xf>
    <xf numFmtId="0" fontId="15" fillId="2" borderId="5" xfId="5" applyFont="1" applyFill="1" applyBorder="1" applyAlignment="1" applyProtection="1">
      <alignment horizontal="center" vertical="center" wrapText="1" readingOrder="1"/>
      <protection locked="0"/>
    </xf>
    <xf numFmtId="0" fontId="2" fillId="2" borderId="3" xfId="5" applyFont="1" applyFill="1" applyBorder="1" applyAlignment="1" applyProtection="1">
      <alignment horizontal="left" vertical="center" wrapText="1" readingOrder="1"/>
      <protection locked="0"/>
    </xf>
    <xf numFmtId="0" fontId="2" fillId="2" borderId="0" xfId="5" applyFont="1" applyFill="1" applyAlignment="1" applyProtection="1">
      <alignment horizontal="left" vertical="center" wrapText="1" readingOrder="1"/>
      <protection locked="0"/>
    </xf>
    <xf numFmtId="0" fontId="15" fillId="2" borderId="6" xfId="5" applyFont="1" applyFill="1" applyBorder="1" applyAlignment="1" applyProtection="1">
      <alignment horizontal="center" vertical="center" wrapText="1" readingOrder="1"/>
      <protection locked="0"/>
    </xf>
    <xf numFmtId="0" fontId="3" fillId="2" borderId="0" xfId="2" applyFill="1" applyBorder="1" applyAlignment="1" applyProtection="1">
      <alignment horizontal="left" vertical="top" wrapText="1" readingOrder="1"/>
      <protection locked="0"/>
    </xf>
    <xf numFmtId="0" fontId="2" fillId="2" borderId="0" xfId="0" applyFont="1" applyFill="1" applyAlignment="1" applyProtection="1">
      <alignment vertical="top" wrapText="1" readingOrder="1"/>
      <protection locked="0"/>
    </xf>
    <xf numFmtId="0" fontId="1" fillId="3" borderId="0" xfId="1" applyFill="1" applyAlignment="1">
      <alignment horizontal="left" vertical="top"/>
    </xf>
    <xf numFmtId="0" fontId="3" fillId="0" borderId="0" xfId="2" applyFill="1" applyBorder="1" applyAlignment="1" applyProtection="1">
      <alignment horizontal="left" vertical="top" wrapText="1" readingOrder="1"/>
      <protection locked="0"/>
    </xf>
    <xf numFmtId="0" fontId="2" fillId="2" borderId="0" xfId="5" applyFont="1" applyFill="1" applyAlignment="1" applyProtection="1">
      <alignment horizontal="left" vertical="top" wrapText="1" readingOrder="1"/>
      <protection locked="0"/>
    </xf>
    <xf numFmtId="0" fontId="15" fillId="2" borderId="9" xfId="5" applyFont="1" applyFill="1" applyBorder="1" applyAlignment="1" applyProtection="1">
      <alignment horizontal="left" vertical="center" wrapText="1" readingOrder="1"/>
      <protection locked="0"/>
    </xf>
    <xf numFmtId="0" fontId="15" fillId="0" borderId="7" xfId="5" applyFont="1" applyBorder="1" applyAlignment="1" applyProtection="1">
      <alignment horizontal="center" vertical="center" wrapText="1" readingOrder="1"/>
      <protection locked="0"/>
    </xf>
    <xf numFmtId="0" fontId="15" fillId="2" borderId="18" xfId="5" applyFont="1" applyFill="1" applyBorder="1" applyAlignment="1" applyProtection="1">
      <alignment horizontal="left" vertical="center" wrapText="1" readingOrder="1"/>
      <protection locked="0"/>
    </xf>
    <xf numFmtId="0" fontId="15" fillId="2" borderId="2" xfId="5" applyFont="1" applyFill="1" applyBorder="1" applyAlignment="1" applyProtection="1">
      <alignment horizontal="center" vertical="center" wrapText="1" readingOrder="1"/>
      <protection locked="0"/>
    </xf>
    <xf numFmtId="0" fontId="15" fillId="2" borderId="8" xfId="5" applyFont="1" applyFill="1" applyBorder="1" applyAlignment="1" applyProtection="1">
      <alignment horizontal="center" vertical="center" wrapText="1" readingOrder="1"/>
      <protection locked="0"/>
    </xf>
    <xf numFmtId="0" fontId="10" fillId="0" borderId="19" xfId="5" applyFont="1" applyBorder="1" applyAlignment="1" applyProtection="1">
      <alignment horizontal="left" vertical="center" wrapText="1" readingOrder="1"/>
      <protection locked="0"/>
    </xf>
    <xf numFmtId="166" fontId="10" fillId="0" borderId="20" xfId="7" applyNumberFormat="1" applyFont="1" applyFill="1" applyBorder="1" applyAlignment="1" applyProtection="1">
      <alignment horizontal="left" vertical="center" readingOrder="1"/>
      <protection locked="0"/>
    </xf>
    <xf numFmtId="3" fontId="10" fillId="0" borderId="19" xfId="10" applyNumberFormat="1" applyFont="1" applyFill="1" applyBorder="1" applyAlignment="1" applyProtection="1">
      <alignment horizontal="right" vertical="center" wrapText="1" readingOrder="1"/>
      <protection locked="0"/>
    </xf>
    <xf numFmtId="3" fontId="10" fillId="0" borderId="11" xfId="10" applyNumberFormat="1" applyFont="1" applyFill="1" applyBorder="1" applyAlignment="1" applyProtection="1">
      <alignment horizontal="right" vertical="center" wrapText="1" readingOrder="1"/>
      <protection locked="0"/>
    </xf>
    <xf numFmtId="166" fontId="10" fillId="0" borderId="12" xfId="7" applyNumberFormat="1" applyFont="1" applyFill="1" applyBorder="1" applyAlignment="1" applyProtection="1">
      <alignment horizontal="right" vertical="center" wrapText="1" readingOrder="1"/>
      <protection locked="0"/>
    </xf>
    <xf numFmtId="0" fontId="10" fillId="0" borderId="21" xfId="5" applyFont="1" applyBorder="1" applyAlignment="1" applyProtection="1">
      <alignment horizontal="left" vertical="center" wrapText="1" readingOrder="1"/>
      <protection locked="0"/>
    </xf>
    <xf numFmtId="166" fontId="10" fillId="0" borderId="22" xfId="7" applyNumberFormat="1" applyFont="1" applyFill="1" applyBorder="1" applyAlignment="1" applyProtection="1">
      <alignment horizontal="left" vertical="center" readingOrder="1"/>
      <protection locked="0"/>
    </xf>
    <xf numFmtId="3" fontId="10" fillId="0" borderId="21" xfId="10" applyNumberFormat="1" applyFont="1" applyFill="1" applyBorder="1" applyAlignment="1" applyProtection="1">
      <alignment horizontal="right" vertical="center" wrapText="1" readingOrder="1"/>
      <protection locked="0"/>
    </xf>
    <xf numFmtId="3" fontId="10" fillId="0" borderId="23" xfId="10" applyNumberFormat="1" applyFont="1" applyFill="1" applyBorder="1" applyAlignment="1" applyProtection="1">
      <alignment horizontal="right" vertical="center" wrapText="1" readingOrder="1"/>
      <protection locked="0"/>
    </xf>
    <xf numFmtId="166" fontId="10" fillId="0" borderId="24" xfId="7" applyNumberFormat="1" applyFont="1" applyFill="1" applyBorder="1" applyAlignment="1" applyProtection="1">
      <alignment horizontal="right" vertical="center" wrapText="1" readingOrder="1"/>
      <protection locked="0"/>
    </xf>
    <xf numFmtId="0" fontId="10" fillId="0" borderId="25" xfId="5" applyFont="1" applyBorder="1" applyAlignment="1" applyProtection="1">
      <alignment horizontal="left" vertical="center" wrapText="1" readingOrder="1"/>
      <protection locked="0"/>
    </xf>
    <xf numFmtId="166" fontId="10" fillId="0" borderId="26" xfId="7" applyNumberFormat="1" applyFont="1" applyFill="1" applyBorder="1" applyAlignment="1" applyProtection="1">
      <alignment horizontal="left" vertical="center" readingOrder="1"/>
      <protection locked="0"/>
    </xf>
    <xf numFmtId="3" fontId="10" fillId="0" borderId="25" xfId="10" applyNumberFormat="1" applyFont="1" applyFill="1" applyBorder="1" applyAlignment="1" applyProtection="1">
      <alignment horizontal="right" vertical="center" wrapText="1" readingOrder="1"/>
      <protection locked="0"/>
    </xf>
    <xf numFmtId="3" fontId="10" fillId="0" borderId="13" xfId="10" applyNumberFormat="1" applyFont="1" applyFill="1" applyBorder="1" applyAlignment="1" applyProtection="1">
      <alignment horizontal="right" vertical="center" wrapText="1" readingOrder="1"/>
      <protection locked="0"/>
    </xf>
    <xf numFmtId="166" fontId="10" fillId="0" borderId="14" xfId="7" applyNumberFormat="1" applyFont="1" applyFill="1" applyBorder="1" applyAlignment="1" applyProtection="1">
      <alignment horizontal="right" vertical="center" wrapText="1" readingOrder="1"/>
      <protection locked="0"/>
    </xf>
    <xf numFmtId="169" fontId="2" fillId="2" borderId="6" xfId="10" applyNumberFormat="1" applyFont="1" applyFill="1" applyBorder="1" applyAlignment="1" applyProtection="1">
      <alignment horizontal="right" vertical="center" wrapText="1" readingOrder="1"/>
      <protection locked="0"/>
    </xf>
    <xf numFmtId="169" fontId="2" fillId="0" borderId="7" xfId="10" applyNumberFormat="1" applyFont="1" applyFill="1" applyBorder="1" applyAlignment="1" applyProtection="1">
      <alignment horizontal="right" vertical="center" wrapText="1" readingOrder="1"/>
      <protection locked="0"/>
    </xf>
    <xf numFmtId="0" fontId="1" fillId="2" borderId="9" xfId="9" applyFont="1" applyFill="1" applyBorder="1"/>
    <xf numFmtId="20" fontId="16" fillId="2" borderId="7" xfId="10" applyNumberFormat="1" applyFont="1" applyFill="1" applyBorder="1" applyAlignment="1">
      <alignment horizontal="center" vertical="center"/>
    </xf>
    <xf numFmtId="0" fontId="2" fillId="2" borderId="27" xfId="10" applyNumberFormat="1" applyFont="1" applyFill="1" applyBorder="1" applyAlignment="1" applyProtection="1">
      <alignment horizontal="left" vertical="center" wrapText="1" readingOrder="1"/>
      <protection locked="0"/>
    </xf>
    <xf numFmtId="0" fontId="2" fillId="2" borderId="29" xfId="10" applyNumberFormat="1" applyFont="1" applyFill="1" applyBorder="1" applyAlignment="1" applyProtection="1">
      <alignment horizontal="left" vertical="center" wrapText="1" readingOrder="1"/>
      <protection locked="0"/>
    </xf>
    <xf numFmtId="0" fontId="2" fillId="2" borderId="31" xfId="10" applyNumberFormat="1" applyFont="1" applyFill="1" applyBorder="1" applyAlignment="1" applyProtection="1">
      <alignment horizontal="left" vertical="center" wrapText="1" readingOrder="1"/>
      <protection locked="0"/>
    </xf>
    <xf numFmtId="0" fontId="2" fillId="2" borderId="32" xfId="10" applyNumberFormat="1" applyFont="1" applyFill="1" applyBorder="1" applyAlignment="1" applyProtection="1">
      <alignment horizontal="left" vertical="center" wrapText="1" readingOrder="1"/>
      <protection locked="0"/>
    </xf>
    <xf numFmtId="168" fontId="2" fillId="0" borderId="28" xfId="10" applyNumberFormat="1" applyFont="1" applyFill="1" applyBorder="1" applyAlignment="1" applyProtection="1">
      <alignment horizontal="right" vertical="center" readingOrder="1"/>
      <protection locked="0"/>
    </xf>
    <xf numFmtId="168" fontId="2" fillId="0" borderId="30" xfId="10" applyNumberFormat="1" applyFont="1" applyFill="1" applyBorder="1" applyAlignment="1" applyProtection="1">
      <alignment horizontal="right" vertical="center" readingOrder="1"/>
      <protection locked="0"/>
    </xf>
    <xf numFmtId="168" fontId="2" fillId="0" borderId="33" xfId="10" applyNumberFormat="1" applyFont="1" applyFill="1" applyBorder="1" applyAlignment="1" applyProtection="1">
      <alignment horizontal="right" vertical="center" readingOrder="1"/>
      <protection locked="0"/>
    </xf>
    <xf numFmtId="0" fontId="2" fillId="2" borderId="0" xfId="0" applyFont="1" applyFill="1" applyAlignment="1" applyProtection="1">
      <alignment horizontal="left" vertical="top" wrapText="1" readingOrder="1"/>
      <protection locked="0"/>
    </xf>
    <xf numFmtId="0" fontId="16" fillId="2" borderId="27" xfId="9" applyFont="1" applyFill="1" applyBorder="1" applyAlignment="1">
      <alignment vertical="center"/>
    </xf>
    <xf numFmtId="0" fontId="9" fillId="0" borderId="1" xfId="9" applyFont="1" applyBorder="1" applyAlignment="1">
      <alignment horizontal="center" vertical="center" wrapText="1"/>
    </xf>
    <xf numFmtId="0" fontId="9" fillId="0" borderId="6" xfId="9" applyFont="1" applyBorder="1" applyAlignment="1">
      <alignment horizontal="center" vertical="center" wrapText="1"/>
    </xf>
    <xf numFmtId="0" fontId="9" fillId="0" borderId="7" xfId="9" applyFont="1" applyBorder="1" applyAlignment="1">
      <alignment horizontal="center" vertical="center" wrapText="1"/>
    </xf>
    <xf numFmtId="0" fontId="16" fillId="2" borderId="9" xfId="9" applyFont="1" applyFill="1" applyBorder="1" applyAlignment="1">
      <alignment horizontal="center"/>
    </xf>
    <xf numFmtId="0" fontId="1" fillId="2" borderId="10" xfId="9" applyFont="1" applyFill="1" applyBorder="1" applyAlignment="1">
      <alignment vertical="center"/>
    </xf>
    <xf numFmtId="0" fontId="1" fillId="2" borderId="15" xfId="9" applyFont="1" applyFill="1" applyBorder="1" applyAlignment="1">
      <alignment vertical="center"/>
    </xf>
    <xf numFmtId="0" fontId="2" fillId="2" borderId="32" xfId="10" applyNumberFormat="1" applyFont="1" applyFill="1" applyBorder="1" applyAlignment="1" applyProtection="1">
      <alignment vertical="center" wrapText="1" readingOrder="1"/>
      <protection locked="0"/>
    </xf>
    <xf numFmtId="20" fontId="16" fillId="0" borderId="37" xfId="10" applyNumberFormat="1" applyFont="1" applyFill="1" applyBorder="1" applyAlignment="1">
      <alignment horizontal="center" vertical="center"/>
    </xf>
    <xf numFmtId="20" fontId="16" fillId="0" borderId="7" xfId="10" applyNumberFormat="1" applyFont="1" applyFill="1" applyBorder="1" applyAlignment="1">
      <alignment horizontal="center" vertical="center"/>
    </xf>
    <xf numFmtId="3" fontId="1" fillId="0" borderId="38" xfId="10" applyNumberFormat="1" applyFont="1" applyFill="1" applyBorder="1" applyAlignment="1">
      <alignment horizontal="right" vertical="center"/>
    </xf>
    <xf numFmtId="3" fontId="1" fillId="0" borderId="12" xfId="10" applyNumberFormat="1" applyFont="1" applyFill="1" applyBorder="1" applyAlignment="1">
      <alignment horizontal="right" vertical="center"/>
    </xf>
    <xf numFmtId="3" fontId="1" fillId="0" borderId="39" xfId="10" applyNumberFormat="1" applyFont="1" applyFill="1" applyBorder="1" applyAlignment="1">
      <alignment horizontal="right" vertical="center"/>
    </xf>
    <xf numFmtId="3" fontId="1" fillId="0" borderId="17" xfId="10" applyNumberFormat="1" applyFont="1" applyFill="1" applyBorder="1" applyAlignment="1">
      <alignment horizontal="right" vertical="center"/>
    </xf>
    <xf numFmtId="166" fontId="2" fillId="0" borderId="40" xfId="7" applyNumberFormat="1" applyFont="1" applyFill="1" applyBorder="1" applyAlignment="1" applyProtection="1">
      <alignment horizontal="right" vertical="center" wrapText="1" readingOrder="1"/>
      <protection locked="0"/>
    </xf>
    <xf numFmtId="166" fontId="2" fillId="0" borderId="41" xfId="7" applyNumberFormat="1" applyFont="1" applyFill="1" applyBorder="1" applyAlignment="1" applyProtection="1">
      <alignment horizontal="right" vertical="center" wrapText="1" readingOrder="1"/>
      <protection locked="0"/>
    </xf>
    <xf numFmtId="0" fontId="15" fillId="0" borderId="42" xfId="0" applyFont="1" applyBorder="1" applyAlignment="1" applyProtection="1">
      <alignment vertical="center" wrapText="1" readingOrder="1"/>
      <protection locked="0"/>
    </xf>
    <xf numFmtId="0" fontId="15" fillId="0" borderId="43" xfId="0" applyFont="1" applyBorder="1" applyAlignment="1" applyProtection="1">
      <alignment horizontal="center" vertical="center" wrapText="1" readingOrder="1"/>
      <protection locked="0"/>
    </xf>
    <xf numFmtId="0" fontId="16" fillId="0" borderId="44" xfId="0" applyFont="1" applyBorder="1" applyAlignment="1" applyProtection="1">
      <alignment horizontal="center" vertical="center" wrapText="1" readingOrder="1"/>
      <protection locked="0"/>
    </xf>
    <xf numFmtId="0" fontId="15" fillId="0" borderId="45" xfId="0" applyFont="1" applyBorder="1" applyAlignment="1" applyProtection="1">
      <alignment horizontal="center" vertical="center" wrapText="1" readingOrder="1"/>
      <protection locked="0"/>
    </xf>
    <xf numFmtId="0" fontId="16" fillId="0" borderId="46" xfId="0" applyFont="1" applyBorder="1" applyAlignment="1" applyProtection="1">
      <alignment horizontal="center" vertical="center" wrapText="1" readingOrder="1"/>
      <protection locked="0"/>
    </xf>
    <xf numFmtId="0" fontId="15" fillId="0" borderId="47" xfId="0" applyFont="1" applyBorder="1" applyAlignment="1" applyProtection="1">
      <alignment horizontal="center" vertical="center" wrapText="1" readingOrder="1"/>
      <protection locked="0"/>
    </xf>
    <xf numFmtId="0" fontId="2" fillId="0" borderId="48" xfId="0" applyFont="1" applyBorder="1" applyAlignment="1" applyProtection="1">
      <alignment vertical="center" wrapText="1" readingOrder="1"/>
      <protection locked="0"/>
    </xf>
    <xf numFmtId="3" fontId="2" fillId="0" borderId="49" xfId="6" applyNumberFormat="1" applyFont="1" applyFill="1" applyBorder="1" applyAlignment="1" applyProtection="1">
      <alignment horizontal="right" vertical="center" wrapText="1" readingOrder="1"/>
      <protection locked="0"/>
    </xf>
    <xf numFmtId="3" fontId="2" fillId="0" borderId="50" xfId="6" applyNumberFormat="1" applyFont="1" applyFill="1" applyBorder="1" applyAlignment="1" applyProtection="1">
      <alignment horizontal="right" vertical="center" wrapText="1" readingOrder="1"/>
      <protection locked="0"/>
    </xf>
    <xf numFmtId="166" fontId="20" fillId="0" borderId="51" xfId="11" applyNumberFormat="1" applyFont="1" applyBorder="1" applyAlignment="1" applyProtection="1">
      <alignment horizontal="right" vertical="center" wrapText="1" readingOrder="1"/>
      <protection locked="0"/>
    </xf>
    <xf numFmtId="166" fontId="20" fillId="0" borderId="52" xfId="11" applyNumberFormat="1" applyFont="1" applyBorder="1" applyAlignment="1" applyProtection="1">
      <alignment horizontal="right" vertical="center" wrapText="1" readingOrder="1"/>
      <protection locked="0"/>
    </xf>
    <xf numFmtId="0" fontId="2" fillId="0" borderId="53" xfId="0" applyFont="1" applyBorder="1" applyAlignment="1" applyProtection="1">
      <alignment vertical="center" wrapText="1" readingOrder="1"/>
      <protection locked="0"/>
    </xf>
    <xf numFmtId="3" fontId="2" fillId="0" borderId="54" xfId="6" applyNumberFormat="1" applyFont="1" applyFill="1" applyBorder="1" applyAlignment="1" applyProtection="1">
      <alignment horizontal="right" vertical="center" wrapText="1" readingOrder="1"/>
      <protection locked="0"/>
    </xf>
    <xf numFmtId="3" fontId="2" fillId="0" borderId="55" xfId="6" applyNumberFormat="1" applyFont="1" applyFill="1" applyBorder="1" applyAlignment="1" applyProtection="1">
      <alignment horizontal="right" vertical="center" wrapText="1" readingOrder="1"/>
      <protection locked="0"/>
    </xf>
    <xf numFmtId="0" fontId="15" fillId="0" borderId="56" xfId="0" applyFont="1" applyBorder="1" applyAlignment="1" applyProtection="1">
      <alignment vertical="center" wrapText="1" readingOrder="1"/>
      <protection locked="0"/>
    </xf>
    <xf numFmtId="3" fontId="15" fillId="0" borderId="57" xfId="6" applyNumberFormat="1" applyFont="1" applyFill="1" applyBorder="1" applyAlignment="1" applyProtection="1">
      <alignment horizontal="right" vertical="center" wrapText="1" readingOrder="1"/>
      <protection locked="0"/>
    </xf>
    <xf numFmtId="166" fontId="15" fillId="0" borderId="58" xfId="11" applyNumberFormat="1" applyFont="1" applyBorder="1" applyAlignment="1" applyProtection="1">
      <alignment horizontal="right" vertical="center" wrapText="1" readingOrder="1"/>
      <protection locked="0"/>
    </xf>
    <xf numFmtId="166" fontId="15" fillId="0" borderId="59" xfId="11" applyNumberFormat="1" applyFont="1" applyBorder="1" applyAlignment="1" applyProtection="1">
      <alignment horizontal="right" vertical="center" wrapText="1" readingOrder="1"/>
      <protection locked="0"/>
    </xf>
    <xf numFmtId="43" fontId="7" fillId="0" borderId="0" xfId="4" applyNumberFormat="1" applyFont="1"/>
    <xf numFmtId="165" fontId="16" fillId="2" borderId="7" xfId="6" applyNumberFormat="1" applyFont="1" applyFill="1" applyBorder="1" applyAlignment="1" applyProtection="1">
      <alignment horizontal="right" vertical="center" wrapText="1" readingOrder="1"/>
      <protection locked="0"/>
    </xf>
    <xf numFmtId="165" fontId="16" fillId="0" borderId="7" xfId="6" applyNumberFormat="1" applyFont="1" applyFill="1" applyBorder="1" applyAlignment="1" applyProtection="1">
      <alignment horizontal="right" vertical="center" wrapText="1" readingOrder="1"/>
      <protection locked="0"/>
    </xf>
    <xf numFmtId="0" fontId="21" fillId="0" borderId="0" xfId="0" applyFont="1" applyAlignment="1" applyProtection="1">
      <alignment vertical="top" wrapText="1" readingOrder="1"/>
      <protection locked="0"/>
    </xf>
    <xf numFmtId="0" fontId="1" fillId="0" borderId="0" xfId="0" applyFont="1"/>
    <xf numFmtId="0" fontId="16" fillId="0" borderId="0" xfId="1" applyFont="1" applyAlignment="1" applyProtection="1">
      <alignment vertical="top" wrapText="1" readingOrder="1"/>
      <protection locked="0"/>
    </xf>
    <xf numFmtId="0" fontId="16" fillId="0" borderId="61" xfId="1" applyFont="1" applyBorder="1" applyAlignment="1" applyProtection="1">
      <alignment horizontal="left" vertical="center" wrapText="1" readingOrder="1"/>
      <protection locked="0"/>
    </xf>
    <xf numFmtId="3" fontId="16" fillId="0" borderId="62" xfId="6" applyNumberFormat="1" applyFont="1" applyBorder="1" applyAlignment="1" applyProtection="1">
      <alignment horizontal="right" vertical="center" wrapText="1" readingOrder="1"/>
      <protection locked="0"/>
    </xf>
    <xf numFmtId="3" fontId="16" fillId="0" borderId="60" xfId="6" applyNumberFormat="1" applyFont="1" applyBorder="1" applyAlignment="1" applyProtection="1">
      <alignment horizontal="right" vertical="center" wrapText="1" readingOrder="1"/>
      <protection locked="0"/>
    </xf>
    <xf numFmtId="0" fontId="1" fillId="0" borderId="63" xfId="1" applyBorder="1" applyAlignment="1" applyProtection="1">
      <alignment horizontal="left" vertical="center" wrapText="1" readingOrder="1"/>
      <protection locked="0"/>
    </xf>
    <xf numFmtId="3" fontId="1" fillId="0" borderId="64" xfId="6" applyNumberFormat="1" applyFont="1" applyBorder="1" applyAlignment="1" applyProtection="1">
      <alignment horizontal="right" vertical="center" wrapText="1" readingOrder="1"/>
      <protection locked="0"/>
    </xf>
    <xf numFmtId="3" fontId="1" fillId="0" borderId="65" xfId="6" applyNumberFormat="1" applyFont="1" applyBorder="1" applyAlignment="1" applyProtection="1">
      <alignment horizontal="right" vertical="center" wrapText="1" readingOrder="1"/>
      <protection locked="0"/>
    </xf>
    <xf numFmtId="3" fontId="1" fillId="0" borderId="66" xfId="6" applyNumberFormat="1" applyFont="1" applyBorder="1" applyAlignment="1" applyProtection="1">
      <alignment horizontal="right" vertical="center" wrapText="1" readingOrder="1"/>
      <protection locked="0"/>
    </xf>
    <xf numFmtId="3" fontId="1" fillId="0" borderId="67" xfId="6" applyNumberFormat="1" applyFont="1" applyBorder="1" applyAlignment="1" applyProtection="1">
      <alignment horizontal="right" vertical="center" wrapText="1" readingOrder="1"/>
      <protection locked="0"/>
    </xf>
    <xf numFmtId="0" fontId="20" fillId="0" borderId="0" xfId="1" applyFont="1" applyAlignment="1" applyProtection="1">
      <alignment vertical="top" wrapText="1" readingOrder="1"/>
      <protection locked="0"/>
    </xf>
    <xf numFmtId="0" fontId="1" fillId="0" borderId="0" xfId="5" applyAlignment="1" applyProtection="1">
      <alignment horizontal="left" vertical="top" wrapText="1" readingOrder="1"/>
      <protection locked="0"/>
    </xf>
    <xf numFmtId="3" fontId="22" fillId="0" borderId="0" xfId="0" applyNumberFormat="1" applyFont="1"/>
    <xf numFmtId="0" fontId="23" fillId="0" borderId="0" xfId="0" applyFont="1" applyAlignment="1">
      <alignment horizontal="left"/>
    </xf>
    <xf numFmtId="0" fontId="24" fillId="2" borderId="0" xfId="0" applyFont="1" applyFill="1"/>
    <xf numFmtId="0" fontId="2" fillId="0" borderId="0" xfId="5" applyFont="1" applyAlignment="1" applyProtection="1">
      <alignment vertical="top" wrapText="1" readingOrder="1"/>
      <protection locked="0"/>
    </xf>
    <xf numFmtId="0" fontId="16" fillId="0" borderId="61" xfId="5" applyFont="1" applyBorder="1" applyAlignment="1" applyProtection="1">
      <alignment horizontal="center" vertical="center" wrapText="1" readingOrder="1"/>
      <protection locked="0"/>
    </xf>
    <xf numFmtId="0" fontId="16" fillId="0" borderId="70" xfId="5" applyFont="1" applyBorder="1" applyAlignment="1" applyProtection="1">
      <alignment horizontal="center" vertical="center" wrapText="1" readingOrder="1"/>
      <protection locked="0"/>
    </xf>
    <xf numFmtId="0" fontId="16" fillId="0" borderId="71" xfId="5" applyFont="1" applyBorder="1" applyAlignment="1" applyProtection="1">
      <alignment horizontal="center" vertical="center" wrapText="1" readingOrder="1"/>
      <protection locked="0"/>
    </xf>
    <xf numFmtId="0" fontId="16" fillId="0" borderId="72" xfId="5" applyFont="1" applyBorder="1" applyAlignment="1" applyProtection="1">
      <alignment horizontal="center" vertical="center" wrapText="1" readingOrder="1"/>
      <protection locked="0"/>
    </xf>
    <xf numFmtId="0" fontId="16" fillId="0" borderId="73" xfId="5" applyFont="1" applyBorder="1" applyAlignment="1" applyProtection="1">
      <alignment horizontal="center" vertical="center" wrapText="1" readingOrder="1"/>
      <protection locked="0"/>
    </xf>
    <xf numFmtId="0" fontId="15" fillId="0" borderId="77" xfId="13" applyFont="1" applyBorder="1" applyAlignment="1" applyProtection="1">
      <alignment vertical="top" wrapText="1" readingOrder="1"/>
      <protection locked="0"/>
    </xf>
    <xf numFmtId="0" fontId="15" fillId="0" borderId="78" xfId="13" applyFont="1" applyBorder="1" applyAlignment="1" applyProtection="1">
      <alignment vertical="top" wrapText="1" readingOrder="1"/>
      <protection locked="0"/>
    </xf>
    <xf numFmtId="3" fontId="15" fillId="0" borderId="79" xfId="6" applyNumberFormat="1" applyFont="1" applyBorder="1" applyAlignment="1" applyProtection="1">
      <alignment horizontal="right" vertical="top" wrapText="1" readingOrder="1"/>
      <protection locked="0"/>
    </xf>
    <xf numFmtId="3" fontId="15" fillId="0" borderId="80" xfId="6" applyNumberFormat="1" applyFont="1" applyBorder="1" applyAlignment="1" applyProtection="1">
      <alignment horizontal="right" vertical="top" wrapText="1" readingOrder="1"/>
      <protection locked="0"/>
    </xf>
    <xf numFmtId="3" fontId="15" fillId="0" borderId="81" xfId="6" applyNumberFormat="1" applyFont="1" applyBorder="1" applyAlignment="1" applyProtection="1">
      <alignment horizontal="right" vertical="top" wrapText="1" readingOrder="1"/>
      <protection locked="0"/>
    </xf>
    <xf numFmtId="10" fontId="25" fillId="0" borderId="81" xfId="11" applyNumberFormat="1" applyFont="1" applyBorder="1" applyAlignment="1" applyProtection="1">
      <alignment horizontal="right" vertical="top" wrapText="1" readingOrder="1"/>
      <protection locked="0"/>
    </xf>
    <xf numFmtId="0" fontId="2" fillId="0" borderId="0" xfId="13" applyFont="1" applyAlignment="1" applyProtection="1">
      <alignment vertical="top" readingOrder="1"/>
      <protection locked="0"/>
    </xf>
    <xf numFmtId="0" fontId="2" fillId="0" borderId="27" xfId="13" applyFont="1" applyBorder="1" applyAlignment="1" applyProtection="1">
      <alignment vertical="top" readingOrder="1"/>
      <protection locked="0"/>
    </xf>
    <xf numFmtId="3" fontId="2" fillId="0" borderId="84" xfId="6" applyNumberFormat="1" applyFont="1" applyBorder="1" applyAlignment="1" applyProtection="1">
      <alignment horizontal="right" vertical="top" readingOrder="1"/>
      <protection locked="0"/>
    </xf>
    <xf numFmtId="3" fontId="2" fillId="0" borderId="85" xfId="6" applyNumberFormat="1" applyFont="1" applyBorder="1" applyAlignment="1" applyProtection="1">
      <alignment horizontal="right" vertical="top" readingOrder="1"/>
      <protection locked="0"/>
    </xf>
    <xf numFmtId="3" fontId="2" fillId="0" borderId="86" xfId="6" applyNumberFormat="1" applyFont="1" applyBorder="1" applyAlignment="1" applyProtection="1">
      <alignment horizontal="right" vertical="top" readingOrder="1"/>
      <protection locked="0"/>
    </xf>
    <xf numFmtId="0" fontId="1" fillId="0" borderId="90" xfId="0" applyFont="1" applyBorder="1"/>
    <xf numFmtId="0" fontId="1" fillId="0" borderId="91" xfId="0" applyFont="1" applyBorder="1"/>
    <xf numFmtId="3" fontId="2" fillId="0" borderId="92" xfId="6" applyNumberFormat="1" applyFont="1" applyBorder="1" applyAlignment="1" applyProtection="1">
      <alignment horizontal="right" vertical="top" readingOrder="1"/>
      <protection locked="0"/>
    </xf>
    <xf numFmtId="3" fontId="2" fillId="0" borderId="93" xfId="6" applyNumberFormat="1" applyFont="1" applyBorder="1" applyAlignment="1" applyProtection="1">
      <alignment horizontal="right" vertical="top" readingOrder="1"/>
      <protection locked="0"/>
    </xf>
    <xf numFmtId="3" fontId="2" fillId="0" borderId="94" xfId="6" applyNumberFormat="1" applyFont="1" applyBorder="1" applyAlignment="1" applyProtection="1">
      <alignment horizontal="right" vertical="top" readingOrder="1"/>
      <protection locked="0"/>
    </xf>
    <xf numFmtId="10" fontId="20" fillId="0" borderId="94" xfId="11" applyNumberFormat="1" applyFont="1" applyBorder="1" applyAlignment="1" applyProtection="1">
      <alignment horizontal="right" vertical="top" readingOrder="1"/>
      <protection locked="0"/>
    </xf>
    <xf numFmtId="3" fontId="2" fillId="0" borderId="93" xfId="6" applyNumberFormat="1" applyFont="1" applyFill="1" applyBorder="1" applyAlignment="1" applyProtection="1">
      <alignment horizontal="right" vertical="top" wrapText="1" readingOrder="1"/>
      <protection locked="0"/>
    </xf>
    <xf numFmtId="3" fontId="2" fillId="0" borderId="94" xfId="6" applyNumberFormat="1" applyFont="1" applyFill="1" applyBorder="1" applyAlignment="1" applyProtection="1">
      <alignment horizontal="right" vertical="top" wrapText="1" readingOrder="1"/>
      <protection locked="0"/>
    </xf>
    <xf numFmtId="3" fontId="2" fillId="0" borderId="87" xfId="6" applyNumberFormat="1" applyFont="1" applyFill="1" applyBorder="1" applyAlignment="1" applyProtection="1">
      <alignment horizontal="right" vertical="top" wrapText="1" readingOrder="1"/>
      <protection locked="0"/>
    </xf>
    <xf numFmtId="3" fontId="2" fillId="0" borderId="91" xfId="6" applyNumberFormat="1" applyFont="1" applyFill="1" applyBorder="1" applyAlignment="1" applyProtection="1">
      <alignment horizontal="right" vertical="top" wrapText="1" readingOrder="1"/>
      <protection locked="0"/>
    </xf>
    <xf numFmtId="10" fontId="20" fillId="0" borderId="89" xfId="11" applyNumberFormat="1" applyFont="1" applyFill="1" applyBorder="1" applyAlignment="1" applyProtection="1">
      <alignment horizontal="right" vertical="top" wrapText="1" readingOrder="1"/>
      <protection locked="0"/>
    </xf>
    <xf numFmtId="166" fontId="2" fillId="0" borderId="89" xfId="11" applyNumberFormat="1" applyFont="1" applyFill="1" applyBorder="1" applyAlignment="1" applyProtection="1">
      <alignment horizontal="right" vertical="top" wrapText="1" readingOrder="1"/>
      <protection locked="0"/>
    </xf>
    <xf numFmtId="3" fontId="2" fillId="0" borderId="97" xfId="6" applyNumberFormat="1" applyFont="1" applyFill="1" applyBorder="1" applyAlignment="1" applyProtection="1">
      <alignment horizontal="right" vertical="top" wrapText="1" readingOrder="1"/>
      <protection locked="0"/>
    </xf>
    <xf numFmtId="0" fontId="16" fillId="0" borderId="74" xfId="5" applyFont="1" applyBorder="1" applyAlignment="1" applyProtection="1">
      <alignment horizontal="center" vertical="center" wrapText="1" readingOrder="1"/>
      <protection locked="0"/>
    </xf>
    <xf numFmtId="0" fontId="16" fillId="0" borderId="75" xfId="5" applyFont="1" applyBorder="1" applyAlignment="1" applyProtection="1">
      <alignment horizontal="center" vertical="center" wrapText="1" readingOrder="1"/>
      <protection locked="0"/>
    </xf>
    <xf numFmtId="0" fontId="15" fillId="0" borderId="76" xfId="5" applyFont="1" applyBorder="1" applyAlignment="1" applyProtection="1">
      <alignment horizontal="center" vertical="center" wrapText="1" readingOrder="1"/>
      <protection locked="0"/>
    </xf>
    <xf numFmtId="3" fontId="15" fillId="0" borderId="82" xfId="6" applyNumberFormat="1" applyFont="1" applyFill="1" applyBorder="1" applyAlignment="1" applyProtection="1">
      <alignment horizontal="right" vertical="top" wrapText="1" readingOrder="1"/>
      <protection locked="0"/>
    </xf>
    <xf numFmtId="10" fontId="26" fillId="0" borderId="83" xfId="11" applyNumberFormat="1" applyFont="1" applyFill="1" applyBorder="1" applyAlignment="1" applyProtection="1">
      <alignment horizontal="right" vertical="top" wrapText="1" readingOrder="1"/>
      <protection locked="0"/>
    </xf>
    <xf numFmtId="3" fontId="2" fillId="0" borderId="88" xfId="6" applyNumberFormat="1" applyFont="1" applyFill="1" applyBorder="1" applyAlignment="1" applyProtection="1">
      <alignment horizontal="right" vertical="top" wrapText="1" readingOrder="1"/>
      <protection locked="0"/>
    </xf>
    <xf numFmtId="0" fontId="27" fillId="0" borderId="95" xfId="0" applyFont="1" applyBorder="1"/>
    <xf numFmtId="0" fontId="28" fillId="0" borderId="21" xfId="0" applyFont="1" applyBorder="1"/>
    <xf numFmtId="0" fontId="28" fillId="0" borderId="91" xfId="0" applyFont="1" applyBorder="1"/>
    <xf numFmtId="0" fontId="27" fillId="0" borderId="21" xfId="0" applyFont="1" applyBorder="1"/>
    <xf numFmtId="0" fontId="1" fillId="0" borderId="102" xfId="0" applyFont="1" applyBorder="1"/>
    <xf numFmtId="0" fontId="1" fillId="0" borderId="103" xfId="0" applyFont="1" applyBorder="1"/>
    <xf numFmtId="3" fontId="2" fillId="0" borderId="104" xfId="6" applyNumberFormat="1" applyFont="1" applyBorder="1" applyAlignment="1" applyProtection="1">
      <alignment horizontal="right" vertical="top" readingOrder="1"/>
      <protection locked="0"/>
    </xf>
    <xf numFmtId="3" fontId="2" fillId="0" borderId="105" xfId="6" applyNumberFormat="1" applyFont="1" applyBorder="1" applyAlignment="1" applyProtection="1">
      <alignment horizontal="right" vertical="top" readingOrder="1"/>
      <protection locked="0"/>
    </xf>
    <xf numFmtId="3" fontId="2" fillId="0" borderId="106" xfId="6" applyNumberFormat="1" applyFont="1" applyBorder="1" applyAlignment="1" applyProtection="1">
      <alignment horizontal="right" vertical="top" readingOrder="1"/>
      <protection locked="0"/>
    </xf>
    <xf numFmtId="10" fontId="20" fillId="0" borderId="106" xfId="11" applyNumberFormat="1" applyFont="1" applyBorder="1" applyAlignment="1" applyProtection="1">
      <alignment horizontal="right" vertical="top" readingOrder="1"/>
      <protection locked="0"/>
    </xf>
    <xf numFmtId="3" fontId="2" fillId="0" borderId="107" xfId="6" applyNumberFormat="1" applyFont="1" applyFill="1" applyBorder="1" applyAlignment="1" applyProtection="1">
      <alignment horizontal="right" vertical="top" wrapText="1" readingOrder="1"/>
      <protection locked="0"/>
    </xf>
    <xf numFmtId="3" fontId="2" fillId="0" borderId="103" xfId="6" applyNumberFormat="1" applyFont="1" applyFill="1" applyBorder="1" applyAlignment="1" applyProtection="1">
      <alignment horizontal="right" vertical="top" wrapText="1" readingOrder="1"/>
      <protection locked="0"/>
    </xf>
    <xf numFmtId="10" fontId="20" fillId="0" borderId="108" xfId="11" applyNumberFormat="1" applyFont="1" applyFill="1" applyBorder="1" applyAlignment="1" applyProtection="1">
      <alignment horizontal="right" vertical="top" wrapText="1" readingOrder="1"/>
      <protection locked="0"/>
    </xf>
    <xf numFmtId="0" fontId="27" fillId="0" borderId="109" xfId="0" applyFont="1" applyBorder="1"/>
    <xf numFmtId="0" fontId="27" fillId="0" borderId="110" xfId="0" applyFont="1" applyBorder="1"/>
    <xf numFmtId="3" fontId="2" fillId="0" borderId="111" xfId="6" applyNumberFormat="1" applyFont="1" applyBorder="1" applyAlignment="1" applyProtection="1">
      <alignment horizontal="right" vertical="top" wrapText="1" readingOrder="1"/>
      <protection locked="0"/>
    </xf>
    <xf numFmtId="3" fontId="2" fillId="0" borderId="112" xfId="6" applyNumberFormat="1" applyFont="1" applyBorder="1" applyAlignment="1" applyProtection="1">
      <alignment horizontal="right" vertical="top" wrapText="1" readingOrder="1"/>
      <protection locked="0"/>
    </xf>
    <xf numFmtId="3" fontId="2" fillId="0" borderId="113" xfId="6" applyNumberFormat="1" applyFont="1" applyFill="1" applyBorder="1" applyAlignment="1" applyProtection="1">
      <alignment horizontal="right" vertical="top" wrapText="1" readingOrder="1"/>
      <protection locked="0"/>
    </xf>
    <xf numFmtId="3" fontId="2" fillId="0" borderId="110" xfId="6" applyNumberFormat="1" applyFont="1" applyFill="1" applyBorder="1" applyAlignment="1" applyProtection="1">
      <alignment horizontal="right" vertical="top" wrapText="1" readingOrder="1"/>
      <protection locked="0"/>
    </xf>
    <xf numFmtId="10" fontId="20" fillId="0" borderId="114" xfId="11" applyNumberFormat="1" applyFont="1" applyFill="1" applyBorder="1" applyAlignment="1" applyProtection="1">
      <alignment horizontal="right" vertical="top" wrapText="1" readingOrder="1"/>
      <protection locked="0"/>
    </xf>
    <xf numFmtId="0" fontId="27" fillId="0" borderId="98" xfId="0" applyFont="1" applyBorder="1"/>
    <xf numFmtId="0" fontId="28" fillId="0" borderId="25" xfId="0" applyFont="1" applyBorder="1"/>
    <xf numFmtId="3" fontId="2" fillId="0" borderId="100" xfId="6" applyNumberFormat="1" applyFont="1" applyFill="1" applyBorder="1" applyAlignment="1" applyProtection="1">
      <alignment horizontal="right" vertical="top" wrapText="1" readingOrder="1"/>
      <protection locked="0"/>
    </xf>
    <xf numFmtId="3" fontId="2" fillId="0" borderId="115" xfId="6" applyNumberFormat="1" applyFont="1" applyFill="1" applyBorder="1" applyAlignment="1" applyProtection="1">
      <alignment horizontal="right" vertical="top" wrapText="1" readingOrder="1"/>
      <protection locked="0"/>
    </xf>
    <xf numFmtId="3" fontId="2" fillId="0" borderId="117" xfId="6" applyNumberFormat="1" applyFont="1" applyFill="1" applyBorder="1" applyAlignment="1" applyProtection="1">
      <alignment horizontal="right" vertical="top" wrapText="1" readingOrder="1"/>
      <protection locked="0"/>
    </xf>
    <xf numFmtId="3" fontId="2" fillId="0" borderId="118" xfId="6" applyNumberFormat="1" applyFont="1" applyFill="1" applyBorder="1" applyAlignment="1" applyProtection="1">
      <alignment horizontal="right" vertical="top" wrapText="1" readingOrder="1"/>
      <protection locked="0"/>
    </xf>
    <xf numFmtId="10" fontId="20" fillId="0" borderId="101" xfId="11" applyNumberFormat="1" applyFont="1" applyFill="1" applyBorder="1" applyAlignment="1" applyProtection="1">
      <alignment horizontal="right" vertical="top" wrapText="1" readingOrder="1"/>
      <protection locked="0"/>
    </xf>
    <xf numFmtId="10" fontId="21" fillId="0" borderId="86" xfId="11" applyNumberFormat="1" applyFont="1" applyBorder="1" applyAlignment="1" applyProtection="1">
      <alignment horizontal="right" vertical="top" readingOrder="1"/>
      <protection locked="0"/>
    </xf>
    <xf numFmtId="10" fontId="20" fillId="0" borderId="112" xfId="11" applyNumberFormat="1" applyFont="1" applyBorder="1" applyAlignment="1" applyProtection="1">
      <alignment horizontal="right" vertical="top" wrapText="1" readingOrder="1"/>
      <protection locked="0"/>
    </xf>
    <xf numFmtId="10" fontId="20" fillId="0" borderId="52" xfId="11" applyNumberFormat="1" applyFont="1" applyFill="1" applyBorder="1" applyAlignment="1" applyProtection="1">
      <alignment horizontal="right" vertical="top" wrapText="1" readingOrder="1"/>
      <protection locked="0"/>
    </xf>
    <xf numFmtId="10" fontId="20" fillId="0" borderId="116" xfId="11" applyNumberFormat="1" applyFont="1" applyFill="1" applyBorder="1" applyAlignment="1" applyProtection="1">
      <alignment horizontal="right" vertical="top" wrapText="1" readingOrder="1"/>
      <protection locked="0"/>
    </xf>
    <xf numFmtId="0" fontId="29" fillId="0" borderId="119" xfId="3" applyFont="1" applyFill="1" applyBorder="1" applyAlignment="1">
      <alignment horizontal="left" vertical="center"/>
    </xf>
    <xf numFmtId="0" fontId="2" fillId="0" borderId="120" xfId="1" applyFont="1" applyBorder="1" applyAlignment="1" applyProtection="1">
      <alignment horizontal="left" vertical="center" wrapText="1" readingOrder="1"/>
      <protection locked="0"/>
    </xf>
    <xf numFmtId="0" fontId="29" fillId="0" borderId="121" xfId="3" applyFont="1" applyFill="1" applyBorder="1" applyAlignment="1">
      <alignment horizontal="left" vertical="center"/>
    </xf>
    <xf numFmtId="0" fontId="2" fillId="0" borderId="122" xfId="1" applyFont="1" applyBorder="1" applyAlignment="1" applyProtection="1">
      <alignment horizontal="left" vertical="center" wrapText="1" readingOrder="1"/>
      <protection locked="0"/>
    </xf>
    <xf numFmtId="0" fontId="29" fillId="0" borderId="123" xfId="3" applyFont="1" applyFill="1" applyBorder="1" applyAlignment="1">
      <alignment horizontal="left" vertical="center"/>
    </xf>
    <xf numFmtId="0" fontId="2" fillId="0" borderId="124" xfId="1" applyFont="1" applyBorder="1" applyAlignment="1" applyProtection="1">
      <alignment horizontal="left" vertical="center" wrapText="1" readingOrder="1"/>
      <protection locked="0"/>
    </xf>
    <xf numFmtId="0" fontId="10" fillId="2" borderId="0" xfId="9" applyFont="1" applyFill="1"/>
    <xf numFmtId="3" fontId="10" fillId="0" borderId="35" xfId="0" applyNumberFormat="1" applyFont="1" applyBorder="1"/>
    <xf numFmtId="3" fontId="10" fillId="0" borderId="11" xfId="0" applyNumberFormat="1" applyFont="1" applyBorder="1"/>
    <xf numFmtId="166" fontId="10" fillId="0" borderId="12" xfId="0" applyNumberFormat="1" applyFont="1" applyBorder="1"/>
    <xf numFmtId="3" fontId="10" fillId="0" borderId="36" xfId="0" applyNumberFormat="1" applyFont="1" applyBorder="1"/>
    <xf numFmtId="3" fontId="10" fillId="0" borderId="23" xfId="0" applyNumberFormat="1" applyFont="1" applyBorder="1"/>
    <xf numFmtId="166" fontId="10" fillId="0" borderId="24" xfId="0" applyNumberFormat="1" applyFont="1" applyBorder="1"/>
    <xf numFmtId="3" fontId="10" fillId="0" borderId="25" xfId="0" applyNumberFormat="1" applyFont="1" applyBorder="1"/>
    <xf numFmtId="3" fontId="10" fillId="0" borderId="13" xfId="0" applyNumberFormat="1" applyFont="1" applyBorder="1"/>
    <xf numFmtId="166" fontId="10" fillId="0" borderId="14" xfId="0" applyNumberFormat="1" applyFont="1" applyBorder="1"/>
    <xf numFmtId="165" fontId="2" fillId="2" borderId="0" xfId="6" applyNumberFormat="1" applyFont="1" applyFill="1" applyBorder="1" applyAlignment="1" applyProtection="1">
      <alignment horizontal="right" vertical="center" wrapText="1" readingOrder="1"/>
      <protection locked="0"/>
    </xf>
    <xf numFmtId="165" fontId="1" fillId="2" borderId="0" xfId="6" applyNumberFormat="1" applyFont="1" applyFill="1" applyBorder="1" applyAlignment="1" applyProtection="1">
      <alignment horizontal="right" vertical="center" wrapText="1" readingOrder="1"/>
      <protection locked="0"/>
    </xf>
    <xf numFmtId="165" fontId="1" fillId="0" borderId="0" xfId="6" applyNumberFormat="1" applyFont="1" applyFill="1" applyBorder="1" applyAlignment="1" applyProtection="1">
      <alignment horizontal="right" vertical="center" wrapText="1" readingOrder="1"/>
      <protection locked="0"/>
    </xf>
    <xf numFmtId="0" fontId="15" fillId="2" borderId="0" xfId="5" applyFont="1" applyFill="1" applyAlignment="1" applyProtection="1">
      <alignment horizontal="left" vertical="center" wrapText="1" readingOrder="1"/>
      <protection locked="0"/>
    </xf>
    <xf numFmtId="0" fontId="2" fillId="2" borderId="34" xfId="5" applyFont="1" applyFill="1" applyBorder="1" applyAlignment="1" applyProtection="1">
      <alignment horizontal="left" vertical="center" wrapText="1" readingOrder="1"/>
      <protection locked="0"/>
    </xf>
    <xf numFmtId="165" fontId="2" fillId="2" borderId="127" xfId="6" applyNumberFormat="1" applyFont="1" applyFill="1" applyBorder="1" applyAlignment="1" applyProtection="1">
      <alignment horizontal="right" vertical="center" wrapText="1" readingOrder="1"/>
      <protection locked="0"/>
    </xf>
    <xf numFmtId="165" fontId="2" fillId="2" borderId="128" xfId="6" applyNumberFormat="1" applyFont="1" applyFill="1" applyBorder="1" applyAlignment="1" applyProtection="1">
      <alignment horizontal="right" vertical="center" wrapText="1" readingOrder="1"/>
      <protection locked="0"/>
    </xf>
    <xf numFmtId="165" fontId="1" fillId="2" borderId="128" xfId="6" applyNumberFormat="1" applyFont="1" applyFill="1" applyBorder="1" applyAlignment="1" applyProtection="1">
      <alignment horizontal="right" vertical="center" wrapText="1" readingOrder="1"/>
      <protection locked="0"/>
    </xf>
    <xf numFmtId="0" fontId="2" fillId="2" borderId="129" xfId="5" applyFont="1" applyFill="1" applyBorder="1" applyAlignment="1" applyProtection="1">
      <alignment horizontal="left" vertical="center" wrapText="1" readingOrder="1"/>
      <protection locked="0"/>
    </xf>
    <xf numFmtId="165" fontId="2" fillId="2" borderId="130" xfId="6" applyNumberFormat="1" applyFont="1" applyFill="1" applyBorder="1" applyAlignment="1" applyProtection="1">
      <alignment horizontal="right" vertical="center" wrapText="1" readingOrder="1"/>
      <protection locked="0"/>
    </xf>
    <xf numFmtId="165" fontId="2" fillId="2" borderId="131" xfId="6" applyNumberFormat="1" applyFont="1" applyFill="1" applyBorder="1" applyAlignment="1" applyProtection="1">
      <alignment horizontal="right" vertical="center" wrapText="1" readingOrder="1"/>
      <protection locked="0"/>
    </xf>
    <xf numFmtId="165" fontId="1" fillId="2" borderId="131" xfId="6" applyNumberFormat="1" applyFont="1" applyFill="1" applyBorder="1" applyAlignment="1" applyProtection="1">
      <alignment horizontal="right" vertical="center" wrapText="1" readingOrder="1"/>
      <protection locked="0"/>
    </xf>
    <xf numFmtId="165" fontId="1" fillId="0" borderId="132" xfId="6" applyNumberFormat="1" applyFont="1" applyFill="1" applyBorder="1" applyAlignment="1" applyProtection="1">
      <alignment horizontal="right" vertical="center" wrapText="1" readingOrder="1"/>
      <protection locked="0"/>
    </xf>
    <xf numFmtId="0" fontId="15" fillId="2" borderId="133" xfId="5" applyFont="1" applyFill="1" applyBorder="1" applyAlignment="1" applyProtection="1">
      <alignment horizontal="center" vertical="center" wrapText="1" readingOrder="1"/>
      <protection locked="0"/>
    </xf>
    <xf numFmtId="0" fontId="15" fillId="2" borderId="134" xfId="5" applyFont="1" applyFill="1" applyBorder="1" applyAlignment="1" applyProtection="1">
      <alignment horizontal="center" vertical="center" wrapText="1" readingOrder="1"/>
      <protection locked="0"/>
    </xf>
    <xf numFmtId="0" fontId="15" fillId="0" borderId="135" xfId="5" applyFont="1" applyBorder="1" applyAlignment="1" applyProtection="1">
      <alignment horizontal="center" vertical="center" wrapText="1" readingOrder="1"/>
      <protection locked="0"/>
    </xf>
    <xf numFmtId="1" fontId="15" fillId="2" borderId="133" xfId="6" applyNumberFormat="1" applyFont="1" applyFill="1" applyBorder="1" applyAlignment="1" applyProtection="1">
      <alignment horizontal="center" vertical="center" wrapText="1" readingOrder="1"/>
      <protection locked="0"/>
    </xf>
    <xf numFmtId="1" fontId="15" fillId="2" borderId="134" xfId="6" applyNumberFormat="1" applyFont="1" applyFill="1" applyBorder="1" applyAlignment="1" applyProtection="1">
      <alignment horizontal="center" vertical="center" wrapText="1" readingOrder="1"/>
      <protection locked="0"/>
    </xf>
    <xf numFmtId="0" fontId="16" fillId="2" borderId="134" xfId="5" applyFont="1" applyFill="1" applyBorder="1" applyAlignment="1" applyProtection="1">
      <alignment horizontal="center" vertical="center" wrapText="1" readingOrder="1"/>
      <protection locked="0"/>
    </xf>
    <xf numFmtId="0" fontId="16" fillId="0" borderId="135" xfId="5" applyFont="1" applyBorder="1" applyAlignment="1" applyProtection="1">
      <alignment horizontal="center" vertical="center" wrapText="1" readingOrder="1"/>
      <protection locked="0"/>
    </xf>
    <xf numFmtId="0" fontId="15" fillId="2" borderId="136" xfId="5" applyFont="1" applyFill="1" applyBorder="1" applyAlignment="1" applyProtection="1">
      <alignment horizontal="left" vertical="center" wrapText="1" readingOrder="1"/>
      <protection locked="0"/>
    </xf>
    <xf numFmtId="0" fontId="2" fillId="2" borderId="137" xfId="5" applyFont="1" applyFill="1" applyBorder="1" applyAlignment="1" applyProtection="1">
      <alignment horizontal="left" vertical="center" wrapText="1" readingOrder="1"/>
      <protection locked="0"/>
    </xf>
    <xf numFmtId="0" fontId="2" fillId="2" borderId="138" xfId="5" applyFont="1" applyFill="1" applyBorder="1" applyAlignment="1" applyProtection="1">
      <alignment horizontal="left" vertical="center" wrapText="1" readingOrder="1"/>
      <protection locked="0"/>
    </xf>
    <xf numFmtId="165" fontId="2" fillId="0" borderId="33" xfId="6" applyNumberFormat="1" applyFont="1" applyFill="1" applyBorder="1" applyAlignment="1" applyProtection="1">
      <alignment horizontal="right" vertical="center" wrapText="1" readingOrder="1"/>
      <protection locked="0"/>
    </xf>
    <xf numFmtId="165" fontId="2" fillId="2" borderId="139" xfId="6" applyNumberFormat="1" applyFont="1" applyFill="1" applyBorder="1" applyAlignment="1" applyProtection="1">
      <alignment horizontal="right" vertical="center" wrapText="1" readingOrder="1"/>
      <protection locked="0"/>
    </xf>
    <xf numFmtId="165" fontId="2" fillId="2" borderId="140" xfId="6" applyNumberFormat="1" applyFont="1" applyFill="1" applyBorder="1" applyAlignment="1" applyProtection="1">
      <alignment horizontal="right" vertical="center" wrapText="1" readingOrder="1"/>
      <protection locked="0"/>
    </xf>
    <xf numFmtId="165" fontId="1" fillId="2" borderId="140" xfId="6" applyNumberFormat="1" applyFont="1" applyFill="1" applyBorder="1" applyAlignment="1" applyProtection="1">
      <alignment horizontal="right" vertical="center" wrapText="1" readingOrder="1"/>
      <protection locked="0"/>
    </xf>
    <xf numFmtId="165" fontId="2" fillId="0" borderId="141" xfId="6" applyNumberFormat="1" applyFont="1" applyFill="1" applyBorder="1" applyAlignment="1" applyProtection="1">
      <alignment horizontal="right" vertical="center" wrapText="1" readingOrder="1"/>
      <protection locked="0"/>
    </xf>
    <xf numFmtId="0" fontId="2" fillId="2" borderId="144" xfId="5" applyFont="1" applyFill="1" applyBorder="1" applyAlignment="1" applyProtection="1">
      <alignment horizontal="left" vertical="center" wrapText="1" readingOrder="1"/>
      <protection locked="0"/>
    </xf>
    <xf numFmtId="3" fontId="2" fillId="2" borderId="125" xfId="5" applyNumberFormat="1" applyFont="1" applyFill="1" applyBorder="1" applyAlignment="1" applyProtection="1">
      <alignment horizontal="right" vertical="center" wrapText="1" readingOrder="1"/>
      <protection locked="0"/>
    </xf>
    <xf numFmtId="166" fontId="2" fillId="2" borderId="125" xfId="7" applyNumberFormat="1" applyFont="1" applyFill="1" applyBorder="1" applyAlignment="1" applyProtection="1">
      <alignment horizontal="right" vertical="center" wrapText="1" readingOrder="1"/>
      <protection locked="0"/>
    </xf>
    <xf numFmtId="3" fontId="2" fillId="2" borderId="97" xfId="5" applyNumberFormat="1" applyFont="1" applyFill="1" applyBorder="1" applyAlignment="1" applyProtection="1">
      <alignment horizontal="right" vertical="center" wrapText="1" readingOrder="1"/>
      <protection locked="0"/>
    </xf>
    <xf numFmtId="3" fontId="2" fillId="0" borderId="30" xfId="5" applyNumberFormat="1" applyFont="1" applyBorder="1" applyAlignment="1" applyProtection="1">
      <alignment horizontal="right" vertical="center" wrapText="1" readingOrder="1"/>
      <protection locked="0"/>
    </xf>
    <xf numFmtId="166" fontId="2" fillId="2" borderId="97" xfId="7" applyNumberFormat="1" applyFont="1" applyFill="1" applyBorder="1" applyAlignment="1" applyProtection="1">
      <alignment horizontal="right" vertical="center" wrapText="1" readingOrder="1"/>
      <protection locked="0"/>
    </xf>
    <xf numFmtId="166" fontId="2" fillId="0" borderId="30" xfId="7" applyNumberFormat="1" applyFont="1" applyFill="1" applyBorder="1" applyAlignment="1" applyProtection="1">
      <alignment horizontal="right" vertical="center" wrapText="1" readingOrder="1"/>
      <protection locked="0"/>
    </xf>
    <xf numFmtId="166" fontId="2" fillId="2" borderId="127" xfId="7" applyNumberFormat="1" applyFont="1" applyFill="1" applyBorder="1" applyAlignment="1" applyProtection="1">
      <alignment horizontal="right" vertical="center" wrapText="1" readingOrder="1"/>
      <protection locked="0"/>
    </xf>
    <xf numFmtId="166" fontId="2" fillId="2" borderId="128" xfId="7" applyNumberFormat="1" applyFont="1" applyFill="1" applyBorder="1" applyAlignment="1" applyProtection="1">
      <alignment horizontal="right" vertical="center" wrapText="1" readingOrder="1"/>
      <protection locked="0"/>
    </xf>
    <xf numFmtId="166" fontId="2" fillId="0" borderId="33" xfId="7" applyNumberFormat="1" applyFont="1" applyFill="1" applyBorder="1" applyAlignment="1" applyProtection="1">
      <alignment horizontal="right" vertical="center" wrapText="1" readingOrder="1"/>
      <protection locked="0"/>
    </xf>
    <xf numFmtId="3" fontId="2" fillId="2" borderId="139" xfId="5" applyNumberFormat="1" applyFont="1" applyFill="1" applyBorder="1" applyAlignment="1" applyProtection="1">
      <alignment horizontal="right" vertical="center" wrapText="1" readingOrder="1"/>
      <protection locked="0"/>
    </xf>
    <xf numFmtId="3" fontId="2" fillId="2" borderId="140" xfId="5" applyNumberFormat="1" applyFont="1" applyFill="1" applyBorder="1" applyAlignment="1" applyProtection="1">
      <alignment horizontal="right" vertical="center" wrapText="1" readingOrder="1"/>
      <protection locked="0"/>
    </xf>
    <xf numFmtId="3" fontId="2" fillId="0" borderId="141" xfId="5" applyNumberFormat="1" applyFont="1" applyBorder="1" applyAlignment="1" applyProtection="1">
      <alignment horizontal="right" vertical="center" wrapText="1" readingOrder="1"/>
      <protection locked="0"/>
    </xf>
    <xf numFmtId="0" fontId="1" fillId="2" borderId="4" xfId="0" applyFont="1" applyFill="1" applyBorder="1" applyAlignment="1">
      <alignment vertical="center"/>
    </xf>
    <xf numFmtId="167" fontId="9" fillId="0" borderId="145" xfId="8" applyNumberFormat="1" applyFont="1" applyBorder="1" applyAlignment="1">
      <alignment horizontal="center" vertical="center" wrapText="1"/>
    </xf>
    <xf numFmtId="167" fontId="9" fillId="0" borderId="5" xfId="8" applyNumberFormat="1" applyFont="1" applyBorder="1" applyAlignment="1">
      <alignment horizontal="center" vertical="center" wrapText="1"/>
    </xf>
    <xf numFmtId="168" fontId="10" fillId="2" borderId="28" xfId="6" applyNumberFormat="1" applyFont="1" applyFill="1" applyBorder="1" applyAlignment="1">
      <alignment horizontal="right" vertical="center"/>
    </xf>
    <xf numFmtId="168" fontId="10" fillId="2" borderId="30" xfId="6" applyNumberFormat="1" applyFont="1" applyFill="1" applyBorder="1" applyAlignment="1">
      <alignment horizontal="right" vertical="center"/>
    </xf>
    <xf numFmtId="168" fontId="10" fillId="0" borderId="30" xfId="6" applyNumberFormat="1" applyFont="1" applyFill="1" applyBorder="1" applyAlignment="1">
      <alignment horizontal="right" vertical="center"/>
    </xf>
    <xf numFmtId="168" fontId="10" fillId="0" borderId="33" xfId="6" applyNumberFormat="1" applyFont="1" applyFill="1" applyBorder="1" applyAlignment="1">
      <alignment horizontal="right" vertical="center"/>
    </xf>
    <xf numFmtId="168" fontId="10" fillId="0" borderId="147" xfId="6" applyNumberFormat="1" applyFont="1" applyFill="1" applyBorder="1" applyAlignment="1">
      <alignment horizontal="right" vertical="center"/>
    </xf>
    <xf numFmtId="168" fontId="10" fillId="0" borderId="148" xfId="6" applyNumberFormat="1" applyFont="1" applyFill="1" applyBorder="1" applyAlignment="1">
      <alignment horizontal="right" vertical="center"/>
    </xf>
    <xf numFmtId="168" fontId="10" fillId="0" borderId="149" xfId="6" applyNumberFormat="1" applyFont="1" applyFill="1" applyBorder="1" applyAlignment="1">
      <alignment horizontal="right" vertical="center"/>
    </xf>
    <xf numFmtId="17" fontId="10" fillId="2" borderId="150" xfId="8" applyNumberFormat="1" applyFont="1" applyFill="1" applyBorder="1" applyAlignment="1">
      <alignment horizontal="left" vertical="center"/>
    </xf>
    <xf numFmtId="17" fontId="10" fillId="2" borderId="151" xfId="8" applyNumberFormat="1" applyFont="1" applyFill="1" applyBorder="1" applyAlignment="1">
      <alignment horizontal="left" vertical="center"/>
    </xf>
    <xf numFmtId="17" fontId="1" fillId="2" borderId="151" xfId="8" applyNumberFormat="1" applyFont="1" applyFill="1" applyBorder="1" applyAlignment="1">
      <alignment horizontal="left" vertical="center"/>
    </xf>
    <xf numFmtId="17" fontId="10" fillId="0" borderId="151" xfId="8" applyNumberFormat="1" applyFont="1" applyBorder="1" applyAlignment="1">
      <alignment horizontal="left" vertical="center"/>
    </xf>
    <xf numFmtId="17" fontId="10" fillId="0" borderId="152" xfId="8" applyNumberFormat="1" applyFont="1" applyBorder="1" applyAlignment="1">
      <alignment horizontal="left" vertical="center"/>
    </xf>
    <xf numFmtId="167" fontId="9" fillId="0" borderId="153" xfId="8" applyNumberFormat="1" applyFont="1" applyBorder="1" applyAlignment="1">
      <alignment horizontal="center" vertical="center" wrapText="1"/>
    </xf>
    <xf numFmtId="17" fontId="1" fillId="0" borderId="151" xfId="8" applyNumberFormat="1" applyFont="1" applyBorder="1" applyAlignment="1">
      <alignment horizontal="left" vertical="center"/>
    </xf>
    <xf numFmtId="20" fontId="16" fillId="2" borderId="6" xfId="10" applyNumberFormat="1" applyFont="1" applyFill="1" applyBorder="1" applyAlignment="1">
      <alignment horizontal="center" vertical="center"/>
    </xf>
    <xf numFmtId="168" fontId="2" fillId="2" borderId="126" xfId="10" applyNumberFormat="1" applyFont="1" applyFill="1" applyBorder="1" applyAlignment="1" applyProtection="1">
      <alignment horizontal="right" vertical="center" readingOrder="1"/>
      <protection locked="0"/>
    </xf>
    <xf numFmtId="168" fontId="2" fillId="2" borderId="125" xfId="10" applyNumberFormat="1" applyFont="1" applyFill="1" applyBorder="1" applyAlignment="1" applyProtection="1">
      <alignment horizontal="right" vertical="center" readingOrder="1"/>
      <protection locked="0"/>
    </xf>
    <xf numFmtId="168" fontId="2" fillId="2" borderId="128" xfId="10" applyNumberFormat="1" applyFont="1" applyFill="1" applyBorder="1" applyAlignment="1" applyProtection="1">
      <alignment horizontal="right" vertical="center" readingOrder="1"/>
      <protection locked="0"/>
    </xf>
    <xf numFmtId="0" fontId="9" fillId="2" borderId="1" xfId="9" applyFont="1" applyFill="1" applyBorder="1" applyAlignment="1">
      <alignment horizontal="center" vertical="center" wrapText="1"/>
    </xf>
    <xf numFmtId="0" fontId="9" fillId="2" borderId="6" xfId="9" applyFont="1" applyFill="1" applyBorder="1" applyAlignment="1">
      <alignment horizontal="center" vertical="center" wrapText="1"/>
    </xf>
    <xf numFmtId="0" fontId="9" fillId="2" borderId="7" xfId="9" applyFont="1" applyFill="1" applyBorder="1" applyAlignment="1">
      <alignment horizontal="center" vertical="center" wrapText="1"/>
    </xf>
    <xf numFmtId="3" fontId="10" fillId="2" borderId="35" xfId="0" applyNumberFormat="1" applyFont="1" applyFill="1" applyBorder="1"/>
    <xf numFmtId="3" fontId="10" fillId="2" borderId="11" xfId="0" applyNumberFormat="1" applyFont="1" applyFill="1" applyBorder="1"/>
    <xf numFmtId="166" fontId="10" fillId="2" borderId="12" xfId="0" applyNumberFormat="1" applyFont="1" applyFill="1" applyBorder="1"/>
    <xf numFmtId="3" fontId="10" fillId="2" borderId="36" xfId="0" applyNumberFormat="1" applyFont="1" applyFill="1" applyBorder="1"/>
    <xf numFmtId="3" fontId="10" fillId="2" borderId="23" xfId="0" applyNumberFormat="1" applyFont="1" applyFill="1" applyBorder="1"/>
    <xf numFmtId="166" fontId="10" fillId="2" borderId="24" xfId="0" applyNumberFormat="1" applyFont="1" applyFill="1" applyBorder="1"/>
    <xf numFmtId="3" fontId="10" fillId="2" borderId="25" xfId="0" applyNumberFormat="1" applyFont="1" applyFill="1" applyBorder="1"/>
    <xf numFmtId="166" fontId="10" fillId="2" borderId="14" xfId="0" applyNumberFormat="1" applyFont="1" applyFill="1" applyBorder="1"/>
    <xf numFmtId="20" fontId="16" fillId="2" borderId="1" xfId="10" applyNumberFormat="1" applyFont="1" applyFill="1" applyBorder="1" applyAlignment="1">
      <alignment horizontal="center" vertical="center"/>
    </xf>
    <xf numFmtId="20" fontId="16" fillId="2" borderId="37" xfId="10" applyNumberFormat="1" applyFont="1" applyFill="1" applyBorder="1" applyAlignment="1">
      <alignment horizontal="center" vertical="center"/>
    </xf>
    <xf numFmtId="3" fontId="1" fillId="2" borderId="11" xfId="10" applyNumberFormat="1" applyFont="1" applyFill="1" applyBorder="1" applyAlignment="1">
      <alignment horizontal="right" vertical="center"/>
    </xf>
    <xf numFmtId="3" fontId="1" fillId="2" borderId="142" xfId="10" applyNumberFormat="1" applyFont="1" applyFill="1" applyBorder="1" applyAlignment="1">
      <alignment horizontal="right" vertical="center"/>
    </xf>
    <xf numFmtId="3" fontId="1" fillId="2" borderId="38" xfId="10" applyNumberFormat="1" applyFont="1" applyFill="1" applyBorder="1" applyAlignment="1">
      <alignment horizontal="right" vertical="center"/>
    </xf>
    <xf numFmtId="3" fontId="1" fillId="2" borderId="16" xfId="10" applyNumberFormat="1" applyFont="1" applyFill="1" applyBorder="1" applyAlignment="1">
      <alignment horizontal="right" vertical="center"/>
    </xf>
    <xf numFmtId="3" fontId="1" fillId="2" borderId="143" xfId="10" applyNumberFormat="1" applyFont="1" applyFill="1" applyBorder="1" applyAlignment="1">
      <alignment horizontal="right" vertical="center"/>
    </xf>
    <xf numFmtId="3" fontId="1" fillId="2" borderId="39" xfId="10" applyNumberFormat="1" applyFont="1" applyFill="1" applyBorder="1" applyAlignment="1">
      <alignment horizontal="right" vertical="center"/>
    </xf>
    <xf numFmtId="166" fontId="2" fillId="2" borderId="40" xfId="7" applyNumberFormat="1" applyFont="1" applyFill="1" applyBorder="1" applyAlignment="1" applyProtection="1">
      <alignment horizontal="right" vertical="center" wrapText="1" readingOrder="1"/>
      <protection locked="0"/>
    </xf>
    <xf numFmtId="0" fontId="2" fillId="0" borderId="154" xfId="0" applyFont="1" applyBorder="1" applyAlignment="1" applyProtection="1">
      <alignment vertical="top" wrapText="1" readingOrder="1"/>
      <protection locked="0"/>
    </xf>
    <xf numFmtId="3" fontId="16" fillId="0" borderId="155" xfId="6" applyNumberFormat="1" applyFont="1" applyBorder="1" applyAlignment="1" applyProtection="1">
      <alignment horizontal="right" vertical="center" wrapText="1" readingOrder="1"/>
      <protection locked="0"/>
    </xf>
    <xf numFmtId="3" fontId="16" fillId="0" borderId="156" xfId="6" applyNumberFormat="1" applyFont="1" applyBorder="1" applyAlignment="1" applyProtection="1">
      <alignment horizontal="right" vertical="center" wrapText="1" readingOrder="1"/>
      <protection locked="0"/>
    </xf>
    <xf numFmtId="0" fontId="16" fillId="0" borderId="158" xfId="5" applyFont="1" applyBorder="1" applyAlignment="1" applyProtection="1">
      <alignment horizontal="center" vertical="center" wrapText="1" readingOrder="1"/>
      <protection locked="0"/>
    </xf>
    <xf numFmtId="0" fontId="16" fillId="0" borderId="159" xfId="5" applyFont="1" applyBorder="1" applyAlignment="1" applyProtection="1">
      <alignment horizontal="center" vertical="center" wrapText="1" readingOrder="1"/>
      <protection locked="0"/>
    </xf>
    <xf numFmtId="0" fontId="16" fillId="0" borderId="18" xfId="5" applyFont="1" applyBorder="1" applyAlignment="1" applyProtection="1">
      <alignment horizontal="center" vertical="center" wrapText="1" readingOrder="1"/>
      <protection locked="0"/>
    </xf>
    <xf numFmtId="0" fontId="16" fillId="0" borderId="59" xfId="5" applyFont="1" applyBorder="1" applyAlignment="1" applyProtection="1">
      <alignment horizontal="center" vertical="center" wrapText="1" readingOrder="1"/>
      <protection locked="0"/>
    </xf>
    <xf numFmtId="0" fontId="16" fillId="0" borderId="161" xfId="5" applyFont="1" applyBorder="1" applyAlignment="1" applyProtection="1">
      <alignment horizontal="center" vertical="center" wrapText="1" readingOrder="1"/>
      <protection locked="0"/>
    </xf>
    <xf numFmtId="3" fontId="7" fillId="0" borderId="0" xfId="4" applyNumberFormat="1" applyFont="1"/>
    <xf numFmtId="3" fontId="8" fillId="0" borderId="0" xfId="4" applyNumberFormat="1" applyFont="1" applyAlignment="1">
      <alignment vertical="top" wrapText="1" readingOrder="1"/>
    </xf>
    <xf numFmtId="0" fontId="27" fillId="4" borderId="95" xfId="0" applyFont="1" applyFill="1" applyBorder="1"/>
    <xf numFmtId="0" fontId="28" fillId="4" borderId="162" xfId="0" applyFont="1" applyFill="1" applyBorder="1"/>
    <xf numFmtId="3" fontId="2" fillId="4" borderId="87" xfId="6" applyNumberFormat="1" applyFont="1" applyFill="1" applyBorder="1" applyAlignment="1" applyProtection="1">
      <alignment horizontal="right" vertical="top" wrapText="1" readingOrder="1"/>
      <protection locked="0"/>
    </xf>
    <xf numFmtId="3" fontId="2" fillId="4" borderId="91" xfId="6" applyNumberFormat="1" applyFont="1" applyFill="1" applyBorder="1" applyAlignment="1" applyProtection="1">
      <alignment horizontal="right" vertical="top" wrapText="1" readingOrder="1"/>
      <protection locked="0"/>
    </xf>
    <xf numFmtId="10" fontId="20" fillId="4" borderId="89" xfId="11" applyNumberFormat="1" applyFont="1" applyFill="1" applyBorder="1" applyAlignment="1" applyProtection="1">
      <alignment horizontal="right" vertical="top" wrapText="1" readingOrder="1"/>
      <protection locked="0"/>
    </xf>
    <xf numFmtId="0" fontId="3" fillId="0" borderId="0" xfId="2" applyFill="1" applyBorder="1" applyAlignment="1">
      <alignment vertical="center"/>
    </xf>
    <xf numFmtId="0" fontId="13" fillId="3" borderId="0" xfId="1" applyFont="1" applyFill="1" applyAlignment="1">
      <alignment vertical="center"/>
    </xf>
    <xf numFmtId="0" fontId="2" fillId="4" borderId="90" xfId="6" applyNumberFormat="1" applyFont="1" applyFill="1" applyBorder="1" applyAlignment="1" applyProtection="1">
      <alignment horizontal="right" vertical="top" wrapText="1" readingOrder="1"/>
      <protection locked="0"/>
    </xf>
    <xf numFmtId="0" fontId="2" fillId="0" borderId="96" xfId="6" applyNumberFormat="1" applyFont="1" applyFill="1" applyBorder="1" applyAlignment="1" applyProtection="1">
      <alignment horizontal="right" vertical="top" wrapText="1" readingOrder="1"/>
      <protection locked="0"/>
    </xf>
    <xf numFmtId="0" fontId="2" fillId="0" borderId="111" xfId="6" applyNumberFormat="1" applyFont="1" applyBorder="1" applyAlignment="1" applyProtection="1">
      <alignment horizontal="right" vertical="top" wrapText="1" readingOrder="1"/>
      <protection locked="0"/>
    </xf>
    <xf numFmtId="0" fontId="2" fillId="0" borderId="163" xfId="6" applyNumberFormat="1" applyFont="1" applyFill="1" applyBorder="1" applyAlignment="1" applyProtection="1">
      <alignment horizontal="right" vertical="top" wrapText="1" readingOrder="1"/>
      <protection locked="0"/>
    </xf>
    <xf numFmtId="0" fontId="2" fillId="0" borderId="164" xfId="6" applyNumberFormat="1" applyFont="1" applyFill="1" applyBorder="1" applyAlignment="1" applyProtection="1">
      <alignment horizontal="right" vertical="top" wrapText="1" readingOrder="1"/>
      <protection locked="0"/>
    </xf>
    <xf numFmtId="0" fontId="2" fillId="0" borderId="165" xfId="6" applyNumberFormat="1" applyFont="1" applyFill="1" applyBorder="1" applyAlignment="1" applyProtection="1">
      <alignment horizontal="right" vertical="top" wrapText="1" readingOrder="1"/>
      <protection locked="0"/>
    </xf>
    <xf numFmtId="0" fontId="2" fillId="0" borderId="99" xfId="6" applyNumberFormat="1" applyFont="1" applyFill="1" applyBorder="1" applyAlignment="1" applyProtection="1">
      <alignment horizontal="right" vertical="top" wrapText="1" readingOrder="1"/>
      <protection locked="0"/>
    </xf>
    <xf numFmtId="3" fontId="2" fillId="0" borderId="105" xfId="6" applyNumberFormat="1" applyFont="1" applyFill="1" applyBorder="1" applyAlignment="1" applyProtection="1">
      <alignment horizontal="right" vertical="top" wrapText="1" readingOrder="1"/>
      <protection locked="0"/>
    </xf>
    <xf numFmtId="3" fontId="2" fillId="0" borderId="106" xfId="6" applyNumberFormat="1" applyFont="1" applyFill="1" applyBorder="1" applyAlignment="1" applyProtection="1">
      <alignment horizontal="right" vertical="top" wrapText="1" readingOrder="1"/>
      <protection locked="0"/>
    </xf>
    <xf numFmtId="3" fontId="2" fillId="0" borderId="167" xfId="6" applyNumberFormat="1" applyFont="1" applyFill="1" applyBorder="1" applyAlignment="1" applyProtection="1">
      <alignment horizontal="right" vertical="top" wrapText="1" readingOrder="1"/>
      <protection locked="0"/>
    </xf>
    <xf numFmtId="3" fontId="2" fillId="0" borderId="168" xfId="6" applyNumberFormat="1" applyFont="1" applyFill="1" applyBorder="1" applyAlignment="1" applyProtection="1">
      <alignment horizontal="right" vertical="top" wrapText="1" readingOrder="1"/>
      <protection locked="0"/>
    </xf>
    <xf numFmtId="0" fontId="2" fillId="4" borderId="125" xfId="6" applyNumberFormat="1" applyFont="1" applyFill="1" applyBorder="1" applyAlignment="1" applyProtection="1">
      <alignment horizontal="right" vertical="top" wrapText="1" readingOrder="1"/>
      <protection locked="0"/>
    </xf>
    <xf numFmtId="3" fontId="2" fillId="0" borderId="125" xfId="6" applyNumberFormat="1" applyFont="1" applyFill="1" applyBorder="1" applyAlignment="1" applyProtection="1">
      <alignment horizontal="right" vertical="top" wrapText="1" readingOrder="1"/>
      <protection locked="0"/>
    </xf>
    <xf numFmtId="0" fontId="30" fillId="4" borderId="166" xfId="14" applyNumberFormat="1" applyFont="1" applyFill="1" applyBorder="1"/>
    <xf numFmtId="0" fontId="1" fillId="0" borderId="0" xfId="0" applyFont="1" applyAlignment="1" applyProtection="1">
      <alignment vertical="center"/>
      <protection locked="0"/>
    </xf>
    <xf numFmtId="0" fontId="1" fillId="0" borderId="0" xfId="1"/>
    <xf numFmtId="0" fontId="1" fillId="0" borderId="0" xfId="0" applyFont="1" applyAlignment="1">
      <alignment horizontal="left" vertical="top" wrapText="1"/>
    </xf>
    <xf numFmtId="0" fontId="2" fillId="0" borderId="0" xfId="1" applyFont="1" applyAlignment="1" applyProtection="1">
      <alignment vertical="top" wrapText="1" readingOrder="1"/>
      <protection locked="0"/>
    </xf>
    <xf numFmtId="0" fontId="2" fillId="0" borderId="0" xfId="0" applyFont="1" applyAlignment="1" applyProtection="1">
      <alignment horizontal="left" vertical="top" wrapText="1" readingOrder="1"/>
      <protection locked="0"/>
    </xf>
    <xf numFmtId="0" fontId="11" fillId="2" borderId="0" xfId="0" applyFont="1" applyFill="1"/>
    <xf numFmtId="0" fontId="30" fillId="0" borderId="0" xfId="0" applyFont="1" applyAlignment="1">
      <alignment horizontal="left"/>
    </xf>
    <xf numFmtId="0" fontId="12" fillId="0" borderId="0" xfId="0" applyFont="1" applyAlignment="1" applyProtection="1">
      <alignment horizontal="left" vertical="top" wrapText="1" readingOrder="1"/>
      <protection locked="0"/>
    </xf>
    <xf numFmtId="0" fontId="30" fillId="0" borderId="0" xfId="0" applyFont="1" applyAlignment="1">
      <alignment horizontal="left" wrapText="1"/>
    </xf>
    <xf numFmtId="0" fontId="23" fillId="0" borderId="0" xfId="0" applyFont="1" applyAlignment="1">
      <alignment horizontal="left" wrapText="1"/>
    </xf>
    <xf numFmtId="0" fontId="7" fillId="0" borderId="0" xfId="4" applyFont="1" applyAlignment="1">
      <alignment horizontal="center"/>
    </xf>
    <xf numFmtId="0" fontId="13" fillId="3" borderId="0" xfId="1" applyFont="1" applyFill="1" applyAlignment="1">
      <alignment horizontal="left" vertical="top"/>
    </xf>
    <xf numFmtId="0" fontId="2" fillId="2" borderId="0" xfId="0" applyFont="1" applyFill="1" applyAlignment="1" applyProtection="1">
      <alignment horizontal="left" vertical="top" wrapText="1" readingOrder="1"/>
      <protection locked="0"/>
    </xf>
    <xf numFmtId="0" fontId="3" fillId="0" borderId="0" xfId="2" applyFill="1" applyBorder="1" applyAlignment="1" applyProtection="1">
      <alignment horizontal="left" vertical="top" wrapText="1" readingOrder="1"/>
      <protection locked="0"/>
    </xf>
    <xf numFmtId="0" fontId="3" fillId="2" borderId="0" xfId="2" applyFill="1" applyAlignment="1" applyProtection="1">
      <alignment horizontal="left" vertical="top" wrapText="1" readingOrder="1"/>
      <protection locked="0"/>
    </xf>
    <xf numFmtId="0" fontId="8" fillId="0" borderId="0" xfId="4" applyFont="1" applyAlignment="1">
      <alignment vertical="top" wrapText="1" readingOrder="1"/>
    </xf>
    <xf numFmtId="0" fontId="7" fillId="0" borderId="0" xfId="4" applyFont="1"/>
    <xf numFmtId="0" fontId="2" fillId="2" borderId="0" xfId="5" applyFont="1" applyFill="1" applyAlignment="1" applyProtection="1">
      <alignment horizontal="left" vertical="top" wrapText="1" readingOrder="1"/>
      <protection locked="0"/>
    </xf>
    <xf numFmtId="0" fontId="3" fillId="2" borderId="0" xfId="3" applyFont="1" applyFill="1" applyAlignment="1" applyProtection="1">
      <alignment horizontal="left" vertical="top" wrapText="1" readingOrder="1"/>
      <protection locked="0"/>
    </xf>
    <xf numFmtId="0" fontId="13" fillId="3" borderId="0" xfId="1" applyFont="1" applyFill="1" applyAlignment="1">
      <alignment horizontal="left" vertical="center"/>
    </xf>
    <xf numFmtId="0" fontId="1" fillId="3" borderId="0" xfId="1" applyFill="1" applyAlignment="1">
      <alignment horizontal="left" vertical="top" wrapText="1"/>
    </xf>
    <xf numFmtId="0" fontId="13" fillId="3" borderId="0" xfId="1" applyFont="1" applyFill="1" applyAlignment="1">
      <alignment horizontal="left" vertical="center" wrapText="1"/>
    </xf>
    <xf numFmtId="0" fontId="9" fillId="0" borderId="34" xfId="9" applyFont="1" applyBorder="1" applyAlignment="1">
      <alignment horizontal="center"/>
    </xf>
    <xf numFmtId="0" fontId="9" fillId="0" borderId="1" xfId="9" applyFont="1" applyBorder="1" applyAlignment="1">
      <alignment horizontal="center"/>
    </xf>
    <xf numFmtId="0" fontId="9" fillId="0" borderId="2" xfId="9" applyFont="1" applyBorder="1" applyAlignment="1">
      <alignment horizontal="center"/>
    </xf>
    <xf numFmtId="0" fontId="9" fillId="2" borderId="34" xfId="9" applyFont="1" applyFill="1" applyBorder="1" applyAlignment="1">
      <alignment horizontal="center"/>
    </xf>
    <xf numFmtId="0" fontId="9" fillId="2" borderId="1" xfId="9" applyFont="1" applyFill="1" applyBorder="1" applyAlignment="1">
      <alignment horizontal="center"/>
    </xf>
    <xf numFmtId="0" fontId="9" fillId="2" borderId="2" xfId="9" applyFont="1" applyFill="1" applyBorder="1" applyAlignment="1">
      <alignment horizontal="center"/>
    </xf>
    <xf numFmtId="0" fontId="15" fillId="0" borderId="34" xfId="0" applyFont="1" applyBorder="1" applyAlignment="1" applyProtection="1">
      <alignment horizontal="center" vertical="center" readingOrder="1"/>
      <protection locked="0"/>
    </xf>
    <xf numFmtId="0" fontId="15" fillId="0" borderId="1" xfId="0" applyFont="1" applyBorder="1" applyAlignment="1" applyProtection="1">
      <alignment horizontal="center" vertical="center" readingOrder="1"/>
      <protection locked="0"/>
    </xf>
    <xf numFmtId="0" fontId="15" fillId="0" borderId="2" xfId="0" applyFont="1" applyBorder="1" applyAlignment="1" applyProtection="1">
      <alignment horizontal="center" vertical="center" readingOrder="1"/>
      <protection locked="0"/>
    </xf>
    <xf numFmtId="0" fontId="15" fillId="0" borderId="58" xfId="0" applyFont="1" applyBorder="1" applyAlignment="1" applyProtection="1">
      <alignment horizontal="center" vertical="center" readingOrder="1"/>
      <protection locked="0"/>
    </xf>
    <xf numFmtId="0" fontId="15" fillId="0" borderId="34" xfId="1" applyFont="1" applyBorder="1" applyAlignment="1" applyProtection="1">
      <alignment horizontal="center" vertical="center" readingOrder="1"/>
      <protection locked="0"/>
    </xf>
    <xf numFmtId="0" fontId="15" fillId="0" borderId="2" xfId="1" applyFont="1" applyBorder="1" applyAlignment="1" applyProtection="1">
      <alignment horizontal="center" vertical="center" readingOrder="1"/>
      <protection locked="0"/>
    </xf>
    <xf numFmtId="0" fontId="15" fillId="0" borderId="153" xfId="1" applyFont="1" applyBorder="1" applyAlignment="1" applyProtection="1">
      <alignment horizontal="center" vertical="center" readingOrder="1"/>
      <protection locked="0"/>
    </xf>
    <xf numFmtId="0" fontId="15" fillId="0" borderId="157" xfId="1" applyFont="1" applyBorder="1" applyAlignment="1" applyProtection="1">
      <alignment horizontal="center" vertical="center" readingOrder="1"/>
      <protection locked="0"/>
    </xf>
    <xf numFmtId="0" fontId="15" fillId="0" borderId="160" xfId="1" applyFont="1" applyBorder="1" applyAlignment="1" applyProtection="1">
      <alignment horizontal="center" vertical="center" readingOrder="1"/>
      <protection locked="0"/>
    </xf>
    <xf numFmtId="0" fontId="15" fillId="0" borderId="146" xfId="1" applyFont="1" applyBorder="1" applyAlignment="1" applyProtection="1">
      <alignment horizontal="center" vertical="center" readingOrder="1"/>
      <protection locked="0"/>
    </xf>
    <xf numFmtId="0" fontId="13" fillId="0" borderId="0" xfId="1" applyFont="1" applyAlignment="1" applyProtection="1">
      <alignment horizontal="left" vertical="top" wrapText="1" readingOrder="1"/>
      <protection locked="0"/>
    </xf>
    <xf numFmtId="0" fontId="20" fillId="0" borderId="0" xfId="1" applyFont="1" applyAlignment="1" applyProtection="1">
      <alignment vertical="top" wrapText="1" readingOrder="1"/>
      <protection locked="0"/>
    </xf>
    <xf numFmtId="0" fontId="15" fillId="0" borderId="68" xfId="5" applyFont="1" applyBorder="1" applyAlignment="1" applyProtection="1">
      <alignment horizontal="center" vertical="top" readingOrder="1"/>
      <protection locked="0"/>
    </xf>
    <xf numFmtId="0" fontId="15" fillId="0" borderId="69" xfId="5" applyFont="1" applyBorder="1" applyAlignment="1" applyProtection="1">
      <alignment horizontal="center" vertical="top" readingOrder="1"/>
      <protection locked="0"/>
    </xf>
    <xf numFmtId="0" fontId="15" fillId="0" borderId="60" xfId="5" applyFont="1" applyBorder="1" applyAlignment="1" applyProtection="1">
      <alignment horizontal="center" vertical="top" readingOrder="1"/>
      <protection locked="0"/>
    </xf>
    <xf numFmtId="0" fontId="1" fillId="4" borderId="0" xfId="0" applyFont="1" applyFill="1" applyAlignment="1">
      <alignment horizontal="left" vertical="top" wrapText="1"/>
    </xf>
    <xf numFmtId="3" fontId="8" fillId="0" borderId="0" xfId="4" applyNumberFormat="1" applyFont="1" applyAlignment="1">
      <alignment vertical="top" wrapText="1" readingOrder="1"/>
    </xf>
    <xf numFmtId="0" fontId="1" fillId="0" borderId="0" xfId="1" applyAlignment="1" applyProtection="1">
      <alignment horizontal="left" vertical="top" wrapText="1" readingOrder="1"/>
      <protection locked="0"/>
    </xf>
    <xf numFmtId="0" fontId="1" fillId="0" borderId="0" xfId="5" applyAlignment="1" applyProtection="1">
      <alignment horizontal="left" vertical="top" wrapText="1" readingOrder="1"/>
      <protection locked="0"/>
    </xf>
  </cellXfs>
  <cellStyles count="15">
    <cellStyle name="Comma" xfId="14" builtinId="3"/>
    <cellStyle name="Comma 11" xfId="6" xr:uid="{B300955D-EFCB-4B92-9251-7050AC2798BD}"/>
    <cellStyle name="Comma 13" xfId="10" xr:uid="{299F7C23-8685-4B78-8055-22CB4F6C4534}"/>
    <cellStyle name="Comma 2" xfId="12" xr:uid="{4955F945-09EC-4ECA-BFA9-A231B489731D}"/>
    <cellStyle name="Hyperlink" xfId="3" builtinId="8"/>
    <cellStyle name="Hyperlink 2" xfId="2" xr:uid="{8DCDB2A9-1F84-4B2A-8BAC-3F323847B518}"/>
    <cellStyle name="Normal" xfId="0" builtinId="0"/>
    <cellStyle name="Normal 14" xfId="9" xr:uid="{E58F1BE5-C2BA-4A1E-B43F-F6BC4BEE37C0}"/>
    <cellStyle name="Normal 2" xfId="1" xr:uid="{71EC6003-6F5B-4C4A-85F8-4D1FCA86E96B}"/>
    <cellStyle name="Normal 2 2 2" xfId="5" xr:uid="{B4DC9BA2-7974-4E49-A284-C4B52DD9B154}"/>
    <cellStyle name="Normal 2 3" xfId="13" xr:uid="{74E66FA5-1D2B-4EC3-B17B-B6F55EB013F5}"/>
    <cellStyle name="Normal 2 5" xfId="8" xr:uid="{98BF7B50-E7E1-4108-B6E4-9968EB0FA1BB}"/>
    <cellStyle name="Normal 3" xfId="4" xr:uid="{CC2DD93E-73F5-4828-9AF9-096E34FA2D9E}"/>
    <cellStyle name="Percent" xfId="11" builtinId="5"/>
    <cellStyle name="Percent 11" xfId="7" xr:uid="{E8605077-C7F3-427A-82F5-879DCCE7E7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0</xdr:col>
      <xdr:colOff>1076325</xdr:colOff>
      <xdr:row>0</xdr:row>
      <xdr:rowOff>1002197</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076325" cy="1002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3543301</xdr:colOff>
      <xdr:row>0</xdr:row>
      <xdr:rowOff>0</xdr:rowOff>
    </xdr:from>
    <xdr:to>
      <xdr:col>1</xdr:col>
      <xdr:colOff>4974591</xdr:colOff>
      <xdr:row>1</xdr:row>
      <xdr:rowOff>63977</xdr:rowOff>
    </xdr:to>
    <xdr:pic>
      <xdr:nvPicPr>
        <xdr:cNvPr id="4" name="Picture 3" descr="NHS England logo">
          <a:extLst>
            <a:ext uri="{FF2B5EF4-FFF2-40B4-BE49-F238E27FC236}">
              <a16:creationId xmlns:a16="http://schemas.microsoft.com/office/drawing/2014/main" id="{73CE9012-000F-45B3-8BED-88401DFCE1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632" r="20287"/>
        <a:stretch/>
      </xdr:blipFill>
      <xdr:spPr>
        <a:xfrm>
          <a:off x="5343526" y="0"/>
          <a:ext cx="1444625" cy="1129507"/>
        </a:xfrm>
        <a:prstGeom prst="rect">
          <a:avLst/>
        </a:prstGeom>
      </xdr:spPr>
    </xdr:pic>
    <xdr:clientData/>
  </xdr:twoCellAnchor>
  <xdr:twoCellAnchor>
    <xdr:from>
      <xdr:col>0</xdr:col>
      <xdr:colOff>2</xdr:colOff>
      <xdr:row>38</xdr:row>
      <xdr:rowOff>0</xdr:rowOff>
    </xdr:from>
    <xdr:to>
      <xdr:col>0</xdr:col>
      <xdr:colOff>1247776</xdr:colOff>
      <xdr:row>38</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 y="8791575"/>
          <a:ext cx="1247774"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350520</xdr:colOff>
      <xdr:row>0</xdr:row>
      <xdr:rowOff>1066165</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7482840" y="0"/>
          <a:ext cx="1059180" cy="1066165"/>
        </a:xfrm>
        <a:prstGeom prst="rect">
          <a:avLst/>
        </a:prstGeom>
      </xdr:spPr>
    </xdr:pic>
    <xdr:clientData/>
  </xdr:twoCellAnchor>
  <xdr:twoCellAnchor editAs="oneCell">
    <xdr:from>
      <xdr:col>0</xdr:col>
      <xdr:colOff>0</xdr:colOff>
      <xdr:row>0</xdr:row>
      <xdr:rowOff>9525</xdr:rowOff>
    </xdr:from>
    <xdr:to>
      <xdr:col>1</xdr:col>
      <xdr:colOff>96520</xdr:colOff>
      <xdr:row>1</xdr:row>
      <xdr:rowOff>75407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0F65456F-FA3B-4EDA-A1B5-9566F96A8818}"/>
            </a:ext>
          </a:extLst>
        </xdr:cNvPr>
        <xdr:cNvPicPr/>
      </xdr:nvPicPr>
      <xdr:blipFill>
        <a:blip xmlns:r="http://schemas.openxmlformats.org/officeDocument/2006/relationships" r:embed="rId1" cstate="print"/>
        <a:stretch>
          <a:fillRect/>
        </a:stretch>
      </xdr:blipFill>
      <xdr:spPr>
        <a:xfrm>
          <a:off x="7101840" y="0"/>
          <a:ext cx="990600" cy="1066165"/>
        </a:xfrm>
        <a:prstGeom prst="rect">
          <a:avLst/>
        </a:prstGeom>
      </xdr:spPr>
    </xdr:pic>
    <xdr:clientData/>
  </xdr:twoCellAnchor>
  <xdr:twoCellAnchor editAs="oneCell">
    <xdr:from>
      <xdr:col>0</xdr:col>
      <xdr:colOff>0</xdr:colOff>
      <xdr:row>0</xdr:row>
      <xdr:rowOff>9525</xdr:rowOff>
    </xdr:from>
    <xdr:to>
      <xdr:col>1</xdr:col>
      <xdr:colOff>161925</xdr:colOff>
      <xdr:row>1</xdr:row>
      <xdr:rowOff>75407</xdr:rowOff>
    </xdr:to>
    <xdr:pic>
      <xdr:nvPicPr>
        <xdr:cNvPr id="3" name="Picture 2" descr="NHS England logo">
          <a:extLst>
            <a:ext uri="{FF2B5EF4-FFF2-40B4-BE49-F238E27FC236}">
              <a16:creationId xmlns:a16="http://schemas.microsoft.com/office/drawing/2014/main" id="{26A4AC3C-6A66-4632-A218-694567736C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2065"/>
          <a:ext cx="1152525" cy="11301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A1B1EB4C-80DD-4ED4-B1B5-5888C3428D9B}"/>
            </a:ext>
          </a:extLst>
        </xdr:cNvPr>
        <xdr:cNvPicPr/>
      </xdr:nvPicPr>
      <xdr:blipFill>
        <a:blip xmlns:r="http://schemas.openxmlformats.org/officeDocument/2006/relationships" r:embed="rId1" cstate="print"/>
        <a:stretch>
          <a:fillRect/>
        </a:stretch>
      </xdr:blipFill>
      <xdr:spPr>
        <a:xfrm>
          <a:off x="5562600" y="0"/>
          <a:ext cx="1005840" cy="1066165"/>
        </a:xfrm>
        <a:prstGeom prst="rect">
          <a:avLst/>
        </a:prstGeom>
      </xdr:spPr>
    </xdr:pic>
    <xdr:clientData/>
  </xdr:twoCellAnchor>
  <xdr:twoCellAnchor editAs="oneCell">
    <xdr:from>
      <xdr:col>0</xdr:col>
      <xdr:colOff>0</xdr:colOff>
      <xdr:row>0</xdr:row>
      <xdr:rowOff>9525</xdr:rowOff>
    </xdr:from>
    <xdr:to>
      <xdr:col>0</xdr:col>
      <xdr:colOff>1190625</xdr:colOff>
      <xdr:row>1</xdr:row>
      <xdr:rowOff>75407</xdr:rowOff>
    </xdr:to>
    <xdr:pic>
      <xdr:nvPicPr>
        <xdr:cNvPr id="3" name="Picture 2" descr="NHS England logo">
          <a:extLst>
            <a:ext uri="{FF2B5EF4-FFF2-40B4-BE49-F238E27FC236}">
              <a16:creationId xmlns:a16="http://schemas.microsoft.com/office/drawing/2014/main" id="{E66A0F84-6CC2-48AF-829E-05568BFA61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CBE449D8-C5E3-4DC4-806F-A4D9112E1832}"/>
            </a:ext>
          </a:extLst>
        </xdr:cNvPr>
        <xdr:cNvPicPr/>
      </xdr:nvPicPr>
      <xdr:blipFill>
        <a:blip xmlns:r="http://schemas.openxmlformats.org/officeDocument/2006/relationships" r:embed="rId1" cstate="print"/>
        <a:stretch>
          <a:fillRect/>
        </a:stretch>
      </xdr:blipFill>
      <xdr:spPr>
        <a:xfrm>
          <a:off x="6562725" y="0"/>
          <a:ext cx="1005840" cy="1066165"/>
        </a:xfrm>
        <a:prstGeom prst="rect">
          <a:avLst/>
        </a:prstGeom>
      </xdr:spPr>
    </xdr:pic>
    <xdr:clientData/>
  </xdr:twoCellAnchor>
  <xdr:twoCellAnchor editAs="oneCell">
    <xdr:from>
      <xdr:col>0</xdr:col>
      <xdr:colOff>0</xdr:colOff>
      <xdr:row>0</xdr:row>
      <xdr:rowOff>9525</xdr:rowOff>
    </xdr:from>
    <xdr:to>
      <xdr:col>0</xdr:col>
      <xdr:colOff>1190625</xdr:colOff>
      <xdr:row>1</xdr:row>
      <xdr:rowOff>75407</xdr:rowOff>
    </xdr:to>
    <xdr:pic>
      <xdr:nvPicPr>
        <xdr:cNvPr id="3" name="Picture 2" descr="NHS England logo">
          <a:extLst>
            <a:ext uri="{FF2B5EF4-FFF2-40B4-BE49-F238E27FC236}">
              <a16:creationId xmlns:a16="http://schemas.microsoft.com/office/drawing/2014/main" id="{90C06F5A-852B-47BD-9DEC-475B6763F0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F7F05D58-DC8E-4905-AB10-235EADE7F687}"/>
            </a:ext>
          </a:extLst>
        </xdr:cNvPr>
        <xdr:cNvPicPr/>
      </xdr:nvPicPr>
      <xdr:blipFill>
        <a:blip xmlns:r="http://schemas.openxmlformats.org/officeDocument/2006/relationships" r:embed="rId1" cstate="print"/>
        <a:stretch>
          <a:fillRect/>
        </a:stretch>
      </xdr:blipFill>
      <xdr:spPr>
        <a:xfrm>
          <a:off x="6915150" y="0"/>
          <a:ext cx="1005840" cy="1066165"/>
        </a:xfrm>
        <a:prstGeom prst="rect">
          <a:avLst/>
        </a:prstGeom>
      </xdr:spPr>
    </xdr:pic>
    <xdr:clientData/>
  </xdr:twoCellAnchor>
  <xdr:twoCellAnchor editAs="oneCell">
    <xdr:from>
      <xdr:col>0</xdr:col>
      <xdr:colOff>0</xdr:colOff>
      <xdr:row>0</xdr:row>
      <xdr:rowOff>9525</xdr:rowOff>
    </xdr:from>
    <xdr:to>
      <xdr:col>0</xdr:col>
      <xdr:colOff>1190625</xdr:colOff>
      <xdr:row>1</xdr:row>
      <xdr:rowOff>75407</xdr:rowOff>
    </xdr:to>
    <xdr:pic>
      <xdr:nvPicPr>
        <xdr:cNvPr id="3" name="Picture 2" descr="NHS England logo">
          <a:extLst>
            <a:ext uri="{FF2B5EF4-FFF2-40B4-BE49-F238E27FC236}">
              <a16:creationId xmlns:a16="http://schemas.microsoft.com/office/drawing/2014/main" id="{077FDC45-C978-42E1-9E8B-FD26604EBC1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7D9FA744-1452-4A5B-8BA0-A6398445520A}"/>
            </a:ext>
          </a:extLst>
        </xdr:cNvPr>
        <xdr:cNvPicPr/>
      </xdr:nvPicPr>
      <xdr:blipFill>
        <a:blip xmlns:r="http://schemas.openxmlformats.org/officeDocument/2006/relationships" r:embed="rId1" cstate="print"/>
        <a:stretch>
          <a:fillRect/>
        </a:stretch>
      </xdr:blipFill>
      <xdr:spPr>
        <a:xfrm>
          <a:off x="6915150" y="0"/>
          <a:ext cx="1005840" cy="1066165"/>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B36743A0-E45C-445E-B443-C780D4A62E1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A02E60E5-6B40-4C7D-B8E7-1C92DD0B04D0}"/>
            </a:ext>
          </a:extLst>
        </xdr:cNvPr>
        <xdr:cNvPicPr/>
      </xdr:nvPicPr>
      <xdr:blipFill>
        <a:blip xmlns:r="http://schemas.openxmlformats.org/officeDocument/2006/relationships" r:embed="rId1" cstate="print"/>
        <a:stretch>
          <a:fillRect/>
        </a:stretch>
      </xdr:blipFill>
      <xdr:spPr>
        <a:xfrm>
          <a:off x="10925175" y="0"/>
          <a:ext cx="1005840" cy="1066165"/>
        </a:xfrm>
        <a:prstGeom prst="rect">
          <a:avLst/>
        </a:prstGeom>
      </xdr:spPr>
    </xdr:pic>
    <xdr:clientData/>
  </xdr:twoCellAnchor>
  <xdr:twoCellAnchor editAs="oneCell">
    <xdr:from>
      <xdr:col>0</xdr:col>
      <xdr:colOff>0</xdr:colOff>
      <xdr:row>0</xdr:row>
      <xdr:rowOff>9525</xdr:rowOff>
    </xdr:from>
    <xdr:to>
      <xdr:col>1</xdr:col>
      <xdr:colOff>28456</xdr:colOff>
      <xdr:row>1</xdr:row>
      <xdr:rowOff>75407</xdr:rowOff>
    </xdr:to>
    <xdr:pic>
      <xdr:nvPicPr>
        <xdr:cNvPr id="3" name="Picture 2" descr="NHS England logo">
          <a:extLst>
            <a:ext uri="{FF2B5EF4-FFF2-40B4-BE49-F238E27FC236}">
              <a16:creationId xmlns:a16="http://schemas.microsoft.com/office/drawing/2014/main" id="{D7109A60-44DC-4F96-A0A1-2CBA4C9D5AA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0748BCAD-21A9-4BD8-80A8-D7B1BFE689B1}"/>
            </a:ext>
          </a:extLst>
        </xdr:cNvPr>
        <xdr:cNvPicPr/>
      </xdr:nvPicPr>
      <xdr:blipFill>
        <a:blip xmlns:r="http://schemas.openxmlformats.org/officeDocument/2006/relationships" r:embed="rId1" cstate="print"/>
        <a:stretch>
          <a:fillRect/>
        </a:stretch>
      </xdr:blipFill>
      <xdr:spPr>
        <a:xfrm>
          <a:off x="6562725" y="0"/>
          <a:ext cx="1005840" cy="1066165"/>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D3CEBFCF-CD3B-4C62-8C28-22F9EDADFCD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0243CCD6-8E82-446A-9977-AF07C112C1F6}"/>
            </a:ext>
          </a:extLst>
        </xdr:cNvPr>
        <xdr:cNvPicPr/>
      </xdr:nvPicPr>
      <xdr:blipFill>
        <a:blip xmlns:r="http://schemas.openxmlformats.org/officeDocument/2006/relationships" r:embed="rId1" cstate="print"/>
        <a:stretch>
          <a:fillRect/>
        </a:stretch>
      </xdr:blipFill>
      <xdr:spPr>
        <a:xfrm>
          <a:off x="6562725" y="0"/>
          <a:ext cx="1005840" cy="1066165"/>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36B4D9A3-1DDF-4DCB-BA4A-4364B1EFBDA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EB8E5DBE-D9C8-40FB-B5EA-74916E65D695}"/>
            </a:ext>
          </a:extLst>
        </xdr:cNvPr>
        <xdr:cNvPicPr/>
      </xdr:nvPicPr>
      <xdr:blipFill>
        <a:blip xmlns:r="http://schemas.openxmlformats.org/officeDocument/2006/relationships" r:embed="rId1" cstate="print"/>
        <a:stretch>
          <a:fillRect/>
        </a:stretch>
      </xdr:blipFill>
      <xdr:spPr>
        <a:xfrm>
          <a:off x="6276975" y="0"/>
          <a:ext cx="986790" cy="1066165"/>
        </a:xfrm>
        <a:prstGeom prst="rect">
          <a:avLst/>
        </a:prstGeom>
      </xdr:spPr>
    </xdr:pic>
    <xdr:clientData/>
  </xdr:twoCellAnchor>
  <xdr:twoCellAnchor editAs="oneCell">
    <xdr:from>
      <xdr:col>0</xdr:col>
      <xdr:colOff>0</xdr:colOff>
      <xdr:row>0</xdr:row>
      <xdr:rowOff>9525</xdr:rowOff>
    </xdr:from>
    <xdr:to>
      <xdr:col>0</xdr:col>
      <xdr:colOff>1189264</xdr:colOff>
      <xdr:row>1</xdr:row>
      <xdr:rowOff>75407</xdr:rowOff>
    </xdr:to>
    <xdr:pic>
      <xdr:nvPicPr>
        <xdr:cNvPr id="3" name="Picture 2" descr="NHS England logo">
          <a:extLst>
            <a:ext uri="{FF2B5EF4-FFF2-40B4-BE49-F238E27FC236}">
              <a16:creationId xmlns:a16="http://schemas.microsoft.com/office/drawing/2014/main" id="{71951066-44B0-4FBB-BF64-F1B92E23A22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D8C914B7-F8C9-411C-99B1-929B91174E9D}"/>
            </a:ext>
          </a:extLst>
        </xdr:cNvPr>
        <xdr:cNvPicPr/>
      </xdr:nvPicPr>
      <xdr:blipFill>
        <a:blip xmlns:r="http://schemas.openxmlformats.org/officeDocument/2006/relationships" r:embed="rId1" cstate="print"/>
        <a:stretch>
          <a:fillRect/>
        </a:stretch>
      </xdr:blipFill>
      <xdr:spPr>
        <a:xfrm>
          <a:off x="6667500" y="0"/>
          <a:ext cx="1034415" cy="1066165"/>
        </a:xfrm>
        <a:prstGeom prst="rect">
          <a:avLst/>
        </a:prstGeom>
      </xdr:spPr>
    </xdr:pic>
    <xdr:clientData/>
  </xdr:twoCellAnchor>
  <xdr:twoCellAnchor editAs="oneCell">
    <xdr:from>
      <xdr:col>0</xdr:col>
      <xdr:colOff>0</xdr:colOff>
      <xdr:row>0</xdr:row>
      <xdr:rowOff>9525</xdr:rowOff>
    </xdr:from>
    <xdr:to>
      <xdr:col>0</xdr:col>
      <xdr:colOff>1189264</xdr:colOff>
      <xdr:row>1</xdr:row>
      <xdr:rowOff>75407</xdr:rowOff>
    </xdr:to>
    <xdr:pic>
      <xdr:nvPicPr>
        <xdr:cNvPr id="3" name="Picture 2" descr="NHS England logo">
          <a:extLst>
            <a:ext uri="{FF2B5EF4-FFF2-40B4-BE49-F238E27FC236}">
              <a16:creationId xmlns:a16="http://schemas.microsoft.com/office/drawing/2014/main" id="{A045ECE0-65E7-4DFA-9CD5-7916DD260E6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7B50D784-CF44-4190-B72E-EEDE880D14E8}"/>
            </a:ext>
          </a:extLst>
        </xdr:cNvPr>
        <xdr:cNvPicPr/>
      </xdr:nvPicPr>
      <xdr:blipFill>
        <a:blip xmlns:r="http://schemas.openxmlformats.org/officeDocument/2006/relationships" r:embed="rId1" cstate="print"/>
        <a:stretch>
          <a:fillRect/>
        </a:stretch>
      </xdr:blipFill>
      <xdr:spPr>
        <a:xfrm>
          <a:off x="6667500" y="0"/>
          <a:ext cx="1034415" cy="1066165"/>
        </a:xfrm>
        <a:prstGeom prst="rect">
          <a:avLst/>
        </a:prstGeom>
      </xdr:spPr>
    </xdr:pic>
    <xdr:clientData/>
  </xdr:twoCellAnchor>
  <xdr:twoCellAnchor editAs="oneCell">
    <xdr:from>
      <xdr:col>0</xdr:col>
      <xdr:colOff>0</xdr:colOff>
      <xdr:row>0</xdr:row>
      <xdr:rowOff>9525</xdr:rowOff>
    </xdr:from>
    <xdr:to>
      <xdr:col>0</xdr:col>
      <xdr:colOff>1191804</xdr:colOff>
      <xdr:row>1</xdr:row>
      <xdr:rowOff>75407</xdr:rowOff>
    </xdr:to>
    <xdr:pic>
      <xdr:nvPicPr>
        <xdr:cNvPr id="3" name="Picture 2" descr="NHS England logo">
          <a:extLst>
            <a:ext uri="{FF2B5EF4-FFF2-40B4-BE49-F238E27FC236}">
              <a16:creationId xmlns:a16="http://schemas.microsoft.com/office/drawing/2014/main" id="{E108CB90-D141-43DF-AF09-8CCE4EBA358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DE2DB6DA-0810-4FD9-982A-1B5DA315A15D}"/>
            </a:ext>
          </a:extLst>
        </xdr:cNvPr>
        <xdr:cNvPicPr/>
      </xdr:nvPicPr>
      <xdr:blipFill>
        <a:blip xmlns:r="http://schemas.openxmlformats.org/officeDocument/2006/relationships" r:embed="rId1" cstate="print"/>
        <a:stretch>
          <a:fillRect/>
        </a:stretch>
      </xdr:blipFill>
      <xdr:spPr>
        <a:xfrm>
          <a:off x="6667500" y="0"/>
          <a:ext cx="1034415" cy="1066165"/>
        </a:xfrm>
        <a:prstGeom prst="rect">
          <a:avLst/>
        </a:prstGeom>
      </xdr:spPr>
    </xdr:pic>
    <xdr:clientData/>
  </xdr:twoCellAnchor>
  <xdr:twoCellAnchor editAs="oneCell">
    <xdr:from>
      <xdr:col>0</xdr:col>
      <xdr:colOff>0</xdr:colOff>
      <xdr:row>0</xdr:row>
      <xdr:rowOff>9525</xdr:rowOff>
    </xdr:from>
    <xdr:to>
      <xdr:col>0</xdr:col>
      <xdr:colOff>1184184</xdr:colOff>
      <xdr:row>1</xdr:row>
      <xdr:rowOff>75407</xdr:rowOff>
    </xdr:to>
    <xdr:pic>
      <xdr:nvPicPr>
        <xdr:cNvPr id="3" name="Picture 2" descr="NHS England logo">
          <a:extLst>
            <a:ext uri="{FF2B5EF4-FFF2-40B4-BE49-F238E27FC236}">
              <a16:creationId xmlns:a16="http://schemas.microsoft.com/office/drawing/2014/main" id="{D8093B56-99EA-4BBB-884C-E03DEC9347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43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england.nhs.uk/statistics/statistical-work-areas/ae-waiting-times-and-activity/ae-attendances-and-emergency-admissions-2022-23/" TargetMode="External"/><Relationship Id="rId2" Type="http://schemas.openxmlformats.org/officeDocument/2006/relationships/hyperlink" Target="https://www.england.nhs.uk/statistics/statistical-work-areas/ae-waiting-times-and-activity/statistical-work-areasae-waiting-times-and-activityae-attendances-and-emergency-admissions-2016-17/" TargetMode="External"/><Relationship Id="rId1" Type="http://schemas.openxmlformats.org/officeDocument/2006/relationships/hyperlink" Target="https://www.ons.gov.uk/peoplepopulationandcommunity/populationandmigration/populationestimates/timeseries/enpop/pop"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populationandmigration/populationestimates/bulletins/populationandhouseholdestimatesenglandandwales/census2021"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england.nhs.uk/statistics/statistical-work-areas/ae-waiting-times-and-activity/ae-attendances-and-emergency-admissions-2022-23/" TargetMode="External"/><Relationship Id="rId1" Type="http://schemas.openxmlformats.org/officeDocument/2006/relationships/hyperlink" Target="https://www.england.nhs.uk/statistics/statistical-work-areas/ae-waiting-times-and-activity/statistical-work-areasae-waiting-times-and-activityae-attendances-and-emergency-admissions-2016-17/"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40"/>
  <sheetViews>
    <sheetView showGridLines="0" tabSelected="1" zoomScaleNormal="100" workbookViewId="0">
      <selection sqref="A1:B1"/>
    </sheetView>
  </sheetViews>
  <sheetFormatPr defaultColWidth="8.84375" defaultRowHeight="12.5" x14ac:dyDescent="0.25"/>
  <cols>
    <col min="1" max="1" width="12.15234375" style="1" customWidth="1"/>
    <col min="2" max="2" width="102.15234375" style="1" customWidth="1"/>
    <col min="3" max="3" width="13" style="1" customWidth="1"/>
    <col min="4" max="16384" width="8.84375" style="1"/>
  </cols>
  <sheetData>
    <row r="1" spans="1:9" ht="84" customHeight="1" x14ac:dyDescent="0.25">
      <c r="A1" s="309"/>
      <c r="B1" s="309"/>
    </row>
    <row r="2" spans="1:9" ht="70.25" customHeight="1" x14ac:dyDescent="0.25">
      <c r="A2" s="315" t="s">
        <v>20</v>
      </c>
      <c r="B2" s="315"/>
      <c r="C2" s="315"/>
      <c r="D2" s="315"/>
      <c r="E2" s="315"/>
      <c r="F2" s="315"/>
      <c r="G2" s="315"/>
      <c r="H2" s="315"/>
      <c r="I2" s="315"/>
    </row>
    <row r="3" spans="1:9" ht="14.75" customHeight="1" x14ac:dyDescent="0.3">
      <c r="A3" s="313" t="s">
        <v>19</v>
      </c>
      <c r="B3" s="313"/>
      <c r="C3" s="7"/>
      <c r="F3" s="2"/>
    </row>
    <row r="4" spans="1:9" ht="17.75" customHeight="1" x14ac:dyDescent="0.3">
      <c r="A4" s="314" t="s">
        <v>14</v>
      </c>
      <c r="B4" s="314"/>
      <c r="C4" s="314"/>
      <c r="F4" s="2"/>
    </row>
    <row r="5" spans="1:9" ht="27.75" customHeight="1" x14ac:dyDescent="0.3">
      <c r="A5" s="316" t="s">
        <v>648</v>
      </c>
      <c r="B5" s="317"/>
      <c r="C5" s="110"/>
      <c r="F5" s="2"/>
    </row>
    <row r="6" spans="1:9" ht="14" customHeight="1" x14ac:dyDescent="0.3">
      <c r="A6" s="9"/>
      <c r="B6" s="9"/>
      <c r="C6" s="9"/>
      <c r="F6" s="2"/>
    </row>
    <row r="7" spans="1:9" ht="141" customHeight="1" x14ac:dyDescent="0.25">
      <c r="A7" s="310" t="s">
        <v>652</v>
      </c>
      <c r="B7" s="310"/>
      <c r="C7" s="14"/>
      <c r="D7" s="14"/>
      <c r="E7" s="14"/>
      <c r="F7" s="14"/>
      <c r="G7" s="14"/>
      <c r="H7" s="14"/>
      <c r="I7" s="14"/>
    </row>
    <row r="8" spans="1:9" ht="14" x14ac:dyDescent="0.3">
      <c r="B8" s="9"/>
      <c r="C8" s="9"/>
      <c r="D8" s="311"/>
      <c r="E8" s="309"/>
      <c r="F8" s="2"/>
    </row>
    <row r="9" spans="1:9" ht="15.5" x14ac:dyDescent="0.25">
      <c r="A9" s="179" t="s">
        <v>21</v>
      </c>
      <c r="B9" s="180" t="s">
        <v>35</v>
      </c>
      <c r="C9" s="2"/>
    </row>
    <row r="10" spans="1:9" ht="15.5" x14ac:dyDescent="0.25">
      <c r="A10" s="181" t="s">
        <v>29</v>
      </c>
      <c r="B10" s="182" t="s">
        <v>36</v>
      </c>
      <c r="C10" s="2"/>
    </row>
    <row r="11" spans="1:9" ht="15.5" x14ac:dyDescent="0.25">
      <c r="A11" s="181" t="s">
        <v>37</v>
      </c>
      <c r="B11" s="182" t="s">
        <v>39</v>
      </c>
      <c r="C11" s="2"/>
    </row>
    <row r="12" spans="1:9" ht="15.5" x14ac:dyDescent="0.25">
      <c r="A12" s="181" t="s">
        <v>45</v>
      </c>
      <c r="B12" s="182" t="s">
        <v>47</v>
      </c>
      <c r="C12" s="2"/>
    </row>
    <row r="13" spans="1:9" ht="15.5" x14ac:dyDescent="0.25">
      <c r="A13" s="181" t="s">
        <v>50</v>
      </c>
      <c r="B13" s="182" t="s">
        <v>51</v>
      </c>
      <c r="C13" s="2"/>
    </row>
    <row r="14" spans="1:9" ht="15.5" x14ac:dyDescent="0.25">
      <c r="A14" s="181" t="s">
        <v>285</v>
      </c>
      <c r="B14" s="182" t="s">
        <v>346</v>
      </c>
      <c r="C14" s="2"/>
    </row>
    <row r="15" spans="1:9" ht="15.5" x14ac:dyDescent="0.25">
      <c r="A15" s="181" t="s">
        <v>286</v>
      </c>
      <c r="B15" s="182" t="s">
        <v>288</v>
      </c>
      <c r="C15" s="2"/>
    </row>
    <row r="16" spans="1:9" ht="15.5" x14ac:dyDescent="0.25">
      <c r="A16" s="181" t="s">
        <v>293</v>
      </c>
      <c r="B16" s="182" t="s">
        <v>294</v>
      </c>
      <c r="C16" s="2"/>
    </row>
    <row r="17" spans="1:9" ht="15.5" x14ac:dyDescent="0.25">
      <c r="A17" s="181" t="s">
        <v>308</v>
      </c>
      <c r="B17" s="182" t="s">
        <v>310</v>
      </c>
      <c r="C17" s="2"/>
    </row>
    <row r="18" spans="1:9" ht="15.5" x14ac:dyDescent="0.25">
      <c r="A18" s="181" t="s">
        <v>319</v>
      </c>
      <c r="B18" s="182" t="s">
        <v>320</v>
      </c>
      <c r="C18" s="2"/>
    </row>
    <row r="19" spans="1:9" ht="15.5" x14ac:dyDescent="0.25">
      <c r="A19" s="181" t="s">
        <v>322</v>
      </c>
      <c r="B19" s="182" t="s">
        <v>323</v>
      </c>
      <c r="C19" s="2"/>
    </row>
    <row r="20" spans="1:9" ht="25" x14ac:dyDescent="0.25">
      <c r="A20" s="181" t="s">
        <v>325</v>
      </c>
      <c r="B20" s="182" t="s">
        <v>326</v>
      </c>
      <c r="C20" s="2"/>
    </row>
    <row r="21" spans="1:9" ht="15.5" x14ac:dyDescent="0.25">
      <c r="A21" s="183" t="s">
        <v>327</v>
      </c>
      <c r="B21" s="184" t="s">
        <v>345</v>
      </c>
      <c r="C21" s="2"/>
    </row>
    <row r="22" spans="1:9" x14ac:dyDescent="0.25">
      <c r="A22" s="15"/>
      <c r="B22" s="16"/>
      <c r="C22" s="2"/>
    </row>
    <row r="23" spans="1:9" x14ac:dyDescent="0.25">
      <c r="A23" s="311"/>
      <c r="B23" s="309"/>
      <c r="C23" s="2"/>
    </row>
    <row r="24" spans="1:9" ht="14" x14ac:dyDescent="0.3">
      <c r="A24" s="5" t="s">
        <v>3</v>
      </c>
      <c r="B24" s="6"/>
      <c r="C24" s="6"/>
      <c r="D24" s="6"/>
      <c r="E24" s="7"/>
      <c r="F24" s="7"/>
      <c r="G24" s="7"/>
      <c r="H24" s="7"/>
      <c r="I24" s="7"/>
    </row>
    <row r="25" spans="1:9" ht="14" x14ac:dyDescent="0.3">
      <c r="A25" s="6" t="s">
        <v>15</v>
      </c>
      <c r="B25" s="6"/>
      <c r="C25" s="6"/>
      <c r="D25" s="6"/>
      <c r="E25" s="7"/>
      <c r="F25" s="7"/>
      <c r="G25" s="7"/>
      <c r="H25" s="7"/>
      <c r="I25" s="7"/>
    </row>
    <row r="26" spans="1:9" ht="15.5" x14ac:dyDescent="0.35">
      <c r="A26" s="11" t="s">
        <v>16</v>
      </c>
      <c r="B26"/>
      <c r="C26" s="6"/>
      <c r="D26" s="6"/>
      <c r="E26" s="7"/>
      <c r="F26" s="7"/>
      <c r="G26" s="7"/>
      <c r="H26" s="7"/>
      <c r="I26" s="7"/>
    </row>
    <row r="27" spans="1:9" ht="15.5" x14ac:dyDescent="0.35">
      <c r="A27" s="6" t="s">
        <v>17</v>
      </c>
      <c r="B27"/>
      <c r="C27" s="6"/>
      <c r="D27" s="6"/>
      <c r="E27" s="7"/>
      <c r="F27" s="7"/>
      <c r="G27" s="7"/>
      <c r="H27" s="7"/>
      <c r="I27" s="7"/>
    </row>
    <row r="28" spans="1:9" ht="15.5" x14ac:dyDescent="0.35">
      <c r="A28" s="11" t="s">
        <v>18</v>
      </c>
      <c r="B28"/>
      <c r="C28" s="6"/>
      <c r="D28" s="6"/>
      <c r="E28" s="7"/>
      <c r="F28" s="7"/>
      <c r="G28" s="7"/>
      <c r="H28" s="7"/>
      <c r="I28" s="7"/>
    </row>
    <row r="29" spans="1:9" ht="14" x14ac:dyDescent="0.3">
      <c r="A29" s="6"/>
      <c r="B29" s="6"/>
      <c r="C29" s="6"/>
      <c r="D29" s="6"/>
      <c r="E29" s="7"/>
      <c r="F29" s="7"/>
      <c r="G29" s="7"/>
      <c r="H29" s="7"/>
      <c r="I29" s="7"/>
    </row>
    <row r="30" spans="1:9" ht="14" x14ac:dyDescent="0.3">
      <c r="A30" s="5" t="s">
        <v>4</v>
      </c>
      <c r="B30" s="6"/>
      <c r="C30" s="6"/>
      <c r="D30" s="6"/>
      <c r="E30" s="7"/>
      <c r="F30" s="7"/>
      <c r="G30" s="7"/>
      <c r="H30" s="7"/>
      <c r="I30" s="7"/>
    </row>
    <row r="31" spans="1:9" ht="14" x14ac:dyDescent="0.3">
      <c r="A31" s="6" t="s">
        <v>5</v>
      </c>
      <c r="B31" s="6"/>
      <c r="C31" s="6"/>
      <c r="D31" s="6"/>
      <c r="E31" s="7"/>
      <c r="F31" s="7"/>
      <c r="G31" s="7"/>
      <c r="H31" s="7"/>
      <c r="I31" s="7"/>
    </row>
    <row r="32" spans="1:9" ht="14" x14ac:dyDescent="0.3">
      <c r="A32" s="6" t="s">
        <v>6</v>
      </c>
      <c r="B32" s="6"/>
      <c r="C32" s="6"/>
      <c r="D32" s="6"/>
      <c r="E32" s="7"/>
      <c r="F32" s="7"/>
      <c r="G32" s="7"/>
      <c r="H32" s="7"/>
      <c r="I32" s="7"/>
    </row>
    <row r="33" spans="1:9" ht="14" x14ac:dyDescent="0.3">
      <c r="A33" s="6" t="s">
        <v>7</v>
      </c>
      <c r="B33" s="6"/>
      <c r="C33" s="6"/>
      <c r="D33" s="6"/>
      <c r="E33" s="7"/>
      <c r="F33" s="7"/>
      <c r="G33" s="7"/>
      <c r="H33" s="7"/>
      <c r="I33" s="7"/>
    </row>
    <row r="34" spans="1:9" ht="14" x14ac:dyDescent="0.3">
      <c r="A34" s="6" t="s">
        <v>8</v>
      </c>
      <c r="B34" s="6"/>
      <c r="C34" s="6"/>
      <c r="D34" s="6"/>
      <c r="E34" s="7"/>
      <c r="F34" s="7"/>
      <c r="G34" s="7"/>
      <c r="H34" s="7"/>
      <c r="I34" s="7"/>
    </row>
    <row r="35" spans="1:9" ht="14" x14ac:dyDescent="0.3">
      <c r="A35" s="6"/>
      <c r="B35" s="6"/>
      <c r="C35" s="6"/>
      <c r="D35" s="6"/>
      <c r="E35" s="7"/>
      <c r="F35" s="7"/>
      <c r="G35" s="7"/>
      <c r="H35" s="7"/>
      <c r="I35" s="7"/>
    </row>
    <row r="36" spans="1:9" ht="14" x14ac:dyDescent="0.3">
      <c r="A36" s="6" t="s">
        <v>9</v>
      </c>
      <c r="B36" s="6"/>
      <c r="C36" s="6"/>
      <c r="D36" s="6"/>
      <c r="E36" s="7"/>
      <c r="F36" s="7"/>
      <c r="G36" s="7"/>
      <c r="H36" s="7"/>
      <c r="I36" s="7"/>
    </row>
    <row r="37" spans="1:9" ht="14" x14ac:dyDescent="0.3">
      <c r="A37" s="6" t="s">
        <v>10</v>
      </c>
      <c r="B37" s="6"/>
      <c r="C37" s="6"/>
      <c r="D37" s="6"/>
      <c r="E37" s="7"/>
      <c r="F37" s="7"/>
      <c r="G37" s="7"/>
      <c r="H37" s="7"/>
      <c r="I37" s="7"/>
    </row>
    <row r="38" spans="1:9" ht="14" x14ac:dyDescent="0.3">
      <c r="A38" s="8" t="s">
        <v>11</v>
      </c>
      <c r="B38" s="6"/>
      <c r="C38" s="6"/>
      <c r="D38" s="6"/>
      <c r="E38" s="7"/>
      <c r="F38" s="7"/>
      <c r="G38" s="7"/>
      <c r="H38" s="7"/>
      <c r="I38" s="7"/>
    </row>
    <row r="39" spans="1:9" ht="34.25" customHeight="1" x14ac:dyDescent="0.3">
      <c r="A39" s="6"/>
      <c r="B39" s="6"/>
      <c r="C39" s="6"/>
      <c r="D39" s="6"/>
      <c r="E39" s="7"/>
      <c r="F39" s="7"/>
      <c r="G39" s="7"/>
      <c r="H39" s="7"/>
      <c r="I39" s="7"/>
    </row>
    <row r="40" spans="1:9" x14ac:dyDescent="0.25">
      <c r="A40" s="312" t="s">
        <v>12</v>
      </c>
      <c r="B40" s="312"/>
      <c r="C40" s="312"/>
      <c r="D40" s="312"/>
      <c r="E40" s="312"/>
      <c r="F40" s="312"/>
      <c r="G40" s="312"/>
      <c r="H40" s="312"/>
      <c r="I40" s="312"/>
    </row>
  </sheetData>
  <mergeCells count="9">
    <mergeCell ref="A1:B1"/>
    <mergeCell ref="A7:B7"/>
    <mergeCell ref="D8:E8"/>
    <mergeCell ref="A40:I40"/>
    <mergeCell ref="A3:B3"/>
    <mergeCell ref="A4:C4"/>
    <mergeCell ref="A23:B23"/>
    <mergeCell ref="A2:I2"/>
    <mergeCell ref="A5:B5"/>
  </mergeCells>
  <hyperlinks>
    <hyperlink ref="A9" location="'Table 1'!A1" display="Table 1" xr:uid="{7D809203-CB4A-409B-B0D1-B38C93893B8D}"/>
    <hyperlink ref="A10" location="'Table 2'!A1" display="Table 2" xr:uid="{F4B9F410-64D6-4D1F-A10C-EA7D6558E49A}"/>
    <hyperlink ref="A11" location="'Table 3'!A1" display="Table 3" xr:uid="{37E724E7-D815-491C-88EF-753EDE713FB0}"/>
    <hyperlink ref="A12" location="'Table 4'!A1" display="Table 4" xr:uid="{D279B2D1-FF79-4BB0-B9C4-39F9D8BF3E86}"/>
    <hyperlink ref="A13" location="'Table 5'!A1" display="Table 5" xr:uid="{FC78CCD4-9EC2-45B4-B207-3491AB8DF03A}"/>
    <hyperlink ref="A26" r:id="rId1" display="https://digital.nhs.uk/data-and-information/data-collections-and-data-sets/data-sets/emergency-care-data-set-ecds" xr:uid="{04FFAF41-4844-4FC6-85A7-126B207D4C53}"/>
    <hyperlink ref="A28"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 ref="A14" location="'Table 6'!A1" display="Table 6" xr:uid="{A191AFFE-86CF-4FBA-A661-4A7CDE8122E0}"/>
    <hyperlink ref="A15" location="'Table 7'!A1" display="Table 7" xr:uid="{3FC5FE95-E695-4371-B2B9-23F3F968EDC8}"/>
    <hyperlink ref="A16" location="'Table 8'!A1" display="Table 8" xr:uid="{DC217B15-56A6-4CA8-B492-4CBC746C8647}"/>
    <hyperlink ref="A17" location="'Table 9'!A1" display="Table 9" xr:uid="{709618B6-A899-4BED-AE66-481A1669B0DD}"/>
    <hyperlink ref="A18" location="'Table 10'!A1" display="Table 10" xr:uid="{7C80BE9D-0BFB-4C8A-ADA4-F888A7F0DC6A}"/>
    <hyperlink ref="A19" location="'Table 11'!A1" display="Table 11" xr:uid="{640D82E4-3413-4565-B2FB-35F214D46FE7}"/>
    <hyperlink ref="A20" location="'Table 12'!A1" display="Table 12" xr:uid="{D2E181A0-DD1C-423C-BA31-C9CAEF09EFAB}"/>
    <hyperlink ref="A21" location="'Table 13'!A1" display="Table 13" xr:uid="{07B9BA89-37E5-4E99-B2B4-AE84F62F09DF}"/>
  </hyperlinks>
  <pageMargins left="0.78740157480314965" right="0.78740157480314965" top="0.78740157480314965" bottom="0.78740157480314965" header="0.78740157480314965" footer="0.78740157480314965"/>
  <pageSetup paperSize="9"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M27"/>
  <sheetViews>
    <sheetView showGridLines="0" zoomScaleNormal="100" workbookViewId="0">
      <selection sqref="A1:G1"/>
    </sheetView>
  </sheetViews>
  <sheetFormatPr defaultColWidth="8.84375" defaultRowHeight="14.5" x14ac:dyDescent="0.35"/>
  <cols>
    <col min="1" max="1" width="12.84375" style="4" customWidth="1"/>
    <col min="2" max="3" width="9.15234375" style="4" bestFit="1" customWidth="1"/>
    <col min="4" max="5" width="9.84375" style="4" customWidth="1"/>
    <col min="6" max="13" width="9.23046875" style="4" bestFit="1" customWidth="1"/>
    <col min="14" max="16384" width="8.84375" style="4"/>
  </cols>
  <sheetData>
    <row r="1" spans="1:11" ht="84" customHeight="1" x14ac:dyDescent="0.35">
      <c r="A1" s="318"/>
      <c r="B1" s="318"/>
      <c r="C1" s="318"/>
      <c r="D1" s="318"/>
      <c r="E1" s="318"/>
      <c r="F1" s="318"/>
      <c r="G1" s="318"/>
    </row>
    <row r="2" spans="1:11" x14ac:dyDescent="0.35">
      <c r="A2" s="3" t="s">
        <v>0</v>
      </c>
      <c r="B2" s="3" t="s">
        <v>0</v>
      </c>
      <c r="C2" s="3" t="s">
        <v>0</v>
      </c>
      <c r="D2" s="3" t="s">
        <v>0</v>
      </c>
      <c r="E2" s="3" t="s">
        <v>0</v>
      </c>
      <c r="F2" s="3" t="s">
        <v>0</v>
      </c>
      <c r="G2" s="3" t="s">
        <v>0</v>
      </c>
    </row>
    <row r="3" spans="1:11" ht="24.5" customHeight="1" x14ac:dyDescent="0.35">
      <c r="A3" s="319" t="s">
        <v>22</v>
      </c>
      <c r="B3" s="319"/>
      <c r="C3" s="319"/>
      <c r="D3" s="319"/>
      <c r="E3" s="319"/>
      <c r="F3" s="319"/>
      <c r="G3" s="17"/>
    </row>
    <row r="4" spans="1:11" ht="13.5" customHeight="1" x14ac:dyDescent="0.35">
      <c r="A4" s="24" t="s">
        <v>31</v>
      </c>
      <c r="B4" s="13"/>
      <c r="C4" s="13"/>
      <c r="D4" s="13"/>
      <c r="E4" s="13"/>
      <c r="F4" s="13"/>
      <c r="G4" s="17"/>
    </row>
    <row r="5" spans="1:11" ht="13.5" customHeight="1" x14ac:dyDescent="0.35">
      <c r="A5" s="325" t="s">
        <v>32</v>
      </c>
      <c r="B5" s="325"/>
      <c r="C5" s="325"/>
      <c r="D5" s="325"/>
      <c r="E5" s="325"/>
      <c r="F5" s="325"/>
      <c r="G5" s="325"/>
      <c r="H5" s="325"/>
      <c r="I5" s="325"/>
      <c r="J5" s="325"/>
      <c r="K5" s="325"/>
    </row>
    <row r="6" spans="1:11" ht="13.5" customHeight="1" x14ac:dyDescent="0.35">
      <c r="A6" s="26"/>
      <c r="B6" s="26"/>
      <c r="C6" s="26"/>
      <c r="D6" s="26"/>
      <c r="E6" s="26"/>
      <c r="F6" s="26"/>
      <c r="G6" s="26"/>
      <c r="H6" s="26"/>
      <c r="I6" s="26"/>
      <c r="J6" s="26"/>
      <c r="K6" s="26"/>
    </row>
    <row r="7" spans="1:11" ht="13.5" customHeight="1" x14ac:dyDescent="0.35">
      <c r="A7" s="320" t="s">
        <v>649</v>
      </c>
      <c r="B7" s="320"/>
      <c r="C7" s="320"/>
      <c r="D7" s="320"/>
      <c r="E7" s="320"/>
      <c r="F7" s="320"/>
      <c r="G7" s="320"/>
      <c r="H7" s="320"/>
      <c r="I7" s="26"/>
      <c r="J7" s="26"/>
      <c r="K7" s="26"/>
    </row>
    <row r="8" spans="1:11" ht="29.5" customHeight="1" x14ac:dyDescent="0.35">
      <c r="A8" s="321" t="s">
        <v>349</v>
      </c>
      <c r="B8" s="321"/>
      <c r="C8" s="321"/>
      <c r="D8" s="321"/>
      <c r="E8" s="321"/>
      <c r="F8" s="321"/>
      <c r="G8" s="321"/>
      <c r="H8" s="321"/>
      <c r="I8" s="26"/>
      <c r="J8" s="26"/>
      <c r="K8" s="26"/>
    </row>
    <row r="9" spans="1:11" ht="13.5" customHeight="1" x14ac:dyDescent="0.35">
      <c r="A9" s="26"/>
      <c r="B9" s="26"/>
      <c r="C9" s="26"/>
      <c r="D9" s="26"/>
      <c r="E9" s="26"/>
      <c r="F9" s="26"/>
      <c r="G9" s="26"/>
      <c r="H9" s="26"/>
      <c r="I9" s="26"/>
      <c r="J9" s="26"/>
      <c r="K9" s="26"/>
    </row>
    <row r="10" spans="1:11" ht="27" customHeight="1" x14ac:dyDescent="0.35">
      <c r="A10" s="320" t="s">
        <v>350</v>
      </c>
      <c r="B10" s="320"/>
      <c r="C10" s="320"/>
      <c r="D10" s="320"/>
      <c r="E10" s="320"/>
      <c r="F10" s="320"/>
      <c r="G10" s="23"/>
      <c r="H10" s="23"/>
      <c r="I10" s="12"/>
      <c r="J10" s="12"/>
    </row>
    <row r="11" spans="1:11" ht="15" customHeight="1" x14ac:dyDescent="0.35">
      <c r="A11" s="322" t="s">
        <v>28</v>
      </c>
      <c r="B11" s="322"/>
      <c r="C11" s="322"/>
      <c r="D11" s="322"/>
      <c r="E11" s="322"/>
      <c r="F11" s="322"/>
      <c r="G11" s="25"/>
      <c r="H11" s="25"/>
    </row>
    <row r="12" spans="1:11" ht="29.4" customHeight="1" x14ac:dyDescent="0.35">
      <c r="A12" s="320" t="s">
        <v>351</v>
      </c>
      <c r="B12" s="320"/>
      <c r="C12" s="320"/>
      <c r="D12" s="320"/>
      <c r="E12" s="320"/>
      <c r="F12" s="320"/>
      <c r="G12" s="25"/>
      <c r="H12" s="25"/>
    </row>
    <row r="13" spans="1:11" ht="15" customHeight="1" x14ac:dyDescent="0.35">
      <c r="A13" s="326" t="s">
        <v>352</v>
      </c>
      <c r="B13" s="320"/>
      <c r="C13" s="320"/>
      <c r="D13" s="320"/>
      <c r="E13" s="320"/>
      <c r="F13" s="320"/>
      <c r="G13" s="25"/>
      <c r="H13" s="25"/>
    </row>
    <row r="14" spans="1:11" ht="15" customHeight="1" x14ac:dyDescent="0.35">
      <c r="A14" s="58"/>
      <c r="B14" s="58"/>
      <c r="C14" s="58"/>
      <c r="D14" s="58"/>
      <c r="E14" s="58"/>
      <c r="F14" s="58"/>
      <c r="G14" s="25"/>
      <c r="H14" s="25"/>
    </row>
    <row r="15" spans="1:11" x14ac:dyDescent="0.35">
      <c r="A15" s="10" t="s">
        <v>13</v>
      </c>
      <c r="H15" s="22"/>
    </row>
    <row r="16" spans="1:11" ht="14.4" customHeight="1" x14ac:dyDescent="0.35">
      <c r="A16" s="323" t="s">
        <v>2</v>
      </c>
      <c r="B16" s="324"/>
      <c r="C16" s="324"/>
      <c r="D16" s="324"/>
      <c r="E16" s="324"/>
      <c r="F16" s="324"/>
      <c r="G16" s="324"/>
    </row>
    <row r="17" spans="1:13" ht="14.4" customHeight="1" x14ac:dyDescent="0.35">
      <c r="A17" s="323" t="s">
        <v>1</v>
      </c>
      <c r="B17" s="324"/>
      <c r="C17" s="324"/>
      <c r="D17" s="324"/>
      <c r="E17" s="324"/>
      <c r="F17" s="324"/>
      <c r="G17" s="324"/>
      <c r="H17" s="23"/>
    </row>
    <row r="18" spans="1:13" ht="15.75" customHeight="1" thickBot="1" x14ac:dyDescent="0.4">
      <c r="A18" s="320"/>
      <c r="B18" s="320"/>
      <c r="C18" s="320"/>
      <c r="D18" s="320"/>
      <c r="E18" s="320"/>
      <c r="F18" s="320"/>
      <c r="G18" s="320"/>
      <c r="H18" s="320"/>
    </row>
    <row r="19" spans="1:13" ht="15" thickBot="1" x14ac:dyDescent="0.4">
      <c r="A19" s="198"/>
      <c r="B19" s="208" t="s">
        <v>637</v>
      </c>
      <c r="C19" s="209" t="s">
        <v>638</v>
      </c>
      <c r="D19" s="209" t="s">
        <v>639</v>
      </c>
      <c r="E19" s="209" t="s">
        <v>640</v>
      </c>
      <c r="F19" s="209" t="s">
        <v>641</v>
      </c>
      <c r="G19" s="209" t="s">
        <v>642</v>
      </c>
      <c r="H19" s="209" t="s">
        <v>643</v>
      </c>
      <c r="I19" s="209" t="s">
        <v>644</v>
      </c>
      <c r="J19" s="209" t="s">
        <v>645</v>
      </c>
      <c r="K19" s="209" t="s">
        <v>23</v>
      </c>
      <c r="L19" s="209" t="s">
        <v>24</v>
      </c>
      <c r="M19" s="210" t="s">
        <v>27</v>
      </c>
    </row>
    <row r="20" spans="1:13" ht="15" thickBot="1" x14ac:dyDescent="0.4">
      <c r="A20" s="199" t="s">
        <v>25</v>
      </c>
      <c r="B20" s="204">
        <v>21481402</v>
      </c>
      <c r="C20" s="205">
        <v>21738637</v>
      </c>
      <c r="D20" s="205">
        <v>21778657</v>
      </c>
      <c r="E20" s="205">
        <v>22354781</v>
      </c>
      <c r="F20" s="205">
        <v>22920435</v>
      </c>
      <c r="G20" s="205">
        <v>23362301</v>
      </c>
      <c r="H20" s="205">
        <v>23830120</v>
      </c>
      <c r="I20" s="205">
        <v>24826982</v>
      </c>
      <c r="J20" s="205">
        <v>25017116</v>
      </c>
      <c r="K20" s="206">
        <v>17429559</v>
      </c>
      <c r="L20" s="206">
        <v>24374967</v>
      </c>
      <c r="M20" s="207">
        <v>25348842</v>
      </c>
    </row>
    <row r="21" spans="1:13" ht="15" thickBot="1" x14ac:dyDescent="0.4">
      <c r="A21" s="20"/>
      <c r="B21" s="195"/>
      <c r="C21" s="195"/>
      <c r="D21" s="195"/>
      <c r="E21" s="195"/>
      <c r="F21" s="195"/>
      <c r="G21" s="195"/>
      <c r="H21" s="195"/>
      <c r="I21" s="195"/>
      <c r="J21" s="195"/>
      <c r="K21" s="196"/>
      <c r="L21" s="196"/>
      <c r="M21" s="197"/>
    </row>
    <row r="22" spans="1:13" ht="15" thickBot="1" x14ac:dyDescent="0.4">
      <c r="A22" s="203"/>
      <c r="B22" s="211">
        <v>2011</v>
      </c>
      <c r="C22" s="212">
        <v>2012</v>
      </c>
      <c r="D22" s="212">
        <v>2013</v>
      </c>
      <c r="E22" s="212">
        <v>2014</v>
      </c>
      <c r="F22" s="212">
        <v>2015</v>
      </c>
      <c r="G22" s="212">
        <v>2016</v>
      </c>
      <c r="H22" s="209">
        <v>2017</v>
      </c>
      <c r="I22" s="209">
        <v>2018</v>
      </c>
      <c r="J22" s="209">
        <v>2019</v>
      </c>
      <c r="K22" s="213">
        <v>2020</v>
      </c>
      <c r="L22" s="213">
        <v>2021</v>
      </c>
      <c r="M22" s="214">
        <v>2022</v>
      </c>
    </row>
    <row r="23" spans="1:13" ht="25.5" thickBot="1" x14ac:dyDescent="0.4">
      <c r="A23" s="199" t="s">
        <v>26</v>
      </c>
      <c r="B23" s="204">
        <v>53107169</v>
      </c>
      <c r="C23" s="205">
        <v>53493729</v>
      </c>
      <c r="D23" s="205">
        <v>53865817</v>
      </c>
      <c r="E23" s="205">
        <v>54316618</v>
      </c>
      <c r="F23" s="205">
        <v>54786327</v>
      </c>
      <c r="G23" s="205">
        <v>55268067</v>
      </c>
      <c r="H23" s="205">
        <v>55619430</v>
      </c>
      <c r="I23" s="205">
        <v>55977178</v>
      </c>
      <c r="J23" s="205">
        <v>56286961</v>
      </c>
      <c r="K23" s="206">
        <v>56550138</v>
      </c>
      <c r="L23" s="206">
        <v>56550138</v>
      </c>
      <c r="M23" s="207">
        <v>59597300</v>
      </c>
    </row>
    <row r="27" spans="1:13" ht="19" x14ac:dyDescent="0.4">
      <c r="D27" s="109"/>
    </row>
  </sheetData>
  <mergeCells count="12">
    <mergeCell ref="A1:G1"/>
    <mergeCell ref="A3:F3"/>
    <mergeCell ref="A7:H7"/>
    <mergeCell ref="A8:H8"/>
    <mergeCell ref="A18:H18"/>
    <mergeCell ref="A10:F10"/>
    <mergeCell ref="A11:F11"/>
    <mergeCell ref="A17:G17"/>
    <mergeCell ref="A5:K5"/>
    <mergeCell ref="A16:G16"/>
    <mergeCell ref="A12:F12"/>
    <mergeCell ref="A13:F13"/>
  </mergeCells>
  <hyperlinks>
    <hyperlink ref="A11" r:id="rId1" xr:uid="{53A57283-11CB-4FCC-BF10-59A1652F9769}"/>
    <hyperlink ref="A8" r:id="rId2" display="https://www.england.nhs.uk/statistics/statistical-work-areas/ae-waiting-times-and-activity/statistical-work-areasae-waiting-times-and-activityae-attendances-and-emergency-admissions-2016-17/" xr:uid="{0FD342DC-E79F-45DF-A34F-2F3AA47CEB3F}"/>
    <hyperlink ref="A8:H8" r:id="rId3" display="https://www.england.nhs.uk/statistics/statistical-work-areas/ae-waiting-times-and-activity/ae-attendances-and-emergency-admissions-2022-23/" xr:uid="{F78C81B5-102B-4C88-938C-2E2E4CC411BE}"/>
    <hyperlink ref="A13" r:id="rId4" xr:uid="{92BF6934-592C-48CC-B922-D9472AE751A6}"/>
  </hyperlinks>
  <pageMargins left="0.78740157480314998" right="0.78740157480314998" top="0.78740157480314998" bottom="0.78740157480314998" header="0.78740157480314998" footer="0.78740157480314998"/>
  <pageSetup paperSize="9" orientation="portrait" horizontalDpi="300" verticalDpi="300" r:id="rId5"/>
  <headerFooter alignWithMargins="0"/>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C471-90CF-46D5-91DB-D8EEC48CCF45}">
  <dimension ref="A1:M14"/>
  <sheetViews>
    <sheetView showGridLines="0" zoomScaleNormal="100" workbookViewId="0">
      <selection sqref="A1:F1"/>
    </sheetView>
  </sheetViews>
  <sheetFormatPr defaultColWidth="8.84375" defaultRowHeight="14.5" x14ac:dyDescent="0.35"/>
  <cols>
    <col min="1" max="1" width="12" style="4" customWidth="1"/>
    <col min="2" max="4" width="9.15234375" style="4" bestFit="1" customWidth="1"/>
    <col min="5" max="13" width="9.23046875" style="4" bestFit="1" customWidth="1"/>
    <col min="14" max="16384" width="8.84375" style="4"/>
  </cols>
  <sheetData>
    <row r="1" spans="1:13" ht="84" customHeight="1" x14ac:dyDescent="0.35">
      <c r="A1" s="324"/>
      <c r="B1" s="324"/>
      <c r="C1" s="324"/>
      <c r="D1" s="324"/>
      <c r="E1" s="324"/>
      <c r="F1" s="324"/>
    </row>
    <row r="2" spans="1:13" x14ac:dyDescent="0.35">
      <c r="A2" s="3" t="s">
        <v>0</v>
      </c>
      <c r="B2" s="3" t="s">
        <v>0</v>
      </c>
      <c r="C2" s="3" t="s">
        <v>0</v>
      </c>
      <c r="D2" s="3" t="s">
        <v>0</v>
      </c>
      <c r="E2" s="3" t="s">
        <v>0</v>
      </c>
      <c r="F2" s="3" t="s">
        <v>0</v>
      </c>
      <c r="G2" s="3" t="s">
        <v>0</v>
      </c>
    </row>
    <row r="3" spans="1:13" ht="24.5" customHeight="1" x14ac:dyDescent="0.35">
      <c r="A3" s="327" t="s">
        <v>30</v>
      </c>
      <c r="B3" s="327"/>
      <c r="C3" s="327"/>
      <c r="D3" s="327"/>
      <c r="E3" s="327"/>
      <c r="F3" s="327"/>
      <c r="G3" s="327"/>
    </row>
    <row r="4" spans="1:13" ht="15.75" customHeight="1" x14ac:dyDescent="0.35">
      <c r="A4" s="24" t="s">
        <v>56</v>
      </c>
      <c r="B4" s="13"/>
      <c r="C4" s="13"/>
      <c r="D4" s="13"/>
      <c r="E4" s="13"/>
      <c r="F4" s="13"/>
      <c r="G4" s="17"/>
    </row>
    <row r="5" spans="1:13" x14ac:dyDescent="0.35">
      <c r="A5" s="325" t="s">
        <v>32</v>
      </c>
      <c r="B5" s="325"/>
      <c r="C5" s="325"/>
      <c r="D5" s="325"/>
      <c r="E5" s="325"/>
      <c r="F5" s="325"/>
      <c r="G5" s="325"/>
      <c r="H5" s="325"/>
      <c r="I5" s="325"/>
      <c r="J5" s="325"/>
      <c r="K5" s="325"/>
    </row>
    <row r="6" spans="1:13" ht="14.4" customHeight="1" x14ac:dyDescent="0.35">
      <c r="A6" s="320" t="s">
        <v>649</v>
      </c>
      <c r="B6" s="320"/>
      <c r="C6" s="320"/>
      <c r="D6" s="320"/>
      <c r="E6" s="320"/>
      <c r="F6" s="320"/>
      <c r="G6" s="320"/>
      <c r="H6" s="320"/>
      <c r="I6" s="26"/>
      <c r="J6" s="26"/>
      <c r="K6" s="26"/>
    </row>
    <row r="7" spans="1:13" x14ac:dyDescent="0.35">
      <c r="A7" s="321" t="s">
        <v>349</v>
      </c>
      <c r="B7" s="321"/>
      <c r="C7" s="321"/>
      <c r="D7" s="321"/>
      <c r="E7" s="321"/>
      <c r="F7" s="321"/>
      <c r="G7" s="321"/>
      <c r="H7" s="321"/>
      <c r="I7" s="26"/>
      <c r="J7" s="26"/>
      <c r="K7" s="26"/>
    </row>
    <row r="8" spans="1:13" x14ac:dyDescent="0.35">
      <c r="A8" s="10" t="s">
        <v>13</v>
      </c>
    </row>
    <row r="9" spans="1:13" x14ac:dyDescent="0.35">
      <c r="A9" s="323" t="s">
        <v>2</v>
      </c>
      <c r="B9" s="324"/>
      <c r="C9" s="324"/>
      <c r="D9" s="324"/>
      <c r="E9" s="324"/>
      <c r="F9" s="324"/>
      <c r="G9" s="324"/>
    </row>
    <row r="10" spans="1:13" x14ac:dyDescent="0.35">
      <c r="A10" s="323" t="s">
        <v>1</v>
      </c>
      <c r="B10" s="324"/>
      <c r="C10" s="324"/>
      <c r="D10" s="324"/>
      <c r="E10" s="324"/>
      <c r="F10" s="324"/>
      <c r="G10" s="324"/>
    </row>
    <row r="11" spans="1:13" ht="15" thickBot="1" x14ac:dyDescent="0.4">
      <c r="A11" s="3" t="s">
        <v>0</v>
      </c>
      <c r="B11" s="3" t="s">
        <v>0</v>
      </c>
      <c r="C11" s="3" t="s">
        <v>0</v>
      </c>
      <c r="D11" s="3" t="s">
        <v>0</v>
      </c>
      <c r="E11" s="3" t="s">
        <v>0</v>
      </c>
      <c r="F11" s="3" t="s">
        <v>0</v>
      </c>
      <c r="G11" s="3" t="s">
        <v>0</v>
      </c>
    </row>
    <row r="12" spans="1:13" ht="15" thickBot="1" x14ac:dyDescent="0.4">
      <c r="A12" s="215"/>
      <c r="B12" s="208" t="s">
        <v>637</v>
      </c>
      <c r="C12" s="209" t="s">
        <v>638</v>
      </c>
      <c r="D12" s="209" t="s">
        <v>639</v>
      </c>
      <c r="E12" s="209" t="s">
        <v>640</v>
      </c>
      <c r="F12" s="209" t="s">
        <v>641</v>
      </c>
      <c r="G12" s="209" t="s">
        <v>642</v>
      </c>
      <c r="H12" s="209" t="s">
        <v>643</v>
      </c>
      <c r="I12" s="209" t="s">
        <v>644</v>
      </c>
      <c r="J12" s="209" t="s">
        <v>645</v>
      </c>
      <c r="K12" s="209" t="s">
        <v>23</v>
      </c>
      <c r="L12" s="209" t="s">
        <v>24</v>
      </c>
      <c r="M12" s="210" t="s">
        <v>27</v>
      </c>
    </row>
    <row r="13" spans="1:13" ht="25" x14ac:dyDescent="0.35">
      <c r="A13" s="216" t="s">
        <v>33</v>
      </c>
      <c r="B13" s="219">
        <v>14651918</v>
      </c>
      <c r="C13" s="220">
        <v>14877594</v>
      </c>
      <c r="D13" s="220">
        <v>14841752</v>
      </c>
      <c r="E13" s="220">
        <v>15215582</v>
      </c>
      <c r="F13" s="220">
        <v>15564475</v>
      </c>
      <c r="G13" s="220">
        <v>15869058</v>
      </c>
      <c r="H13" s="220">
        <v>15946320</v>
      </c>
      <c r="I13" s="220">
        <v>16257802</v>
      </c>
      <c r="J13" s="220">
        <v>16377759</v>
      </c>
      <c r="K13" s="221">
        <v>12646762</v>
      </c>
      <c r="L13" s="221">
        <v>16600587</v>
      </c>
      <c r="M13" s="222">
        <v>16695554</v>
      </c>
    </row>
    <row r="14" spans="1:13" ht="38" thickBot="1" x14ac:dyDescent="0.4">
      <c r="A14" s="217" t="s">
        <v>34</v>
      </c>
      <c r="B14" s="200">
        <v>6829484</v>
      </c>
      <c r="C14" s="201">
        <v>6861043</v>
      </c>
      <c r="D14" s="201">
        <v>6936905</v>
      </c>
      <c r="E14" s="201">
        <v>7139199</v>
      </c>
      <c r="F14" s="201">
        <v>7355960</v>
      </c>
      <c r="G14" s="201">
        <v>7493243</v>
      </c>
      <c r="H14" s="201">
        <v>7883800</v>
      </c>
      <c r="I14" s="201">
        <v>8569180</v>
      </c>
      <c r="J14" s="201">
        <v>8639357</v>
      </c>
      <c r="K14" s="202">
        <v>4782797</v>
      </c>
      <c r="L14" s="202">
        <v>7774380</v>
      </c>
      <c r="M14" s="218">
        <v>8653288</v>
      </c>
    </row>
  </sheetData>
  <mergeCells count="7">
    <mergeCell ref="A1:F1"/>
    <mergeCell ref="A3:G3"/>
    <mergeCell ref="A9:G9"/>
    <mergeCell ref="A10:G10"/>
    <mergeCell ref="A5:K5"/>
    <mergeCell ref="A6:H6"/>
    <mergeCell ref="A7:H7"/>
  </mergeCells>
  <hyperlinks>
    <hyperlink ref="A7" r:id="rId1" display="https://www.england.nhs.uk/statistics/statistical-work-areas/ae-waiting-times-and-activity/statistical-work-areasae-waiting-times-and-activityae-attendances-and-emergency-admissions-2016-17/" xr:uid="{69BCC64A-CDB6-47AF-A858-87CA771E9C07}"/>
    <hyperlink ref="A7:H7" r:id="rId2" display="https://www.england.nhs.uk/statistics/statistical-work-areas/ae-waiting-times-and-activity/ae-attendances-and-emergency-admissions-2022-23/" xr:uid="{85AF5EF9-E260-47C8-A9DF-E1BC1D943561}"/>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F5C3-2D5F-40CB-BBB2-4A749FF89EA3}">
  <dimension ref="A1:M17"/>
  <sheetViews>
    <sheetView showGridLines="0" zoomScaleNormal="100" workbookViewId="0">
      <selection activeCell="A6" sqref="A6:H6"/>
    </sheetView>
  </sheetViews>
  <sheetFormatPr defaultColWidth="8.84375" defaultRowHeight="14.5" x14ac:dyDescent="0.35"/>
  <cols>
    <col min="1" max="1" width="23.61328125" style="4" customWidth="1"/>
    <col min="2" max="6" width="8.4609375" style="4" bestFit="1" customWidth="1"/>
    <col min="7" max="7" width="8.4609375" style="4" customWidth="1"/>
    <col min="8" max="13" width="8.4609375" style="4" bestFit="1" customWidth="1"/>
    <col min="14" max="16384" width="8.84375" style="4"/>
  </cols>
  <sheetData>
    <row r="1" spans="1:13" ht="84" customHeight="1" x14ac:dyDescent="0.35">
      <c r="A1" s="324"/>
      <c r="B1" s="324"/>
      <c r="C1" s="324"/>
      <c r="D1" s="324"/>
      <c r="E1" s="324"/>
      <c r="F1" s="324"/>
    </row>
    <row r="2" spans="1:13" x14ac:dyDescent="0.35">
      <c r="A2" s="3" t="s">
        <v>0</v>
      </c>
      <c r="B2" s="3" t="s">
        <v>0</v>
      </c>
      <c r="C2" s="3" t="s">
        <v>0</v>
      </c>
      <c r="D2" s="3" t="s">
        <v>0</v>
      </c>
      <c r="E2" s="3" t="s">
        <v>0</v>
      </c>
      <c r="F2" s="3" t="s">
        <v>0</v>
      </c>
      <c r="G2" s="3" t="s">
        <v>0</v>
      </c>
    </row>
    <row r="3" spans="1:13" ht="24.5" customHeight="1" x14ac:dyDescent="0.35">
      <c r="A3" s="327" t="s">
        <v>38</v>
      </c>
      <c r="B3" s="327"/>
      <c r="C3" s="327"/>
      <c r="D3" s="327"/>
      <c r="E3" s="327"/>
      <c r="F3" s="327"/>
      <c r="G3" s="327"/>
    </row>
    <row r="4" spans="1:13" ht="66.75" customHeight="1" x14ac:dyDescent="0.35">
      <c r="A4" s="328" t="s">
        <v>58</v>
      </c>
      <c r="B4" s="328"/>
      <c r="C4" s="328"/>
      <c r="D4" s="328"/>
      <c r="E4" s="328"/>
      <c r="F4" s="328"/>
      <c r="G4" s="328"/>
    </row>
    <row r="5" spans="1:13" x14ac:dyDescent="0.35">
      <c r="A5" s="325" t="s">
        <v>32</v>
      </c>
      <c r="B5" s="325"/>
      <c r="C5" s="325"/>
      <c r="D5" s="325"/>
      <c r="E5" s="325"/>
      <c r="F5" s="325"/>
      <c r="G5" s="325"/>
      <c r="H5" s="325"/>
      <c r="I5" s="325"/>
      <c r="J5" s="325"/>
      <c r="K5" s="325"/>
    </row>
    <row r="6" spans="1:13" ht="14.4" customHeight="1" x14ac:dyDescent="0.35">
      <c r="A6" s="320" t="s">
        <v>649</v>
      </c>
      <c r="B6" s="320"/>
      <c r="C6" s="320"/>
      <c r="D6" s="320"/>
      <c r="E6" s="320"/>
      <c r="F6" s="320"/>
      <c r="G6" s="320"/>
      <c r="H6" s="320"/>
      <c r="I6" s="26"/>
      <c r="J6" s="26"/>
      <c r="K6" s="26"/>
    </row>
    <row r="7" spans="1:13" x14ac:dyDescent="0.35">
      <c r="A7" s="321" t="s">
        <v>349</v>
      </c>
      <c r="B7" s="321"/>
      <c r="C7" s="321"/>
      <c r="D7" s="321"/>
      <c r="E7" s="321"/>
      <c r="F7" s="321"/>
      <c r="G7" s="321"/>
      <c r="H7" s="321"/>
      <c r="I7" s="26"/>
      <c r="J7" s="26"/>
      <c r="K7" s="26"/>
    </row>
    <row r="8" spans="1:13" x14ac:dyDescent="0.35">
      <c r="A8" s="10" t="s">
        <v>13</v>
      </c>
    </row>
    <row r="9" spans="1:13" x14ac:dyDescent="0.35">
      <c r="A9" s="323" t="s">
        <v>2</v>
      </c>
      <c r="B9" s="324"/>
      <c r="C9" s="324"/>
      <c r="D9" s="324"/>
      <c r="E9" s="324"/>
      <c r="F9" s="324"/>
      <c r="G9" s="324"/>
    </row>
    <row r="10" spans="1:13" x14ac:dyDescent="0.35">
      <c r="A10" s="323" t="s">
        <v>1</v>
      </c>
      <c r="B10" s="324"/>
      <c r="C10" s="324"/>
      <c r="D10" s="324"/>
      <c r="E10" s="324"/>
      <c r="F10" s="324"/>
      <c r="G10" s="324"/>
    </row>
    <row r="11" spans="1:13" ht="15" thickBot="1" x14ac:dyDescent="0.4">
      <c r="A11" s="3" t="s">
        <v>0</v>
      </c>
      <c r="B11" s="3" t="s">
        <v>0</v>
      </c>
      <c r="C11" s="3" t="s">
        <v>0</v>
      </c>
      <c r="D11" s="3" t="s">
        <v>0</v>
      </c>
      <c r="E11" s="3" t="s">
        <v>0</v>
      </c>
      <c r="F11" s="3" t="s">
        <v>0</v>
      </c>
      <c r="G11" s="3" t="s">
        <v>0</v>
      </c>
    </row>
    <row r="12" spans="1:13" ht="15" thickBot="1" x14ac:dyDescent="0.4">
      <c r="A12" s="215"/>
      <c r="B12" s="208" t="s">
        <v>637</v>
      </c>
      <c r="C12" s="209" t="s">
        <v>638</v>
      </c>
      <c r="D12" s="209" t="s">
        <v>639</v>
      </c>
      <c r="E12" s="209" t="s">
        <v>640</v>
      </c>
      <c r="F12" s="209" t="s">
        <v>641</v>
      </c>
      <c r="G12" s="209" t="s">
        <v>642</v>
      </c>
      <c r="H12" s="209" t="s">
        <v>643</v>
      </c>
      <c r="I12" s="209" t="s">
        <v>644</v>
      </c>
      <c r="J12" s="209" t="s">
        <v>645</v>
      </c>
      <c r="K12" s="209" t="s">
        <v>23</v>
      </c>
      <c r="L12" s="209" t="s">
        <v>24</v>
      </c>
      <c r="M12" s="210" t="s">
        <v>27</v>
      </c>
    </row>
    <row r="13" spans="1:13" x14ac:dyDescent="0.35">
      <c r="A13" s="216" t="s">
        <v>40</v>
      </c>
      <c r="B13" s="233">
        <v>20756459</v>
      </c>
      <c r="C13" s="234">
        <v>20837226</v>
      </c>
      <c r="D13" s="234">
        <v>20839471</v>
      </c>
      <c r="E13" s="234">
        <v>20933643</v>
      </c>
      <c r="F13" s="234">
        <v>21065455.428571429</v>
      </c>
      <c r="G13" s="234">
        <v>20821861</v>
      </c>
      <c r="H13" s="234">
        <v>21051433</v>
      </c>
      <c r="I13" s="234">
        <v>21850979</v>
      </c>
      <c r="J13" s="234">
        <v>19137676</v>
      </c>
      <c r="K13" s="234">
        <v>13454542</v>
      </c>
      <c r="L13" s="234">
        <v>16639501</v>
      </c>
      <c r="M13" s="235">
        <v>16017093</v>
      </c>
    </row>
    <row r="14" spans="1:13" x14ac:dyDescent="0.35">
      <c r="A14" s="223" t="s">
        <v>41</v>
      </c>
      <c r="B14" s="226">
        <v>724943</v>
      </c>
      <c r="C14" s="224">
        <v>901411</v>
      </c>
      <c r="D14" s="224">
        <v>939186</v>
      </c>
      <c r="E14" s="224">
        <v>1421138</v>
      </c>
      <c r="F14" s="224">
        <v>1854980</v>
      </c>
      <c r="G14" s="224">
        <v>2540440</v>
      </c>
      <c r="H14" s="224">
        <v>2778687</v>
      </c>
      <c r="I14" s="224">
        <v>2976003</v>
      </c>
      <c r="J14" s="224">
        <v>3599905</v>
      </c>
      <c r="K14" s="224">
        <v>2039343</v>
      </c>
      <c r="L14" s="224">
        <v>5042190</v>
      </c>
      <c r="M14" s="227">
        <v>6606765</v>
      </c>
    </row>
    <row r="15" spans="1:13" x14ac:dyDescent="0.35">
      <c r="A15" s="223" t="s">
        <v>42</v>
      </c>
      <c r="B15" s="226">
        <v>21481402</v>
      </c>
      <c r="C15" s="224">
        <v>21738637</v>
      </c>
      <c r="D15" s="224">
        <v>21778657</v>
      </c>
      <c r="E15" s="224">
        <v>22354781</v>
      </c>
      <c r="F15" s="224">
        <v>22920435.428571429</v>
      </c>
      <c r="G15" s="224">
        <v>23362301</v>
      </c>
      <c r="H15" s="224">
        <v>23830120</v>
      </c>
      <c r="I15" s="224">
        <v>24826982</v>
      </c>
      <c r="J15" s="224">
        <v>25017116</v>
      </c>
      <c r="K15" s="224">
        <v>17429559</v>
      </c>
      <c r="L15" s="224">
        <v>24374967</v>
      </c>
      <c r="M15" s="227">
        <v>25348842</v>
      </c>
    </row>
    <row r="16" spans="1:13" x14ac:dyDescent="0.35">
      <c r="A16" s="223" t="s">
        <v>43</v>
      </c>
      <c r="B16" s="228">
        <v>0.96625252858263166</v>
      </c>
      <c r="C16" s="225">
        <v>0.95853415280820042</v>
      </c>
      <c r="D16" s="225">
        <v>0.95687585327231151</v>
      </c>
      <c r="E16" s="225">
        <v>0.9364280061611876</v>
      </c>
      <c r="F16" s="225">
        <v>0.91907605029980322</v>
      </c>
      <c r="G16" s="225">
        <v>0.89125899884604687</v>
      </c>
      <c r="H16" s="225">
        <v>0.8833960131128169</v>
      </c>
      <c r="I16" s="225">
        <v>0.88</v>
      </c>
      <c r="J16" s="225">
        <v>0.84167599007123928</v>
      </c>
      <c r="K16" s="225">
        <v>0.86806950086452017</v>
      </c>
      <c r="L16" s="225">
        <v>0.76744479939318389</v>
      </c>
      <c r="M16" s="229">
        <v>0.70797354721727834</v>
      </c>
    </row>
    <row r="17" spans="1:13" ht="15" thickBot="1" x14ac:dyDescent="0.4">
      <c r="A17" s="217" t="s">
        <v>44</v>
      </c>
      <c r="B17" s="230">
        <v>0.95</v>
      </c>
      <c r="C17" s="231">
        <v>0.95</v>
      </c>
      <c r="D17" s="231">
        <v>0.95</v>
      </c>
      <c r="E17" s="231">
        <v>0.95</v>
      </c>
      <c r="F17" s="231">
        <v>0.95</v>
      </c>
      <c r="G17" s="231">
        <v>0.95</v>
      </c>
      <c r="H17" s="231">
        <v>0.95</v>
      </c>
      <c r="I17" s="231">
        <v>0.95</v>
      </c>
      <c r="J17" s="231">
        <v>0.95</v>
      </c>
      <c r="K17" s="231">
        <v>0.95</v>
      </c>
      <c r="L17" s="231">
        <v>0.95</v>
      </c>
      <c r="M17" s="232">
        <v>0.95</v>
      </c>
    </row>
  </sheetData>
  <mergeCells count="8">
    <mergeCell ref="A1:F1"/>
    <mergeCell ref="A3:G3"/>
    <mergeCell ref="A5:K5"/>
    <mergeCell ref="A9:G9"/>
    <mergeCell ref="A10:G10"/>
    <mergeCell ref="A4:G4"/>
    <mergeCell ref="A6:H6"/>
    <mergeCell ref="A7:H7"/>
  </mergeCells>
  <hyperlinks>
    <hyperlink ref="A7" r:id="rId1" display="https://www.england.nhs.uk/statistics/statistical-work-areas/ae-waiting-times-and-activity/statistical-work-areasae-waiting-times-and-activityae-attendances-and-emergency-admissions-2016-17/" xr:uid="{9DB9CDFB-BA87-46CD-A2F8-EEAAF6D12B72}"/>
    <hyperlink ref="A7:H7" r:id="rId2" display="https://www.england.nhs.uk/statistics/statistical-work-areas/ae-waiting-times-and-activity/ae-attendances-and-emergency-admissions-2022-23/" xr:uid="{E43492C5-C000-4B2A-AC92-C241A147DCEB}"/>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47E6-E781-4105-BDA4-2F55CAEB898F}">
  <dimension ref="A1:K144"/>
  <sheetViews>
    <sheetView showGridLines="0" zoomScaleNormal="100" workbookViewId="0">
      <selection sqref="A1:F1"/>
    </sheetView>
  </sheetViews>
  <sheetFormatPr defaultColWidth="8.84375" defaultRowHeight="14.5" x14ac:dyDescent="0.35"/>
  <cols>
    <col min="1" max="1" width="22.3828125" style="4" bestFit="1" customWidth="1"/>
    <col min="2" max="2" width="14.53515625" style="4" customWidth="1"/>
    <col min="3" max="3" width="18.53515625" style="4" customWidth="1"/>
    <col min="4" max="4" width="8.84375" style="4" bestFit="1" customWidth="1"/>
    <col min="5" max="5" width="15.84375" style="4" customWidth="1"/>
    <col min="6" max="6" width="10.84375" style="4" customWidth="1"/>
    <col min="7" max="7" width="8.4609375" style="4" customWidth="1"/>
    <col min="8" max="8" width="23.07421875" style="4" customWidth="1"/>
    <col min="9" max="16384" width="8.84375" style="4"/>
  </cols>
  <sheetData>
    <row r="1" spans="1:11" ht="84" customHeight="1" x14ac:dyDescent="0.35">
      <c r="A1" s="324"/>
      <c r="B1" s="324"/>
      <c r="C1" s="324"/>
      <c r="D1" s="324"/>
      <c r="E1" s="324"/>
      <c r="F1" s="324"/>
    </row>
    <row r="2" spans="1:11" x14ac:dyDescent="0.35">
      <c r="A2" s="3" t="s">
        <v>0</v>
      </c>
      <c r="B2" s="3" t="s">
        <v>0</v>
      </c>
      <c r="C2" s="3" t="s">
        <v>0</v>
      </c>
      <c r="D2" s="3" t="s">
        <v>0</v>
      </c>
      <c r="E2" s="3" t="s">
        <v>0</v>
      </c>
      <c r="F2" s="3" t="s">
        <v>0</v>
      </c>
      <c r="G2" s="3" t="s">
        <v>0</v>
      </c>
    </row>
    <row r="3" spans="1:11" ht="24.5" customHeight="1" x14ac:dyDescent="0.35">
      <c r="A3" s="327" t="s">
        <v>46</v>
      </c>
      <c r="B3" s="327"/>
      <c r="C3" s="327"/>
      <c r="D3" s="327"/>
      <c r="E3" s="327"/>
      <c r="F3" s="327"/>
      <c r="G3" s="327"/>
    </row>
    <row r="4" spans="1:11" ht="29.25" customHeight="1" x14ac:dyDescent="0.35">
      <c r="A4" s="328" t="s">
        <v>57</v>
      </c>
      <c r="B4" s="328"/>
      <c r="C4" s="328"/>
      <c r="D4" s="328"/>
      <c r="E4" s="328"/>
      <c r="F4" s="328"/>
      <c r="G4" s="328"/>
    </row>
    <row r="5" spans="1:11" x14ac:dyDescent="0.35">
      <c r="A5" s="325" t="s">
        <v>32</v>
      </c>
      <c r="B5" s="325"/>
      <c r="C5" s="325"/>
      <c r="D5" s="325"/>
      <c r="E5" s="325"/>
      <c r="F5" s="325"/>
      <c r="G5" s="325"/>
      <c r="H5" s="325"/>
      <c r="I5" s="325"/>
      <c r="J5" s="325"/>
      <c r="K5" s="325"/>
    </row>
    <row r="6" spans="1:11" ht="14.4" customHeight="1" x14ac:dyDescent="0.35">
      <c r="A6" s="320" t="s">
        <v>649</v>
      </c>
      <c r="B6" s="320"/>
      <c r="C6" s="320"/>
      <c r="D6" s="320"/>
      <c r="E6" s="320"/>
      <c r="F6" s="320"/>
      <c r="G6" s="320"/>
      <c r="H6" s="320"/>
      <c r="I6" s="26"/>
      <c r="J6" s="26"/>
      <c r="K6" s="26"/>
    </row>
    <row r="7" spans="1:11" x14ac:dyDescent="0.35">
      <c r="A7" s="321" t="s">
        <v>349</v>
      </c>
      <c r="B7" s="321"/>
      <c r="C7" s="321"/>
      <c r="D7" s="321"/>
      <c r="E7" s="321"/>
      <c r="F7" s="321"/>
      <c r="G7" s="321"/>
      <c r="H7" s="321"/>
      <c r="I7" s="26"/>
      <c r="J7" s="26"/>
      <c r="K7" s="26"/>
    </row>
    <row r="8" spans="1:11" x14ac:dyDescent="0.35">
      <c r="A8" s="10" t="s">
        <v>13</v>
      </c>
    </row>
    <row r="9" spans="1:11" x14ac:dyDescent="0.35">
      <c r="A9" s="323" t="s">
        <v>2</v>
      </c>
      <c r="B9" s="324"/>
      <c r="C9" s="324"/>
      <c r="D9" s="324"/>
      <c r="E9" s="324"/>
      <c r="F9" s="324"/>
      <c r="G9" s="324"/>
    </row>
    <row r="10" spans="1:11" x14ac:dyDescent="0.35">
      <c r="A10" s="323" t="s">
        <v>1</v>
      </c>
      <c r="B10" s="324"/>
      <c r="C10" s="324"/>
      <c r="D10" s="324"/>
      <c r="E10" s="324"/>
      <c r="F10" s="324"/>
      <c r="G10" s="324"/>
    </row>
    <row r="11" spans="1:11" ht="15" thickBot="1" x14ac:dyDescent="0.4">
      <c r="A11" s="3" t="s">
        <v>0</v>
      </c>
      <c r="B11" s="3" t="s">
        <v>0</v>
      </c>
      <c r="C11" s="3" t="s">
        <v>0</v>
      </c>
      <c r="D11" s="3" t="s">
        <v>0</v>
      </c>
      <c r="E11" s="3" t="s">
        <v>0</v>
      </c>
      <c r="F11" s="3" t="s">
        <v>0</v>
      </c>
      <c r="G11" s="3" t="s">
        <v>0</v>
      </c>
    </row>
    <row r="12" spans="1:11" ht="39.5" thickBot="1" x14ac:dyDescent="0.4">
      <c r="A12" s="236"/>
      <c r="B12" s="237" t="s">
        <v>48</v>
      </c>
      <c r="C12" s="238" t="s">
        <v>49</v>
      </c>
    </row>
    <row r="13" spans="1:11" x14ac:dyDescent="0.35">
      <c r="A13" s="246">
        <v>41000</v>
      </c>
      <c r="B13" s="243">
        <v>56832.076190476182</v>
      </c>
      <c r="C13" s="239"/>
    </row>
    <row r="14" spans="1:11" x14ac:dyDescent="0.35">
      <c r="A14" s="247">
        <v>41030</v>
      </c>
      <c r="B14" s="244">
        <v>60259.668202764966</v>
      </c>
      <c r="C14" s="240"/>
    </row>
    <row r="15" spans="1:11" x14ac:dyDescent="0.35">
      <c r="A15" s="247">
        <v>41061</v>
      </c>
      <c r="B15" s="244">
        <v>60880.066666666666</v>
      </c>
      <c r="C15" s="240"/>
    </row>
    <row r="16" spans="1:11" x14ac:dyDescent="0.35">
      <c r="A16" s="247">
        <v>41091</v>
      </c>
      <c r="B16" s="244">
        <v>60260.958525345661</v>
      </c>
      <c r="C16" s="240"/>
    </row>
    <row r="17" spans="1:3" x14ac:dyDescent="0.35">
      <c r="A17" s="247">
        <v>41122</v>
      </c>
      <c r="B17" s="244">
        <v>57759.202764976952</v>
      </c>
      <c r="C17" s="240"/>
    </row>
    <row r="18" spans="1:3" x14ac:dyDescent="0.35">
      <c r="A18" s="247">
        <v>41153</v>
      </c>
      <c r="B18" s="244">
        <v>57646.023809523795</v>
      </c>
      <c r="C18" s="240"/>
    </row>
    <row r="19" spans="1:3" x14ac:dyDescent="0.35">
      <c r="A19" s="247">
        <v>41183</v>
      </c>
      <c r="B19" s="244">
        <v>56885.027649769603</v>
      </c>
      <c r="C19" s="240"/>
    </row>
    <row r="20" spans="1:3" x14ac:dyDescent="0.35">
      <c r="A20" s="247">
        <v>41214</v>
      </c>
      <c r="B20" s="244">
        <v>56186.361904761907</v>
      </c>
      <c r="C20" s="240"/>
    </row>
    <row r="21" spans="1:3" x14ac:dyDescent="0.35">
      <c r="A21" s="247">
        <v>41244</v>
      </c>
      <c r="B21" s="244">
        <v>55652.870967741925</v>
      </c>
      <c r="C21" s="240"/>
    </row>
    <row r="22" spans="1:3" x14ac:dyDescent="0.35">
      <c r="A22" s="247">
        <v>41275</v>
      </c>
      <c r="B22" s="244">
        <v>52856.677419354834</v>
      </c>
      <c r="C22" s="240"/>
    </row>
    <row r="23" spans="1:3" x14ac:dyDescent="0.35">
      <c r="A23" s="247">
        <v>41306</v>
      </c>
      <c r="B23" s="244">
        <v>55522.719387755089</v>
      </c>
      <c r="C23" s="240"/>
    </row>
    <row r="24" spans="1:3" x14ac:dyDescent="0.35">
      <c r="A24" s="247">
        <v>41334</v>
      </c>
      <c r="B24" s="244">
        <v>56260.940092165903</v>
      </c>
      <c r="C24" s="240">
        <v>57250.216131775291</v>
      </c>
    </row>
    <row r="25" spans="1:3" x14ac:dyDescent="0.35">
      <c r="A25" s="247">
        <v>41365</v>
      </c>
      <c r="B25" s="244">
        <v>57043.290476190465</v>
      </c>
      <c r="C25" s="240">
        <v>57267.817322251496</v>
      </c>
    </row>
    <row r="26" spans="1:3" x14ac:dyDescent="0.35">
      <c r="A26" s="247">
        <v>41395</v>
      </c>
      <c r="B26" s="244">
        <v>58930.548387096809</v>
      </c>
      <c r="C26" s="240">
        <v>57157.057337612474</v>
      </c>
    </row>
    <row r="27" spans="1:3" x14ac:dyDescent="0.35">
      <c r="A27" s="247">
        <v>41426</v>
      </c>
      <c r="B27" s="244">
        <v>59156.542857142835</v>
      </c>
      <c r="C27" s="240">
        <v>57013.430353485492</v>
      </c>
    </row>
    <row r="28" spans="1:3" x14ac:dyDescent="0.35">
      <c r="A28" s="247">
        <v>41456</v>
      </c>
      <c r="B28" s="244">
        <v>61635.488479262669</v>
      </c>
      <c r="C28" s="240">
        <v>57127.974516311901</v>
      </c>
    </row>
    <row r="29" spans="1:3" x14ac:dyDescent="0.35">
      <c r="A29" s="247">
        <v>41487</v>
      </c>
      <c r="B29" s="244">
        <v>57167.580645161281</v>
      </c>
      <c r="C29" s="240">
        <v>57078.672672993933</v>
      </c>
    </row>
    <row r="30" spans="1:3" x14ac:dyDescent="0.35">
      <c r="A30" s="247">
        <v>41518</v>
      </c>
      <c r="B30" s="244">
        <v>56473.5</v>
      </c>
      <c r="C30" s="240">
        <v>56980.962355533615</v>
      </c>
    </row>
    <row r="31" spans="1:3" x14ac:dyDescent="0.35">
      <c r="A31" s="247">
        <v>41548</v>
      </c>
      <c r="B31" s="244">
        <v>56457.396313364021</v>
      </c>
      <c r="C31" s="240">
        <v>56945.326410833142</v>
      </c>
    </row>
    <row r="32" spans="1:3" x14ac:dyDescent="0.35">
      <c r="A32" s="247">
        <v>41579</v>
      </c>
      <c r="B32" s="244">
        <v>55408.5142857143</v>
      </c>
      <c r="C32" s="240">
        <v>56880.505775912512</v>
      </c>
    </row>
    <row r="33" spans="1:3" x14ac:dyDescent="0.35">
      <c r="A33" s="247">
        <v>41609</v>
      </c>
      <c r="B33" s="244">
        <v>54773.543778801839</v>
      </c>
      <c r="C33" s="240">
        <v>56807.228510167486</v>
      </c>
    </row>
    <row r="34" spans="1:3" x14ac:dyDescent="0.35">
      <c r="A34" s="247">
        <v>41640</v>
      </c>
      <c r="B34" s="244">
        <v>53404.617511520737</v>
      </c>
      <c r="C34" s="240">
        <v>56852.890184514661</v>
      </c>
    </row>
    <row r="35" spans="1:3" x14ac:dyDescent="0.35">
      <c r="A35" s="247">
        <v>41671</v>
      </c>
      <c r="B35" s="244">
        <v>56168.326530612212</v>
      </c>
      <c r="C35" s="240">
        <v>56906.69077975276</v>
      </c>
    </row>
    <row r="36" spans="1:3" x14ac:dyDescent="0.35">
      <c r="A36" s="247">
        <v>41699</v>
      </c>
      <c r="B36" s="244">
        <v>60371.359447004659</v>
      </c>
      <c r="C36" s="240">
        <v>57249.225725989316</v>
      </c>
    </row>
    <row r="37" spans="1:3" x14ac:dyDescent="0.35">
      <c r="A37" s="247">
        <v>41730</v>
      </c>
      <c r="B37" s="244">
        <v>59623.957142857129</v>
      </c>
      <c r="C37" s="240">
        <v>57464.281281544878</v>
      </c>
    </row>
    <row r="38" spans="1:3" x14ac:dyDescent="0.35">
      <c r="A38" s="247">
        <v>41760</v>
      </c>
      <c r="B38" s="244">
        <v>60510.926267281095</v>
      </c>
      <c r="C38" s="240">
        <v>57595.979438226896</v>
      </c>
    </row>
    <row r="39" spans="1:3" x14ac:dyDescent="0.35">
      <c r="A39" s="247">
        <v>41791</v>
      </c>
      <c r="B39" s="244">
        <v>61646.80952380949</v>
      </c>
      <c r="C39" s="240">
        <v>57803.501660449117</v>
      </c>
    </row>
    <row r="40" spans="1:3" x14ac:dyDescent="0.35">
      <c r="A40" s="247">
        <v>41821</v>
      </c>
      <c r="B40" s="244">
        <v>61205.124423963112</v>
      </c>
      <c r="C40" s="240">
        <v>57767.63798917416</v>
      </c>
    </row>
    <row r="41" spans="1:3" x14ac:dyDescent="0.35">
      <c r="A41" s="247">
        <v>41852</v>
      </c>
      <c r="B41" s="244">
        <v>55755.815668202747</v>
      </c>
      <c r="C41" s="240">
        <v>57649.990907760948</v>
      </c>
    </row>
    <row r="42" spans="1:3" x14ac:dyDescent="0.35">
      <c r="A42" s="247">
        <v>41883</v>
      </c>
      <c r="B42" s="244">
        <v>58447.866666666676</v>
      </c>
      <c r="C42" s="240">
        <v>57814.521463316494</v>
      </c>
    </row>
    <row r="43" spans="1:3" x14ac:dyDescent="0.35">
      <c r="A43" s="247">
        <v>41913</v>
      </c>
      <c r="B43" s="244">
        <v>57206.317972350233</v>
      </c>
      <c r="C43" s="240">
        <v>57876.93160156536</v>
      </c>
    </row>
    <row r="44" spans="1:3" x14ac:dyDescent="0.35">
      <c r="A44" s="247">
        <v>41944</v>
      </c>
      <c r="B44" s="244">
        <v>57024.304761904787</v>
      </c>
      <c r="C44" s="240">
        <v>58011.580807914557</v>
      </c>
    </row>
    <row r="45" spans="1:3" x14ac:dyDescent="0.35">
      <c r="A45" s="247">
        <v>41974</v>
      </c>
      <c r="B45" s="244">
        <v>55131.354838709653</v>
      </c>
      <c r="C45" s="240">
        <v>58041.39839624022</v>
      </c>
    </row>
    <row r="46" spans="1:3" x14ac:dyDescent="0.35">
      <c r="A46" s="247">
        <v>42005</v>
      </c>
      <c r="B46" s="244">
        <v>50932.599078340994</v>
      </c>
      <c r="C46" s="240">
        <v>57835.396860141911</v>
      </c>
    </row>
    <row r="47" spans="1:3" x14ac:dyDescent="0.35">
      <c r="A47" s="247">
        <v>42036</v>
      </c>
      <c r="B47" s="244">
        <v>54356.377551020392</v>
      </c>
      <c r="C47" s="240">
        <v>57684.401111842591</v>
      </c>
    </row>
    <row r="48" spans="1:3" x14ac:dyDescent="0.35">
      <c r="A48" s="247">
        <v>42064</v>
      </c>
      <c r="B48" s="244">
        <v>58121.709677419371</v>
      </c>
      <c r="C48" s="240">
        <v>57496.930297710474</v>
      </c>
    </row>
    <row r="49" spans="1:3" x14ac:dyDescent="0.35">
      <c r="A49" s="247">
        <v>42095</v>
      </c>
      <c r="B49" s="244">
        <v>58245.614285714306</v>
      </c>
      <c r="C49" s="240">
        <v>57382.068392948568</v>
      </c>
    </row>
    <row r="50" spans="1:3" x14ac:dyDescent="0.35">
      <c r="A50" s="247">
        <v>42125</v>
      </c>
      <c r="B50" s="244">
        <v>58941.433179723506</v>
      </c>
      <c r="C50" s="240">
        <v>57251.277302318776</v>
      </c>
    </row>
    <row r="51" spans="1:3" x14ac:dyDescent="0.35">
      <c r="A51" s="247">
        <v>42156</v>
      </c>
      <c r="B51" s="244">
        <v>60396.166666666664</v>
      </c>
      <c r="C51" s="240">
        <v>57147.05706422354</v>
      </c>
    </row>
    <row r="52" spans="1:3" x14ac:dyDescent="0.35">
      <c r="A52" s="247">
        <v>42186</v>
      </c>
      <c r="B52" s="244">
        <v>59852.258064516129</v>
      </c>
      <c r="C52" s="240">
        <v>57034.318200936279</v>
      </c>
    </row>
    <row r="53" spans="1:3" x14ac:dyDescent="0.35">
      <c r="A53" s="247">
        <v>42217</v>
      </c>
      <c r="B53" s="244">
        <v>56731.096774193546</v>
      </c>
      <c r="C53" s="240">
        <v>57115.591626435518</v>
      </c>
    </row>
    <row r="54" spans="1:3" x14ac:dyDescent="0.35">
      <c r="A54" s="247">
        <v>42248</v>
      </c>
      <c r="B54" s="244">
        <v>57895.6</v>
      </c>
      <c r="C54" s="240">
        <v>57069.569404213304</v>
      </c>
    </row>
    <row r="55" spans="1:3" x14ac:dyDescent="0.35">
      <c r="A55" s="247">
        <v>42278</v>
      </c>
      <c r="B55" s="244">
        <v>57275.93548387097</v>
      </c>
      <c r="C55" s="240">
        <v>57075.370863506687</v>
      </c>
    </row>
    <row r="56" spans="1:3" x14ac:dyDescent="0.35">
      <c r="A56" s="247">
        <v>42309</v>
      </c>
      <c r="B56" s="244">
        <v>57025.433333333334</v>
      </c>
      <c r="C56" s="240">
        <v>57075.464911125739</v>
      </c>
    </row>
    <row r="57" spans="1:3" x14ac:dyDescent="0.35">
      <c r="A57" s="248">
        <v>42339</v>
      </c>
      <c r="B57" s="244">
        <v>54808</v>
      </c>
      <c r="C57" s="240">
        <v>57048.518674566607</v>
      </c>
    </row>
    <row r="58" spans="1:3" x14ac:dyDescent="0.35">
      <c r="A58" s="247">
        <v>42370</v>
      </c>
      <c r="B58" s="244">
        <v>54536.594470046133</v>
      </c>
      <c r="C58" s="240">
        <v>57348.851623875351</v>
      </c>
    </row>
    <row r="59" spans="1:3" x14ac:dyDescent="0.35">
      <c r="A59" s="247">
        <v>42401</v>
      </c>
      <c r="B59" s="244">
        <v>56610.172413793101</v>
      </c>
      <c r="C59" s="240">
        <v>57536.667862439739</v>
      </c>
    </row>
    <row r="60" spans="1:3" x14ac:dyDescent="0.35">
      <c r="A60" s="247">
        <v>42430</v>
      </c>
      <c r="B60" s="244">
        <v>58765.129032258068</v>
      </c>
      <c r="C60" s="240">
        <v>57590.286142009652</v>
      </c>
    </row>
    <row r="61" spans="1:3" x14ac:dyDescent="0.35">
      <c r="A61" s="249">
        <v>42461</v>
      </c>
      <c r="B61" s="244">
        <v>56055.3</v>
      </c>
      <c r="C61" s="240">
        <v>57407.759951533451</v>
      </c>
    </row>
    <row r="62" spans="1:3" x14ac:dyDescent="0.35">
      <c r="A62" s="249">
        <v>42491</v>
      </c>
      <c r="B62" s="244">
        <v>60290.677419354841</v>
      </c>
      <c r="C62" s="240">
        <v>57520.196971502737</v>
      </c>
    </row>
    <row r="63" spans="1:3" x14ac:dyDescent="0.35">
      <c r="A63" s="249">
        <v>42522</v>
      </c>
      <c r="B63" s="244">
        <v>59129.666666666664</v>
      </c>
      <c r="C63" s="240">
        <v>57414.655304836058</v>
      </c>
    </row>
    <row r="64" spans="1:3" x14ac:dyDescent="0.35">
      <c r="A64" s="249">
        <v>42552</v>
      </c>
      <c r="B64" s="244">
        <v>60550.354838709674</v>
      </c>
      <c r="C64" s="240">
        <v>57472.830036018859</v>
      </c>
    </row>
    <row r="65" spans="1:3" x14ac:dyDescent="0.35">
      <c r="A65" s="249">
        <v>42583</v>
      </c>
      <c r="B65" s="244">
        <v>56725.225806451614</v>
      </c>
      <c r="C65" s="240">
        <v>57472.340788707028</v>
      </c>
    </row>
    <row r="66" spans="1:3" x14ac:dyDescent="0.35">
      <c r="A66" s="249">
        <v>42614</v>
      </c>
      <c r="B66" s="244">
        <v>58995.566666666666</v>
      </c>
      <c r="C66" s="240">
        <v>57564.00467759592</v>
      </c>
    </row>
    <row r="67" spans="1:3" x14ac:dyDescent="0.35">
      <c r="A67" s="249">
        <v>42644</v>
      </c>
      <c r="B67" s="244">
        <v>57505.774193548386</v>
      </c>
      <c r="C67" s="240">
        <v>57583.157903402374</v>
      </c>
    </row>
    <row r="68" spans="1:3" x14ac:dyDescent="0.35">
      <c r="A68" s="249">
        <v>42675</v>
      </c>
      <c r="B68" s="244">
        <v>56205.26666666667</v>
      </c>
      <c r="C68" s="240">
        <v>57514.810681180163</v>
      </c>
    </row>
    <row r="69" spans="1:3" x14ac:dyDescent="0.35">
      <c r="A69" s="249">
        <v>42705</v>
      </c>
      <c r="B69" s="244">
        <v>54056.419354838712</v>
      </c>
      <c r="C69" s="240">
        <v>57452.178960750054</v>
      </c>
    </row>
    <row r="70" spans="1:3" x14ac:dyDescent="0.35">
      <c r="A70" s="249">
        <v>42736</v>
      </c>
      <c r="B70" s="244">
        <v>52053.548387096773</v>
      </c>
      <c r="C70" s="240">
        <v>57245.258453837596</v>
      </c>
    </row>
    <row r="71" spans="1:3" x14ac:dyDescent="0.35">
      <c r="A71" s="249">
        <v>42767</v>
      </c>
      <c r="B71" s="244">
        <v>54257.25</v>
      </c>
      <c r="C71" s="240">
        <v>57049.181586021499</v>
      </c>
    </row>
    <row r="72" spans="1:3" x14ac:dyDescent="0.35">
      <c r="A72" s="249">
        <v>42795</v>
      </c>
      <c r="B72" s="244">
        <v>58530.387096774197</v>
      </c>
      <c r="C72" s="240">
        <v>57029.619758064509</v>
      </c>
    </row>
    <row r="73" spans="1:3" x14ac:dyDescent="0.35">
      <c r="A73" s="249">
        <v>42826</v>
      </c>
      <c r="B73" s="244">
        <v>58827.73333333333</v>
      </c>
      <c r="C73" s="240">
        <v>57260.655869175622</v>
      </c>
    </row>
    <row r="74" spans="1:3" x14ac:dyDescent="0.35">
      <c r="A74" s="249">
        <v>42856</v>
      </c>
      <c r="B74" s="244">
        <v>59803.774193548386</v>
      </c>
      <c r="C74" s="240">
        <v>57220.080600358422</v>
      </c>
    </row>
    <row r="75" spans="1:3" x14ac:dyDescent="0.35">
      <c r="A75" s="249">
        <v>42887</v>
      </c>
      <c r="B75" s="244">
        <v>60303.7</v>
      </c>
      <c r="C75" s="240">
        <v>57317.91671146953</v>
      </c>
    </row>
    <row r="76" spans="1:3" x14ac:dyDescent="0.35">
      <c r="A76" s="249">
        <v>42917</v>
      </c>
      <c r="B76" s="244">
        <v>60443.967741935485</v>
      </c>
      <c r="C76" s="240">
        <v>57309.051120071679</v>
      </c>
    </row>
    <row r="77" spans="1:3" x14ac:dyDescent="0.35">
      <c r="A77" s="249">
        <v>42948</v>
      </c>
      <c r="B77" s="244">
        <v>56063.096774193546</v>
      </c>
      <c r="C77" s="240">
        <v>57253.873700716846</v>
      </c>
    </row>
    <row r="78" spans="1:3" x14ac:dyDescent="0.35">
      <c r="A78" s="249">
        <v>42979</v>
      </c>
      <c r="B78" s="244">
        <v>57564.466666666667</v>
      </c>
      <c r="C78" s="240">
        <v>57134.615367383514</v>
      </c>
    </row>
    <row r="79" spans="1:3" x14ac:dyDescent="0.35">
      <c r="A79" s="249">
        <v>43009</v>
      </c>
      <c r="B79" s="244">
        <v>59307.580645161288</v>
      </c>
      <c r="C79" s="240">
        <v>57284.765905017928</v>
      </c>
    </row>
    <row r="80" spans="1:3" x14ac:dyDescent="0.35">
      <c r="A80" s="249">
        <v>43040</v>
      </c>
      <c r="B80" s="244">
        <v>58496.3</v>
      </c>
      <c r="C80" s="240">
        <v>57475.685349462379</v>
      </c>
    </row>
    <row r="81" spans="1:3" x14ac:dyDescent="0.35">
      <c r="A81" s="249">
        <v>43070</v>
      </c>
      <c r="B81" s="244">
        <v>54937.451612903227</v>
      </c>
      <c r="C81" s="240">
        <v>57549.104704301084</v>
      </c>
    </row>
    <row r="82" spans="1:3" x14ac:dyDescent="0.35">
      <c r="A82" s="249">
        <v>43101</v>
      </c>
      <c r="B82" s="244">
        <v>55034.096774193546</v>
      </c>
      <c r="C82" s="240">
        <v>57797.483736559159</v>
      </c>
    </row>
    <row r="83" spans="1:3" x14ac:dyDescent="0.35">
      <c r="A83" s="249">
        <v>43132</v>
      </c>
      <c r="B83" s="244">
        <v>55279.464285714283</v>
      </c>
      <c r="C83" s="240">
        <v>57882.668260368671</v>
      </c>
    </row>
    <row r="84" spans="1:3" x14ac:dyDescent="0.35">
      <c r="A84" s="249">
        <v>43160</v>
      </c>
      <c r="B84" s="244">
        <v>55953.322580645159</v>
      </c>
      <c r="C84" s="240">
        <v>57667.912884024583</v>
      </c>
    </row>
    <row r="85" spans="1:3" x14ac:dyDescent="0.35">
      <c r="A85" s="247">
        <v>43191</v>
      </c>
      <c r="B85" s="244">
        <v>58586.833333333336</v>
      </c>
      <c r="C85" s="240">
        <v>57647.837884024579</v>
      </c>
    </row>
    <row r="86" spans="1:3" x14ac:dyDescent="0.35">
      <c r="A86" s="247">
        <v>43221</v>
      </c>
      <c r="B86" s="244">
        <v>63111.483870967742</v>
      </c>
      <c r="C86" s="240">
        <v>57923.480357142857</v>
      </c>
    </row>
    <row r="87" spans="1:3" x14ac:dyDescent="0.35">
      <c r="A87" s="247">
        <v>43252</v>
      </c>
      <c r="B87" s="244">
        <v>63350.8</v>
      </c>
      <c r="C87" s="240">
        <v>58177.405357142859</v>
      </c>
    </row>
    <row r="88" spans="1:3" x14ac:dyDescent="0.35">
      <c r="A88" s="247">
        <v>43282</v>
      </c>
      <c r="B88" s="244">
        <v>62808.774193548386</v>
      </c>
      <c r="C88" s="240">
        <v>58374.472561443923</v>
      </c>
    </row>
    <row r="89" spans="1:3" x14ac:dyDescent="0.35">
      <c r="A89" s="247">
        <v>43313</v>
      </c>
      <c r="B89" s="244">
        <v>57826.290322580644</v>
      </c>
      <c r="C89" s="240">
        <v>58521.405357142845</v>
      </c>
    </row>
    <row r="90" spans="1:3" x14ac:dyDescent="0.35">
      <c r="A90" s="247">
        <v>43344</v>
      </c>
      <c r="B90" s="244">
        <v>59464.633333333331</v>
      </c>
      <c r="C90" s="240">
        <v>58679.752579365071</v>
      </c>
    </row>
    <row r="91" spans="1:3" x14ac:dyDescent="0.35">
      <c r="A91" s="247">
        <v>43374</v>
      </c>
      <c r="B91" s="244">
        <v>59707.806451612902</v>
      </c>
      <c r="C91" s="240">
        <v>58713.104729902705</v>
      </c>
    </row>
    <row r="92" spans="1:3" x14ac:dyDescent="0.35">
      <c r="A92" s="247">
        <v>43405</v>
      </c>
      <c r="B92" s="244">
        <v>59508.166666666664</v>
      </c>
      <c r="C92" s="240">
        <v>58797.426952124923</v>
      </c>
    </row>
    <row r="93" spans="1:3" x14ac:dyDescent="0.35">
      <c r="A93" s="247">
        <v>43435</v>
      </c>
      <c r="B93" s="244">
        <v>57096.903225806454</v>
      </c>
      <c r="C93" s="240">
        <v>58977.381253200198</v>
      </c>
    </row>
    <row r="94" spans="1:3" x14ac:dyDescent="0.35">
      <c r="A94" s="247">
        <v>43466</v>
      </c>
      <c r="B94" s="244">
        <v>57507</v>
      </c>
      <c r="C94" s="240">
        <v>59183.456522017397</v>
      </c>
    </row>
    <row r="95" spans="1:3" x14ac:dyDescent="0.35">
      <c r="A95" s="247">
        <v>43497</v>
      </c>
      <c r="B95" s="244">
        <v>58805.678571428572</v>
      </c>
      <c r="C95" s="240">
        <v>59477.307712493588</v>
      </c>
    </row>
    <row r="96" spans="1:3" x14ac:dyDescent="0.35">
      <c r="A96" s="247">
        <v>43525</v>
      </c>
      <c r="B96" s="244">
        <v>60558.096774193546</v>
      </c>
      <c r="C96" s="240">
        <v>59861.038895289297</v>
      </c>
    </row>
    <row r="97" spans="1:3" x14ac:dyDescent="0.35">
      <c r="A97" s="249">
        <v>43556</v>
      </c>
      <c r="B97" s="244">
        <v>59932.800000000003</v>
      </c>
      <c r="C97" s="240">
        <v>59973.202784178189</v>
      </c>
    </row>
    <row r="98" spans="1:3" x14ac:dyDescent="0.35">
      <c r="A98" s="249">
        <v>43586</v>
      </c>
      <c r="B98" s="244">
        <v>54654.870967741932</v>
      </c>
      <c r="C98" s="240">
        <v>59268.485042242704</v>
      </c>
    </row>
    <row r="99" spans="1:3" x14ac:dyDescent="0.35">
      <c r="A99" s="249">
        <v>43617</v>
      </c>
      <c r="B99" s="244">
        <v>54615.366666666669</v>
      </c>
      <c r="C99" s="240">
        <v>58540.532264464935</v>
      </c>
    </row>
    <row r="100" spans="1:3" x14ac:dyDescent="0.35">
      <c r="A100" s="249">
        <v>43647</v>
      </c>
      <c r="B100" s="244">
        <v>56903.096774193546</v>
      </c>
      <c r="C100" s="240">
        <v>58048.392479518698</v>
      </c>
    </row>
    <row r="101" spans="1:3" x14ac:dyDescent="0.35">
      <c r="A101" s="249">
        <v>43678</v>
      </c>
      <c r="B101" s="244">
        <v>53354.677419354841</v>
      </c>
      <c r="C101" s="240">
        <v>57675.758070916527</v>
      </c>
    </row>
    <row r="102" spans="1:3" x14ac:dyDescent="0.35">
      <c r="A102" s="249">
        <v>43709</v>
      </c>
      <c r="B102" s="244">
        <v>54339.199999999997</v>
      </c>
      <c r="C102" s="240">
        <v>57248.638626472086</v>
      </c>
    </row>
    <row r="103" spans="1:3" x14ac:dyDescent="0.35">
      <c r="A103" s="249">
        <v>43739</v>
      </c>
      <c r="B103" s="244">
        <v>52759.483870967742</v>
      </c>
      <c r="C103" s="240">
        <v>56669.611744751659</v>
      </c>
    </row>
    <row r="104" spans="1:3" x14ac:dyDescent="0.35">
      <c r="A104" s="249">
        <v>43770</v>
      </c>
      <c r="B104" s="244">
        <v>52385.566666666666</v>
      </c>
      <c r="C104" s="240">
        <v>56076.061744751671</v>
      </c>
    </row>
    <row r="105" spans="1:3" x14ac:dyDescent="0.35">
      <c r="A105" s="249">
        <v>43800</v>
      </c>
      <c r="B105" s="244">
        <v>50511.677419354841</v>
      </c>
      <c r="C105" s="240">
        <v>55527.292927547365</v>
      </c>
    </row>
    <row r="106" spans="1:3" x14ac:dyDescent="0.35">
      <c r="A106" s="249">
        <v>43831</v>
      </c>
      <c r="B106" s="244">
        <v>50171.451612903227</v>
      </c>
      <c r="C106" s="240">
        <v>54915.99722862264</v>
      </c>
    </row>
    <row r="107" spans="1:3" x14ac:dyDescent="0.35">
      <c r="A107" s="249">
        <v>43862</v>
      </c>
      <c r="B107" s="244">
        <v>50633.758620689652</v>
      </c>
      <c r="C107" s="240">
        <v>54235.003899394389</v>
      </c>
    </row>
    <row r="108" spans="1:3" x14ac:dyDescent="0.35">
      <c r="A108" s="249">
        <v>43891</v>
      </c>
      <c r="B108" s="244">
        <v>37486.967741935485</v>
      </c>
      <c r="C108" s="240">
        <v>52312.409813372884</v>
      </c>
    </row>
    <row r="109" spans="1:3" x14ac:dyDescent="0.35">
      <c r="A109" s="249">
        <v>43922</v>
      </c>
      <c r="B109" s="244">
        <v>24649.033333333333</v>
      </c>
      <c r="C109" s="241">
        <v>49372.095924483998</v>
      </c>
    </row>
    <row r="110" spans="1:3" x14ac:dyDescent="0.35">
      <c r="A110" s="249">
        <v>43952</v>
      </c>
      <c r="B110" s="244">
        <v>33857.548387096773</v>
      </c>
      <c r="C110" s="241">
        <v>47638.985709430235</v>
      </c>
    </row>
    <row r="111" spans="1:3" x14ac:dyDescent="0.35">
      <c r="A111" s="249">
        <v>43983</v>
      </c>
      <c r="B111" s="244">
        <v>38837.833333333336</v>
      </c>
      <c r="C111" s="241">
        <v>46324.191264985791</v>
      </c>
    </row>
    <row r="112" spans="1:3" x14ac:dyDescent="0.35">
      <c r="A112" s="249">
        <v>44013</v>
      </c>
      <c r="B112" s="244">
        <v>41969.709677419356</v>
      </c>
      <c r="C112" s="241">
        <v>45079.742340254605</v>
      </c>
    </row>
    <row r="113" spans="1:3" x14ac:dyDescent="0.35">
      <c r="A113" s="249">
        <v>44044</v>
      </c>
      <c r="B113" s="244">
        <v>44119.354838709674</v>
      </c>
      <c r="C113" s="241">
        <v>44310.132125200842</v>
      </c>
    </row>
    <row r="114" spans="1:3" x14ac:dyDescent="0.35">
      <c r="A114" s="249">
        <v>44075</v>
      </c>
      <c r="B114" s="244">
        <v>43998</v>
      </c>
      <c r="C114" s="241">
        <v>43448.365458534172</v>
      </c>
    </row>
    <row r="115" spans="1:3" x14ac:dyDescent="0.35">
      <c r="A115" s="249">
        <v>44105</v>
      </c>
      <c r="B115" s="244">
        <v>38652.483870967742</v>
      </c>
      <c r="C115" s="241">
        <v>42272.782125200836</v>
      </c>
    </row>
    <row r="116" spans="1:3" x14ac:dyDescent="0.35">
      <c r="A116" s="249">
        <v>44136</v>
      </c>
      <c r="B116" s="244">
        <v>36811.23333333333</v>
      </c>
      <c r="C116" s="241">
        <v>40974.921014089727</v>
      </c>
    </row>
    <row r="117" spans="1:3" x14ac:dyDescent="0.35">
      <c r="A117" s="249">
        <v>44166</v>
      </c>
      <c r="B117" s="244">
        <v>33866.096774193546</v>
      </c>
      <c r="C117" s="241">
        <v>39587.789293659625</v>
      </c>
    </row>
    <row r="118" spans="1:3" x14ac:dyDescent="0.35">
      <c r="A118" s="249">
        <v>44197</v>
      </c>
      <c r="B118" s="244">
        <v>29444.354838709678</v>
      </c>
      <c r="C118" s="241">
        <v>37860.531229143497</v>
      </c>
    </row>
    <row r="119" spans="1:3" x14ac:dyDescent="0.35">
      <c r="A119" s="249">
        <v>44228</v>
      </c>
      <c r="B119" s="244">
        <v>33989.821428571428</v>
      </c>
      <c r="C119" s="241">
        <v>36473.536463133649</v>
      </c>
    </row>
    <row r="120" spans="1:3" x14ac:dyDescent="0.35">
      <c r="A120" s="249">
        <v>44256</v>
      </c>
      <c r="B120" s="244">
        <v>41766.06451612903</v>
      </c>
      <c r="C120" s="241">
        <v>36830.127860983106</v>
      </c>
    </row>
    <row r="121" spans="1:3" x14ac:dyDescent="0.35">
      <c r="A121" s="249">
        <v>44287</v>
      </c>
      <c r="B121" s="244">
        <v>47199.76666666667</v>
      </c>
      <c r="C121" s="241">
        <v>38709.355638760884</v>
      </c>
    </row>
    <row r="122" spans="1:3" x14ac:dyDescent="0.35">
      <c r="A122" s="249">
        <v>44317</v>
      </c>
      <c r="B122" s="244">
        <v>49825.387096774197</v>
      </c>
      <c r="C122" s="241">
        <v>40040.008864567331</v>
      </c>
    </row>
    <row r="123" spans="1:3" x14ac:dyDescent="0.35">
      <c r="A123" s="249">
        <v>44348</v>
      </c>
      <c r="B123" s="244">
        <v>51993.23333333333</v>
      </c>
      <c r="C123" s="241">
        <v>41136.292197900664</v>
      </c>
    </row>
    <row r="124" spans="1:3" x14ac:dyDescent="0.35">
      <c r="A124" s="249">
        <v>44378</v>
      </c>
      <c r="B124" s="244">
        <v>48165.096774193546</v>
      </c>
      <c r="C124" s="241">
        <v>41652.574455965172</v>
      </c>
    </row>
    <row r="125" spans="1:3" x14ac:dyDescent="0.35">
      <c r="A125" s="249">
        <v>44409</v>
      </c>
      <c r="B125" s="244">
        <v>44998</v>
      </c>
      <c r="C125" s="241">
        <v>41725.794886072712</v>
      </c>
    </row>
    <row r="126" spans="1:3" x14ac:dyDescent="0.35">
      <c r="A126" s="249">
        <v>44440</v>
      </c>
      <c r="B126" s="244">
        <v>47371.76666666667</v>
      </c>
      <c r="C126" s="241">
        <v>42006.942108294934</v>
      </c>
    </row>
    <row r="127" spans="1:3" x14ac:dyDescent="0.35">
      <c r="A127" s="249">
        <v>44470</v>
      </c>
      <c r="B127" s="244">
        <v>45899.387096774197</v>
      </c>
      <c r="C127" s="241">
        <v>42610.850710445469</v>
      </c>
    </row>
    <row r="128" spans="1:3" x14ac:dyDescent="0.35">
      <c r="A128" s="249">
        <v>44501</v>
      </c>
      <c r="B128" s="244">
        <v>44825.066666666666</v>
      </c>
      <c r="C128" s="241">
        <v>43278.670154889915</v>
      </c>
    </row>
    <row r="129" spans="1:3" x14ac:dyDescent="0.35">
      <c r="A129" s="249">
        <v>44531</v>
      </c>
      <c r="B129" s="244">
        <v>39518.93548387097</v>
      </c>
      <c r="C129" s="241">
        <v>43749.740047363033</v>
      </c>
    </row>
    <row r="130" spans="1:3" x14ac:dyDescent="0.35">
      <c r="A130" s="249">
        <v>44562</v>
      </c>
      <c r="B130" s="244">
        <v>39981.516129032258</v>
      </c>
      <c r="C130" s="241">
        <v>44627.836821556579</v>
      </c>
    </row>
    <row r="131" spans="1:3" x14ac:dyDescent="0.35">
      <c r="A131" s="249">
        <v>44593</v>
      </c>
      <c r="B131" s="244">
        <v>42488.392857142855</v>
      </c>
      <c r="C131" s="241">
        <v>45336.051107270854</v>
      </c>
    </row>
    <row r="132" spans="1:3" x14ac:dyDescent="0.35">
      <c r="A132" s="249">
        <v>44621</v>
      </c>
      <c r="B132" s="244">
        <v>44777.193548387098</v>
      </c>
      <c r="C132" s="241">
        <v>45586.978526625702</v>
      </c>
    </row>
    <row r="133" spans="1:3" x14ac:dyDescent="0.35">
      <c r="A133" s="249">
        <v>44652</v>
      </c>
      <c r="B133" s="244">
        <v>43715.066666666666</v>
      </c>
      <c r="C133" s="241">
        <v>45296.586859959032</v>
      </c>
    </row>
    <row r="134" spans="1:3" x14ac:dyDescent="0.35">
      <c r="A134" s="249">
        <v>44682</v>
      </c>
      <c r="B134" s="244">
        <v>46851.225806451614</v>
      </c>
      <c r="C134" s="241">
        <v>45048.740085765487</v>
      </c>
    </row>
    <row r="135" spans="1:3" x14ac:dyDescent="0.35">
      <c r="A135" s="249">
        <v>44713</v>
      </c>
      <c r="B135" s="244">
        <v>46971.3</v>
      </c>
      <c r="C135" s="241">
        <v>44630.245641321038</v>
      </c>
    </row>
    <row r="136" spans="1:3" x14ac:dyDescent="0.35">
      <c r="A136" s="249">
        <v>44743</v>
      </c>
      <c r="B136" s="244">
        <v>44668.709677419356</v>
      </c>
      <c r="C136" s="241">
        <v>44338.880049923195</v>
      </c>
    </row>
    <row r="137" spans="1:3" x14ac:dyDescent="0.35">
      <c r="A137" s="249">
        <v>44774</v>
      </c>
      <c r="B137" s="244">
        <v>41124.161290322583</v>
      </c>
      <c r="C137" s="241">
        <v>44016.060157450069</v>
      </c>
    </row>
    <row r="138" spans="1:3" x14ac:dyDescent="0.35">
      <c r="A138" s="249">
        <v>44805</v>
      </c>
      <c r="B138" s="244">
        <v>42456.6</v>
      </c>
      <c r="C138" s="241">
        <v>43606.46293522785</v>
      </c>
    </row>
    <row r="139" spans="1:3" x14ac:dyDescent="0.35">
      <c r="A139" s="249">
        <v>44835</v>
      </c>
      <c r="B139" s="244">
        <v>43811.93548387097</v>
      </c>
      <c r="C139" s="241">
        <v>43432.508634152582</v>
      </c>
    </row>
    <row r="140" spans="1:3" x14ac:dyDescent="0.35">
      <c r="A140" s="249">
        <v>44866</v>
      </c>
      <c r="B140" s="244">
        <v>44700.633333333331</v>
      </c>
      <c r="C140" s="241">
        <v>43422.139189708141</v>
      </c>
    </row>
    <row r="141" spans="1:3" x14ac:dyDescent="0.35">
      <c r="A141" s="249">
        <v>44896</v>
      </c>
      <c r="B141" s="244">
        <v>43029.483870967742</v>
      </c>
      <c r="C141" s="241">
        <v>43714.684888632873</v>
      </c>
    </row>
    <row r="142" spans="1:3" x14ac:dyDescent="0.35">
      <c r="A142" s="249">
        <v>44927</v>
      </c>
      <c r="B142" s="244">
        <v>41098</v>
      </c>
      <c r="C142" s="241">
        <v>43807.725211213517</v>
      </c>
    </row>
    <row r="143" spans="1:3" x14ac:dyDescent="0.35">
      <c r="A143" s="249">
        <v>44958</v>
      </c>
      <c r="B143" s="244">
        <v>43584.642857142855</v>
      </c>
      <c r="C143" s="241">
        <v>43899.079377880182</v>
      </c>
    </row>
    <row r="144" spans="1:3" ht="15" thickBot="1" x14ac:dyDescent="0.4">
      <c r="A144" s="250">
        <v>44986</v>
      </c>
      <c r="B144" s="245">
        <v>44623.419354838712</v>
      </c>
      <c r="C144" s="242">
        <v>43886.264861751144</v>
      </c>
    </row>
  </sheetData>
  <mergeCells count="8">
    <mergeCell ref="A10:G10"/>
    <mergeCell ref="A6:H6"/>
    <mergeCell ref="A7:H7"/>
    <mergeCell ref="A1:F1"/>
    <mergeCell ref="A3:G3"/>
    <mergeCell ref="A4:G4"/>
    <mergeCell ref="A5:K5"/>
    <mergeCell ref="A9:G9"/>
  </mergeCells>
  <hyperlinks>
    <hyperlink ref="A7" r:id="rId1" display="https://www.england.nhs.uk/statistics/statistical-work-areas/ae-waiting-times-and-activity/statistical-work-areasae-waiting-times-and-activityae-attendances-and-emergency-admissions-2016-17/" xr:uid="{00ED9930-2691-4825-B19E-9896DD656CF5}"/>
    <hyperlink ref="A7:H7" r:id="rId2" display="https://www.england.nhs.uk/statistics/statistical-work-areas/ae-waiting-times-and-activity/ae-attendances-and-emergency-admissions-2022-23/" xr:uid="{0253F99A-7939-4ACB-8EC6-9630777DFE83}"/>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BE44-4DE9-4DA8-8DD7-9CC7110CD22A}">
  <dimension ref="A1:K144"/>
  <sheetViews>
    <sheetView showGridLines="0" zoomScaleNormal="100" workbookViewId="0">
      <selection sqref="A1:F1"/>
    </sheetView>
  </sheetViews>
  <sheetFormatPr defaultColWidth="8.84375" defaultRowHeight="14.5" x14ac:dyDescent="0.35"/>
  <cols>
    <col min="1" max="1" width="22.3828125" style="4" bestFit="1" customWidth="1"/>
    <col min="2" max="2" width="17.3828125" style="4" customWidth="1"/>
    <col min="3" max="3" width="18.3828125" style="4" customWidth="1"/>
    <col min="4" max="4" width="10.921875" style="4" customWidth="1"/>
    <col min="5" max="5" width="15.84375" style="4" customWidth="1"/>
    <col min="6" max="6" width="10.84375" style="4" customWidth="1"/>
    <col min="7" max="7" width="8.4609375" style="4" customWidth="1"/>
    <col min="8" max="8" width="23.07421875" style="4" customWidth="1"/>
    <col min="9" max="16384" width="8.84375" style="4"/>
  </cols>
  <sheetData>
    <row r="1" spans="1:11" ht="84" customHeight="1" x14ac:dyDescent="0.35">
      <c r="A1" s="324"/>
      <c r="B1" s="324"/>
      <c r="C1" s="324"/>
      <c r="D1" s="324"/>
      <c r="E1" s="324"/>
      <c r="F1" s="324"/>
    </row>
    <row r="2" spans="1:11" x14ac:dyDescent="0.35">
      <c r="A2" s="3" t="s">
        <v>0</v>
      </c>
      <c r="B2" s="3" t="s">
        <v>0</v>
      </c>
      <c r="C2" s="3" t="s">
        <v>0</v>
      </c>
      <c r="D2" s="3" t="s">
        <v>0</v>
      </c>
      <c r="E2" s="3" t="s">
        <v>0</v>
      </c>
      <c r="F2" s="3" t="s">
        <v>0</v>
      </c>
      <c r="G2" s="3" t="s">
        <v>0</v>
      </c>
    </row>
    <row r="3" spans="1:11" ht="24.5" customHeight="1" x14ac:dyDescent="0.35">
      <c r="A3" s="327" t="s">
        <v>52</v>
      </c>
      <c r="B3" s="327"/>
      <c r="C3" s="327"/>
      <c r="D3" s="327"/>
      <c r="E3" s="327"/>
      <c r="F3" s="327"/>
      <c r="G3" s="327"/>
    </row>
    <row r="4" spans="1:11" ht="29.25" customHeight="1" x14ac:dyDescent="0.35">
      <c r="A4" s="328" t="s">
        <v>57</v>
      </c>
      <c r="B4" s="328"/>
      <c r="C4" s="328"/>
      <c r="D4" s="328"/>
      <c r="E4" s="328"/>
      <c r="F4" s="328"/>
      <c r="G4" s="328"/>
    </row>
    <row r="5" spans="1:11" x14ac:dyDescent="0.35">
      <c r="A5" s="325" t="s">
        <v>32</v>
      </c>
      <c r="B5" s="325"/>
      <c r="C5" s="325"/>
      <c r="D5" s="325"/>
      <c r="E5" s="325"/>
      <c r="F5" s="325"/>
      <c r="G5" s="325"/>
      <c r="H5" s="325"/>
      <c r="I5" s="325"/>
      <c r="J5" s="325"/>
      <c r="K5" s="325"/>
    </row>
    <row r="6" spans="1:11" ht="14.4" customHeight="1" x14ac:dyDescent="0.35">
      <c r="A6" s="320" t="s">
        <v>649</v>
      </c>
      <c r="B6" s="320"/>
      <c r="C6" s="320"/>
      <c r="D6" s="320"/>
      <c r="E6" s="320"/>
      <c r="F6" s="320"/>
      <c r="G6" s="320"/>
      <c r="H6" s="320"/>
      <c r="I6" s="26"/>
      <c r="J6" s="26"/>
      <c r="K6" s="26"/>
    </row>
    <row r="7" spans="1:11" x14ac:dyDescent="0.35">
      <c r="A7" s="321" t="s">
        <v>349</v>
      </c>
      <c r="B7" s="321"/>
      <c r="C7" s="321"/>
      <c r="D7" s="321"/>
      <c r="E7" s="321"/>
      <c r="F7" s="321"/>
      <c r="G7" s="321"/>
      <c r="H7" s="321"/>
      <c r="I7" s="26"/>
      <c r="J7" s="26"/>
      <c r="K7" s="26"/>
    </row>
    <row r="8" spans="1:11" x14ac:dyDescent="0.35">
      <c r="A8" s="10" t="s">
        <v>13</v>
      </c>
    </row>
    <row r="9" spans="1:11" x14ac:dyDescent="0.35">
      <c r="A9" s="323" t="s">
        <v>2</v>
      </c>
      <c r="B9" s="324"/>
      <c r="C9" s="324"/>
      <c r="D9" s="324"/>
      <c r="E9" s="324"/>
      <c r="F9" s="324"/>
      <c r="G9" s="324"/>
    </row>
    <row r="10" spans="1:11" x14ac:dyDescent="0.35">
      <c r="A10" s="323" t="s">
        <v>1</v>
      </c>
      <c r="B10" s="324"/>
      <c r="C10" s="324"/>
      <c r="D10" s="324"/>
      <c r="E10" s="324"/>
      <c r="F10" s="324"/>
      <c r="G10" s="324"/>
    </row>
    <row r="11" spans="1:11" ht="15" thickBot="1" x14ac:dyDescent="0.4">
      <c r="A11" s="3" t="s">
        <v>0</v>
      </c>
      <c r="B11" s="3" t="s">
        <v>0</v>
      </c>
      <c r="C11" s="3" t="s">
        <v>0</v>
      </c>
      <c r="D11" s="3" t="s">
        <v>0</v>
      </c>
      <c r="E11" s="3" t="s">
        <v>0</v>
      </c>
      <c r="F11" s="3" t="s">
        <v>0</v>
      </c>
      <c r="G11" s="3" t="s">
        <v>0</v>
      </c>
    </row>
    <row r="12" spans="1:11" ht="39.5" thickBot="1" x14ac:dyDescent="0.4">
      <c r="A12" s="236"/>
      <c r="B12" s="251" t="s">
        <v>53</v>
      </c>
      <c r="C12" s="238" t="s">
        <v>54</v>
      </c>
    </row>
    <row r="13" spans="1:11" x14ac:dyDescent="0.35">
      <c r="A13" s="246">
        <v>41000</v>
      </c>
      <c r="B13" s="243">
        <v>2152.0333333333342</v>
      </c>
      <c r="C13" s="239"/>
    </row>
    <row r="14" spans="1:11" x14ac:dyDescent="0.35">
      <c r="A14" s="247">
        <v>41030</v>
      </c>
      <c r="B14" s="244">
        <v>1984.5391705069119</v>
      </c>
      <c r="C14" s="240"/>
    </row>
    <row r="15" spans="1:11" x14ac:dyDescent="0.35">
      <c r="A15" s="247">
        <v>41061</v>
      </c>
      <c r="B15" s="244">
        <v>2047.9761904761906</v>
      </c>
      <c r="C15" s="240"/>
    </row>
    <row r="16" spans="1:11" x14ac:dyDescent="0.35">
      <c r="A16" s="247">
        <v>41091</v>
      </c>
      <c r="B16" s="244">
        <v>1820.4377880184334</v>
      </c>
      <c r="C16" s="240"/>
    </row>
    <row r="17" spans="1:3" x14ac:dyDescent="0.35">
      <c r="A17" s="247">
        <v>41122</v>
      </c>
      <c r="B17" s="244">
        <v>1761.5161290322574</v>
      </c>
      <c r="C17" s="240"/>
    </row>
    <row r="18" spans="1:3" x14ac:dyDescent="0.35">
      <c r="A18" s="247">
        <v>41153</v>
      </c>
      <c r="B18" s="244">
        <v>1970.3380952380955</v>
      </c>
      <c r="C18" s="240"/>
    </row>
    <row r="19" spans="1:3" x14ac:dyDescent="0.35">
      <c r="A19" s="247">
        <v>41183</v>
      </c>
      <c r="B19" s="244">
        <v>2221.5622119815657</v>
      </c>
      <c r="C19" s="240"/>
    </row>
    <row r="20" spans="1:3" x14ac:dyDescent="0.35">
      <c r="A20" s="247">
        <v>41214</v>
      </c>
      <c r="B20" s="244">
        <v>2333.8095238095243</v>
      </c>
      <c r="C20" s="240"/>
    </row>
    <row r="21" spans="1:3" x14ac:dyDescent="0.35">
      <c r="A21" s="247">
        <v>41244</v>
      </c>
      <c r="B21" s="244">
        <v>3135.0506912442384</v>
      </c>
      <c r="C21" s="240"/>
    </row>
    <row r="22" spans="1:3" x14ac:dyDescent="0.35">
      <c r="A22" s="247">
        <v>41275</v>
      </c>
      <c r="B22" s="244">
        <v>3050.36866359447</v>
      </c>
      <c r="C22" s="240"/>
    </row>
    <row r="23" spans="1:3" x14ac:dyDescent="0.35">
      <c r="A23" s="247">
        <v>41306</v>
      </c>
      <c r="B23" s="244">
        <v>3361.1530612244901</v>
      </c>
      <c r="C23" s="240"/>
    </row>
    <row r="24" spans="1:3" x14ac:dyDescent="0.35">
      <c r="A24" s="247">
        <v>41334</v>
      </c>
      <c r="B24" s="244">
        <v>3903.0645161290331</v>
      </c>
      <c r="C24" s="240">
        <v>2478.487447882379</v>
      </c>
    </row>
    <row r="25" spans="1:3" x14ac:dyDescent="0.35">
      <c r="A25" s="247">
        <v>41365</v>
      </c>
      <c r="B25" s="244">
        <v>4004.0571428571429</v>
      </c>
      <c r="C25" s="240">
        <v>2632.8227653426961</v>
      </c>
    </row>
    <row r="26" spans="1:3" x14ac:dyDescent="0.35">
      <c r="A26" s="247">
        <v>41395</v>
      </c>
      <c r="B26" s="244">
        <v>2091.073732718894</v>
      </c>
      <c r="C26" s="240">
        <v>2641.700645527028</v>
      </c>
    </row>
    <row r="27" spans="1:3" x14ac:dyDescent="0.35">
      <c r="A27" s="247">
        <v>41426</v>
      </c>
      <c r="B27" s="244">
        <v>1877.9999999999993</v>
      </c>
      <c r="C27" s="240">
        <v>2627.5359629873456</v>
      </c>
    </row>
    <row r="28" spans="1:3" x14ac:dyDescent="0.35">
      <c r="A28" s="247">
        <v>41456</v>
      </c>
      <c r="B28" s="244">
        <v>2115.7649769585255</v>
      </c>
      <c r="C28" s="240">
        <v>2652.1465620656868</v>
      </c>
    </row>
    <row r="29" spans="1:3" x14ac:dyDescent="0.35">
      <c r="A29" s="247">
        <v>41487</v>
      </c>
      <c r="B29" s="244">
        <v>2206.3271889400921</v>
      </c>
      <c r="C29" s="240">
        <v>2689.2141503913394</v>
      </c>
    </row>
    <row r="30" spans="1:3" x14ac:dyDescent="0.35">
      <c r="A30" s="247">
        <v>41518</v>
      </c>
      <c r="B30" s="244">
        <v>2484.790476190477</v>
      </c>
      <c r="C30" s="240">
        <v>2732.0851821373712</v>
      </c>
    </row>
    <row r="31" spans="1:3" x14ac:dyDescent="0.35">
      <c r="A31" s="247">
        <v>41548</v>
      </c>
      <c r="B31" s="244">
        <v>2556.4516129032249</v>
      </c>
      <c r="C31" s="240">
        <v>2759.992632214176</v>
      </c>
    </row>
    <row r="32" spans="1:3" x14ac:dyDescent="0.35">
      <c r="A32" s="247">
        <v>41579</v>
      </c>
      <c r="B32" s="244">
        <v>2359.3714285714282</v>
      </c>
      <c r="C32" s="240">
        <v>2762.1227909443346</v>
      </c>
    </row>
    <row r="33" spans="1:3" x14ac:dyDescent="0.35">
      <c r="A33" s="247">
        <v>41609</v>
      </c>
      <c r="B33" s="244">
        <v>2711.2672811059897</v>
      </c>
      <c r="C33" s="240">
        <v>2726.8075067661471</v>
      </c>
    </row>
    <row r="34" spans="1:3" x14ac:dyDescent="0.35">
      <c r="A34" s="247">
        <v>41640</v>
      </c>
      <c r="B34" s="244">
        <v>2709.5391705069128</v>
      </c>
      <c r="C34" s="240">
        <v>2698.4050490088507</v>
      </c>
    </row>
    <row r="35" spans="1:3" x14ac:dyDescent="0.35">
      <c r="A35" s="247">
        <v>41671</v>
      </c>
      <c r="B35" s="244">
        <v>3182.1887755102039</v>
      </c>
      <c r="C35" s="240">
        <v>2683.4913585326599</v>
      </c>
    </row>
    <row r="36" spans="1:3" x14ac:dyDescent="0.35">
      <c r="A36" s="247">
        <v>41699</v>
      </c>
      <c r="B36" s="244">
        <v>2768.6682027649772</v>
      </c>
      <c r="C36" s="240">
        <v>2588.9583324189884</v>
      </c>
    </row>
    <row r="37" spans="1:3" x14ac:dyDescent="0.35">
      <c r="A37" s="247">
        <v>41730</v>
      </c>
      <c r="B37" s="244">
        <v>2965.238095238094</v>
      </c>
      <c r="C37" s="240">
        <v>2502.390078450735</v>
      </c>
    </row>
    <row r="38" spans="1:3" x14ac:dyDescent="0.35">
      <c r="A38" s="247">
        <v>41760</v>
      </c>
      <c r="B38" s="244">
        <v>3296.4423963133631</v>
      </c>
      <c r="C38" s="240">
        <v>2602.8374670836074</v>
      </c>
    </row>
    <row r="39" spans="1:3" x14ac:dyDescent="0.35">
      <c r="A39" s="247">
        <v>41791</v>
      </c>
      <c r="B39" s="244">
        <v>3095.4571428571426</v>
      </c>
      <c r="C39" s="240">
        <v>2704.2922289883695</v>
      </c>
    </row>
    <row r="40" spans="1:3" x14ac:dyDescent="0.35">
      <c r="A40" s="247">
        <v>41821</v>
      </c>
      <c r="B40" s="244">
        <v>3105.5483870967741</v>
      </c>
      <c r="C40" s="240">
        <v>2786.7741798332231</v>
      </c>
    </row>
    <row r="41" spans="1:3" x14ac:dyDescent="0.35">
      <c r="A41" s="247">
        <v>41852</v>
      </c>
      <c r="B41" s="244">
        <v>2867.087557603686</v>
      </c>
      <c r="C41" s="240">
        <v>2841.8375438885228</v>
      </c>
    </row>
    <row r="42" spans="1:3" x14ac:dyDescent="0.35">
      <c r="A42" s="247">
        <v>41883</v>
      </c>
      <c r="B42" s="244">
        <v>3328.3238095238112</v>
      </c>
      <c r="C42" s="240">
        <v>2912.131988332967</v>
      </c>
    </row>
    <row r="43" spans="1:3" x14ac:dyDescent="0.35">
      <c r="A43" s="247">
        <v>41913</v>
      </c>
      <c r="B43" s="244">
        <v>3838.004608294932</v>
      </c>
      <c r="C43" s="240">
        <v>3018.9280712822761</v>
      </c>
    </row>
    <row r="44" spans="1:3" x14ac:dyDescent="0.35">
      <c r="A44" s="247">
        <v>41944</v>
      </c>
      <c r="B44" s="244">
        <v>3991.038095238097</v>
      </c>
      <c r="C44" s="240">
        <v>3154.9002935044987</v>
      </c>
    </row>
    <row r="45" spans="1:3" x14ac:dyDescent="0.35">
      <c r="A45" s="247">
        <v>41974</v>
      </c>
      <c r="B45" s="244">
        <v>6198.5483870967764</v>
      </c>
      <c r="C45" s="240">
        <v>3445.5070523370646</v>
      </c>
    </row>
    <row r="46" spans="1:3" x14ac:dyDescent="0.35">
      <c r="A46" s="247">
        <v>42005</v>
      </c>
      <c r="B46" s="244">
        <v>4940.5299539170501</v>
      </c>
      <c r="C46" s="240">
        <v>3631.4229509545762</v>
      </c>
    </row>
    <row r="47" spans="1:3" x14ac:dyDescent="0.35">
      <c r="A47" s="247">
        <v>42036</v>
      </c>
      <c r="B47" s="244">
        <v>4745.2806122448983</v>
      </c>
      <c r="C47" s="240">
        <v>3761.6806040158008</v>
      </c>
    </row>
    <row r="48" spans="1:3" x14ac:dyDescent="0.35">
      <c r="A48" s="247">
        <v>42064</v>
      </c>
      <c r="B48" s="244">
        <v>4554.6451612903256</v>
      </c>
      <c r="C48" s="240">
        <v>3910.5120172262464</v>
      </c>
    </row>
    <row r="49" spans="1:3" x14ac:dyDescent="0.35">
      <c r="A49" s="247">
        <v>42095</v>
      </c>
      <c r="B49" s="244">
        <v>4193.3095238095211</v>
      </c>
      <c r="C49" s="240">
        <v>4012.8513029405312</v>
      </c>
    </row>
    <row r="50" spans="1:3" x14ac:dyDescent="0.35">
      <c r="A50" s="247">
        <v>42125</v>
      </c>
      <c r="B50" s="244">
        <v>3557.5622119815807</v>
      </c>
      <c r="C50" s="240">
        <v>4034.6112875795493</v>
      </c>
    </row>
    <row r="51" spans="1:3" x14ac:dyDescent="0.35">
      <c r="A51" s="247">
        <v>42156</v>
      </c>
      <c r="B51" s="244">
        <v>3310.7999999999965</v>
      </c>
      <c r="C51" s="240">
        <v>4052.5565256747868</v>
      </c>
    </row>
    <row r="52" spans="1:3" x14ac:dyDescent="0.35">
      <c r="A52" s="247">
        <v>42186</v>
      </c>
      <c r="B52" s="244">
        <v>3144.3548387096776</v>
      </c>
      <c r="C52" s="240">
        <v>4055.7903966425288</v>
      </c>
    </row>
    <row r="53" spans="1:3" x14ac:dyDescent="0.35">
      <c r="A53" s="247">
        <v>42217</v>
      </c>
      <c r="B53" s="244">
        <v>3434.6774193548385</v>
      </c>
      <c r="C53" s="240">
        <v>4103.0895517884583</v>
      </c>
    </row>
    <row r="54" spans="1:3" x14ac:dyDescent="0.35">
      <c r="A54" s="247">
        <v>42248</v>
      </c>
      <c r="B54" s="244">
        <v>4103.7</v>
      </c>
      <c r="C54" s="240">
        <v>4167.70423432814</v>
      </c>
    </row>
    <row r="55" spans="1:3" x14ac:dyDescent="0.35">
      <c r="A55" s="247">
        <v>42278</v>
      </c>
      <c r="B55" s="244">
        <v>4759.8064516129034</v>
      </c>
      <c r="C55" s="240">
        <v>4244.5210546046383</v>
      </c>
    </row>
    <row r="56" spans="1:3" x14ac:dyDescent="0.35">
      <c r="A56" s="247">
        <v>42309</v>
      </c>
      <c r="B56" s="244">
        <v>5449.0666666666666</v>
      </c>
      <c r="C56" s="240">
        <v>4366.0234355570192</v>
      </c>
    </row>
    <row r="57" spans="1:3" x14ac:dyDescent="0.35">
      <c r="A57" s="248">
        <v>42339</v>
      </c>
      <c r="B57" s="244">
        <v>5438.8387096774195</v>
      </c>
      <c r="C57" s="240">
        <v>4302.7142957720725</v>
      </c>
    </row>
    <row r="58" spans="1:3" x14ac:dyDescent="0.35">
      <c r="A58" s="247">
        <v>42370</v>
      </c>
      <c r="B58" s="244">
        <v>6976.9677419354839</v>
      </c>
      <c r="C58" s="240">
        <v>4472.4174447736086</v>
      </c>
    </row>
    <row r="59" spans="1:3" x14ac:dyDescent="0.35">
      <c r="A59" s="248">
        <v>42401</v>
      </c>
      <c r="B59" s="244">
        <v>7899.3448275862065</v>
      </c>
      <c r="C59" s="240">
        <v>4735.2561293853842</v>
      </c>
    </row>
    <row r="60" spans="1:3" x14ac:dyDescent="0.35">
      <c r="A60" s="248">
        <v>42430</v>
      </c>
      <c r="B60" s="244">
        <v>8575.2903225806458</v>
      </c>
      <c r="C60" s="240">
        <v>5070.3098928262452</v>
      </c>
    </row>
    <row r="61" spans="1:3" x14ac:dyDescent="0.35">
      <c r="A61" s="252">
        <v>42461</v>
      </c>
      <c r="B61" s="244">
        <v>6204.0666666666666</v>
      </c>
      <c r="C61" s="240">
        <v>5237.8729880643396</v>
      </c>
    </row>
    <row r="62" spans="1:3" x14ac:dyDescent="0.35">
      <c r="A62" s="252">
        <v>42491</v>
      </c>
      <c r="B62" s="244">
        <v>6494.4838709677415</v>
      </c>
      <c r="C62" s="240">
        <v>5482.6164596465196</v>
      </c>
    </row>
    <row r="63" spans="1:3" x14ac:dyDescent="0.35">
      <c r="A63" s="252">
        <v>42522</v>
      </c>
      <c r="B63" s="244">
        <v>6163.7333333333336</v>
      </c>
      <c r="C63" s="240">
        <v>5720.3609040909651</v>
      </c>
    </row>
    <row r="64" spans="1:3" x14ac:dyDescent="0.35">
      <c r="A64" s="252">
        <v>42552</v>
      </c>
      <c r="B64" s="244">
        <v>6515.2580645161288</v>
      </c>
      <c r="C64" s="240">
        <v>6001.2695062415032</v>
      </c>
    </row>
    <row r="65" spans="1:3" x14ac:dyDescent="0.35">
      <c r="A65" s="252">
        <v>42583</v>
      </c>
      <c r="B65" s="244">
        <v>5626.4193548387093</v>
      </c>
      <c r="C65" s="240">
        <v>6183.9146675318252</v>
      </c>
    </row>
    <row r="66" spans="1:3" x14ac:dyDescent="0.35">
      <c r="A66" s="252">
        <v>42614</v>
      </c>
      <c r="B66" s="244">
        <v>6086.5666666666666</v>
      </c>
      <c r="C66" s="240">
        <v>6349.1535564207143</v>
      </c>
    </row>
    <row r="67" spans="1:3" x14ac:dyDescent="0.35">
      <c r="A67" s="252">
        <v>42644</v>
      </c>
      <c r="B67" s="244">
        <v>7068.9354838709678</v>
      </c>
      <c r="C67" s="240">
        <v>6541.5809757755533</v>
      </c>
    </row>
    <row r="68" spans="1:3" x14ac:dyDescent="0.35">
      <c r="A68" s="252">
        <v>42675</v>
      </c>
      <c r="B68" s="244">
        <v>7390.4333333333334</v>
      </c>
      <c r="C68" s="240">
        <v>6703.3615313311093</v>
      </c>
    </row>
    <row r="69" spans="1:3" x14ac:dyDescent="0.35">
      <c r="A69" s="252">
        <v>42705</v>
      </c>
      <c r="B69" s="244">
        <v>8671.5483870967746</v>
      </c>
      <c r="C69" s="240">
        <v>6972.754004449388</v>
      </c>
    </row>
    <row r="70" spans="1:3" x14ac:dyDescent="0.35">
      <c r="A70" s="252">
        <v>42736</v>
      </c>
      <c r="B70" s="244">
        <v>9084.2580645161288</v>
      </c>
      <c r="C70" s="240">
        <v>7148.3615313311093</v>
      </c>
    </row>
    <row r="71" spans="1:3" x14ac:dyDescent="0.35">
      <c r="A71" s="252">
        <v>42767</v>
      </c>
      <c r="B71" s="244">
        <v>7729.1428571428569</v>
      </c>
      <c r="C71" s="240">
        <v>7134.1780337941636</v>
      </c>
    </row>
    <row r="72" spans="1:3" x14ac:dyDescent="0.35">
      <c r="A72" s="252">
        <v>42795</v>
      </c>
      <c r="B72" s="244">
        <v>6496.5161290322585</v>
      </c>
      <c r="C72" s="240">
        <v>6960.9468509984627</v>
      </c>
    </row>
    <row r="73" spans="1:3" x14ac:dyDescent="0.35">
      <c r="A73" s="252">
        <v>42826</v>
      </c>
      <c r="B73" s="244">
        <v>6164.333333333333</v>
      </c>
      <c r="C73" s="240">
        <v>6957.6357398873524</v>
      </c>
    </row>
    <row r="74" spans="1:3" x14ac:dyDescent="0.35">
      <c r="A74" s="252">
        <v>42856</v>
      </c>
      <c r="B74" s="244">
        <v>6866.8387096774195</v>
      </c>
      <c r="C74" s="240">
        <v>6988.6653097798262</v>
      </c>
    </row>
    <row r="75" spans="1:3" x14ac:dyDescent="0.35">
      <c r="A75" s="252">
        <v>42887</v>
      </c>
      <c r="B75" s="244">
        <v>6164.833333333333</v>
      </c>
      <c r="C75" s="240">
        <v>6988.7569764464924</v>
      </c>
    </row>
    <row r="76" spans="1:3" x14ac:dyDescent="0.35">
      <c r="A76" s="252">
        <v>42917</v>
      </c>
      <c r="B76" s="244">
        <v>6457.4516129032254</v>
      </c>
      <c r="C76" s="240">
        <v>6983.9397721454179</v>
      </c>
    </row>
    <row r="77" spans="1:3" x14ac:dyDescent="0.35">
      <c r="A77" s="252">
        <v>42948</v>
      </c>
      <c r="B77" s="244">
        <v>6022.8064516129034</v>
      </c>
      <c r="C77" s="240">
        <v>7016.972030209934</v>
      </c>
    </row>
    <row r="78" spans="1:3" x14ac:dyDescent="0.35">
      <c r="A78" s="252">
        <v>42979</v>
      </c>
      <c r="B78" s="244">
        <v>6634.2333333333336</v>
      </c>
      <c r="C78" s="240">
        <v>7062.6109190988236</v>
      </c>
    </row>
    <row r="79" spans="1:3" x14ac:dyDescent="0.35">
      <c r="A79" s="252">
        <v>43009</v>
      </c>
      <c r="B79" s="244">
        <v>6632.322580645161</v>
      </c>
      <c r="C79" s="240">
        <v>7026.2265104966727</v>
      </c>
    </row>
    <row r="80" spans="1:3" x14ac:dyDescent="0.35">
      <c r="A80" s="252">
        <v>43040</v>
      </c>
      <c r="B80" s="244">
        <v>7402.7333333333336</v>
      </c>
      <c r="C80" s="240">
        <v>7027.2515104966724</v>
      </c>
    </row>
    <row r="81" spans="1:3" x14ac:dyDescent="0.35">
      <c r="A81" s="252">
        <v>43070</v>
      </c>
      <c r="B81" s="244">
        <v>9706.2258064516136</v>
      </c>
      <c r="C81" s="240">
        <v>7113.4746287762418</v>
      </c>
    </row>
    <row r="82" spans="1:3" x14ac:dyDescent="0.35">
      <c r="A82" s="252">
        <v>43101</v>
      </c>
      <c r="B82" s="244">
        <v>9484.8064516129034</v>
      </c>
      <c r="C82" s="240">
        <v>7146.8536610343072</v>
      </c>
    </row>
    <row r="83" spans="1:3" x14ac:dyDescent="0.35">
      <c r="A83" s="252">
        <v>43132</v>
      </c>
      <c r="B83" s="244">
        <v>9720.9642857142862</v>
      </c>
      <c r="C83" s="240">
        <v>7312.8387800819255</v>
      </c>
    </row>
    <row r="84" spans="1:3" x14ac:dyDescent="0.35">
      <c r="A84" s="252">
        <v>43160</v>
      </c>
      <c r="B84" s="244">
        <v>10168.774193548386</v>
      </c>
      <c r="C84" s="240">
        <v>7618.8602854582687</v>
      </c>
    </row>
    <row r="85" spans="1:3" x14ac:dyDescent="0.35">
      <c r="A85" s="252">
        <v>43191</v>
      </c>
      <c r="B85" s="244">
        <v>7558.8</v>
      </c>
      <c r="C85" s="240">
        <v>7735.0658410138267</v>
      </c>
    </row>
    <row r="86" spans="1:3" x14ac:dyDescent="0.35">
      <c r="A86" s="252">
        <v>43221</v>
      </c>
      <c r="B86" s="244">
        <v>6709.7419354838712</v>
      </c>
      <c r="C86" s="240">
        <v>7721.974443164363</v>
      </c>
    </row>
    <row r="87" spans="1:3" x14ac:dyDescent="0.35">
      <c r="A87" s="252">
        <v>43252</v>
      </c>
      <c r="B87" s="244">
        <v>6447.2666666666664</v>
      </c>
      <c r="C87" s="240">
        <v>7745.5105542754727</v>
      </c>
    </row>
    <row r="88" spans="1:3" x14ac:dyDescent="0.35">
      <c r="A88" s="252">
        <v>43282</v>
      </c>
      <c r="B88" s="244">
        <v>7510.4516129032254</v>
      </c>
      <c r="C88" s="240">
        <v>7833.2605542754718</v>
      </c>
    </row>
    <row r="89" spans="1:3" x14ac:dyDescent="0.35">
      <c r="A89" s="252">
        <v>43313</v>
      </c>
      <c r="B89" s="244">
        <v>6620.6129032258068</v>
      </c>
      <c r="C89" s="240">
        <v>7883.0777585765491</v>
      </c>
    </row>
    <row r="90" spans="1:3" x14ac:dyDescent="0.35">
      <c r="A90" s="252">
        <v>43344</v>
      </c>
      <c r="B90" s="244">
        <v>7391.8666666666668</v>
      </c>
      <c r="C90" s="240">
        <v>7946.21386968766</v>
      </c>
    </row>
    <row r="91" spans="1:3" x14ac:dyDescent="0.35">
      <c r="A91" s="252">
        <v>43374</v>
      </c>
      <c r="B91" s="244">
        <v>7372.5806451612907</v>
      </c>
      <c r="C91" s="240">
        <v>8007.902041730671</v>
      </c>
    </row>
    <row r="92" spans="1:3" x14ac:dyDescent="0.35">
      <c r="A92" s="252">
        <v>43405</v>
      </c>
      <c r="B92" s="244">
        <v>8420.0666666666675</v>
      </c>
      <c r="C92" s="240">
        <v>8092.6798195084484</v>
      </c>
    </row>
    <row r="93" spans="1:3" x14ac:dyDescent="0.35">
      <c r="A93" s="252">
        <v>43435</v>
      </c>
      <c r="B93" s="244">
        <v>8952.0645161290322</v>
      </c>
      <c r="C93" s="240">
        <v>8029.8330453149001</v>
      </c>
    </row>
    <row r="94" spans="1:3" x14ac:dyDescent="0.35">
      <c r="A94" s="252">
        <v>43466</v>
      </c>
      <c r="B94" s="244">
        <v>10667.612903225807</v>
      </c>
      <c r="C94" s="240">
        <v>8128.4002496159746</v>
      </c>
    </row>
    <row r="95" spans="1:3" x14ac:dyDescent="0.35">
      <c r="A95" s="252">
        <v>43497</v>
      </c>
      <c r="B95" s="244">
        <v>11013.857142857143</v>
      </c>
      <c r="C95" s="240">
        <v>8236.1413210445462</v>
      </c>
    </row>
    <row r="96" spans="1:3" x14ac:dyDescent="0.35">
      <c r="A96" s="252">
        <v>43525</v>
      </c>
      <c r="B96" s="244">
        <v>9362.9032258064508</v>
      </c>
      <c r="C96" s="240">
        <v>8168.9854070660522</v>
      </c>
    </row>
    <row r="97" spans="1:3" x14ac:dyDescent="0.35">
      <c r="A97" s="252">
        <v>43556</v>
      </c>
      <c r="B97" s="244">
        <v>10472.700000000001</v>
      </c>
      <c r="C97" s="240">
        <v>8411.810407066052</v>
      </c>
    </row>
    <row r="98" spans="1:3" x14ac:dyDescent="0.35">
      <c r="A98" s="252">
        <v>43586</v>
      </c>
      <c r="B98" s="244">
        <v>8434.354838709678</v>
      </c>
      <c r="C98" s="240">
        <v>8555.5281490015368</v>
      </c>
    </row>
    <row r="99" spans="1:3" x14ac:dyDescent="0.35">
      <c r="A99" s="252">
        <v>43617</v>
      </c>
      <c r="B99" s="244">
        <v>8619.4</v>
      </c>
      <c r="C99" s="240">
        <v>8736.5392601126478</v>
      </c>
    </row>
    <row r="100" spans="1:3" x14ac:dyDescent="0.35">
      <c r="A100" s="252">
        <v>43647</v>
      </c>
      <c r="B100" s="244">
        <v>8887.5806451612898</v>
      </c>
      <c r="C100" s="240">
        <v>8851.3000128008189</v>
      </c>
    </row>
    <row r="101" spans="1:3" x14ac:dyDescent="0.35">
      <c r="A101" s="252">
        <v>43678</v>
      </c>
      <c r="B101" s="244">
        <v>8475.1612903225814</v>
      </c>
      <c r="C101" s="240">
        <v>9005.8457117255493</v>
      </c>
    </row>
    <row r="102" spans="1:3" x14ac:dyDescent="0.35">
      <c r="A102" s="252">
        <v>43709</v>
      </c>
      <c r="B102" s="244">
        <v>9406.5666666666675</v>
      </c>
      <c r="C102" s="240">
        <v>9173.7373783922176</v>
      </c>
    </row>
    <row r="103" spans="1:3" x14ac:dyDescent="0.35">
      <c r="A103" s="252">
        <v>43739</v>
      </c>
      <c r="B103" s="244">
        <v>10323.387096774193</v>
      </c>
      <c r="C103" s="240">
        <v>9419.6379160266242</v>
      </c>
    </row>
    <row r="104" spans="1:3" x14ac:dyDescent="0.35">
      <c r="A104" s="252">
        <v>43770</v>
      </c>
      <c r="B104" s="244">
        <v>11937.6</v>
      </c>
      <c r="C104" s="240">
        <v>9712.7656938044038</v>
      </c>
    </row>
    <row r="105" spans="1:3" x14ac:dyDescent="0.35">
      <c r="A105" s="252">
        <v>43800</v>
      </c>
      <c r="B105" s="244">
        <v>12780.58064516129</v>
      </c>
      <c r="C105" s="240">
        <v>10031.808704557092</v>
      </c>
    </row>
    <row r="106" spans="1:3" x14ac:dyDescent="0.35">
      <c r="A106" s="252">
        <v>43831</v>
      </c>
      <c r="B106" s="244">
        <v>11250.838709677419</v>
      </c>
      <c r="C106" s="240">
        <v>10080.410855094728</v>
      </c>
    </row>
    <row r="107" spans="1:3" x14ac:dyDescent="0.35">
      <c r="A107" s="252">
        <v>43862</v>
      </c>
      <c r="B107" s="244">
        <v>10527.827586206897</v>
      </c>
      <c r="C107" s="240">
        <v>10039.908392040539</v>
      </c>
    </row>
    <row r="108" spans="1:3" x14ac:dyDescent="0.35">
      <c r="A108" s="252">
        <v>43891</v>
      </c>
      <c r="B108" s="244">
        <v>6993.5806451612907</v>
      </c>
      <c r="C108" s="240">
        <v>9842.4648436534426</v>
      </c>
    </row>
    <row r="109" spans="1:3" x14ac:dyDescent="0.35">
      <c r="A109" s="249">
        <v>43922</v>
      </c>
      <c r="B109" s="244">
        <v>2604.5</v>
      </c>
      <c r="C109" s="241">
        <v>9186.7815103201083</v>
      </c>
    </row>
    <row r="110" spans="1:3" x14ac:dyDescent="0.35">
      <c r="A110" s="249">
        <v>43952</v>
      </c>
      <c r="B110" s="244">
        <v>2350.3548387096776</v>
      </c>
      <c r="C110" s="241">
        <v>8679.7815103201101</v>
      </c>
    </row>
    <row r="111" spans="1:3" x14ac:dyDescent="0.35">
      <c r="A111" s="249">
        <v>43983</v>
      </c>
      <c r="B111" s="244">
        <v>3023.7</v>
      </c>
      <c r="C111" s="241">
        <v>8213.473176986774</v>
      </c>
    </row>
    <row r="112" spans="1:3" x14ac:dyDescent="0.35">
      <c r="A112" s="249">
        <v>44013</v>
      </c>
      <c r="B112" s="244">
        <v>3654.1290322580644</v>
      </c>
      <c r="C112" s="241">
        <v>7777.3522092448393</v>
      </c>
    </row>
    <row r="113" spans="1:3" x14ac:dyDescent="0.35">
      <c r="A113" s="249">
        <v>44044</v>
      </c>
      <c r="B113" s="244">
        <v>5358.0322580645161</v>
      </c>
      <c r="C113" s="241">
        <v>7517.5914565566673</v>
      </c>
    </row>
    <row r="114" spans="1:3" x14ac:dyDescent="0.35">
      <c r="A114" s="249">
        <v>44075</v>
      </c>
      <c r="B114" s="244">
        <v>6403.1333333333332</v>
      </c>
      <c r="C114" s="241">
        <v>7267.3053454455558</v>
      </c>
    </row>
    <row r="115" spans="1:3" x14ac:dyDescent="0.35">
      <c r="A115" s="249">
        <v>44105</v>
      </c>
      <c r="B115" s="244">
        <v>7129.0967741935483</v>
      </c>
      <c r="C115" s="241">
        <v>7001.1144852305015</v>
      </c>
    </row>
    <row r="116" spans="1:3" x14ac:dyDescent="0.35">
      <c r="A116" s="249">
        <v>44136</v>
      </c>
      <c r="B116" s="244">
        <v>7091.7666666666664</v>
      </c>
      <c r="C116" s="241">
        <v>6597.2950407860562</v>
      </c>
    </row>
    <row r="117" spans="1:3" x14ac:dyDescent="0.35">
      <c r="A117" s="249">
        <v>44166</v>
      </c>
      <c r="B117" s="244">
        <v>8317.8709677419356</v>
      </c>
      <c r="C117" s="241">
        <v>6225.4025676677784</v>
      </c>
    </row>
    <row r="118" spans="1:3" x14ac:dyDescent="0.35">
      <c r="A118" s="249">
        <v>44197</v>
      </c>
      <c r="B118" s="244">
        <v>8058.4193548387093</v>
      </c>
      <c r="C118" s="241">
        <v>5959.3676214312209</v>
      </c>
    </row>
    <row r="119" spans="1:3" x14ac:dyDescent="0.35">
      <c r="A119" s="249">
        <v>44228</v>
      </c>
      <c r="B119" s="244">
        <v>6511.9642857142853</v>
      </c>
      <c r="C119" s="241">
        <v>5624.7123463901698</v>
      </c>
    </row>
    <row r="120" spans="1:3" x14ac:dyDescent="0.35">
      <c r="A120" s="249">
        <v>44256</v>
      </c>
      <c r="B120" s="244">
        <v>6720.2903225806449</v>
      </c>
      <c r="C120" s="241">
        <v>5601.9381528417825</v>
      </c>
    </row>
    <row r="121" spans="1:3" x14ac:dyDescent="0.35">
      <c r="A121" s="249">
        <v>44287</v>
      </c>
      <c r="B121" s="244">
        <v>8097.3666666666668</v>
      </c>
      <c r="C121" s="241">
        <v>6059.6770417306716</v>
      </c>
    </row>
    <row r="122" spans="1:3" x14ac:dyDescent="0.35">
      <c r="A122" s="249">
        <v>44317</v>
      </c>
      <c r="B122" s="244">
        <v>9706.7096774193542</v>
      </c>
      <c r="C122" s="241">
        <v>6672.7066116231435</v>
      </c>
    </row>
    <row r="123" spans="1:3" x14ac:dyDescent="0.35">
      <c r="A123" s="249">
        <v>44348</v>
      </c>
      <c r="B123" s="244">
        <v>11961.266666666666</v>
      </c>
      <c r="C123" s="241">
        <v>7417.5038338453642</v>
      </c>
    </row>
    <row r="124" spans="1:3" x14ac:dyDescent="0.35">
      <c r="A124" s="249">
        <v>44378</v>
      </c>
      <c r="B124" s="244">
        <v>13806.548387096775</v>
      </c>
      <c r="C124" s="241">
        <v>8263.5387800819244</v>
      </c>
    </row>
    <row r="125" spans="1:3" x14ac:dyDescent="0.35">
      <c r="A125" s="249">
        <v>44409</v>
      </c>
      <c r="B125" s="244">
        <v>13428.290322580646</v>
      </c>
      <c r="C125" s="241">
        <v>8936.0602854582685</v>
      </c>
    </row>
    <row r="126" spans="1:3" x14ac:dyDescent="0.35">
      <c r="A126" s="249">
        <v>44440</v>
      </c>
      <c r="B126" s="244">
        <v>15607</v>
      </c>
      <c r="C126" s="241">
        <v>9703.0491743471594</v>
      </c>
    </row>
    <row r="127" spans="1:3" x14ac:dyDescent="0.35">
      <c r="A127" s="249">
        <v>44470</v>
      </c>
      <c r="B127" s="244">
        <v>16182</v>
      </c>
      <c r="C127" s="241">
        <v>10457.457776497697</v>
      </c>
    </row>
    <row r="128" spans="1:3" x14ac:dyDescent="0.35">
      <c r="A128" s="249">
        <v>44501</v>
      </c>
      <c r="B128" s="244">
        <v>15699.333333333334</v>
      </c>
      <c r="C128" s="241">
        <v>11174.754998719918</v>
      </c>
    </row>
    <row r="129" spans="1:3" x14ac:dyDescent="0.35">
      <c r="A129" s="249">
        <v>44531</v>
      </c>
      <c r="B129" s="244">
        <v>14298.290322580646</v>
      </c>
      <c r="C129" s="241">
        <v>11673.12327828981</v>
      </c>
    </row>
    <row r="130" spans="1:3" x14ac:dyDescent="0.35">
      <c r="A130" s="249">
        <v>44562</v>
      </c>
      <c r="B130" s="244">
        <v>13793.677419354839</v>
      </c>
      <c r="C130" s="241">
        <v>12151.061450332823</v>
      </c>
    </row>
    <row r="131" spans="1:3" x14ac:dyDescent="0.35">
      <c r="A131" s="249">
        <v>44593</v>
      </c>
      <c r="B131" s="244">
        <v>15492.392857142857</v>
      </c>
      <c r="C131" s="241">
        <v>12899.430497951871</v>
      </c>
    </row>
    <row r="132" spans="1:3" x14ac:dyDescent="0.35">
      <c r="A132" s="249">
        <v>44621</v>
      </c>
      <c r="B132" s="244">
        <v>17734.612903225807</v>
      </c>
      <c r="C132" s="241">
        <v>13817.290713005634</v>
      </c>
    </row>
    <row r="133" spans="1:3" x14ac:dyDescent="0.35">
      <c r="A133" s="249">
        <v>44652</v>
      </c>
      <c r="B133" s="244">
        <v>16791.599999999999</v>
      </c>
      <c r="C133" s="241">
        <v>14541.810157450078</v>
      </c>
    </row>
    <row r="134" spans="1:3" x14ac:dyDescent="0.35">
      <c r="A134" s="249">
        <v>44682</v>
      </c>
      <c r="B134" s="244">
        <v>17473.83870967742</v>
      </c>
      <c r="C134" s="241">
        <v>15189.070910138251</v>
      </c>
    </row>
    <row r="135" spans="1:3" x14ac:dyDescent="0.35">
      <c r="A135" s="249">
        <v>44713</v>
      </c>
      <c r="B135" s="244">
        <v>18213.366666666665</v>
      </c>
      <c r="C135" s="241">
        <v>15710.079243471584</v>
      </c>
    </row>
    <row r="136" spans="1:3" x14ac:dyDescent="0.35">
      <c r="A136" s="249">
        <v>44743</v>
      </c>
      <c r="B136" s="244">
        <v>18175.806451612902</v>
      </c>
      <c r="C136" s="241">
        <v>16074.18408218126</v>
      </c>
    </row>
    <row r="137" spans="1:3" x14ac:dyDescent="0.35">
      <c r="A137" s="249">
        <v>44774</v>
      </c>
      <c r="B137" s="244">
        <v>16241.032258064517</v>
      </c>
      <c r="C137" s="241">
        <v>16308.579243471582</v>
      </c>
    </row>
    <row r="138" spans="1:3" x14ac:dyDescent="0.35">
      <c r="A138" s="249">
        <v>44805</v>
      </c>
      <c r="B138" s="244">
        <v>17294.233333333334</v>
      </c>
      <c r="C138" s="241">
        <v>16449.182021249362</v>
      </c>
    </row>
    <row r="139" spans="1:3" x14ac:dyDescent="0.35">
      <c r="A139" s="249">
        <v>44835</v>
      </c>
      <c r="B139" s="244">
        <v>19202.483870967742</v>
      </c>
      <c r="C139" s="241">
        <v>16700.889010496674</v>
      </c>
    </row>
    <row r="140" spans="1:3" x14ac:dyDescent="0.35">
      <c r="A140" s="249">
        <v>44866</v>
      </c>
      <c r="B140" s="244">
        <v>20071.5</v>
      </c>
      <c r="C140" s="241">
        <v>17065.236232718893</v>
      </c>
    </row>
    <row r="141" spans="1:3" x14ac:dyDescent="0.35">
      <c r="A141" s="249">
        <v>44896</v>
      </c>
      <c r="B141" s="244">
        <v>22963.903225806451</v>
      </c>
      <c r="C141" s="241">
        <v>17787.370641321042</v>
      </c>
    </row>
    <row r="142" spans="1:3" x14ac:dyDescent="0.35">
      <c r="A142" s="249">
        <v>44927</v>
      </c>
      <c r="B142" s="244">
        <v>15582.096774193549</v>
      </c>
      <c r="C142" s="241">
        <v>17936.405587557605</v>
      </c>
    </row>
    <row r="143" spans="1:3" x14ac:dyDescent="0.35">
      <c r="A143" s="249">
        <v>44958</v>
      </c>
      <c r="B143" s="244">
        <v>17367.571428571428</v>
      </c>
      <c r="C143" s="241">
        <v>18092.670468509983</v>
      </c>
    </row>
    <row r="144" spans="1:3" ht="15" thickBot="1" x14ac:dyDescent="0.4">
      <c r="A144" s="250">
        <v>44986</v>
      </c>
      <c r="B144" s="245">
        <v>17759.290322580644</v>
      </c>
      <c r="C144" s="242">
        <v>18094.726920122885</v>
      </c>
    </row>
  </sheetData>
  <mergeCells count="8">
    <mergeCell ref="A10:G10"/>
    <mergeCell ref="A6:H6"/>
    <mergeCell ref="A7:H7"/>
    <mergeCell ref="A1:F1"/>
    <mergeCell ref="A3:G3"/>
    <mergeCell ref="A4:G4"/>
    <mergeCell ref="A5:K5"/>
    <mergeCell ref="A9:G9"/>
  </mergeCells>
  <hyperlinks>
    <hyperlink ref="A7" r:id="rId1" display="https://www.england.nhs.uk/statistics/statistical-work-areas/ae-waiting-times-and-activity/statistical-work-areasae-waiting-times-and-activityae-attendances-and-emergency-admissions-2016-17/" xr:uid="{65FF13E3-F5D0-448E-B7A8-65A2A67C1597}"/>
    <hyperlink ref="A7:H7" r:id="rId2" display="https://www.england.nhs.uk/statistics/statistical-work-areas/ae-waiting-times-and-activity/ae-attendances-and-emergency-admissions-2022-23/" xr:uid="{599E329F-1B4F-4CF4-8884-946081CB703E}"/>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3F1E-673C-4B85-AF47-E7CD92260A3F}">
  <dimension ref="A1:K122"/>
  <sheetViews>
    <sheetView showGridLines="0" zoomScaleNormal="100" workbookViewId="0">
      <selection activeCell="A6" sqref="A6:H6"/>
    </sheetView>
  </sheetViews>
  <sheetFormatPr defaultColWidth="8.84375" defaultRowHeight="14.5" x14ac:dyDescent="0.35"/>
  <cols>
    <col min="1" max="1" width="13" style="4" customWidth="1"/>
    <col min="2" max="2" width="58.07421875" style="4" bestFit="1" customWidth="1"/>
    <col min="3" max="3" width="11.61328125" style="4" customWidth="1"/>
    <col min="4" max="4" width="13.15234375" style="4" customWidth="1"/>
    <col min="5" max="5" width="15.84375" style="4" customWidth="1"/>
    <col min="6" max="6" width="15.3828125" style="4" customWidth="1"/>
    <col min="7" max="7" width="8.4609375" style="4" customWidth="1"/>
    <col min="8" max="8" width="23.07421875" style="4" customWidth="1"/>
    <col min="9" max="16384" width="8.84375" style="4"/>
  </cols>
  <sheetData>
    <row r="1" spans="1:11" ht="84" customHeight="1" x14ac:dyDescent="0.35">
      <c r="A1" s="324"/>
      <c r="B1" s="324"/>
      <c r="C1" s="324"/>
      <c r="D1" s="324"/>
      <c r="E1" s="324"/>
      <c r="F1" s="324"/>
    </row>
    <row r="2" spans="1:11" x14ac:dyDescent="0.35">
      <c r="A2" s="3" t="s">
        <v>0</v>
      </c>
      <c r="B2" s="3" t="s">
        <v>0</v>
      </c>
      <c r="C2" s="3" t="s">
        <v>0</v>
      </c>
      <c r="D2" s="3" t="s">
        <v>0</v>
      </c>
      <c r="E2" s="3" t="s">
        <v>0</v>
      </c>
      <c r="F2" s="3" t="s">
        <v>0</v>
      </c>
      <c r="G2" s="3" t="s">
        <v>0</v>
      </c>
    </row>
    <row r="3" spans="1:11" ht="24.5" customHeight="1" x14ac:dyDescent="0.35">
      <c r="A3" s="327" t="s">
        <v>55</v>
      </c>
      <c r="B3" s="327"/>
      <c r="C3" s="327"/>
      <c r="D3" s="327"/>
      <c r="E3" s="327"/>
      <c r="F3" s="327"/>
      <c r="G3" s="327"/>
    </row>
    <row r="4" spans="1:11" ht="29.25" customHeight="1" x14ac:dyDescent="0.35">
      <c r="A4" s="328" t="s">
        <v>289</v>
      </c>
      <c r="B4" s="328"/>
      <c r="C4" s="328"/>
      <c r="D4" s="328"/>
      <c r="E4" s="328"/>
      <c r="F4" s="328"/>
      <c r="G4" s="328"/>
    </row>
    <row r="5" spans="1:11" x14ac:dyDescent="0.35">
      <c r="A5" s="325" t="s">
        <v>32</v>
      </c>
      <c r="B5" s="325"/>
      <c r="C5" s="325"/>
      <c r="D5" s="325"/>
      <c r="E5" s="325"/>
      <c r="F5" s="325"/>
      <c r="G5" s="325"/>
      <c r="H5" s="325"/>
      <c r="I5" s="325"/>
      <c r="J5" s="325"/>
      <c r="K5" s="325"/>
    </row>
    <row r="6" spans="1:11" ht="14.4" customHeight="1" x14ac:dyDescent="0.35">
      <c r="A6" s="320" t="s">
        <v>649</v>
      </c>
      <c r="B6" s="320"/>
      <c r="C6" s="320"/>
      <c r="D6" s="320"/>
      <c r="E6" s="320"/>
      <c r="F6" s="320"/>
      <c r="G6" s="320"/>
      <c r="H6" s="320"/>
      <c r="I6" s="26"/>
      <c r="J6" s="26"/>
      <c r="K6" s="26"/>
    </row>
    <row r="7" spans="1:11" x14ac:dyDescent="0.35">
      <c r="A7" s="321" t="s">
        <v>349</v>
      </c>
      <c r="B7" s="321"/>
      <c r="C7" s="321"/>
      <c r="D7" s="321"/>
      <c r="E7" s="321"/>
      <c r="F7" s="321"/>
      <c r="G7" s="321"/>
      <c r="H7" s="321"/>
      <c r="I7" s="26"/>
      <c r="J7" s="26"/>
      <c r="K7" s="26"/>
    </row>
    <row r="8" spans="1:11" x14ac:dyDescent="0.35">
      <c r="A8" s="10" t="s">
        <v>13</v>
      </c>
    </row>
    <row r="9" spans="1:11" x14ac:dyDescent="0.35">
      <c r="A9" s="323" t="s">
        <v>2</v>
      </c>
      <c r="B9" s="324"/>
      <c r="C9" s="324"/>
      <c r="D9" s="324"/>
      <c r="E9" s="324"/>
      <c r="F9" s="324"/>
      <c r="G9" s="324"/>
    </row>
    <row r="10" spans="1:11" x14ac:dyDescent="0.35">
      <c r="A10" s="323" t="s">
        <v>1</v>
      </c>
      <c r="B10" s="324"/>
      <c r="C10" s="324"/>
      <c r="D10" s="324"/>
      <c r="E10" s="324"/>
      <c r="F10" s="324"/>
      <c r="G10" s="324"/>
    </row>
    <row r="11" spans="1:11" ht="15" thickBot="1" x14ac:dyDescent="0.4">
      <c r="A11" s="3" t="s">
        <v>0</v>
      </c>
      <c r="B11" s="3" t="s">
        <v>0</v>
      </c>
      <c r="C11" s="3" t="s">
        <v>0</v>
      </c>
      <c r="D11" s="3" t="s">
        <v>0</v>
      </c>
      <c r="E11" s="3" t="s">
        <v>0</v>
      </c>
      <c r="F11" s="3" t="s">
        <v>0</v>
      </c>
      <c r="G11" s="3" t="s">
        <v>0</v>
      </c>
    </row>
    <row r="12" spans="1:11" ht="39.5" thickBot="1" x14ac:dyDescent="0.4">
      <c r="A12" s="29" t="s">
        <v>59</v>
      </c>
      <c r="B12" s="30" t="s">
        <v>60</v>
      </c>
      <c r="C12" s="31" t="s">
        <v>61</v>
      </c>
      <c r="D12" s="21" t="s">
        <v>62</v>
      </c>
      <c r="E12" s="21" t="s">
        <v>63</v>
      </c>
      <c r="F12" s="18" t="s">
        <v>64</v>
      </c>
    </row>
    <row r="13" spans="1:11" x14ac:dyDescent="0.35">
      <c r="A13" s="32" t="s">
        <v>65</v>
      </c>
      <c r="B13" s="33" t="s">
        <v>66</v>
      </c>
      <c r="C13" s="34">
        <v>330344</v>
      </c>
      <c r="D13" s="35">
        <f>C13-E13</f>
        <v>142927</v>
      </c>
      <c r="E13" s="35">
        <v>187417</v>
      </c>
      <c r="F13" s="36">
        <v>0.43266110478773639</v>
      </c>
    </row>
    <row r="14" spans="1:11" x14ac:dyDescent="0.35">
      <c r="A14" s="37" t="s">
        <v>67</v>
      </c>
      <c r="B14" s="38" t="s">
        <v>68</v>
      </c>
      <c r="C14" s="39">
        <v>143884</v>
      </c>
      <c r="D14" s="40">
        <f t="shared" ref="D14:D77" si="0">C14-E14</f>
        <v>81619</v>
      </c>
      <c r="E14" s="40">
        <v>62265</v>
      </c>
      <c r="F14" s="41">
        <v>0.56725556698451529</v>
      </c>
    </row>
    <row r="15" spans="1:11" x14ac:dyDescent="0.35">
      <c r="A15" s="37" t="s">
        <v>69</v>
      </c>
      <c r="B15" s="38" t="s">
        <v>70</v>
      </c>
      <c r="C15" s="39">
        <v>42128</v>
      </c>
      <c r="D15" s="40">
        <f t="shared" si="0"/>
        <v>25762</v>
      </c>
      <c r="E15" s="40">
        <v>16366</v>
      </c>
      <c r="F15" s="41">
        <v>0.61151728066843902</v>
      </c>
    </row>
    <row r="16" spans="1:11" x14ac:dyDescent="0.35">
      <c r="A16" s="37" t="s">
        <v>71</v>
      </c>
      <c r="B16" s="38" t="s">
        <v>72</v>
      </c>
      <c r="C16" s="39">
        <v>284779</v>
      </c>
      <c r="D16" s="40">
        <f t="shared" si="0"/>
        <v>153549</v>
      </c>
      <c r="E16" s="40">
        <v>131230</v>
      </c>
      <c r="F16" s="41">
        <v>0.53918652709645021</v>
      </c>
    </row>
    <row r="17" spans="1:6" x14ac:dyDescent="0.35">
      <c r="A17" s="37" t="s">
        <v>73</v>
      </c>
      <c r="B17" s="38" t="s">
        <v>74</v>
      </c>
      <c r="C17" s="39">
        <v>147725</v>
      </c>
      <c r="D17" s="40">
        <f t="shared" si="0"/>
        <v>76847</v>
      </c>
      <c r="E17" s="40">
        <v>70878</v>
      </c>
      <c r="F17" s="41">
        <v>0.52020308004738536</v>
      </c>
    </row>
    <row r="18" spans="1:6" x14ac:dyDescent="0.35">
      <c r="A18" s="37" t="s">
        <v>75</v>
      </c>
      <c r="B18" s="38" t="s">
        <v>76</v>
      </c>
      <c r="C18" s="39">
        <v>78403</v>
      </c>
      <c r="D18" s="40">
        <f t="shared" si="0"/>
        <v>43296</v>
      </c>
      <c r="E18" s="40">
        <v>35107</v>
      </c>
      <c r="F18" s="41">
        <v>0.55222376694769337</v>
      </c>
    </row>
    <row r="19" spans="1:6" x14ac:dyDescent="0.35">
      <c r="A19" s="37" t="s">
        <v>77</v>
      </c>
      <c r="B19" s="38" t="s">
        <v>78</v>
      </c>
      <c r="C19" s="39">
        <v>66631</v>
      </c>
      <c r="D19" s="40">
        <f t="shared" si="0"/>
        <v>48733</v>
      </c>
      <c r="E19" s="40">
        <v>17898</v>
      </c>
      <c r="F19" s="41">
        <v>0.7313862916660413</v>
      </c>
    </row>
    <row r="20" spans="1:6" x14ac:dyDescent="0.35">
      <c r="A20" s="37" t="s">
        <v>79</v>
      </c>
      <c r="B20" s="38" t="s">
        <v>80</v>
      </c>
      <c r="C20" s="39">
        <v>168811</v>
      </c>
      <c r="D20" s="40">
        <f t="shared" si="0"/>
        <v>94240</v>
      </c>
      <c r="E20" s="40">
        <v>74571</v>
      </c>
      <c r="F20" s="41">
        <v>0.55825745952574179</v>
      </c>
    </row>
    <row r="21" spans="1:6" x14ac:dyDescent="0.35">
      <c r="A21" s="37" t="s">
        <v>81</v>
      </c>
      <c r="B21" s="38" t="s">
        <v>82</v>
      </c>
      <c r="C21" s="39">
        <v>68253</v>
      </c>
      <c r="D21" s="40">
        <f t="shared" si="0"/>
        <v>24890</v>
      </c>
      <c r="E21" s="40">
        <v>43363</v>
      </c>
      <c r="F21" s="41">
        <v>0.36467261512314475</v>
      </c>
    </row>
    <row r="22" spans="1:6" x14ac:dyDescent="0.35">
      <c r="A22" s="37" t="s">
        <v>83</v>
      </c>
      <c r="B22" s="38" t="s">
        <v>84</v>
      </c>
      <c r="C22" s="39">
        <v>126858</v>
      </c>
      <c r="D22" s="40">
        <f t="shared" si="0"/>
        <v>88761</v>
      </c>
      <c r="E22" s="40">
        <v>38097</v>
      </c>
      <c r="F22" s="41">
        <v>0.69968783994702743</v>
      </c>
    </row>
    <row r="23" spans="1:6" x14ac:dyDescent="0.35">
      <c r="A23" s="37" t="s">
        <v>85</v>
      </c>
      <c r="B23" s="38" t="s">
        <v>86</v>
      </c>
      <c r="C23" s="39">
        <v>356712</v>
      </c>
      <c r="D23" s="40">
        <f t="shared" si="0"/>
        <v>223128</v>
      </c>
      <c r="E23" s="40">
        <v>133584</v>
      </c>
      <c r="F23" s="41">
        <v>0.62551301890600819</v>
      </c>
    </row>
    <row r="24" spans="1:6" x14ac:dyDescent="0.35">
      <c r="A24" s="37" t="s">
        <v>87</v>
      </c>
      <c r="B24" s="38" t="s">
        <v>88</v>
      </c>
      <c r="C24" s="39">
        <v>251237</v>
      </c>
      <c r="D24" s="40">
        <f t="shared" si="0"/>
        <v>146108</v>
      </c>
      <c r="E24" s="40">
        <v>105129</v>
      </c>
      <c r="F24" s="41">
        <v>0.58155446848991188</v>
      </c>
    </row>
    <row r="25" spans="1:6" x14ac:dyDescent="0.35">
      <c r="A25" s="37" t="s">
        <v>89</v>
      </c>
      <c r="B25" s="38" t="s">
        <v>90</v>
      </c>
      <c r="C25" s="39">
        <v>108502</v>
      </c>
      <c r="D25" s="40">
        <f t="shared" si="0"/>
        <v>53454</v>
      </c>
      <c r="E25" s="40">
        <v>55048</v>
      </c>
      <c r="F25" s="41">
        <v>0.49265451328086118</v>
      </c>
    </row>
    <row r="26" spans="1:6" x14ac:dyDescent="0.35">
      <c r="A26" s="37" t="s">
        <v>91</v>
      </c>
      <c r="B26" s="38" t="s">
        <v>92</v>
      </c>
      <c r="C26" s="39">
        <v>71589</v>
      </c>
      <c r="D26" s="40">
        <f t="shared" si="0"/>
        <v>31446</v>
      </c>
      <c r="E26" s="40">
        <v>40143</v>
      </c>
      <c r="F26" s="41">
        <v>0.43925742781712274</v>
      </c>
    </row>
    <row r="27" spans="1:6" x14ac:dyDescent="0.35">
      <c r="A27" s="37" t="s">
        <v>93</v>
      </c>
      <c r="B27" s="38" t="s">
        <v>94</v>
      </c>
      <c r="C27" s="39">
        <v>86725</v>
      </c>
      <c r="D27" s="40">
        <f t="shared" si="0"/>
        <v>48636</v>
      </c>
      <c r="E27" s="40">
        <v>38089</v>
      </c>
      <c r="F27" s="41">
        <v>0.56080714903430384</v>
      </c>
    </row>
    <row r="28" spans="1:6" x14ac:dyDescent="0.35">
      <c r="A28" s="37" t="s">
        <v>95</v>
      </c>
      <c r="B28" s="38" t="s">
        <v>96</v>
      </c>
      <c r="C28" s="39">
        <v>51310</v>
      </c>
      <c r="D28" s="40">
        <f t="shared" si="0"/>
        <v>27402</v>
      </c>
      <c r="E28" s="40">
        <v>23908</v>
      </c>
      <c r="F28" s="41">
        <v>0.53404794387059051</v>
      </c>
    </row>
    <row r="29" spans="1:6" x14ac:dyDescent="0.35">
      <c r="A29" s="37" t="s">
        <v>97</v>
      </c>
      <c r="B29" s="38" t="s">
        <v>98</v>
      </c>
      <c r="C29" s="39">
        <v>96596</v>
      </c>
      <c r="D29" s="40">
        <f t="shared" si="0"/>
        <v>59564</v>
      </c>
      <c r="E29" s="40">
        <v>37032</v>
      </c>
      <c r="F29" s="41">
        <v>0.61663008820241005</v>
      </c>
    </row>
    <row r="30" spans="1:6" x14ac:dyDescent="0.35">
      <c r="A30" s="37" t="s">
        <v>99</v>
      </c>
      <c r="B30" s="38" t="s">
        <v>100</v>
      </c>
      <c r="C30" s="39">
        <v>93894</v>
      </c>
      <c r="D30" s="40">
        <f t="shared" si="0"/>
        <v>48194</v>
      </c>
      <c r="E30" s="40">
        <v>45700</v>
      </c>
      <c r="F30" s="41">
        <v>0.51328093381898732</v>
      </c>
    </row>
    <row r="31" spans="1:6" x14ac:dyDescent="0.35">
      <c r="A31" s="37" t="s">
        <v>101</v>
      </c>
      <c r="B31" s="38" t="s">
        <v>102</v>
      </c>
      <c r="C31" s="39">
        <v>116596</v>
      </c>
      <c r="D31" s="40">
        <f t="shared" si="0"/>
        <v>54517</v>
      </c>
      <c r="E31" s="40">
        <v>62079</v>
      </c>
      <c r="F31" s="41">
        <v>0.46757178633915403</v>
      </c>
    </row>
    <row r="32" spans="1:6" x14ac:dyDescent="0.35">
      <c r="A32" s="37" t="s">
        <v>103</v>
      </c>
      <c r="B32" s="38" t="s">
        <v>104</v>
      </c>
      <c r="C32" s="39">
        <v>68162</v>
      </c>
      <c r="D32" s="40">
        <f t="shared" si="0"/>
        <v>50763</v>
      </c>
      <c r="E32" s="40">
        <v>17399</v>
      </c>
      <c r="F32" s="41">
        <v>0.74474047123030429</v>
      </c>
    </row>
    <row r="33" spans="1:6" x14ac:dyDescent="0.35">
      <c r="A33" s="37" t="s">
        <v>105</v>
      </c>
      <c r="B33" s="38" t="s">
        <v>106</v>
      </c>
      <c r="C33" s="39">
        <v>81797</v>
      </c>
      <c r="D33" s="40">
        <f t="shared" si="0"/>
        <v>35873</v>
      </c>
      <c r="E33" s="40">
        <v>45924</v>
      </c>
      <c r="F33" s="41">
        <v>0.43856131642969792</v>
      </c>
    </row>
    <row r="34" spans="1:6" x14ac:dyDescent="0.35">
      <c r="A34" s="37" t="s">
        <v>107</v>
      </c>
      <c r="B34" s="38" t="s">
        <v>108</v>
      </c>
      <c r="C34" s="39">
        <v>111412</v>
      </c>
      <c r="D34" s="40">
        <f t="shared" si="0"/>
        <v>52555</v>
      </c>
      <c r="E34" s="40">
        <v>58857</v>
      </c>
      <c r="F34" s="41">
        <v>0.4717175887696119</v>
      </c>
    </row>
    <row r="35" spans="1:6" x14ac:dyDescent="0.35">
      <c r="A35" s="37" t="s">
        <v>109</v>
      </c>
      <c r="B35" s="38" t="s">
        <v>110</v>
      </c>
      <c r="C35" s="39">
        <v>54033</v>
      </c>
      <c r="D35" s="40">
        <f t="shared" si="0"/>
        <v>34999</v>
      </c>
      <c r="E35" s="40">
        <v>19034</v>
      </c>
      <c r="F35" s="41">
        <v>0.64773379231210559</v>
      </c>
    </row>
    <row r="36" spans="1:6" x14ac:dyDescent="0.35">
      <c r="A36" s="37" t="s">
        <v>111</v>
      </c>
      <c r="B36" s="38" t="s">
        <v>112</v>
      </c>
      <c r="C36" s="39">
        <v>70135</v>
      </c>
      <c r="D36" s="40">
        <f t="shared" si="0"/>
        <v>38880</v>
      </c>
      <c r="E36" s="40">
        <v>31255</v>
      </c>
      <c r="F36" s="41">
        <v>0.55435944963285089</v>
      </c>
    </row>
    <row r="37" spans="1:6" x14ac:dyDescent="0.35">
      <c r="A37" s="37" t="s">
        <v>113</v>
      </c>
      <c r="B37" s="38" t="s">
        <v>114</v>
      </c>
      <c r="C37" s="39">
        <v>62691</v>
      </c>
      <c r="D37" s="40">
        <f t="shared" si="0"/>
        <v>55807</v>
      </c>
      <c r="E37" s="40">
        <v>6884</v>
      </c>
      <c r="F37" s="41">
        <v>0.89019157454818076</v>
      </c>
    </row>
    <row r="38" spans="1:6" x14ac:dyDescent="0.35">
      <c r="A38" s="37" t="s">
        <v>115</v>
      </c>
      <c r="B38" s="38" t="s">
        <v>116</v>
      </c>
      <c r="C38" s="39">
        <v>84014</v>
      </c>
      <c r="D38" s="40">
        <f t="shared" si="0"/>
        <v>49384</v>
      </c>
      <c r="E38" s="40">
        <v>34630</v>
      </c>
      <c r="F38" s="41">
        <v>0.58780679410574432</v>
      </c>
    </row>
    <row r="39" spans="1:6" x14ac:dyDescent="0.35">
      <c r="A39" s="37" t="s">
        <v>117</v>
      </c>
      <c r="B39" s="38" t="s">
        <v>118</v>
      </c>
      <c r="C39" s="39">
        <v>92914</v>
      </c>
      <c r="D39" s="40">
        <f t="shared" si="0"/>
        <v>51030</v>
      </c>
      <c r="E39" s="40">
        <v>41884</v>
      </c>
      <c r="F39" s="41">
        <v>0.54921755601954492</v>
      </c>
    </row>
    <row r="40" spans="1:6" x14ac:dyDescent="0.35">
      <c r="A40" s="37" t="s">
        <v>119</v>
      </c>
      <c r="B40" s="38" t="s">
        <v>120</v>
      </c>
      <c r="C40" s="39">
        <v>101445</v>
      </c>
      <c r="D40" s="40">
        <f t="shared" si="0"/>
        <v>69622</v>
      </c>
      <c r="E40" s="40">
        <v>31823</v>
      </c>
      <c r="F40" s="41">
        <v>0.68630292276603089</v>
      </c>
    </row>
    <row r="41" spans="1:6" x14ac:dyDescent="0.35">
      <c r="A41" s="37" t="s">
        <v>121</v>
      </c>
      <c r="B41" s="38" t="s">
        <v>122</v>
      </c>
      <c r="C41" s="39">
        <v>171009</v>
      </c>
      <c r="D41" s="40">
        <f t="shared" si="0"/>
        <v>91325</v>
      </c>
      <c r="E41" s="40">
        <v>79684</v>
      </c>
      <c r="F41" s="41">
        <v>0.53403622031588982</v>
      </c>
    </row>
    <row r="42" spans="1:6" x14ac:dyDescent="0.35">
      <c r="A42" s="37" t="s">
        <v>123</v>
      </c>
      <c r="B42" s="38" t="s">
        <v>124</v>
      </c>
      <c r="C42" s="39">
        <v>68418</v>
      </c>
      <c r="D42" s="40">
        <f t="shared" si="0"/>
        <v>29453</v>
      </c>
      <c r="E42" s="40">
        <v>38965</v>
      </c>
      <c r="F42" s="41">
        <v>0.43048612938115699</v>
      </c>
    </row>
    <row r="43" spans="1:6" x14ac:dyDescent="0.35">
      <c r="A43" s="37" t="s">
        <v>125</v>
      </c>
      <c r="B43" s="38" t="s">
        <v>126</v>
      </c>
      <c r="C43" s="39">
        <v>204107</v>
      </c>
      <c r="D43" s="40">
        <f t="shared" si="0"/>
        <v>106237</v>
      </c>
      <c r="E43" s="40">
        <v>97870</v>
      </c>
      <c r="F43" s="41">
        <v>0.52049660227233752</v>
      </c>
    </row>
    <row r="44" spans="1:6" x14ac:dyDescent="0.35">
      <c r="A44" s="37" t="s">
        <v>127</v>
      </c>
      <c r="B44" s="38" t="s">
        <v>128</v>
      </c>
      <c r="C44" s="39">
        <v>144278</v>
      </c>
      <c r="D44" s="40">
        <f t="shared" si="0"/>
        <v>45743</v>
      </c>
      <c r="E44" s="40">
        <v>98535</v>
      </c>
      <c r="F44" s="41">
        <v>0.31704764413146841</v>
      </c>
    </row>
    <row r="45" spans="1:6" x14ac:dyDescent="0.35">
      <c r="A45" s="37" t="s">
        <v>129</v>
      </c>
      <c r="B45" s="38" t="s">
        <v>130</v>
      </c>
      <c r="C45" s="39">
        <v>101629</v>
      </c>
      <c r="D45" s="40">
        <f t="shared" si="0"/>
        <v>62823</v>
      </c>
      <c r="E45" s="40">
        <v>38806</v>
      </c>
      <c r="F45" s="41">
        <v>0.61816017081738484</v>
      </c>
    </row>
    <row r="46" spans="1:6" x14ac:dyDescent="0.35">
      <c r="A46" s="37" t="s">
        <v>131</v>
      </c>
      <c r="B46" s="38" t="s">
        <v>132</v>
      </c>
      <c r="C46" s="39">
        <v>45771</v>
      </c>
      <c r="D46" s="40">
        <f t="shared" si="0"/>
        <v>23002</v>
      </c>
      <c r="E46" s="40">
        <v>22769</v>
      </c>
      <c r="F46" s="41">
        <v>0.50254527976229491</v>
      </c>
    </row>
    <row r="47" spans="1:6" x14ac:dyDescent="0.35">
      <c r="A47" s="37" t="s">
        <v>133</v>
      </c>
      <c r="B47" s="38" t="s">
        <v>134</v>
      </c>
      <c r="C47" s="39">
        <v>146181</v>
      </c>
      <c r="D47" s="40">
        <f t="shared" si="0"/>
        <v>68876</v>
      </c>
      <c r="E47" s="40">
        <v>77305</v>
      </c>
      <c r="F47" s="41">
        <v>0.47116930380829247</v>
      </c>
    </row>
    <row r="48" spans="1:6" x14ac:dyDescent="0.35">
      <c r="A48" s="37" t="s">
        <v>135</v>
      </c>
      <c r="B48" s="38" t="s">
        <v>136</v>
      </c>
      <c r="C48" s="39">
        <v>77065</v>
      </c>
      <c r="D48" s="40">
        <f t="shared" si="0"/>
        <v>47254</v>
      </c>
      <c r="E48" s="40">
        <v>29811</v>
      </c>
      <c r="F48" s="41">
        <v>0.61317070005839225</v>
      </c>
    </row>
    <row r="49" spans="1:6" x14ac:dyDescent="0.35">
      <c r="A49" s="37" t="s">
        <v>137</v>
      </c>
      <c r="B49" s="38" t="s">
        <v>138</v>
      </c>
      <c r="C49" s="39">
        <v>79404</v>
      </c>
      <c r="D49" s="40">
        <f t="shared" si="0"/>
        <v>39034</v>
      </c>
      <c r="E49" s="40">
        <v>40370</v>
      </c>
      <c r="F49" s="41">
        <v>0.49158732557553775</v>
      </c>
    </row>
    <row r="50" spans="1:6" x14ac:dyDescent="0.35">
      <c r="A50" s="37" t="s">
        <v>139</v>
      </c>
      <c r="B50" s="38" t="s">
        <v>140</v>
      </c>
      <c r="C50" s="39">
        <v>145240</v>
      </c>
      <c r="D50" s="40">
        <f t="shared" si="0"/>
        <v>75383</v>
      </c>
      <c r="E50" s="40">
        <v>69857</v>
      </c>
      <c r="F50" s="41">
        <v>0.51902368493527951</v>
      </c>
    </row>
    <row r="51" spans="1:6" x14ac:dyDescent="0.35">
      <c r="A51" s="37" t="s">
        <v>141</v>
      </c>
      <c r="B51" s="38" t="s">
        <v>142</v>
      </c>
      <c r="C51" s="39">
        <v>135214</v>
      </c>
      <c r="D51" s="40">
        <f t="shared" si="0"/>
        <v>83843</v>
      </c>
      <c r="E51" s="40">
        <v>51371</v>
      </c>
      <c r="F51" s="41">
        <v>0.62007632345763009</v>
      </c>
    </row>
    <row r="52" spans="1:6" x14ac:dyDescent="0.35">
      <c r="A52" s="37" t="s">
        <v>143</v>
      </c>
      <c r="B52" s="38" t="s">
        <v>144</v>
      </c>
      <c r="C52" s="39">
        <v>108106</v>
      </c>
      <c r="D52" s="40">
        <f t="shared" si="0"/>
        <v>54018</v>
      </c>
      <c r="E52" s="40">
        <v>54088</v>
      </c>
      <c r="F52" s="41">
        <v>0.4996762436867519</v>
      </c>
    </row>
    <row r="53" spans="1:6" x14ac:dyDescent="0.35">
      <c r="A53" s="37" t="s">
        <v>145</v>
      </c>
      <c r="B53" s="38" t="s">
        <v>146</v>
      </c>
      <c r="C53" s="39">
        <v>147965</v>
      </c>
      <c r="D53" s="40">
        <f t="shared" si="0"/>
        <v>97126</v>
      </c>
      <c r="E53" s="40">
        <v>50839</v>
      </c>
      <c r="F53" s="41">
        <v>0.65641198932179912</v>
      </c>
    </row>
    <row r="54" spans="1:6" x14ac:dyDescent="0.35">
      <c r="A54" s="37" t="s">
        <v>147</v>
      </c>
      <c r="B54" s="38" t="s">
        <v>148</v>
      </c>
      <c r="C54" s="39">
        <v>152307</v>
      </c>
      <c r="D54" s="40">
        <f t="shared" si="0"/>
        <v>102797</v>
      </c>
      <c r="E54" s="40">
        <v>49510</v>
      </c>
      <c r="F54" s="41">
        <v>0.67493286585646095</v>
      </c>
    </row>
    <row r="55" spans="1:6" x14ac:dyDescent="0.35">
      <c r="A55" s="37" t="s">
        <v>149</v>
      </c>
      <c r="B55" s="38" t="s">
        <v>150</v>
      </c>
      <c r="C55" s="39">
        <v>168431</v>
      </c>
      <c r="D55" s="40">
        <f t="shared" si="0"/>
        <v>87080</v>
      </c>
      <c r="E55" s="40">
        <v>81351</v>
      </c>
      <c r="F55" s="41">
        <v>0.51700696427617243</v>
      </c>
    </row>
    <row r="56" spans="1:6" x14ac:dyDescent="0.35">
      <c r="A56" s="37" t="s">
        <v>151</v>
      </c>
      <c r="B56" s="38" t="s">
        <v>152</v>
      </c>
      <c r="C56" s="39">
        <v>149749</v>
      </c>
      <c r="D56" s="40">
        <f t="shared" si="0"/>
        <v>95232</v>
      </c>
      <c r="E56" s="40">
        <v>54517</v>
      </c>
      <c r="F56" s="41">
        <v>0.63594414653854114</v>
      </c>
    </row>
    <row r="57" spans="1:6" x14ac:dyDescent="0.35">
      <c r="A57" s="37" t="s">
        <v>153</v>
      </c>
      <c r="B57" s="38" t="s">
        <v>154</v>
      </c>
      <c r="C57" s="39">
        <v>122817</v>
      </c>
      <c r="D57" s="40">
        <f t="shared" si="0"/>
        <v>88214</v>
      </c>
      <c r="E57" s="40">
        <v>34603</v>
      </c>
      <c r="F57" s="41">
        <v>0.71825561607920729</v>
      </c>
    </row>
    <row r="58" spans="1:6" x14ac:dyDescent="0.35">
      <c r="A58" s="37" t="s">
        <v>155</v>
      </c>
      <c r="B58" s="38" t="s">
        <v>156</v>
      </c>
      <c r="C58" s="39">
        <v>86984</v>
      </c>
      <c r="D58" s="40">
        <f t="shared" si="0"/>
        <v>55946</v>
      </c>
      <c r="E58" s="40">
        <v>31038</v>
      </c>
      <c r="F58" s="41">
        <v>0.64317575646095837</v>
      </c>
    </row>
    <row r="59" spans="1:6" x14ac:dyDescent="0.35">
      <c r="A59" s="37" t="s">
        <v>157</v>
      </c>
      <c r="B59" s="38" t="s">
        <v>158</v>
      </c>
      <c r="C59" s="39">
        <v>162114</v>
      </c>
      <c r="D59" s="40">
        <f t="shared" si="0"/>
        <v>72158</v>
      </c>
      <c r="E59" s="40">
        <v>89956</v>
      </c>
      <c r="F59" s="41">
        <v>0.44510652997273525</v>
      </c>
    </row>
    <row r="60" spans="1:6" x14ac:dyDescent="0.35">
      <c r="A60" s="37" t="s">
        <v>159</v>
      </c>
      <c r="B60" s="38" t="s">
        <v>160</v>
      </c>
      <c r="C60" s="39">
        <v>152870</v>
      </c>
      <c r="D60" s="40">
        <f t="shared" si="0"/>
        <v>91484</v>
      </c>
      <c r="E60" s="40">
        <v>61386</v>
      </c>
      <c r="F60" s="41">
        <v>0.59844312160659385</v>
      </c>
    </row>
    <row r="61" spans="1:6" x14ac:dyDescent="0.35">
      <c r="A61" s="37" t="s">
        <v>161</v>
      </c>
      <c r="B61" s="38" t="s">
        <v>162</v>
      </c>
      <c r="C61" s="39">
        <v>49981</v>
      </c>
      <c r="D61" s="40">
        <f t="shared" si="0"/>
        <v>26718</v>
      </c>
      <c r="E61" s="40">
        <v>23263</v>
      </c>
      <c r="F61" s="41">
        <v>0.53456313399091659</v>
      </c>
    </row>
    <row r="62" spans="1:6" x14ac:dyDescent="0.35">
      <c r="A62" s="37" t="s">
        <v>163</v>
      </c>
      <c r="B62" s="38" t="s">
        <v>164</v>
      </c>
      <c r="C62" s="39">
        <v>79207</v>
      </c>
      <c r="D62" s="40">
        <f t="shared" si="0"/>
        <v>43056</v>
      </c>
      <c r="E62" s="40">
        <v>36151</v>
      </c>
      <c r="F62" s="41">
        <v>0.54358831921421091</v>
      </c>
    </row>
    <row r="63" spans="1:6" x14ac:dyDescent="0.35">
      <c r="A63" s="37" t="s">
        <v>165</v>
      </c>
      <c r="B63" s="38" t="s">
        <v>166</v>
      </c>
      <c r="C63" s="39">
        <v>175823</v>
      </c>
      <c r="D63" s="40">
        <f t="shared" si="0"/>
        <v>81893</v>
      </c>
      <c r="E63" s="40">
        <v>93930</v>
      </c>
      <c r="F63" s="41">
        <v>0.46576955233388123</v>
      </c>
    </row>
    <row r="64" spans="1:6" x14ac:dyDescent="0.35">
      <c r="A64" s="37" t="s">
        <v>167</v>
      </c>
      <c r="B64" s="38" t="s">
        <v>168</v>
      </c>
      <c r="C64" s="39">
        <v>116726</v>
      </c>
      <c r="D64" s="40">
        <f t="shared" si="0"/>
        <v>78110</v>
      </c>
      <c r="E64" s="40">
        <v>38616</v>
      </c>
      <c r="F64" s="41">
        <v>0.66917396295598242</v>
      </c>
    </row>
    <row r="65" spans="1:6" x14ac:dyDescent="0.35">
      <c r="A65" s="37" t="s">
        <v>169</v>
      </c>
      <c r="B65" s="38" t="s">
        <v>170</v>
      </c>
      <c r="C65" s="39">
        <v>137480</v>
      </c>
      <c r="D65" s="40">
        <f t="shared" si="0"/>
        <v>69360</v>
      </c>
      <c r="E65" s="40">
        <v>68120</v>
      </c>
      <c r="F65" s="41">
        <v>0.50450974687227235</v>
      </c>
    </row>
    <row r="66" spans="1:6" x14ac:dyDescent="0.35">
      <c r="A66" s="37" t="s">
        <v>171</v>
      </c>
      <c r="B66" s="38" t="s">
        <v>172</v>
      </c>
      <c r="C66" s="39">
        <v>106463</v>
      </c>
      <c r="D66" s="40">
        <f t="shared" si="0"/>
        <v>72866</v>
      </c>
      <c r="E66" s="40">
        <v>33597</v>
      </c>
      <c r="F66" s="41">
        <v>0.68442557508242297</v>
      </c>
    </row>
    <row r="67" spans="1:6" x14ac:dyDescent="0.35">
      <c r="A67" s="37" t="s">
        <v>173</v>
      </c>
      <c r="B67" s="38" t="s">
        <v>174</v>
      </c>
      <c r="C67" s="39">
        <v>153821</v>
      </c>
      <c r="D67" s="40">
        <f t="shared" si="0"/>
        <v>105292</v>
      </c>
      <c r="E67" s="40">
        <v>48529</v>
      </c>
      <c r="F67" s="41">
        <v>0.68450991737149025</v>
      </c>
    </row>
    <row r="68" spans="1:6" x14ac:dyDescent="0.35">
      <c r="A68" s="37" t="s">
        <v>175</v>
      </c>
      <c r="B68" s="38" t="s">
        <v>176</v>
      </c>
      <c r="C68" s="39">
        <v>68815</v>
      </c>
      <c r="D68" s="40">
        <f t="shared" si="0"/>
        <v>38312</v>
      </c>
      <c r="E68" s="40">
        <v>30503</v>
      </c>
      <c r="F68" s="41">
        <v>0.55673908304875386</v>
      </c>
    </row>
    <row r="69" spans="1:6" x14ac:dyDescent="0.35">
      <c r="A69" s="37" t="s">
        <v>177</v>
      </c>
      <c r="B69" s="38" t="s">
        <v>178</v>
      </c>
      <c r="C69" s="39">
        <v>74537</v>
      </c>
      <c r="D69" s="40">
        <f t="shared" si="0"/>
        <v>51694</v>
      </c>
      <c r="E69" s="40">
        <v>22843</v>
      </c>
      <c r="F69" s="41">
        <v>0.69353475455143088</v>
      </c>
    </row>
    <row r="70" spans="1:6" x14ac:dyDescent="0.35">
      <c r="A70" s="37" t="s">
        <v>179</v>
      </c>
      <c r="B70" s="38" t="s">
        <v>180</v>
      </c>
      <c r="C70" s="39">
        <v>125792</v>
      </c>
      <c r="D70" s="40">
        <f t="shared" si="0"/>
        <v>60249</v>
      </c>
      <c r="E70" s="40">
        <v>65543</v>
      </c>
      <c r="F70" s="41">
        <v>0.47895732638005595</v>
      </c>
    </row>
    <row r="71" spans="1:6" x14ac:dyDescent="0.35">
      <c r="A71" s="37" t="s">
        <v>181</v>
      </c>
      <c r="B71" s="38" t="s">
        <v>182</v>
      </c>
      <c r="C71" s="39">
        <v>287080</v>
      </c>
      <c r="D71" s="40">
        <f t="shared" si="0"/>
        <v>146989</v>
      </c>
      <c r="E71" s="40">
        <v>140091</v>
      </c>
      <c r="F71" s="41">
        <v>0.51201407273233945</v>
      </c>
    </row>
    <row r="72" spans="1:6" x14ac:dyDescent="0.35">
      <c r="A72" s="37" t="s">
        <v>183</v>
      </c>
      <c r="B72" s="38" t="s">
        <v>184</v>
      </c>
      <c r="C72" s="39">
        <v>110934</v>
      </c>
      <c r="D72" s="40">
        <f t="shared" si="0"/>
        <v>60283</v>
      </c>
      <c r="E72" s="40">
        <v>50651</v>
      </c>
      <c r="F72" s="41">
        <v>0.54341320064182308</v>
      </c>
    </row>
    <row r="73" spans="1:6" x14ac:dyDescent="0.35">
      <c r="A73" s="37" t="s">
        <v>185</v>
      </c>
      <c r="B73" s="38" t="s">
        <v>186</v>
      </c>
      <c r="C73" s="39">
        <v>96574</v>
      </c>
      <c r="D73" s="40">
        <f t="shared" si="0"/>
        <v>50674</v>
      </c>
      <c r="E73" s="40">
        <v>45900</v>
      </c>
      <c r="F73" s="41">
        <v>0.52471679748172384</v>
      </c>
    </row>
    <row r="74" spans="1:6" x14ac:dyDescent="0.35">
      <c r="A74" s="37" t="s">
        <v>187</v>
      </c>
      <c r="B74" s="38" t="s">
        <v>188</v>
      </c>
      <c r="C74" s="39">
        <v>63274</v>
      </c>
      <c r="D74" s="40">
        <f t="shared" si="0"/>
        <v>34569</v>
      </c>
      <c r="E74" s="40">
        <v>28705</v>
      </c>
      <c r="F74" s="41">
        <v>0.5463381483705787</v>
      </c>
    </row>
    <row r="75" spans="1:6" x14ac:dyDescent="0.35">
      <c r="A75" s="37" t="s">
        <v>189</v>
      </c>
      <c r="B75" s="38" t="s">
        <v>190</v>
      </c>
      <c r="C75" s="39">
        <v>135851</v>
      </c>
      <c r="D75" s="40">
        <f t="shared" si="0"/>
        <v>83562</v>
      </c>
      <c r="E75" s="40">
        <v>52289</v>
      </c>
      <c r="F75" s="41">
        <v>0.61510036731418982</v>
      </c>
    </row>
    <row r="76" spans="1:6" x14ac:dyDescent="0.35">
      <c r="A76" s="37" t="s">
        <v>191</v>
      </c>
      <c r="B76" s="38" t="s">
        <v>192</v>
      </c>
      <c r="C76" s="39">
        <v>134626</v>
      </c>
      <c r="D76" s="40">
        <f t="shared" si="0"/>
        <v>90465</v>
      </c>
      <c r="E76" s="40">
        <v>44161</v>
      </c>
      <c r="F76" s="41">
        <v>0.67197272443658729</v>
      </c>
    </row>
    <row r="77" spans="1:6" x14ac:dyDescent="0.35">
      <c r="A77" s="37" t="s">
        <v>193</v>
      </c>
      <c r="B77" s="38" t="s">
        <v>194</v>
      </c>
      <c r="C77" s="39">
        <v>111507</v>
      </c>
      <c r="D77" s="40">
        <f t="shared" si="0"/>
        <v>70797</v>
      </c>
      <c r="E77" s="40">
        <v>40710</v>
      </c>
      <c r="F77" s="41">
        <v>0.6349108127740859</v>
      </c>
    </row>
    <row r="78" spans="1:6" x14ac:dyDescent="0.35">
      <c r="A78" s="37" t="s">
        <v>195</v>
      </c>
      <c r="B78" s="38" t="s">
        <v>196</v>
      </c>
      <c r="C78" s="39">
        <v>103846</v>
      </c>
      <c r="D78" s="40">
        <f t="shared" ref="D78:D122" si="1">C78-E78</f>
        <v>63546</v>
      </c>
      <c r="E78" s="40">
        <v>40300</v>
      </c>
      <c r="F78" s="41">
        <v>0.61192535100052003</v>
      </c>
    </row>
    <row r="79" spans="1:6" x14ac:dyDescent="0.35">
      <c r="A79" s="37" t="s">
        <v>197</v>
      </c>
      <c r="B79" s="38" t="s">
        <v>198</v>
      </c>
      <c r="C79" s="39">
        <v>108518</v>
      </c>
      <c r="D79" s="40">
        <f t="shared" si="1"/>
        <v>62322</v>
      </c>
      <c r="E79" s="40">
        <v>46196</v>
      </c>
      <c r="F79" s="41">
        <v>0.57430103761587936</v>
      </c>
    </row>
    <row r="80" spans="1:6" x14ac:dyDescent="0.35">
      <c r="A80" s="37" t="s">
        <v>199</v>
      </c>
      <c r="B80" s="38" t="s">
        <v>200</v>
      </c>
      <c r="C80" s="39">
        <v>50379</v>
      </c>
      <c r="D80" s="40">
        <f t="shared" si="1"/>
        <v>29713</v>
      </c>
      <c r="E80" s="40">
        <v>20666</v>
      </c>
      <c r="F80" s="41">
        <v>0.5897893963754739</v>
      </c>
    </row>
    <row r="81" spans="1:6" x14ac:dyDescent="0.35">
      <c r="A81" s="37" t="s">
        <v>201</v>
      </c>
      <c r="B81" s="38" t="s">
        <v>202</v>
      </c>
      <c r="C81" s="39">
        <v>151894</v>
      </c>
      <c r="D81" s="40">
        <f t="shared" si="1"/>
        <v>89722</v>
      </c>
      <c r="E81" s="40">
        <v>62172</v>
      </c>
      <c r="F81" s="41">
        <v>0.59068824311691048</v>
      </c>
    </row>
    <row r="82" spans="1:6" x14ac:dyDescent="0.35">
      <c r="A82" s="37" t="s">
        <v>203</v>
      </c>
      <c r="B82" s="38" t="s">
        <v>204</v>
      </c>
      <c r="C82" s="39">
        <v>100812</v>
      </c>
      <c r="D82" s="40">
        <f t="shared" si="1"/>
        <v>54884</v>
      </c>
      <c r="E82" s="40">
        <v>45928</v>
      </c>
      <c r="F82" s="41">
        <v>0.54441931516089359</v>
      </c>
    </row>
    <row r="83" spans="1:6" x14ac:dyDescent="0.35">
      <c r="A83" s="37" t="s">
        <v>205</v>
      </c>
      <c r="B83" s="38" t="s">
        <v>206</v>
      </c>
      <c r="C83" s="39">
        <v>66830</v>
      </c>
      <c r="D83" s="40">
        <f t="shared" si="1"/>
        <v>53933</v>
      </c>
      <c r="E83" s="40">
        <v>12897</v>
      </c>
      <c r="F83" s="41">
        <v>0.80701780637438281</v>
      </c>
    </row>
    <row r="84" spans="1:6" x14ac:dyDescent="0.35">
      <c r="A84" s="37" t="s">
        <v>207</v>
      </c>
      <c r="B84" s="38" t="s">
        <v>208</v>
      </c>
      <c r="C84" s="39">
        <v>125266</v>
      </c>
      <c r="D84" s="40">
        <f t="shared" si="1"/>
        <v>70351</v>
      </c>
      <c r="E84" s="40">
        <v>54915</v>
      </c>
      <c r="F84" s="41">
        <v>0.56161288777481522</v>
      </c>
    </row>
    <row r="85" spans="1:6" x14ac:dyDescent="0.35">
      <c r="A85" s="37" t="s">
        <v>209</v>
      </c>
      <c r="B85" s="38" t="s">
        <v>210</v>
      </c>
      <c r="C85" s="39">
        <v>126557</v>
      </c>
      <c r="D85" s="40">
        <f t="shared" si="1"/>
        <v>101993</v>
      </c>
      <c r="E85" s="40">
        <v>24564</v>
      </c>
      <c r="F85" s="41">
        <v>0.80590563935617943</v>
      </c>
    </row>
    <row r="86" spans="1:6" x14ac:dyDescent="0.35">
      <c r="A86" s="37" t="s">
        <v>211</v>
      </c>
      <c r="B86" s="38" t="s">
        <v>212</v>
      </c>
      <c r="C86" s="39">
        <v>70999</v>
      </c>
      <c r="D86" s="40">
        <f t="shared" si="1"/>
        <v>41908</v>
      </c>
      <c r="E86" s="40">
        <v>29091</v>
      </c>
      <c r="F86" s="41">
        <v>0.59026183467372784</v>
      </c>
    </row>
    <row r="87" spans="1:6" x14ac:dyDescent="0.35">
      <c r="A87" s="37" t="s">
        <v>213</v>
      </c>
      <c r="B87" s="38" t="s">
        <v>214</v>
      </c>
      <c r="C87" s="39">
        <v>209745</v>
      </c>
      <c r="D87" s="40">
        <f t="shared" si="1"/>
        <v>105723</v>
      </c>
      <c r="E87" s="40">
        <v>104022</v>
      </c>
      <c r="F87" s="41">
        <v>0.50405492383608663</v>
      </c>
    </row>
    <row r="88" spans="1:6" x14ac:dyDescent="0.35">
      <c r="A88" s="37" t="s">
        <v>215</v>
      </c>
      <c r="B88" s="38" t="s">
        <v>216</v>
      </c>
      <c r="C88" s="39">
        <v>96464</v>
      </c>
      <c r="D88" s="40">
        <f t="shared" si="1"/>
        <v>49098</v>
      </c>
      <c r="E88" s="40">
        <v>47366</v>
      </c>
      <c r="F88" s="41">
        <v>0.50897744236191744</v>
      </c>
    </row>
    <row r="89" spans="1:6" x14ac:dyDescent="0.35">
      <c r="A89" s="37" t="s">
        <v>217</v>
      </c>
      <c r="B89" s="38" t="s">
        <v>218</v>
      </c>
      <c r="C89" s="39">
        <v>377214</v>
      </c>
      <c r="D89" s="40">
        <f t="shared" si="1"/>
        <v>195763</v>
      </c>
      <c r="E89" s="40">
        <v>181451</v>
      </c>
      <c r="F89" s="41">
        <v>0.5189706638671947</v>
      </c>
    </row>
    <row r="90" spans="1:6" x14ac:dyDescent="0.35">
      <c r="A90" s="37" t="s">
        <v>219</v>
      </c>
      <c r="B90" s="38" t="s">
        <v>220</v>
      </c>
      <c r="C90" s="39">
        <v>152589</v>
      </c>
      <c r="D90" s="40">
        <f t="shared" si="1"/>
        <v>101566</v>
      </c>
      <c r="E90" s="40">
        <v>51023</v>
      </c>
      <c r="F90" s="41">
        <v>0.66561809829017815</v>
      </c>
    </row>
    <row r="91" spans="1:6" x14ac:dyDescent="0.35">
      <c r="A91" s="37" t="s">
        <v>221</v>
      </c>
      <c r="B91" s="38" t="s">
        <v>222</v>
      </c>
      <c r="C91" s="39">
        <v>146604</v>
      </c>
      <c r="D91" s="40">
        <f t="shared" si="1"/>
        <v>92430</v>
      </c>
      <c r="E91" s="40">
        <v>54174</v>
      </c>
      <c r="F91" s="41">
        <v>0.63047392976999261</v>
      </c>
    </row>
    <row r="92" spans="1:6" x14ac:dyDescent="0.35">
      <c r="A92" s="37" t="s">
        <v>223</v>
      </c>
      <c r="B92" s="38" t="s">
        <v>224</v>
      </c>
      <c r="C92" s="39">
        <v>144386</v>
      </c>
      <c r="D92" s="40">
        <f t="shared" si="1"/>
        <v>83323</v>
      </c>
      <c r="E92" s="40">
        <v>61063</v>
      </c>
      <c r="F92" s="41">
        <v>0.57708503594531324</v>
      </c>
    </row>
    <row r="93" spans="1:6" x14ac:dyDescent="0.35">
      <c r="A93" s="37" t="s">
        <v>225</v>
      </c>
      <c r="B93" s="38" t="s">
        <v>226</v>
      </c>
      <c r="C93" s="39">
        <v>107199</v>
      </c>
      <c r="D93" s="40">
        <f t="shared" si="1"/>
        <v>87196</v>
      </c>
      <c r="E93" s="40">
        <v>20003</v>
      </c>
      <c r="F93" s="41">
        <v>0.81340311010363897</v>
      </c>
    </row>
    <row r="94" spans="1:6" x14ac:dyDescent="0.35">
      <c r="A94" s="37" t="s">
        <v>227</v>
      </c>
      <c r="B94" s="38" t="s">
        <v>228</v>
      </c>
      <c r="C94" s="39">
        <v>183288</v>
      </c>
      <c r="D94" s="40">
        <f t="shared" si="1"/>
        <v>72386</v>
      </c>
      <c r="E94" s="40">
        <v>110902</v>
      </c>
      <c r="F94" s="41">
        <v>0.39493038278556153</v>
      </c>
    </row>
    <row r="95" spans="1:6" x14ac:dyDescent="0.35">
      <c r="A95" s="37" t="s">
        <v>229</v>
      </c>
      <c r="B95" s="38" t="s">
        <v>230</v>
      </c>
      <c r="C95" s="39">
        <v>148938</v>
      </c>
      <c r="D95" s="40">
        <f t="shared" si="1"/>
        <v>82982</v>
      </c>
      <c r="E95" s="40">
        <v>65956</v>
      </c>
      <c r="F95" s="41">
        <v>0.55715801205870896</v>
      </c>
    </row>
    <row r="96" spans="1:6" x14ac:dyDescent="0.35">
      <c r="A96" s="37" t="s">
        <v>231</v>
      </c>
      <c r="B96" s="38" t="s">
        <v>232</v>
      </c>
      <c r="C96" s="39">
        <v>123627</v>
      </c>
      <c r="D96" s="40">
        <f t="shared" si="1"/>
        <v>71877</v>
      </c>
      <c r="E96" s="40">
        <v>51750</v>
      </c>
      <c r="F96" s="41">
        <v>0.5814021208959208</v>
      </c>
    </row>
    <row r="97" spans="1:6" x14ac:dyDescent="0.35">
      <c r="A97" s="37" t="s">
        <v>233</v>
      </c>
      <c r="B97" s="38" t="s">
        <v>234</v>
      </c>
      <c r="C97" s="39">
        <v>111104</v>
      </c>
      <c r="D97" s="40">
        <f t="shared" si="1"/>
        <v>67528</v>
      </c>
      <c r="E97" s="40">
        <v>43576</v>
      </c>
      <c r="F97" s="41">
        <v>0.60779089861751157</v>
      </c>
    </row>
    <row r="98" spans="1:6" x14ac:dyDescent="0.35">
      <c r="A98" s="37" t="s">
        <v>235</v>
      </c>
      <c r="B98" s="38" t="s">
        <v>236</v>
      </c>
      <c r="C98" s="39">
        <v>121085</v>
      </c>
      <c r="D98" s="40">
        <f t="shared" si="1"/>
        <v>64301</v>
      </c>
      <c r="E98" s="40">
        <v>56784</v>
      </c>
      <c r="F98" s="41">
        <v>0.53104017838708351</v>
      </c>
    </row>
    <row r="99" spans="1:6" x14ac:dyDescent="0.35">
      <c r="A99" s="37" t="s">
        <v>237</v>
      </c>
      <c r="B99" s="38" t="s">
        <v>238</v>
      </c>
      <c r="C99" s="39">
        <v>101602</v>
      </c>
      <c r="D99" s="40">
        <f t="shared" si="1"/>
        <v>65565</v>
      </c>
      <c r="E99" s="40">
        <v>36037</v>
      </c>
      <c r="F99" s="41">
        <v>0.64531210015550877</v>
      </c>
    </row>
    <row r="100" spans="1:6" x14ac:dyDescent="0.35">
      <c r="A100" s="37" t="s">
        <v>239</v>
      </c>
      <c r="B100" s="38" t="s">
        <v>240</v>
      </c>
      <c r="C100" s="39">
        <v>97949</v>
      </c>
      <c r="D100" s="40">
        <f t="shared" si="1"/>
        <v>61609</v>
      </c>
      <c r="E100" s="40">
        <v>36340</v>
      </c>
      <c r="F100" s="41">
        <v>0.62899059714749517</v>
      </c>
    </row>
    <row r="101" spans="1:6" x14ac:dyDescent="0.35">
      <c r="A101" s="37" t="s">
        <v>241</v>
      </c>
      <c r="B101" s="38" t="s">
        <v>242</v>
      </c>
      <c r="C101" s="39">
        <v>154782</v>
      </c>
      <c r="D101" s="40">
        <f t="shared" si="1"/>
        <v>113567</v>
      </c>
      <c r="E101" s="40">
        <v>41215</v>
      </c>
      <c r="F101" s="41">
        <v>0.73372226744711921</v>
      </c>
    </row>
    <row r="102" spans="1:6" x14ac:dyDescent="0.35">
      <c r="A102" s="37" t="s">
        <v>243</v>
      </c>
      <c r="B102" s="38" t="s">
        <v>244</v>
      </c>
      <c r="C102" s="39">
        <v>202014</v>
      </c>
      <c r="D102" s="40">
        <f t="shared" si="1"/>
        <v>114503</v>
      </c>
      <c r="E102" s="40">
        <v>87511</v>
      </c>
      <c r="F102" s="41">
        <v>0.5668072509826052</v>
      </c>
    </row>
    <row r="103" spans="1:6" x14ac:dyDescent="0.35">
      <c r="A103" s="37" t="s">
        <v>245</v>
      </c>
      <c r="B103" s="38" t="s">
        <v>246</v>
      </c>
      <c r="C103" s="39">
        <v>94512</v>
      </c>
      <c r="D103" s="40">
        <f t="shared" si="1"/>
        <v>62711</v>
      </c>
      <c r="E103" s="40">
        <v>31801</v>
      </c>
      <c r="F103" s="41">
        <v>0.66352420856610805</v>
      </c>
    </row>
    <row r="104" spans="1:6" x14ac:dyDescent="0.35">
      <c r="A104" s="37" t="s">
        <v>247</v>
      </c>
      <c r="B104" s="38" t="s">
        <v>248</v>
      </c>
      <c r="C104" s="39">
        <v>121698</v>
      </c>
      <c r="D104" s="40">
        <f t="shared" si="1"/>
        <v>55539</v>
      </c>
      <c r="E104" s="40">
        <v>66159</v>
      </c>
      <c r="F104" s="41">
        <v>0.45636740127200121</v>
      </c>
    </row>
    <row r="105" spans="1:6" x14ac:dyDescent="0.35">
      <c r="A105" s="37" t="s">
        <v>249</v>
      </c>
      <c r="B105" s="38" t="s">
        <v>250</v>
      </c>
      <c r="C105" s="39">
        <v>140772</v>
      </c>
      <c r="D105" s="40">
        <f t="shared" si="1"/>
        <v>64255</v>
      </c>
      <c r="E105" s="40">
        <v>76517</v>
      </c>
      <c r="F105" s="41">
        <v>0.45644730486176227</v>
      </c>
    </row>
    <row r="106" spans="1:6" x14ac:dyDescent="0.35">
      <c r="A106" s="37" t="s">
        <v>251</v>
      </c>
      <c r="B106" s="38" t="s">
        <v>252</v>
      </c>
      <c r="C106" s="39">
        <v>238314</v>
      </c>
      <c r="D106" s="40">
        <f t="shared" si="1"/>
        <v>121908</v>
      </c>
      <c r="E106" s="40">
        <v>116406</v>
      </c>
      <c r="F106" s="41">
        <v>0.51154359374606606</v>
      </c>
    </row>
    <row r="107" spans="1:6" x14ac:dyDescent="0.35">
      <c r="A107" s="37" t="s">
        <v>253</v>
      </c>
      <c r="B107" s="38" t="s">
        <v>254</v>
      </c>
      <c r="C107" s="39">
        <v>205684</v>
      </c>
      <c r="D107" s="40">
        <f t="shared" si="1"/>
        <v>168769</v>
      </c>
      <c r="E107" s="40">
        <v>36915</v>
      </c>
      <c r="F107" s="41">
        <v>0.82052566072227295</v>
      </c>
    </row>
    <row r="108" spans="1:6" x14ac:dyDescent="0.35">
      <c r="A108" s="37" t="s">
        <v>255</v>
      </c>
      <c r="B108" s="38" t="s">
        <v>256</v>
      </c>
      <c r="C108" s="39">
        <v>91921</v>
      </c>
      <c r="D108" s="40">
        <f t="shared" si="1"/>
        <v>34320</v>
      </c>
      <c r="E108" s="40">
        <v>57601</v>
      </c>
      <c r="F108" s="41">
        <v>0.3733640843768018</v>
      </c>
    </row>
    <row r="109" spans="1:6" x14ac:dyDescent="0.35">
      <c r="A109" s="37" t="s">
        <v>257</v>
      </c>
      <c r="B109" s="38" t="s">
        <v>258</v>
      </c>
      <c r="C109" s="39">
        <v>113588</v>
      </c>
      <c r="D109" s="40">
        <f t="shared" si="1"/>
        <v>49153</v>
      </c>
      <c r="E109" s="40">
        <v>64435</v>
      </c>
      <c r="F109" s="41">
        <v>0.43273057013064758</v>
      </c>
    </row>
    <row r="110" spans="1:6" x14ac:dyDescent="0.35">
      <c r="A110" s="37" t="s">
        <v>259</v>
      </c>
      <c r="B110" s="38" t="s">
        <v>260</v>
      </c>
      <c r="C110" s="39">
        <v>110846</v>
      </c>
      <c r="D110" s="40">
        <f t="shared" si="1"/>
        <v>66250</v>
      </c>
      <c r="E110" s="40">
        <v>44596</v>
      </c>
      <c r="F110" s="41">
        <v>0.59767605506739074</v>
      </c>
    </row>
    <row r="111" spans="1:6" x14ac:dyDescent="0.35">
      <c r="A111" s="37" t="s">
        <v>261</v>
      </c>
      <c r="B111" s="38" t="s">
        <v>262</v>
      </c>
      <c r="C111" s="39">
        <v>142948</v>
      </c>
      <c r="D111" s="40">
        <f t="shared" si="1"/>
        <v>70959</v>
      </c>
      <c r="E111" s="40">
        <v>71989</v>
      </c>
      <c r="F111" s="41">
        <v>0.49639729132271876</v>
      </c>
    </row>
    <row r="112" spans="1:6" x14ac:dyDescent="0.35">
      <c r="A112" s="37" t="s">
        <v>263</v>
      </c>
      <c r="B112" s="38" t="s">
        <v>264</v>
      </c>
      <c r="C112" s="39">
        <v>86756</v>
      </c>
      <c r="D112" s="40">
        <f t="shared" si="1"/>
        <v>48532</v>
      </c>
      <c r="E112" s="40">
        <v>38224</v>
      </c>
      <c r="F112" s="41">
        <v>0.55940799483609205</v>
      </c>
    </row>
    <row r="113" spans="1:6" x14ac:dyDescent="0.35">
      <c r="A113" s="37" t="s">
        <v>265</v>
      </c>
      <c r="B113" s="38" t="s">
        <v>266</v>
      </c>
      <c r="C113" s="39">
        <v>173224</v>
      </c>
      <c r="D113" s="40">
        <f t="shared" si="1"/>
        <v>121498</v>
      </c>
      <c r="E113" s="40">
        <v>51726</v>
      </c>
      <c r="F113" s="41">
        <v>0.70139241675518404</v>
      </c>
    </row>
    <row r="114" spans="1:6" x14ac:dyDescent="0.35">
      <c r="A114" s="37" t="s">
        <v>267</v>
      </c>
      <c r="B114" s="38" t="s">
        <v>268</v>
      </c>
      <c r="C114" s="39">
        <v>115729</v>
      </c>
      <c r="D114" s="40">
        <f t="shared" si="1"/>
        <v>67618</v>
      </c>
      <c r="E114" s="40">
        <v>48111</v>
      </c>
      <c r="F114" s="41">
        <v>0.58427878924038057</v>
      </c>
    </row>
    <row r="115" spans="1:6" x14ac:dyDescent="0.35">
      <c r="A115" s="37" t="s">
        <v>269</v>
      </c>
      <c r="B115" s="38" t="s">
        <v>270</v>
      </c>
      <c r="C115" s="39">
        <v>180298</v>
      </c>
      <c r="D115" s="40">
        <f t="shared" si="1"/>
        <v>99716</v>
      </c>
      <c r="E115" s="40">
        <v>80582</v>
      </c>
      <c r="F115" s="41">
        <v>0.55306215265837666</v>
      </c>
    </row>
    <row r="116" spans="1:6" x14ac:dyDescent="0.35">
      <c r="A116" s="37" t="s">
        <v>271</v>
      </c>
      <c r="B116" s="38" t="s">
        <v>272</v>
      </c>
      <c r="C116" s="39">
        <v>100207</v>
      </c>
      <c r="D116" s="40">
        <f t="shared" si="1"/>
        <v>54296</v>
      </c>
      <c r="E116" s="40">
        <v>45911</v>
      </c>
      <c r="F116" s="41">
        <v>0.54183839452333671</v>
      </c>
    </row>
    <row r="117" spans="1:6" x14ac:dyDescent="0.35">
      <c r="A117" s="37" t="s">
        <v>273</v>
      </c>
      <c r="B117" s="38" t="s">
        <v>274</v>
      </c>
      <c r="C117" s="39">
        <v>118256</v>
      </c>
      <c r="D117" s="40">
        <f t="shared" si="1"/>
        <v>74164</v>
      </c>
      <c r="E117" s="40">
        <v>44092</v>
      </c>
      <c r="F117" s="41">
        <v>0.62714788255987008</v>
      </c>
    </row>
    <row r="118" spans="1:6" x14ac:dyDescent="0.35">
      <c r="A118" s="37" t="s">
        <v>275</v>
      </c>
      <c r="B118" s="38" t="s">
        <v>276</v>
      </c>
      <c r="C118" s="39">
        <v>143521</v>
      </c>
      <c r="D118" s="40">
        <f t="shared" si="1"/>
        <v>67464</v>
      </c>
      <c r="E118" s="40">
        <v>76057</v>
      </c>
      <c r="F118" s="41">
        <v>0.47006361438395777</v>
      </c>
    </row>
    <row r="119" spans="1:6" x14ac:dyDescent="0.35">
      <c r="A119" s="37" t="s">
        <v>277</v>
      </c>
      <c r="B119" s="38" t="s">
        <v>278</v>
      </c>
      <c r="C119" s="39">
        <v>108610</v>
      </c>
      <c r="D119" s="40">
        <f t="shared" si="1"/>
        <v>62641</v>
      </c>
      <c r="E119" s="40">
        <v>45969</v>
      </c>
      <c r="F119" s="41">
        <v>0.57675168032409541</v>
      </c>
    </row>
    <row r="120" spans="1:6" x14ac:dyDescent="0.35">
      <c r="A120" s="37" t="s">
        <v>279</v>
      </c>
      <c r="B120" s="38" t="s">
        <v>280</v>
      </c>
      <c r="C120" s="39">
        <v>123577</v>
      </c>
      <c r="D120" s="40">
        <f t="shared" si="1"/>
        <v>71741</v>
      </c>
      <c r="E120" s="40">
        <v>51836</v>
      </c>
      <c r="F120" s="41">
        <v>0.58053683128737543</v>
      </c>
    </row>
    <row r="121" spans="1:6" x14ac:dyDescent="0.35">
      <c r="A121" s="37" t="s">
        <v>281</v>
      </c>
      <c r="B121" s="38" t="s">
        <v>282</v>
      </c>
      <c r="C121" s="39">
        <v>123535</v>
      </c>
      <c r="D121" s="40">
        <f t="shared" si="1"/>
        <v>55880</v>
      </c>
      <c r="E121" s="40">
        <v>67655</v>
      </c>
      <c r="F121" s="41">
        <v>0.45234144169668516</v>
      </c>
    </row>
    <row r="122" spans="1:6" ht="15" thickBot="1" x14ac:dyDescent="0.4">
      <c r="A122" s="42" t="s">
        <v>283</v>
      </c>
      <c r="B122" s="43" t="s">
        <v>284</v>
      </c>
      <c r="C122" s="44">
        <v>256562</v>
      </c>
      <c r="D122" s="45">
        <f t="shared" si="1"/>
        <v>131090</v>
      </c>
      <c r="E122" s="45">
        <v>125472</v>
      </c>
      <c r="F122" s="46">
        <v>0.51094862060632518</v>
      </c>
    </row>
  </sheetData>
  <mergeCells count="8">
    <mergeCell ref="A10:G10"/>
    <mergeCell ref="A6:H6"/>
    <mergeCell ref="A7:H7"/>
    <mergeCell ref="A1:F1"/>
    <mergeCell ref="A3:G3"/>
    <mergeCell ref="A4:G4"/>
    <mergeCell ref="A5:K5"/>
    <mergeCell ref="A9:G9"/>
  </mergeCells>
  <hyperlinks>
    <hyperlink ref="A7" r:id="rId1" display="https://www.england.nhs.uk/statistics/statistical-work-areas/ae-waiting-times-and-activity/statistical-work-areasae-waiting-times-and-activityae-attendances-and-emergency-admissions-2016-17/" xr:uid="{ADDC45AE-70EA-4463-8AB5-A7A9C0F50FD9}"/>
    <hyperlink ref="A7:H7" r:id="rId2" display="https://www.england.nhs.uk/statistics/statistical-work-areas/ae-waiting-times-and-activity/ae-attendances-and-emergency-admissions-2022-23/" xr:uid="{55198105-70CA-4676-B72F-9B794D7DFABB}"/>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ignoredErrors>
    <ignoredError sqref="D13:D122" unlockedFormula="1"/>
  </ignoredError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ED76-47F7-4BBC-A717-8D20B32AA5C2}">
  <dimension ref="A1:L13"/>
  <sheetViews>
    <sheetView showGridLines="0" zoomScaleNormal="100" workbookViewId="0">
      <selection activeCell="R5" sqref="R5"/>
    </sheetView>
  </sheetViews>
  <sheetFormatPr defaultColWidth="8.84375" defaultRowHeight="14.5" x14ac:dyDescent="0.35"/>
  <cols>
    <col min="1" max="1" width="13.53515625" style="4" customWidth="1"/>
    <col min="2" max="2" width="6.69140625" style="4" customWidth="1"/>
    <col min="3" max="3" width="6.3828125" style="4" customWidth="1"/>
    <col min="4" max="11" width="6.4609375" style="4" bestFit="1" customWidth="1"/>
    <col min="12" max="12" width="7.07421875" style="4" bestFit="1" customWidth="1"/>
    <col min="13" max="16384" width="8.84375" style="4"/>
  </cols>
  <sheetData>
    <row r="1" spans="1:12" ht="84" customHeight="1" x14ac:dyDescent="0.35">
      <c r="A1" s="324"/>
      <c r="B1" s="324"/>
      <c r="C1" s="324"/>
      <c r="D1" s="324"/>
      <c r="E1" s="324"/>
      <c r="F1" s="324"/>
    </row>
    <row r="2" spans="1:12" x14ac:dyDescent="0.35">
      <c r="A2" s="3" t="s">
        <v>0</v>
      </c>
      <c r="B2" s="3" t="s">
        <v>0</v>
      </c>
      <c r="C2" s="3" t="s">
        <v>0</v>
      </c>
      <c r="D2" s="3" t="s">
        <v>0</v>
      </c>
      <c r="E2" s="3" t="s">
        <v>0</v>
      </c>
      <c r="F2" s="3" t="s">
        <v>0</v>
      </c>
      <c r="G2" s="3" t="s">
        <v>0</v>
      </c>
    </row>
    <row r="3" spans="1:12" ht="48" customHeight="1" x14ac:dyDescent="0.35">
      <c r="A3" s="293" t="s">
        <v>287</v>
      </c>
      <c r="B3" s="293"/>
      <c r="C3" s="293"/>
      <c r="D3" s="293"/>
      <c r="E3" s="293"/>
      <c r="F3" s="293"/>
      <c r="G3" s="293"/>
    </row>
    <row r="4" spans="1:12" ht="29.25" customHeight="1" x14ac:dyDescent="0.35">
      <c r="A4" s="328" t="s">
        <v>290</v>
      </c>
      <c r="B4" s="328"/>
      <c r="C4" s="328"/>
      <c r="D4" s="328"/>
      <c r="E4" s="328"/>
      <c r="F4" s="328"/>
      <c r="G4" s="328"/>
    </row>
    <row r="5" spans="1:12" x14ac:dyDescent="0.35">
      <c r="A5" s="325" t="s">
        <v>32</v>
      </c>
      <c r="B5" s="325"/>
      <c r="C5" s="325"/>
      <c r="D5" s="325"/>
      <c r="E5" s="325"/>
      <c r="F5" s="325"/>
      <c r="G5" s="325"/>
      <c r="H5" s="325"/>
      <c r="I5" s="325"/>
      <c r="J5" s="325"/>
      <c r="K5" s="325"/>
    </row>
    <row r="6" spans="1:12" ht="14.4" customHeight="1" x14ac:dyDescent="0.35">
      <c r="A6" s="320" t="s">
        <v>649</v>
      </c>
      <c r="B6" s="320"/>
      <c r="C6" s="320"/>
      <c r="D6" s="320"/>
      <c r="E6" s="320"/>
      <c r="F6" s="320"/>
      <c r="G6" s="320"/>
      <c r="H6" s="320"/>
      <c r="I6" s="26"/>
      <c r="J6" s="26"/>
      <c r="K6" s="26"/>
    </row>
    <row r="7" spans="1:12" x14ac:dyDescent="0.35">
      <c r="A7" s="321" t="s">
        <v>349</v>
      </c>
      <c r="B7" s="321"/>
      <c r="C7" s="321"/>
      <c r="D7" s="321"/>
      <c r="E7" s="321"/>
      <c r="F7" s="321"/>
      <c r="G7" s="321"/>
      <c r="H7" s="321"/>
      <c r="I7" s="26"/>
      <c r="J7" s="26"/>
      <c r="K7" s="26"/>
    </row>
    <row r="8" spans="1:12" x14ac:dyDescent="0.35">
      <c r="A8" s="10" t="s">
        <v>13</v>
      </c>
    </row>
    <row r="9" spans="1:12" x14ac:dyDescent="0.35">
      <c r="A9" s="323" t="s">
        <v>2</v>
      </c>
      <c r="B9" s="324"/>
      <c r="C9" s="324"/>
      <c r="D9" s="324"/>
      <c r="E9" s="324"/>
      <c r="F9" s="324"/>
      <c r="G9" s="324"/>
    </row>
    <row r="10" spans="1:12" x14ac:dyDescent="0.35">
      <c r="A10" s="323" t="s">
        <v>1</v>
      </c>
      <c r="B10" s="324"/>
      <c r="C10" s="324"/>
      <c r="D10" s="324"/>
      <c r="E10" s="324"/>
      <c r="F10" s="324"/>
      <c r="G10" s="324"/>
    </row>
    <row r="11" spans="1:12" ht="15" thickBot="1" x14ac:dyDescent="0.4">
      <c r="A11" s="3" t="s">
        <v>0</v>
      </c>
      <c r="B11" s="3" t="s">
        <v>0</v>
      </c>
      <c r="C11" s="3" t="s">
        <v>0</v>
      </c>
      <c r="D11" s="3" t="s">
        <v>0</v>
      </c>
      <c r="E11" s="3" t="s">
        <v>0</v>
      </c>
      <c r="F11" s="3" t="s">
        <v>0</v>
      </c>
      <c r="G11" s="3" t="s">
        <v>0</v>
      </c>
    </row>
    <row r="12" spans="1:12" ht="15" thickBot="1" x14ac:dyDescent="0.4">
      <c r="A12" s="27"/>
      <c r="B12" s="21" t="s">
        <v>638</v>
      </c>
      <c r="C12" s="21" t="s">
        <v>639</v>
      </c>
      <c r="D12" s="21" t="s">
        <v>640</v>
      </c>
      <c r="E12" s="21" t="s">
        <v>641</v>
      </c>
      <c r="F12" s="21" t="s">
        <v>642</v>
      </c>
      <c r="G12" s="21" t="s">
        <v>643</v>
      </c>
      <c r="H12" s="21" t="s">
        <v>644</v>
      </c>
      <c r="I12" s="21" t="s">
        <v>645</v>
      </c>
      <c r="J12" s="21" t="s">
        <v>23</v>
      </c>
      <c r="K12" s="21" t="s">
        <v>24</v>
      </c>
      <c r="L12" s="28" t="s">
        <v>27</v>
      </c>
    </row>
    <row r="13" spans="1:12" ht="25.5" thickBot="1" x14ac:dyDescent="0.4">
      <c r="A13" s="19" t="s">
        <v>291</v>
      </c>
      <c r="B13" s="47">
        <v>170</v>
      </c>
      <c r="C13" s="47">
        <v>240</v>
      </c>
      <c r="D13" s="47">
        <v>1243</v>
      </c>
      <c r="E13" s="47">
        <v>1014</v>
      </c>
      <c r="F13" s="47">
        <v>3502</v>
      </c>
      <c r="G13" s="47">
        <v>3471</v>
      </c>
      <c r="H13" s="47">
        <v>3262</v>
      </c>
      <c r="I13" s="47">
        <v>25504</v>
      </c>
      <c r="J13" s="47">
        <v>14150</v>
      </c>
      <c r="K13" s="47">
        <v>98564</v>
      </c>
      <c r="L13" s="48">
        <v>410092</v>
      </c>
    </row>
  </sheetData>
  <mergeCells count="7">
    <mergeCell ref="A10:G10"/>
    <mergeCell ref="A6:H6"/>
    <mergeCell ref="A7:H7"/>
    <mergeCell ref="A1:F1"/>
    <mergeCell ref="A4:G4"/>
    <mergeCell ref="A5:K5"/>
    <mergeCell ref="A9:G9"/>
  </mergeCells>
  <hyperlinks>
    <hyperlink ref="A7" r:id="rId1" display="https://www.england.nhs.uk/statistics/statistical-work-areas/ae-waiting-times-and-activity/statistical-work-areasae-waiting-times-and-activityae-attendances-and-emergency-admissions-2016-17/" xr:uid="{0EB88E5F-B61A-406F-BC29-BBC1F71AE311}"/>
    <hyperlink ref="A7:H7" r:id="rId2" display="https://www.england.nhs.uk/statistics/statistical-work-areas/ae-waiting-times-and-activity/ae-attendances-and-emergency-admissions-2022-23/" xr:uid="{E57E6B3F-0045-4DBC-B2B3-064D886549A9}"/>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AE28-57AB-4465-9AAC-878725F16ADA}">
  <dimension ref="A1:I24"/>
  <sheetViews>
    <sheetView showGridLines="0" zoomScaleNormal="100" workbookViewId="0">
      <selection sqref="A1:D1"/>
    </sheetView>
  </sheetViews>
  <sheetFormatPr defaultColWidth="8.84375" defaultRowHeight="14.5" x14ac:dyDescent="0.35"/>
  <cols>
    <col min="1" max="1" width="13" style="4" customWidth="1"/>
    <col min="2" max="2" width="10.61328125" style="4" customWidth="1"/>
    <col min="3" max="3" width="11.921875" style="4" customWidth="1"/>
    <col min="4" max="4" width="11.15234375" style="4" customWidth="1"/>
    <col min="5" max="5" width="9.69140625" style="4" customWidth="1"/>
    <col min="6" max="6" width="8.61328125" style="4" customWidth="1"/>
    <col min="7" max="16384" width="8.84375" style="4"/>
  </cols>
  <sheetData>
    <row r="1" spans="1:9" ht="84" customHeight="1" x14ac:dyDescent="0.35">
      <c r="A1" s="324"/>
      <c r="B1" s="324"/>
      <c r="C1" s="324"/>
      <c r="D1" s="324"/>
    </row>
    <row r="2" spans="1:9" x14ac:dyDescent="0.35">
      <c r="A2" s="3" t="s">
        <v>0</v>
      </c>
      <c r="B2" s="3" t="s">
        <v>0</v>
      </c>
      <c r="C2" s="3" t="s">
        <v>0</v>
      </c>
      <c r="D2" s="3" t="s">
        <v>0</v>
      </c>
      <c r="E2" s="3" t="s">
        <v>0</v>
      </c>
    </row>
    <row r="3" spans="1:9" ht="48" customHeight="1" x14ac:dyDescent="0.35">
      <c r="A3" s="293" t="s">
        <v>292</v>
      </c>
      <c r="B3" s="293"/>
      <c r="C3" s="293"/>
      <c r="D3" s="293"/>
      <c r="E3" s="293"/>
    </row>
    <row r="4" spans="1:9" ht="29.25" customHeight="1" x14ac:dyDescent="0.35">
      <c r="A4" s="328" t="s">
        <v>307</v>
      </c>
      <c r="B4" s="328"/>
      <c r="C4" s="328"/>
      <c r="D4" s="328"/>
      <c r="E4" s="328"/>
    </row>
    <row r="5" spans="1:9" x14ac:dyDescent="0.35">
      <c r="A5" s="325" t="s">
        <v>32</v>
      </c>
      <c r="B5" s="325"/>
      <c r="C5" s="325"/>
      <c r="D5" s="325"/>
      <c r="E5" s="325"/>
      <c r="F5" s="325"/>
      <c r="G5" s="325"/>
      <c r="H5" s="325"/>
      <c r="I5" s="325"/>
    </row>
    <row r="6" spans="1:9" ht="14.4" customHeight="1" x14ac:dyDescent="0.35">
      <c r="A6" s="320" t="s">
        <v>649</v>
      </c>
      <c r="B6" s="320"/>
      <c r="C6" s="320"/>
      <c r="D6" s="320"/>
      <c r="E6" s="320"/>
      <c r="F6" s="320"/>
      <c r="G6" s="320"/>
      <c r="H6" s="320"/>
      <c r="I6" s="26"/>
    </row>
    <row r="7" spans="1:9" x14ac:dyDescent="0.35">
      <c r="A7" s="321" t="s">
        <v>349</v>
      </c>
      <c r="B7" s="321"/>
      <c r="C7" s="321"/>
      <c r="D7" s="321"/>
      <c r="E7" s="321"/>
      <c r="F7" s="321"/>
      <c r="G7" s="321"/>
      <c r="H7" s="321"/>
      <c r="I7" s="26"/>
    </row>
    <row r="8" spans="1:9" x14ac:dyDescent="0.35">
      <c r="A8" s="10" t="s">
        <v>13</v>
      </c>
    </row>
    <row r="9" spans="1:9" x14ac:dyDescent="0.35">
      <c r="A9" s="323" t="s">
        <v>2</v>
      </c>
      <c r="B9" s="324"/>
      <c r="C9" s="324"/>
      <c r="D9" s="324"/>
      <c r="E9" s="324"/>
    </row>
    <row r="10" spans="1:9" x14ac:dyDescent="0.35">
      <c r="A10" s="323" t="s">
        <v>1</v>
      </c>
      <c r="B10" s="324"/>
      <c r="C10" s="324"/>
      <c r="D10" s="324"/>
      <c r="E10" s="324"/>
    </row>
    <row r="11" spans="1:9" ht="15" thickBot="1" x14ac:dyDescent="0.4">
      <c r="A11" s="3" t="s">
        <v>0</v>
      </c>
      <c r="B11" s="3" t="s">
        <v>0</v>
      </c>
      <c r="C11" s="3" t="s">
        <v>0</v>
      </c>
      <c r="D11" s="3" t="s">
        <v>0</v>
      </c>
      <c r="E11" s="3" t="s">
        <v>0</v>
      </c>
    </row>
    <row r="12" spans="1:9" ht="15" thickBot="1" x14ac:dyDescent="0.4">
      <c r="A12" s="49"/>
      <c r="B12" s="253" t="s">
        <v>644</v>
      </c>
      <c r="C12" s="50" t="s">
        <v>645</v>
      </c>
      <c r="D12" s="50" t="s">
        <v>23</v>
      </c>
      <c r="E12" s="50" t="s">
        <v>24</v>
      </c>
      <c r="F12" s="50" t="s">
        <v>27</v>
      </c>
    </row>
    <row r="13" spans="1:9" x14ac:dyDescent="0.35">
      <c r="A13" s="51" t="s">
        <v>295</v>
      </c>
      <c r="B13" s="254">
        <v>66145.633333333331</v>
      </c>
      <c r="C13" s="254">
        <v>70405.5</v>
      </c>
      <c r="D13" s="55">
        <v>30552.5</v>
      </c>
      <c r="E13" s="55">
        <v>62207.73333333333</v>
      </c>
      <c r="F13" s="55">
        <v>67626.53333333334</v>
      </c>
    </row>
    <row r="14" spans="1:9" x14ac:dyDescent="0.35">
      <c r="A14" s="52" t="s">
        <v>296</v>
      </c>
      <c r="B14" s="255">
        <v>69821.225806451606</v>
      </c>
      <c r="C14" s="255">
        <v>70064.709677419349</v>
      </c>
      <c r="D14" s="56">
        <v>40704.419354838712</v>
      </c>
      <c r="E14" s="56">
        <v>66952.967741935485</v>
      </c>
      <c r="F14" s="56">
        <v>72033.967741935485</v>
      </c>
    </row>
    <row r="15" spans="1:9" x14ac:dyDescent="0.35">
      <c r="A15" s="52" t="s">
        <v>297</v>
      </c>
      <c r="B15" s="255">
        <v>69798.066666666666</v>
      </c>
      <c r="C15" s="255">
        <v>70266.233333333337</v>
      </c>
      <c r="D15" s="56">
        <v>47020.066666666666</v>
      </c>
      <c r="E15" s="56">
        <v>71904.399999999994</v>
      </c>
      <c r="F15" s="56">
        <v>73056.366666666669</v>
      </c>
    </row>
    <row r="16" spans="1:9" x14ac:dyDescent="0.35">
      <c r="A16" s="52" t="s">
        <v>298</v>
      </c>
      <c r="B16" s="255">
        <v>70319.225806451606</v>
      </c>
      <c r="C16" s="255">
        <v>73066.129032258061</v>
      </c>
      <c r="D16" s="56">
        <v>51235.032258064515</v>
      </c>
      <c r="E16" s="56">
        <v>69681.548387096773</v>
      </c>
      <c r="F16" s="56">
        <v>70375.967741935485</v>
      </c>
    </row>
    <row r="17" spans="1:6" x14ac:dyDescent="0.35">
      <c r="A17" s="52" t="s">
        <v>299</v>
      </c>
      <c r="B17" s="255">
        <v>64446.903225806454</v>
      </c>
      <c r="C17" s="255">
        <v>68562.419354838712</v>
      </c>
      <c r="D17" s="56">
        <v>55451.709677419356</v>
      </c>
      <c r="E17" s="56">
        <v>65676.354838709682</v>
      </c>
      <c r="F17" s="56">
        <v>64376.741935483871</v>
      </c>
    </row>
    <row r="18" spans="1:6" x14ac:dyDescent="0.35">
      <c r="A18" s="52" t="s">
        <v>300</v>
      </c>
      <c r="B18" s="255">
        <v>66856.5</v>
      </c>
      <c r="C18" s="255">
        <v>70778.166666666672</v>
      </c>
      <c r="D18" s="56">
        <v>56462.666666666664</v>
      </c>
      <c r="E18" s="56">
        <v>70906.8</v>
      </c>
      <c r="F18" s="56">
        <v>66949.633333333331</v>
      </c>
    </row>
    <row r="19" spans="1:6" x14ac:dyDescent="0.35">
      <c r="A19" s="53" t="s">
        <v>301</v>
      </c>
      <c r="B19" s="255">
        <v>67080.387096774197</v>
      </c>
      <c r="C19" s="255">
        <v>70028.548387096773</v>
      </c>
      <c r="D19" s="56">
        <v>51591.838709677417</v>
      </c>
      <c r="E19" s="56">
        <v>69832.322580645166</v>
      </c>
      <c r="F19" s="56">
        <v>70581.548387096773</v>
      </c>
    </row>
    <row r="20" spans="1:6" x14ac:dyDescent="0.35">
      <c r="A20" s="53" t="s">
        <v>302</v>
      </c>
      <c r="B20" s="255">
        <v>67928.233333333337</v>
      </c>
      <c r="C20" s="255">
        <v>71450.166666666672</v>
      </c>
      <c r="D20" s="56">
        <v>49505.866666666669</v>
      </c>
      <c r="E20" s="56">
        <v>67931.833333333328</v>
      </c>
      <c r="F20" s="56">
        <v>72626.8</v>
      </c>
    </row>
    <row r="21" spans="1:6" x14ac:dyDescent="0.35">
      <c r="A21" s="53" t="s">
        <v>303</v>
      </c>
      <c r="B21" s="255">
        <v>66048.967741935485</v>
      </c>
      <c r="C21" s="255">
        <v>70339.903225806454</v>
      </c>
      <c r="D21" s="56">
        <v>47570.129032258068</v>
      </c>
      <c r="E21" s="56">
        <v>60472.322580645159</v>
      </c>
      <c r="F21" s="56">
        <v>74002.548387096773</v>
      </c>
    </row>
    <row r="22" spans="1:6" x14ac:dyDescent="0.35">
      <c r="A22" s="53" t="s">
        <v>304</v>
      </c>
      <c r="B22" s="255">
        <v>68174.612903225803</v>
      </c>
      <c r="C22" s="255">
        <v>68216.419354838712</v>
      </c>
      <c r="D22" s="56">
        <v>42284.06451612903</v>
      </c>
      <c r="E22" s="56">
        <v>60490.387096774197</v>
      </c>
      <c r="F22" s="56">
        <v>63494.774193548386</v>
      </c>
    </row>
    <row r="23" spans="1:6" x14ac:dyDescent="0.35">
      <c r="A23" s="53" t="s">
        <v>305</v>
      </c>
      <c r="B23" s="255">
        <v>69819.53571428571</v>
      </c>
      <c r="C23" s="255">
        <v>67920.379310344826</v>
      </c>
      <c r="D23" s="56">
        <v>45646.107142857145</v>
      </c>
      <c r="E23" s="56">
        <v>65191.535714285717</v>
      </c>
      <c r="F23" s="56">
        <v>68367.107142857145</v>
      </c>
    </row>
    <row r="24" spans="1:6" ht="15" thickBot="1" x14ac:dyDescent="0.4">
      <c r="A24" s="54" t="s">
        <v>306</v>
      </c>
      <c r="B24" s="256">
        <v>69920.967741935485</v>
      </c>
      <c r="C24" s="256">
        <v>49412.93548387097</v>
      </c>
      <c r="D24" s="57">
        <v>54557.483870967742</v>
      </c>
      <c r="E24" s="57">
        <v>70154.774193548394</v>
      </c>
      <c r="F24" s="57">
        <v>69869.387096774197</v>
      </c>
    </row>
  </sheetData>
  <mergeCells count="7">
    <mergeCell ref="A10:E10"/>
    <mergeCell ref="A6:H6"/>
    <mergeCell ref="A7:H7"/>
    <mergeCell ref="A1:D1"/>
    <mergeCell ref="A4:E4"/>
    <mergeCell ref="A5:I5"/>
    <mergeCell ref="A9:E9"/>
  </mergeCells>
  <hyperlinks>
    <hyperlink ref="A7" r:id="rId1" display="https://www.england.nhs.uk/statistics/statistical-work-areas/ae-waiting-times-and-activity/statistical-work-areasae-waiting-times-and-activityae-attendances-and-emergency-admissions-2016-17/" xr:uid="{2EB34723-F802-48C3-A2E3-90D09D186FD3}"/>
    <hyperlink ref="A7:H7" r:id="rId2" display="https://www.england.nhs.uk/statistics/statistical-work-areas/ae-waiting-times-and-activity/ae-attendances-and-emergency-admissions-2022-23/" xr:uid="{FE061945-8DC6-4C33-8CCA-82DB7F94316F}"/>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2856-5038-48C6-8D4B-C22A9E413B08}">
  <dimension ref="A1:P25"/>
  <sheetViews>
    <sheetView showGridLines="0" zoomScaleNormal="100" workbookViewId="0">
      <selection activeCell="A6" sqref="A6:H6"/>
    </sheetView>
  </sheetViews>
  <sheetFormatPr defaultColWidth="8.84375" defaultRowHeight="14.5" x14ac:dyDescent="0.35"/>
  <cols>
    <col min="1" max="1" width="13" style="4" customWidth="1"/>
    <col min="2" max="2" width="17.07421875" style="4" customWidth="1"/>
    <col min="3" max="3" width="11.921875" style="4" customWidth="1"/>
    <col min="4" max="4" width="11.3828125" style="4" customWidth="1"/>
    <col min="5" max="5" width="19.921875" style="4" customWidth="1"/>
    <col min="6" max="6" width="13.07421875" style="4" customWidth="1"/>
    <col min="7" max="7" width="8.84375" style="4"/>
    <col min="8" max="8" width="16.921875" style="4" customWidth="1"/>
    <col min="9" max="9" width="10.84375" style="4" customWidth="1"/>
    <col min="10" max="16384" width="8.84375" style="4"/>
  </cols>
  <sheetData>
    <row r="1" spans="1:16" ht="84" customHeight="1" x14ac:dyDescent="0.35">
      <c r="A1" s="324"/>
      <c r="B1" s="324"/>
      <c r="C1" s="324"/>
      <c r="D1" s="324"/>
    </row>
    <row r="2" spans="1:16" x14ac:dyDescent="0.35">
      <c r="A2" s="3" t="s">
        <v>0</v>
      </c>
      <c r="B2" s="3" t="s">
        <v>0</v>
      </c>
      <c r="C2" s="3" t="s">
        <v>0</v>
      </c>
      <c r="D2" s="3" t="s">
        <v>0</v>
      </c>
      <c r="E2" s="3" t="s">
        <v>0</v>
      </c>
    </row>
    <row r="3" spans="1:16" ht="48" customHeight="1" x14ac:dyDescent="0.35">
      <c r="A3" s="329" t="s">
        <v>309</v>
      </c>
      <c r="B3" s="329"/>
      <c r="C3" s="329"/>
      <c r="D3" s="329"/>
      <c r="E3" s="329"/>
    </row>
    <row r="4" spans="1:16" ht="29.25" customHeight="1" x14ac:dyDescent="0.35">
      <c r="A4" s="328" t="s">
        <v>315</v>
      </c>
      <c r="B4" s="328"/>
      <c r="C4" s="328"/>
      <c r="D4" s="328"/>
      <c r="E4" s="328"/>
    </row>
    <row r="5" spans="1:16" x14ac:dyDescent="0.35">
      <c r="A5" s="325" t="s">
        <v>32</v>
      </c>
      <c r="B5" s="325"/>
      <c r="C5" s="325"/>
      <c r="D5" s="325"/>
      <c r="E5" s="325"/>
      <c r="F5" s="325"/>
      <c r="G5" s="325"/>
      <c r="H5" s="325"/>
      <c r="I5" s="325"/>
    </row>
    <row r="6" spans="1:16" ht="14.4" customHeight="1" x14ac:dyDescent="0.35">
      <c r="A6" s="320" t="s">
        <v>649</v>
      </c>
      <c r="B6" s="320"/>
      <c r="C6" s="320"/>
      <c r="D6" s="320"/>
      <c r="E6" s="320"/>
      <c r="F6" s="320"/>
      <c r="G6" s="320"/>
      <c r="H6" s="320"/>
      <c r="I6" s="26"/>
    </row>
    <row r="7" spans="1:16" x14ac:dyDescent="0.35">
      <c r="A7" s="321" t="s">
        <v>349</v>
      </c>
      <c r="B7" s="321"/>
      <c r="C7" s="321"/>
      <c r="D7" s="321"/>
      <c r="E7" s="321"/>
      <c r="F7" s="321"/>
      <c r="G7" s="321"/>
      <c r="H7" s="321"/>
      <c r="I7" s="26"/>
    </row>
    <row r="8" spans="1:16" x14ac:dyDescent="0.35">
      <c r="A8" s="10" t="s">
        <v>13</v>
      </c>
    </row>
    <row r="9" spans="1:16" x14ac:dyDescent="0.35">
      <c r="A9" s="323" t="s">
        <v>2</v>
      </c>
      <c r="B9" s="324"/>
      <c r="C9" s="324"/>
      <c r="D9" s="324"/>
      <c r="E9" s="324"/>
    </row>
    <row r="10" spans="1:16" x14ac:dyDescent="0.35">
      <c r="A10" s="323" t="s">
        <v>1</v>
      </c>
      <c r="B10" s="324"/>
      <c r="C10" s="324"/>
      <c r="D10" s="324"/>
      <c r="E10" s="324"/>
    </row>
    <row r="11" spans="1:16" ht="15" thickBot="1" x14ac:dyDescent="0.4">
      <c r="A11" s="3" t="s">
        <v>0</v>
      </c>
      <c r="B11" s="3" t="s">
        <v>0</v>
      </c>
      <c r="C11" s="3" t="s">
        <v>0</v>
      </c>
      <c r="D11" s="3" t="s">
        <v>0</v>
      </c>
      <c r="E11" s="3" t="s">
        <v>0</v>
      </c>
    </row>
    <row r="12" spans="1:16" ht="15" thickBot="1" x14ac:dyDescent="0.4">
      <c r="A12" s="185"/>
      <c r="B12" s="333" t="s">
        <v>644</v>
      </c>
      <c r="C12" s="334"/>
      <c r="D12" s="335"/>
      <c r="E12" s="333" t="s">
        <v>645</v>
      </c>
      <c r="F12" s="334"/>
      <c r="G12" s="335"/>
      <c r="H12" s="330" t="s">
        <v>23</v>
      </c>
      <c r="I12" s="331"/>
      <c r="J12" s="332"/>
      <c r="K12" s="330" t="s">
        <v>24</v>
      </c>
      <c r="L12" s="331"/>
      <c r="M12" s="332"/>
      <c r="N12" s="330" t="s">
        <v>27</v>
      </c>
      <c r="O12" s="331"/>
      <c r="P12" s="332"/>
    </row>
    <row r="13" spans="1:16" ht="52.5" thickBot="1" x14ac:dyDescent="0.4">
      <c r="A13" s="59" t="s">
        <v>311</v>
      </c>
      <c r="B13" s="257" t="s">
        <v>312</v>
      </c>
      <c r="C13" s="258" t="s">
        <v>313</v>
      </c>
      <c r="D13" s="259" t="s">
        <v>314</v>
      </c>
      <c r="E13" s="257" t="s">
        <v>312</v>
      </c>
      <c r="F13" s="258" t="s">
        <v>313</v>
      </c>
      <c r="G13" s="259" t="s">
        <v>314</v>
      </c>
      <c r="H13" s="60" t="s">
        <v>312</v>
      </c>
      <c r="I13" s="61" t="s">
        <v>313</v>
      </c>
      <c r="J13" s="62" t="s">
        <v>314</v>
      </c>
      <c r="K13" s="60" t="s">
        <v>312</v>
      </c>
      <c r="L13" s="61" t="s">
        <v>313</v>
      </c>
      <c r="M13" s="62" t="s">
        <v>314</v>
      </c>
      <c r="N13" s="60" t="s">
        <v>312</v>
      </c>
      <c r="O13" s="61" t="s">
        <v>313</v>
      </c>
      <c r="P13" s="62" t="s">
        <v>314</v>
      </c>
    </row>
    <row r="14" spans="1:16" x14ac:dyDescent="0.35">
      <c r="A14" s="51" t="s">
        <v>295</v>
      </c>
      <c r="B14" s="260">
        <v>375850</v>
      </c>
      <c r="C14" s="261">
        <v>1984369</v>
      </c>
      <c r="D14" s="262">
        <v>0.18940529709948101</v>
      </c>
      <c r="E14" s="260">
        <v>405439</v>
      </c>
      <c r="F14" s="261">
        <v>2112165</v>
      </c>
      <c r="G14" s="262">
        <v>0.19195422706085935</v>
      </c>
      <c r="H14" s="186">
        <v>257928</v>
      </c>
      <c r="I14" s="187">
        <v>916575</v>
      </c>
      <c r="J14" s="188">
        <v>0.28140414041404138</v>
      </c>
      <c r="K14" s="186">
        <v>392276</v>
      </c>
      <c r="L14" s="187">
        <v>1866232</v>
      </c>
      <c r="M14" s="188">
        <v>0.2101968029698344</v>
      </c>
      <c r="N14" s="186">
        <v>371946</v>
      </c>
      <c r="O14" s="187">
        <v>2028796</v>
      </c>
      <c r="P14" s="188">
        <f>N14/O14</f>
        <v>0.18333336619354534</v>
      </c>
    </row>
    <row r="15" spans="1:16" x14ac:dyDescent="0.35">
      <c r="A15" s="52" t="s">
        <v>296</v>
      </c>
      <c r="B15" s="263">
        <v>398703</v>
      </c>
      <c r="C15" s="264">
        <v>2164458</v>
      </c>
      <c r="D15" s="265">
        <v>0.18420454450952617</v>
      </c>
      <c r="E15" s="263">
        <v>412841</v>
      </c>
      <c r="F15" s="264">
        <v>2172006</v>
      </c>
      <c r="G15" s="265">
        <v>0.19007360016500877</v>
      </c>
      <c r="H15" s="189">
        <v>312719</v>
      </c>
      <c r="I15" s="190">
        <v>1261837</v>
      </c>
      <c r="J15" s="191">
        <v>0.24782836451934759</v>
      </c>
      <c r="K15" s="189">
        <v>418466</v>
      </c>
      <c r="L15" s="190">
        <v>2075542</v>
      </c>
      <c r="M15" s="191">
        <v>0.20161769793143189</v>
      </c>
      <c r="N15" s="189">
        <v>384787</v>
      </c>
      <c r="O15" s="190">
        <v>2233053</v>
      </c>
      <c r="P15" s="191">
        <f t="shared" ref="P15:P25" si="0">N15/O15</f>
        <v>0.17231431587158924</v>
      </c>
    </row>
    <row r="16" spans="1:16" x14ac:dyDescent="0.35">
      <c r="A16" s="52" t="s">
        <v>297</v>
      </c>
      <c r="B16" s="263">
        <v>382934</v>
      </c>
      <c r="C16" s="264">
        <v>2093942</v>
      </c>
      <c r="D16" s="265">
        <v>0.18287708064502264</v>
      </c>
      <c r="E16" s="263">
        <v>398670</v>
      </c>
      <c r="F16" s="264">
        <v>2107987</v>
      </c>
      <c r="G16" s="265">
        <v>0.18912355721358812</v>
      </c>
      <c r="H16" s="189">
        <v>337709</v>
      </c>
      <c r="I16" s="190">
        <v>1410602</v>
      </c>
      <c r="J16" s="191">
        <v>0.23940771386968118</v>
      </c>
      <c r="K16" s="189">
        <v>407919</v>
      </c>
      <c r="L16" s="190">
        <v>2157132</v>
      </c>
      <c r="M16" s="191">
        <v>0.18910247495285407</v>
      </c>
      <c r="N16" s="189">
        <v>373928</v>
      </c>
      <c r="O16" s="190">
        <v>2191691</v>
      </c>
      <c r="P16" s="191">
        <f t="shared" si="0"/>
        <v>0.17061164187834874</v>
      </c>
    </row>
    <row r="17" spans="1:16" x14ac:dyDescent="0.35">
      <c r="A17" s="52" t="s">
        <v>298</v>
      </c>
      <c r="B17" s="263">
        <v>396725</v>
      </c>
      <c r="C17" s="264">
        <v>2179896</v>
      </c>
      <c r="D17" s="265">
        <v>0.18199262717120449</v>
      </c>
      <c r="E17" s="263">
        <v>415693</v>
      </c>
      <c r="F17" s="264">
        <v>2265050</v>
      </c>
      <c r="G17" s="265">
        <v>0.18352486700072845</v>
      </c>
      <c r="H17" s="189">
        <v>363383</v>
      </c>
      <c r="I17" s="190">
        <v>1588286</v>
      </c>
      <c r="J17" s="191">
        <v>0.22878939939028614</v>
      </c>
      <c r="K17" s="189">
        <v>410568</v>
      </c>
      <c r="L17" s="190">
        <v>2160128</v>
      </c>
      <c r="M17" s="191">
        <v>0.19006651457691395</v>
      </c>
      <c r="N17" s="189">
        <v>369369</v>
      </c>
      <c r="O17" s="190">
        <v>2181655</v>
      </c>
      <c r="P17" s="191">
        <f t="shared" si="0"/>
        <v>0.16930678773683283</v>
      </c>
    </row>
    <row r="18" spans="1:16" x14ac:dyDescent="0.35">
      <c r="A18" s="52" t="s">
        <v>299</v>
      </c>
      <c r="B18" s="263">
        <v>389074</v>
      </c>
      <c r="C18" s="264">
        <v>1997854</v>
      </c>
      <c r="D18" s="265">
        <v>0.19474596241767417</v>
      </c>
      <c r="E18" s="263">
        <v>399953</v>
      </c>
      <c r="F18" s="264">
        <v>2125435</v>
      </c>
      <c r="G18" s="265">
        <v>0.18817465601159292</v>
      </c>
      <c r="H18" s="189">
        <v>370208</v>
      </c>
      <c r="I18" s="190">
        <v>1719003</v>
      </c>
      <c r="J18" s="191">
        <v>0.21536204416164487</v>
      </c>
      <c r="K18" s="189">
        <v>388791</v>
      </c>
      <c r="L18" s="190">
        <v>2035967</v>
      </c>
      <c r="M18" s="191">
        <v>0.19096134662300518</v>
      </c>
      <c r="N18" s="189">
        <v>357088</v>
      </c>
      <c r="O18" s="190">
        <v>1995679</v>
      </c>
      <c r="P18" s="191">
        <f t="shared" si="0"/>
        <v>0.17893057951704658</v>
      </c>
    </row>
    <row r="19" spans="1:16" x14ac:dyDescent="0.35">
      <c r="A19" s="52" t="s">
        <v>300</v>
      </c>
      <c r="B19" s="263">
        <v>385975</v>
      </c>
      <c r="C19" s="264">
        <v>2005695</v>
      </c>
      <c r="D19" s="265">
        <v>0.19243952844275924</v>
      </c>
      <c r="E19" s="263">
        <v>399724</v>
      </c>
      <c r="F19" s="264">
        <v>2123345</v>
      </c>
      <c r="G19" s="265">
        <v>0.1882520268726938</v>
      </c>
      <c r="H19" s="189">
        <v>370595</v>
      </c>
      <c r="I19" s="190">
        <v>1693880</v>
      </c>
      <c r="J19" s="191">
        <v>0.21878468368479467</v>
      </c>
      <c r="K19" s="189">
        <v>385723</v>
      </c>
      <c r="L19" s="190">
        <v>2127204</v>
      </c>
      <c r="M19" s="191">
        <v>0.18132863608755906</v>
      </c>
      <c r="N19" s="189">
        <v>360757</v>
      </c>
      <c r="O19" s="190">
        <v>2008489</v>
      </c>
      <c r="P19" s="191">
        <f t="shared" si="0"/>
        <v>0.17961611938128613</v>
      </c>
    </row>
    <row r="20" spans="1:16" x14ac:dyDescent="0.35">
      <c r="A20" s="53" t="s">
        <v>301</v>
      </c>
      <c r="B20" s="263">
        <v>405094</v>
      </c>
      <c r="C20" s="264">
        <v>2079492</v>
      </c>
      <c r="D20" s="265">
        <v>0.19480430797521703</v>
      </c>
      <c r="E20" s="263">
        <v>421106</v>
      </c>
      <c r="F20" s="264">
        <v>2170885</v>
      </c>
      <c r="G20" s="265">
        <v>0.19397895328402934</v>
      </c>
      <c r="H20" s="189">
        <v>371959</v>
      </c>
      <c r="I20" s="190">
        <v>1599347</v>
      </c>
      <c r="J20" s="191">
        <v>0.23256929234243726</v>
      </c>
      <c r="K20" s="189">
        <v>395708</v>
      </c>
      <c r="L20" s="190">
        <v>2164802</v>
      </c>
      <c r="M20" s="191">
        <v>0.18279177495216653</v>
      </c>
      <c r="N20" s="189">
        <v>374741</v>
      </c>
      <c r="O20" s="190">
        <v>2188028</v>
      </c>
      <c r="P20" s="191">
        <f t="shared" si="0"/>
        <v>0.17126883202591558</v>
      </c>
    </row>
    <row r="21" spans="1:16" x14ac:dyDescent="0.35">
      <c r="A21" s="53" t="s">
        <v>302</v>
      </c>
      <c r="B21" s="263">
        <v>403516</v>
      </c>
      <c r="C21" s="264">
        <v>2037847</v>
      </c>
      <c r="D21" s="265">
        <v>0.19801093997733882</v>
      </c>
      <c r="E21" s="263">
        <v>416459</v>
      </c>
      <c r="F21" s="264">
        <v>2143505</v>
      </c>
      <c r="G21" s="265">
        <v>0.19428879335480906</v>
      </c>
      <c r="H21" s="189">
        <v>348677</v>
      </c>
      <c r="I21" s="190">
        <v>1485176</v>
      </c>
      <c r="J21" s="191">
        <v>0.23477150182873949</v>
      </c>
      <c r="K21" s="189">
        <v>381508</v>
      </c>
      <c r="L21" s="190">
        <v>2037955</v>
      </c>
      <c r="M21" s="191">
        <v>0.18720138570282466</v>
      </c>
      <c r="N21" s="189">
        <v>376826</v>
      </c>
      <c r="O21" s="190">
        <v>2178804</v>
      </c>
      <c r="P21" s="191">
        <f t="shared" si="0"/>
        <v>0.17295084826354276</v>
      </c>
    </row>
    <row r="22" spans="1:16" x14ac:dyDescent="0.35">
      <c r="A22" s="53" t="s">
        <v>303</v>
      </c>
      <c r="B22" s="263">
        <v>413632</v>
      </c>
      <c r="C22" s="264">
        <v>2047518</v>
      </c>
      <c r="D22" s="265">
        <v>0.20201629485064357</v>
      </c>
      <c r="E22" s="263">
        <v>424634</v>
      </c>
      <c r="F22" s="264">
        <v>2180537</v>
      </c>
      <c r="G22" s="265">
        <v>0.19473826860080798</v>
      </c>
      <c r="H22" s="189">
        <v>356505</v>
      </c>
      <c r="I22" s="190">
        <v>1474674</v>
      </c>
      <c r="J22" s="191">
        <v>0.24175173631595864</v>
      </c>
      <c r="K22" s="189">
        <v>379964</v>
      </c>
      <c r="L22" s="190">
        <v>1874642</v>
      </c>
      <c r="M22" s="191">
        <v>0.20268616621200208</v>
      </c>
      <c r="N22" s="189">
        <v>385732</v>
      </c>
      <c r="O22" s="190">
        <v>2294079</v>
      </c>
      <c r="P22" s="191">
        <f t="shared" si="0"/>
        <v>0.16814242229670381</v>
      </c>
    </row>
    <row r="23" spans="1:16" x14ac:dyDescent="0.35">
      <c r="A23" s="53" t="s">
        <v>304</v>
      </c>
      <c r="B23" s="263">
        <v>421473</v>
      </c>
      <c r="C23" s="264">
        <v>2113413</v>
      </c>
      <c r="D23" s="265">
        <v>0.19942765564515785</v>
      </c>
      <c r="E23" s="263">
        <v>416541</v>
      </c>
      <c r="F23" s="264">
        <v>2114709</v>
      </c>
      <c r="G23" s="265">
        <v>0.19697320056802142</v>
      </c>
      <c r="H23" s="189">
        <v>348045</v>
      </c>
      <c r="I23" s="190">
        <v>1310806</v>
      </c>
      <c r="J23" s="191">
        <v>0.26551984046456911</v>
      </c>
      <c r="K23" s="189">
        <v>365492</v>
      </c>
      <c r="L23" s="190">
        <v>1875202</v>
      </c>
      <c r="M23" s="191">
        <v>0.19490806857074597</v>
      </c>
      <c r="N23" s="189">
        <v>371203</v>
      </c>
      <c r="O23" s="190">
        <v>1968338</v>
      </c>
      <c r="P23" s="191">
        <f t="shared" si="0"/>
        <v>0.18858702113153331</v>
      </c>
    </row>
    <row r="24" spans="1:16" x14ac:dyDescent="0.35">
      <c r="A24" s="53" t="s">
        <v>305</v>
      </c>
      <c r="B24" s="263">
        <v>377502</v>
      </c>
      <c r="C24" s="264">
        <v>1954947</v>
      </c>
      <c r="D24" s="265">
        <v>0.1931008871340246</v>
      </c>
      <c r="E24" s="263">
        <v>382277</v>
      </c>
      <c r="F24" s="264">
        <v>1969691</v>
      </c>
      <c r="G24" s="265">
        <v>0.19407968051841634</v>
      </c>
      <c r="H24" s="189">
        <v>323046</v>
      </c>
      <c r="I24" s="190">
        <v>1278091</v>
      </c>
      <c r="J24" s="191">
        <v>0.25275665034805817</v>
      </c>
      <c r="K24" s="189">
        <v>341197</v>
      </c>
      <c r="L24" s="190">
        <v>1825363</v>
      </c>
      <c r="M24" s="191">
        <v>0.18692008110167677</v>
      </c>
      <c r="N24" s="189">
        <v>346122</v>
      </c>
      <c r="O24" s="190">
        <v>1914279</v>
      </c>
      <c r="P24" s="191">
        <f t="shared" si="0"/>
        <v>0.18081063418655274</v>
      </c>
    </row>
    <row r="25" spans="1:16" ht="15" thickBot="1" x14ac:dyDescent="0.4">
      <c r="A25" s="54" t="s">
        <v>306</v>
      </c>
      <c r="B25" s="266">
        <v>415964</v>
      </c>
      <c r="C25" s="193">
        <v>2167551</v>
      </c>
      <c r="D25" s="267">
        <v>0.19190514636340569</v>
      </c>
      <c r="E25" s="266">
        <v>325833</v>
      </c>
      <c r="F25" s="193">
        <v>1531801</v>
      </c>
      <c r="G25" s="267">
        <v>0.21271235623948542</v>
      </c>
      <c r="H25" s="192">
        <v>382922</v>
      </c>
      <c r="I25" s="193">
        <v>1691282</v>
      </c>
      <c r="J25" s="194">
        <v>0.22640931553697136</v>
      </c>
      <c r="K25" s="192">
        <v>381548</v>
      </c>
      <c r="L25" s="193">
        <v>2174798</v>
      </c>
      <c r="M25" s="194">
        <v>0.17544066161546956</v>
      </c>
      <c r="N25" s="192">
        <v>388367</v>
      </c>
      <c r="O25" s="193">
        <v>2165951</v>
      </c>
      <c r="P25" s="194">
        <f t="shared" si="0"/>
        <v>0.17930553368935861</v>
      </c>
    </row>
  </sheetData>
  <mergeCells count="13">
    <mergeCell ref="H12:J12"/>
    <mergeCell ref="K12:M12"/>
    <mergeCell ref="N12:P12"/>
    <mergeCell ref="A6:H6"/>
    <mergeCell ref="A7:H7"/>
    <mergeCell ref="A10:E10"/>
    <mergeCell ref="B12:D12"/>
    <mergeCell ref="E12:G12"/>
    <mergeCell ref="A1:D1"/>
    <mergeCell ref="A3:E3"/>
    <mergeCell ref="A4:E4"/>
    <mergeCell ref="A5:I5"/>
    <mergeCell ref="A9:E9"/>
  </mergeCells>
  <hyperlinks>
    <hyperlink ref="A7" r:id="rId1" display="https://www.england.nhs.uk/statistics/statistical-work-areas/ae-waiting-times-and-activity/statistical-work-areasae-waiting-times-and-activityae-attendances-and-emergency-admissions-2016-17/" xr:uid="{43A780D9-93EA-4F77-A22F-00B228A53E94}"/>
    <hyperlink ref="A7:H7" r:id="rId2" display="https://www.england.nhs.uk/statistics/statistical-work-areas/ae-waiting-times-and-activity/ae-attendances-and-emergency-admissions-2022-23/" xr:uid="{53CE5FE4-A31E-4069-A0E0-CFAFC96D5118}"/>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C907-CFEB-4F51-99E2-AD101FF8E77F}">
  <dimension ref="A1:M15"/>
  <sheetViews>
    <sheetView showGridLines="0" zoomScaleNormal="100" workbookViewId="0">
      <selection activeCell="A6" sqref="A6:H6"/>
    </sheetView>
  </sheetViews>
  <sheetFormatPr defaultColWidth="8.84375" defaultRowHeight="14.5" x14ac:dyDescent="0.35"/>
  <cols>
    <col min="1" max="1" width="24.4609375" style="4" customWidth="1"/>
    <col min="2" max="10" width="8.4609375" style="4" bestFit="1" customWidth="1"/>
    <col min="11" max="16384" width="8.84375" style="4"/>
  </cols>
  <sheetData>
    <row r="1" spans="1:13" ht="84" customHeight="1" x14ac:dyDescent="0.35">
      <c r="A1" s="324"/>
      <c r="B1" s="324"/>
      <c r="C1" s="324"/>
      <c r="D1" s="324"/>
    </row>
    <row r="2" spans="1:13" x14ac:dyDescent="0.35">
      <c r="A2" s="3" t="s">
        <v>0</v>
      </c>
      <c r="B2" s="3" t="s">
        <v>0</v>
      </c>
      <c r="C2" s="3" t="s">
        <v>0</v>
      </c>
      <c r="D2" s="3" t="s">
        <v>0</v>
      </c>
      <c r="E2" s="3" t="s">
        <v>0</v>
      </c>
    </row>
    <row r="3" spans="1:13" ht="48" customHeight="1" x14ac:dyDescent="0.35">
      <c r="A3" s="329" t="s">
        <v>316</v>
      </c>
      <c r="B3" s="329"/>
      <c r="C3" s="329"/>
      <c r="D3" s="329"/>
      <c r="E3" s="329"/>
    </row>
    <row r="4" spans="1:13" ht="29.25" customHeight="1" x14ac:dyDescent="0.35">
      <c r="A4" s="328" t="s">
        <v>318</v>
      </c>
      <c r="B4" s="328"/>
      <c r="C4" s="328"/>
      <c r="D4" s="328"/>
      <c r="E4" s="328"/>
    </row>
    <row r="5" spans="1:13" x14ac:dyDescent="0.35">
      <c r="A5" s="325" t="s">
        <v>32</v>
      </c>
      <c r="B5" s="325"/>
      <c r="C5" s="325"/>
      <c r="D5" s="325"/>
      <c r="E5" s="325"/>
      <c r="F5" s="325"/>
      <c r="G5" s="325"/>
      <c r="H5" s="325"/>
      <c r="I5" s="325"/>
    </row>
    <row r="6" spans="1:13" ht="14.4" customHeight="1" x14ac:dyDescent="0.35">
      <c r="A6" s="320" t="s">
        <v>649</v>
      </c>
      <c r="B6" s="320"/>
      <c r="C6" s="320"/>
      <c r="D6" s="320"/>
      <c r="E6" s="320"/>
      <c r="F6" s="320"/>
      <c r="G6" s="320"/>
      <c r="H6" s="320"/>
      <c r="I6" s="26"/>
    </row>
    <row r="7" spans="1:13" x14ac:dyDescent="0.35">
      <c r="A7" s="321" t="s">
        <v>349</v>
      </c>
      <c r="B7" s="321"/>
      <c r="C7" s="321"/>
      <c r="D7" s="321"/>
      <c r="E7" s="321"/>
      <c r="F7" s="321"/>
      <c r="G7" s="321"/>
      <c r="H7" s="321"/>
      <c r="I7" s="26"/>
    </row>
    <row r="8" spans="1:13" x14ac:dyDescent="0.35">
      <c r="A8" s="10" t="s">
        <v>13</v>
      </c>
    </row>
    <row r="9" spans="1:13" x14ac:dyDescent="0.35">
      <c r="A9" s="323" t="s">
        <v>2</v>
      </c>
      <c r="B9" s="323"/>
      <c r="C9" s="323"/>
      <c r="D9" s="323"/>
      <c r="E9" s="323"/>
    </row>
    <row r="10" spans="1:13" x14ac:dyDescent="0.35">
      <c r="A10" s="323" t="s">
        <v>1</v>
      </c>
      <c r="B10" s="323"/>
      <c r="C10" s="323"/>
      <c r="D10" s="323"/>
      <c r="E10" s="323"/>
    </row>
    <row r="11" spans="1:13" ht="15" thickBot="1" x14ac:dyDescent="0.4">
      <c r="A11" s="3" t="s">
        <v>0</v>
      </c>
      <c r="B11" s="3" t="s">
        <v>0</v>
      </c>
      <c r="C11" s="3" t="s">
        <v>0</v>
      </c>
      <c r="D11" s="3" t="s">
        <v>0</v>
      </c>
      <c r="E11" s="3" t="s">
        <v>0</v>
      </c>
    </row>
    <row r="12" spans="1:13" ht="15" thickBot="1" x14ac:dyDescent="0.4">
      <c r="A12" s="63"/>
      <c r="B12" s="253" t="s">
        <v>637</v>
      </c>
      <c r="C12" s="268" t="s">
        <v>638</v>
      </c>
      <c r="D12" s="269" t="s">
        <v>639</v>
      </c>
      <c r="E12" s="269" t="s">
        <v>640</v>
      </c>
      <c r="F12" s="269" t="s">
        <v>641</v>
      </c>
      <c r="G12" s="269" t="s">
        <v>642</v>
      </c>
      <c r="H12" s="269" t="s">
        <v>643</v>
      </c>
      <c r="I12" s="269" t="s">
        <v>644</v>
      </c>
      <c r="J12" s="269" t="s">
        <v>645</v>
      </c>
      <c r="K12" s="67" t="s">
        <v>23</v>
      </c>
      <c r="L12" s="67" t="s">
        <v>24</v>
      </c>
      <c r="M12" s="68" t="s">
        <v>27</v>
      </c>
    </row>
    <row r="13" spans="1:13" x14ac:dyDescent="0.35">
      <c r="A13" s="64" t="s">
        <v>312</v>
      </c>
      <c r="B13" s="270">
        <v>3663756</v>
      </c>
      <c r="C13" s="271">
        <v>3781335</v>
      </c>
      <c r="D13" s="272">
        <v>3836320</v>
      </c>
      <c r="E13" s="272">
        <v>4020138</v>
      </c>
      <c r="F13" s="272">
        <v>4145054</v>
      </c>
      <c r="G13" s="272">
        <v>4263276</v>
      </c>
      <c r="H13" s="272">
        <v>4464166</v>
      </c>
      <c r="I13" s="272">
        <v>4766442</v>
      </c>
      <c r="J13" s="272">
        <v>4819170</v>
      </c>
      <c r="K13" s="69">
        <v>4143696</v>
      </c>
      <c r="L13" s="69">
        <v>4649160</v>
      </c>
      <c r="M13" s="70">
        <v>4460866</v>
      </c>
    </row>
    <row r="14" spans="1:13" x14ac:dyDescent="0.35">
      <c r="A14" s="65" t="s">
        <v>42</v>
      </c>
      <c r="B14" s="273">
        <v>21481402</v>
      </c>
      <c r="C14" s="274">
        <v>21738637</v>
      </c>
      <c r="D14" s="275">
        <v>21778657</v>
      </c>
      <c r="E14" s="275">
        <v>22354781</v>
      </c>
      <c r="F14" s="275">
        <v>22920435</v>
      </c>
      <c r="G14" s="275">
        <v>23362301</v>
      </c>
      <c r="H14" s="275">
        <v>23830120</v>
      </c>
      <c r="I14" s="275">
        <v>24826982</v>
      </c>
      <c r="J14" s="275">
        <v>25017116</v>
      </c>
      <c r="K14" s="71">
        <v>17429559</v>
      </c>
      <c r="L14" s="71">
        <v>24374967</v>
      </c>
      <c r="M14" s="72">
        <v>25348842</v>
      </c>
    </row>
    <row r="15" spans="1:13" ht="15" thickBot="1" x14ac:dyDescent="0.4">
      <c r="A15" s="66" t="s">
        <v>317</v>
      </c>
      <c r="B15" s="276">
        <v>0.17055478967341145</v>
      </c>
      <c r="C15" s="276">
        <v>0.17399999999999999</v>
      </c>
      <c r="D15" s="276">
        <v>0.17599999999999999</v>
      </c>
      <c r="E15" s="276">
        <v>0.18</v>
      </c>
      <c r="F15" s="276">
        <v>0.18099999999999999</v>
      </c>
      <c r="G15" s="276">
        <v>0.182</v>
      </c>
      <c r="H15" s="276">
        <v>0.187</v>
      </c>
      <c r="I15" s="276">
        <v>0.192</v>
      </c>
      <c r="J15" s="276">
        <v>0.193</v>
      </c>
      <c r="K15" s="73">
        <v>0.23799999999999999</v>
      </c>
      <c r="L15" s="73">
        <v>0.191</v>
      </c>
      <c r="M15" s="74">
        <v>0.17597908417276023</v>
      </c>
    </row>
  </sheetData>
  <mergeCells count="8">
    <mergeCell ref="A9:E9"/>
    <mergeCell ref="A10:E10"/>
    <mergeCell ref="A6:H6"/>
    <mergeCell ref="A7:H7"/>
    <mergeCell ref="A1:D1"/>
    <mergeCell ref="A3:E3"/>
    <mergeCell ref="A4:E4"/>
    <mergeCell ref="A5:I5"/>
  </mergeCells>
  <hyperlinks>
    <hyperlink ref="A7" r:id="rId1" display="https://www.england.nhs.uk/statistics/statistical-work-areas/ae-waiting-times-and-activity/statistical-work-areasae-waiting-times-and-activityae-attendances-and-emergency-admissions-2016-17/" xr:uid="{1D9F5976-4664-44D0-BA64-4D8DD01131F0}"/>
    <hyperlink ref="A7:H7" r:id="rId2" display="https://www.england.nhs.uk/statistics/statistical-work-areas/ae-waiting-times-and-activity/ae-attendances-and-emergency-admissions-2022-23/" xr:uid="{4F92F4EE-D254-49B0-BA84-F4B7B8E5393A}"/>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CA14-0DA1-4694-A5CA-E5E799C99244}">
  <dimension ref="A1:L20"/>
  <sheetViews>
    <sheetView showGridLines="0" zoomScaleNormal="100" workbookViewId="0">
      <selection sqref="A1:D1"/>
    </sheetView>
  </sheetViews>
  <sheetFormatPr defaultColWidth="8.84375" defaultRowHeight="14.5" x14ac:dyDescent="0.35"/>
  <cols>
    <col min="1" max="1" width="30.921875" style="4" customWidth="1"/>
    <col min="2" max="2" width="8.4609375" style="4" bestFit="1" customWidth="1"/>
    <col min="3" max="3" width="9.23046875" style="4" bestFit="1" customWidth="1"/>
    <col min="4" max="4" width="9.69140625" style="4" bestFit="1" customWidth="1"/>
    <col min="5" max="5" width="9.23046875" style="4" bestFit="1" customWidth="1"/>
    <col min="6" max="6" width="9.69140625" style="4" bestFit="1" customWidth="1"/>
    <col min="7" max="7" width="11.4609375" style="4" customWidth="1"/>
    <col min="8" max="8" width="9.23046875" style="4" bestFit="1" customWidth="1"/>
    <col min="9" max="9" width="10.15234375" style="4" customWidth="1"/>
    <col min="10" max="10" width="13.15234375" style="4" customWidth="1"/>
    <col min="11" max="11" width="9.23046875" style="4" bestFit="1" customWidth="1"/>
    <col min="12" max="12" width="8.84375" style="4"/>
    <col min="13" max="14" width="9.23046875" style="4" bestFit="1" customWidth="1"/>
    <col min="15" max="16384" width="8.84375" style="4"/>
  </cols>
  <sheetData>
    <row r="1" spans="1:12" ht="84" customHeight="1" x14ac:dyDescent="0.35">
      <c r="A1" s="324"/>
      <c r="B1" s="324"/>
      <c r="C1" s="324"/>
      <c r="D1" s="324"/>
    </row>
    <row r="2" spans="1:12" x14ac:dyDescent="0.35">
      <c r="A2" s="3" t="s">
        <v>0</v>
      </c>
      <c r="B2" s="3" t="s">
        <v>0</v>
      </c>
      <c r="C2" s="3" t="s">
        <v>0</v>
      </c>
      <c r="D2" s="3" t="s">
        <v>0</v>
      </c>
      <c r="E2" s="3" t="s">
        <v>0</v>
      </c>
    </row>
    <row r="3" spans="1:12" ht="48" customHeight="1" x14ac:dyDescent="0.35">
      <c r="A3" s="329" t="s">
        <v>321</v>
      </c>
      <c r="B3" s="329"/>
      <c r="C3" s="329"/>
      <c r="D3" s="329"/>
      <c r="E3" s="329"/>
      <c r="F3" s="329"/>
      <c r="G3" s="329"/>
      <c r="H3" s="329"/>
      <c r="I3" s="329"/>
    </row>
    <row r="4" spans="1:12" ht="29.25" customHeight="1" x14ac:dyDescent="0.35">
      <c r="A4" s="328" t="s">
        <v>342</v>
      </c>
      <c r="B4" s="328"/>
      <c r="C4" s="328"/>
      <c r="D4" s="328"/>
      <c r="E4" s="328"/>
    </row>
    <row r="5" spans="1:12" x14ac:dyDescent="0.35">
      <c r="A5" s="325" t="s">
        <v>32</v>
      </c>
      <c r="B5" s="325"/>
      <c r="C5" s="325"/>
      <c r="D5" s="325"/>
      <c r="E5" s="325"/>
      <c r="F5" s="325"/>
      <c r="G5" s="325"/>
      <c r="H5" s="325"/>
      <c r="I5" s="325"/>
    </row>
    <row r="6" spans="1:12" x14ac:dyDescent="0.35">
      <c r="A6" s="320" t="s">
        <v>649</v>
      </c>
      <c r="B6" s="320"/>
      <c r="C6" s="320"/>
      <c r="D6" s="320"/>
      <c r="E6" s="320"/>
      <c r="F6" s="320"/>
      <c r="G6" s="320"/>
      <c r="H6" s="320"/>
      <c r="I6" s="26"/>
    </row>
    <row r="7" spans="1:12" x14ac:dyDescent="0.35">
      <c r="A7" s="321" t="s">
        <v>349</v>
      </c>
      <c r="B7" s="321"/>
      <c r="C7" s="321"/>
      <c r="D7" s="321"/>
      <c r="E7" s="321"/>
      <c r="F7" s="321"/>
      <c r="G7" s="321"/>
      <c r="H7" s="321"/>
      <c r="I7" s="26"/>
    </row>
    <row r="8" spans="1:12" x14ac:dyDescent="0.35">
      <c r="A8" s="96"/>
      <c r="B8" s="97"/>
      <c r="C8" s="97"/>
      <c r="D8" s="97"/>
      <c r="E8" s="97"/>
      <c r="F8" s="97"/>
      <c r="G8" s="97"/>
      <c r="H8" s="26"/>
      <c r="I8" s="26"/>
    </row>
    <row r="9" spans="1:12" x14ac:dyDescent="0.35">
      <c r="A9" s="10" t="s">
        <v>13</v>
      </c>
    </row>
    <row r="10" spans="1:12" x14ac:dyDescent="0.35">
      <c r="A10" s="323" t="s">
        <v>2</v>
      </c>
      <c r="B10" s="323"/>
      <c r="C10" s="323"/>
      <c r="D10" s="323"/>
      <c r="E10" s="323"/>
    </row>
    <row r="11" spans="1:12" x14ac:dyDescent="0.35">
      <c r="A11" s="323" t="s">
        <v>1</v>
      </c>
      <c r="B11" s="323"/>
      <c r="C11" s="323"/>
      <c r="D11" s="323"/>
      <c r="E11" s="323"/>
    </row>
    <row r="12" spans="1:12" ht="15" thickBot="1" x14ac:dyDescent="0.4">
      <c r="A12" s="3" t="s">
        <v>0</v>
      </c>
      <c r="B12" s="3" t="s">
        <v>0</v>
      </c>
      <c r="C12" s="3" t="s">
        <v>0</v>
      </c>
      <c r="D12" s="3" t="s">
        <v>0</v>
      </c>
      <c r="E12" s="3" t="s">
        <v>0</v>
      </c>
    </row>
    <row r="13" spans="1:12" ht="16.25" customHeight="1" thickBot="1" x14ac:dyDescent="0.4">
      <c r="A13" s="277"/>
      <c r="B13" s="336" t="s">
        <v>23</v>
      </c>
      <c r="C13" s="337"/>
      <c r="D13" s="338"/>
      <c r="E13" s="339" t="s">
        <v>24</v>
      </c>
      <c r="F13" s="339"/>
      <c r="G13" s="339"/>
      <c r="H13" s="336" t="s">
        <v>27</v>
      </c>
      <c r="I13" s="337"/>
      <c r="J13" s="338"/>
      <c r="K13" s="308"/>
      <c r="L13" s="308"/>
    </row>
    <row r="14" spans="1:12" ht="26.5" thickBot="1" x14ac:dyDescent="0.4">
      <c r="A14" s="75" t="s">
        <v>329</v>
      </c>
      <c r="B14" s="76" t="s">
        <v>330</v>
      </c>
      <c r="C14" s="77" t="s">
        <v>25</v>
      </c>
      <c r="D14" s="78" t="s">
        <v>331</v>
      </c>
      <c r="E14" s="76" t="s">
        <v>330</v>
      </c>
      <c r="F14" s="79" t="s">
        <v>25</v>
      </c>
      <c r="G14" s="78" t="s">
        <v>331</v>
      </c>
      <c r="H14" s="76" t="s">
        <v>330</v>
      </c>
      <c r="I14" s="79" t="s">
        <v>25</v>
      </c>
      <c r="J14" s="80" t="s">
        <v>331</v>
      </c>
    </row>
    <row r="15" spans="1:12" x14ac:dyDescent="0.35">
      <c r="A15" s="81" t="s">
        <v>332</v>
      </c>
      <c r="B15" s="82">
        <v>12461910</v>
      </c>
      <c r="C15" s="83">
        <v>12287284</v>
      </c>
      <c r="D15" s="84">
        <v>1.0142119283643154</v>
      </c>
      <c r="E15" s="82">
        <v>16259352</v>
      </c>
      <c r="F15" s="83">
        <v>16137559</v>
      </c>
      <c r="G15" s="84">
        <v>1.0075471761249641</v>
      </c>
      <c r="H15" s="82">
        <v>16193488</v>
      </c>
      <c r="I15" s="83">
        <v>16202978</v>
      </c>
      <c r="J15" s="85">
        <v>0.99941430519747698</v>
      </c>
    </row>
    <row r="16" spans="1:12" x14ac:dyDescent="0.35">
      <c r="A16" s="86" t="s">
        <v>333</v>
      </c>
      <c r="B16" s="87">
        <v>333403</v>
      </c>
      <c r="C16" s="88">
        <v>359478</v>
      </c>
      <c r="D16" s="84">
        <v>0.92746426763251155</v>
      </c>
      <c r="E16" s="87">
        <v>433302</v>
      </c>
      <c r="F16" s="88">
        <v>463028</v>
      </c>
      <c r="G16" s="84">
        <v>0.93580085869537044</v>
      </c>
      <c r="H16" s="87">
        <v>473143</v>
      </c>
      <c r="I16" s="88">
        <v>492576</v>
      </c>
      <c r="J16" s="85">
        <v>0.9605482199701163</v>
      </c>
    </row>
    <row r="17" spans="1:10" ht="15" thickBot="1" x14ac:dyDescent="0.4">
      <c r="A17" s="86" t="s">
        <v>335</v>
      </c>
      <c r="B17" s="87">
        <v>3358135</v>
      </c>
      <c r="C17" s="88">
        <v>4782797</v>
      </c>
      <c r="D17" s="84">
        <v>0.70212785531144228</v>
      </c>
      <c r="E17" s="87">
        <v>5922440</v>
      </c>
      <c r="F17" s="88">
        <v>7774380</v>
      </c>
      <c r="G17" s="84">
        <v>0.7617893645538294</v>
      </c>
      <c r="H17" s="87">
        <v>6602884</v>
      </c>
      <c r="I17" s="88">
        <v>8653288</v>
      </c>
      <c r="J17" s="85">
        <v>0.76304914386300327</v>
      </c>
    </row>
    <row r="18" spans="1:10" ht="15" thickBot="1" x14ac:dyDescent="0.4">
      <c r="A18" s="89" t="s">
        <v>334</v>
      </c>
      <c r="B18" s="90">
        <v>16153448</v>
      </c>
      <c r="C18" s="94">
        <v>17429559</v>
      </c>
      <c r="D18" s="91">
        <v>0.92678466506238055</v>
      </c>
      <c r="E18" s="90">
        <v>22615094</v>
      </c>
      <c r="F18" s="94">
        <v>24374967</v>
      </c>
      <c r="G18" s="91">
        <v>0.92779998430356847</v>
      </c>
      <c r="H18" s="90">
        <v>23269548</v>
      </c>
      <c r="I18" s="95">
        <v>25348842</v>
      </c>
      <c r="J18" s="92">
        <v>0.91797282100697142</v>
      </c>
    </row>
    <row r="20" spans="1:10" x14ac:dyDescent="0.35">
      <c r="D20" s="93"/>
      <c r="G20" s="93"/>
      <c r="J20" s="93"/>
    </row>
  </sheetData>
  <mergeCells count="11">
    <mergeCell ref="B13:D13"/>
    <mergeCell ref="E13:G13"/>
    <mergeCell ref="H13:J13"/>
    <mergeCell ref="A1:D1"/>
    <mergeCell ref="A4:E4"/>
    <mergeCell ref="A5:I5"/>
    <mergeCell ref="A10:E10"/>
    <mergeCell ref="A11:E11"/>
    <mergeCell ref="A3:I3"/>
    <mergeCell ref="A6:H6"/>
    <mergeCell ref="A7:H7"/>
  </mergeCells>
  <hyperlinks>
    <hyperlink ref="A7" r:id="rId1" display="https://www.england.nhs.uk/statistics/statistical-work-areas/ae-waiting-times-and-activity/statistical-work-areasae-waiting-times-and-activityae-attendances-and-emergency-admissions-2016-17/" xr:uid="{EAD993E1-CA27-4050-A157-FA65BB99386A}"/>
    <hyperlink ref="A7:H7" r:id="rId2" display="https://www.england.nhs.uk/statistics/statistical-work-areas/ae-waiting-times-and-activity/ae-attendances-and-emergency-admissions-2022-23/" xr:uid="{83B3BE23-55C4-416F-9992-99526997D4C3}"/>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9DDF-85A7-41F6-A098-9C5C2F41C399}">
  <dimension ref="A1:J23"/>
  <sheetViews>
    <sheetView showGridLines="0" zoomScaleNormal="100" workbookViewId="0">
      <selection sqref="A1:D1"/>
    </sheetView>
  </sheetViews>
  <sheetFormatPr defaultColWidth="8.84375" defaultRowHeight="14.5" x14ac:dyDescent="0.35"/>
  <cols>
    <col min="1" max="1" width="24.4609375" style="4" customWidth="1"/>
    <col min="2" max="2" width="8.4609375" style="4" bestFit="1" customWidth="1"/>
    <col min="3" max="3" width="10.53515625" style="4" customWidth="1"/>
    <col min="4" max="4" width="8.4609375" style="4" bestFit="1" customWidth="1"/>
    <col min="5" max="5" width="9.61328125" style="4" customWidth="1"/>
    <col min="6" max="6" width="13.07421875" style="4" customWidth="1"/>
    <col min="7" max="7" width="8.84375" style="4"/>
    <col min="8" max="8" width="16.921875" style="4" customWidth="1"/>
    <col min="9" max="9" width="10.84375" style="4" customWidth="1"/>
    <col min="10" max="16384" width="8.84375" style="4"/>
  </cols>
  <sheetData>
    <row r="1" spans="1:10" ht="84" customHeight="1" x14ac:dyDescent="0.35">
      <c r="A1" s="324"/>
      <c r="B1" s="324"/>
      <c r="C1" s="324"/>
      <c r="D1" s="324"/>
    </row>
    <row r="2" spans="1:10" x14ac:dyDescent="0.35">
      <c r="A2" s="3" t="s">
        <v>0</v>
      </c>
      <c r="B2" s="3" t="s">
        <v>0</v>
      </c>
      <c r="C2" s="3" t="s">
        <v>0</v>
      </c>
      <c r="D2" s="3" t="s">
        <v>0</v>
      </c>
      <c r="E2" s="3" t="s">
        <v>0</v>
      </c>
    </row>
    <row r="3" spans="1:10" ht="48" customHeight="1" x14ac:dyDescent="0.35">
      <c r="A3" s="346" t="s">
        <v>324</v>
      </c>
      <c r="B3" s="346"/>
      <c r="C3" s="346"/>
      <c r="D3" s="346"/>
      <c r="E3" s="346"/>
      <c r="F3" s="346"/>
      <c r="G3" s="346"/>
      <c r="H3" s="346"/>
      <c r="I3" s="346"/>
      <c r="J3" s="346"/>
    </row>
    <row r="4" spans="1:10" ht="29.25" customHeight="1" x14ac:dyDescent="0.35">
      <c r="A4" s="328" t="s">
        <v>348</v>
      </c>
      <c r="B4" s="328"/>
      <c r="C4" s="328"/>
      <c r="D4" s="328"/>
      <c r="E4" s="328"/>
    </row>
    <row r="5" spans="1:10" x14ac:dyDescent="0.35">
      <c r="A5" s="325" t="s">
        <v>32</v>
      </c>
      <c r="B5" s="325"/>
      <c r="C5" s="325"/>
      <c r="D5" s="325"/>
      <c r="E5" s="325"/>
      <c r="F5" s="325"/>
      <c r="G5" s="325"/>
      <c r="H5" s="325"/>
      <c r="I5" s="325"/>
    </row>
    <row r="6" spans="1:10" ht="83.25" customHeight="1" x14ac:dyDescent="0.35">
      <c r="A6" s="347" t="s">
        <v>650</v>
      </c>
      <c r="B6" s="309"/>
      <c r="C6" s="309"/>
      <c r="D6" s="309"/>
      <c r="E6" s="309"/>
      <c r="F6" s="309"/>
      <c r="G6" s="26"/>
      <c r="H6" s="26"/>
      <c r="I6" s="26"/>
    </row>
    <row r="7" spans="1:10" x14ac:dyDescent="0.35">
      <c r="A7" s="107"/>
      <c r="B7" s="1"/>
      <c r="C7" s="1"/>
      <c r="D7" s="1"/>
      <c r="E7" s="1"/>
      <c r="F7" s="1"/>
      <c r="G7" s="26"/>
      <c r="H7" s="26"/>
      <c r="I7" s="26"/>
    </row>
    <row r="8" spans="1:10" ht="14.4" customHeight="1" x14ac:dyDescent="0.35">
      <c r="A8" s="320" t="s">
        <v>649</v>
      </c>
      <c r="B8" s="320"/>
      <c r="C8" s="320"/>
      <c r="D8" s="320"/>
      <c r="E8" s="320"/>
      <c r="F8" s="320"/>
      <c r="G8" s="320"/>
      <c r="H8" s="320"/>
      <c r="I8" s="26"/>
    </row>
    <row r="9" spans="1:10" ht="18" customHeight="1" x14ac:dyDescent="0.35">
      <c r="A9" s="321" t="s">
        <v>349</v>
      </c>
      <c r="B9" s="321"/>
      <c r="C9" s="321"/>
      <c r="D9" s="321"/>
      <c r="E9" s="321"/>
      <c r="F9" s="321"/>
      <c r="G9" s="321"/>
      <c r="H9" s="321"/>
      <c r="I9" s="26"/>
    </row>
    <row r="10" spans="1:10" x14ac:dyDescent="0.35">
      <c r="A10" s="10" t="s">
        <v>13</v>
      </c>
    </row>
    <row r="11" spans="1:10" x14ac:dyDescent="0.35">
      <c r="A11" s="323" t="s">
        <v>2</v>
      </c>
      <c r="B11" s="323"/>
      <c r="C11" s="323"/>
      <c r="D11" s="323"/>
      <c r="E11" s="323"/>
    </row>
    <row r="12" spans="1:10" x14ac:dyDescent="0.35">
      <c r="A12" s="323" t="s">
        <v>1</v>
      </c>
      <c r="B12" s="323"/>
      <c r="C12" s="323"/>
      <c r="D12" s="323"/>
      <c r="E12" s="323"/>
    </row>
    <row r="13" spans="1:10" ht="15" thickBot="1" x14ac:dyDescent="0.4"/>
    <row r="14" spans="1:10" ht="16.25" customHeight="1" thickBot="1" x14ac:dyDescent="0.4">
      <c r="A14" s="2"/>
      <c r="B14" s="340" t="s">
        <v>23</v>
      </c>
      <c r="C14" s="341"/>
      <c r="D14" s="342" t="s">
        <v>24</v>
      </c>
      <c r="E14" s="343"/>
      <c r="F14" s="344" t="s">
        <v>27</v>
      </c>
      <c r="G14" s="345"/>
    </row>
    <row r="15" spans="1:10" ht="15" thickBot="1" x14ac:dyDescent="0.4">
      <c r="A15" s="98"/>
      <c r="B15" s="280" t="s">
        <v>336</v>
      </c>
      <c r="C15" s="284" t="s">
        <v>25</v>
      </c>
      <c r="D15" s="282" t="s">
        <v>336</v>
      </c>
      <c r="E15" s="281" t="s">
        <v>25</v>
      </c>
      <c r="F15" s="282" t="s">
        <v>336</v>
      </c>
      <c r="G15" s="283" t="s">
        <v>25</v>
      </c>
    </row>
    <row r="16" spans="1:10" ht="15" thickBot="1" x14ac:dyDescent="0.4">
      <c r="A16" s="99" t="s">
        <v>337</v>
      </c>
      <c r="B16" s="278">
        <v>221</v>
      </c>
      <c r="C16" s="279">
        <v>222</v>
      </c>
      <c r="D16" s="278">
        <v>194</v>
      </c>
      <c r="E16" s="279">
        <v>212</v>
      </c>
      <c r="F16" s="278">
        <v>190</v>
      </c>
      <c r="G16" s="279">
        <v>204</v>
      </c>
    </row>
    <row r="17" spans="1:7" x14ac:dyDescent="0.35">
      <c r="A17" s="102" t="s">
        <v>338</v>
      </c>
      <c r="B17" s="103">
        <v>183</v>
      </c>
      <c r="C17" s="104">
        <v>159</v>
      </c>
      <c r="D17" s="103">
        <v>153</v>
      </c>
      <c r="E17" s="104">
        <v>156</v>
      </c>
      <c r="F17" s="103">
        <v>149</v>
      </c>
      <c r="G17" s="104">
        <v>154</v>
      </c>
    </row>
    <row r="18" spans="1:7" x14ac:dyDescent="0.35">
      <c r="A18" s="102" t="s">
        <v>339</v>
      </c>
      <c r="B18" s="103">
        <v>7</v>
      </c>
      <c r="C18" s="104">
        <v>24</v>
      </c>
      <c r="D18" s="103">
        <v>6</v>
      </c>
      <c r="E18" s="104">
        <v>20</v>
      </c>
      <c r="F18" s="103">
        <v>9</v>
      </c>
      <c r="G18" s="104">
        <v>14</v>
      </c>
    </row>
    <row r="19" spans="1:7" ht="15" thickBot="1" x14ac:dyDescent="0.4">
      <c r="A19" s="102" t="s">
        <v>340</v>
      </c>
      <c r="B19" s="103">
        <v>31</v>
      </c>
      <c r="C19" s="104">
        <v>39</v>
      </c>
      <c r="D19" s="103">
        <v>35</v>
      </c>
      <c r="E19" s="104">
        <v>36</v>
      </c>
      <c r="F19" s="103">
        <v>32</v>
      </c>
      <c r="G19" s="104">
        <v>36</v>
      </c>
    </row>
    <row r="20" spans="1:7" ht="15" thickBot="1" x14ac:dyDescent="0.4">
      <c r="A20" s="99" t="s">
        <v>341</v>
      </c>
      <c r="B20" s="100">
        <v>16153448</v>
      </c>
      <c r="C20" s="101">
        <v>17429559</v>
      </c>
      <c r="D20" s="100">
        <v>22615094</v>
      </c>
      <c r="E20" s="101">
        <v>24374967</v>
      </c>
      <c r="F20" s="100">
        <v>23269548</v>
      </c>
      <c r="G20" s="101">
        <v>25348842</v>
      </c>
    </row>
    <row r="21" spans="1:7" x14ac:dyDescent="0.35">
      <c r="A21" s="102" t="s">
        <v>338</v>
      </c>
      <c r="B21" s="103">
        <v>15136659</v>
      </c>
      <c r="C21" s="104">
        <v>16539519</v>
      </c>
      <c r="D21" s="103">
        <v>20833229</v>
      </c>
      <c r="E21" s="104">
        <v>23011134</v>
      </c>
      <c r="F21" s="103">
        <v>21577729</v>
      </c>
      <c r="G21" s="104">
        <v>23837582</v>
      </c>
    </row>
    <row r="22" spans="1:7" x14ac:dyDescent="0.35">
      <c r="A22" s="102" t="s">
        <v>339</v>
      </c>
      <c r="B22" s="103">
        <v>117315</v>
      </c>
      <c r="C22" s="104">
        <v>310394</v>
      </c>
      <c r="D22" s="103">
        <v>209325</v>
      </c>
      <c r="E22" s="104">
        <v>463091</v>
      </c>
      <c r="F22" s="103">
        <v>1469184</v>
      </c>
      <c r="G22" s="104">
        <v>452822</v>
      </c>
    </row>
    <row r="23" spans="1:7" ht="15" thickBot="1" x14ac:dyDescent="0.4">
      <c r="A23" s="102" t="s">
        <v>340</v>
      </c>
      <c r="B23" s="105">
        <v>899474</v>
      </c>
      <c r="C23" s="106">
        <v>579646</v>
      </c>
      <c r="D23" s="105">
        <v>1572540</v>
      </c>
      <c r="E23" s="106">
        <v>900742</v>
      </c>
      <c r="F23" s="105">
        <v>222635</v>
      </c>
      <c r="G23" s="106">
        <v>1058438</v>
      </c>
    </row>
  </sheetData>
  <mergeCells count="12">
    <mergeCell ref="B14:C14"/>
    <mergeCell ref="D14:E14"/>
    <mergeCell ref="F14:G14"/>
    <mergeCell ref="A1:D1"/>
    <mergeCell ref="A4:E4"/>
    <mergeCell ref="A5:I5"/>
    <mergeCell ref="A11:E11"/>
    <mergeCell ref="A12:E12"/>
    <mergeCell ref="A3:J3"/>
    <mergeCell ref="A6:F6"/>
    <mergeCell ref="A8:H8"/>
    <mergeCell ref="A9:H9"/>
  </mergeCells>
  <hyperlinks>
    <hyperlink ref="A9" r:id="rId1" display="https://www.england.nhs.uk/statistics/statistical-work-areas/ae-waiting-times-and-activity/statistical-work-areasae-waiting-times-and-activityae-attendances-and-emergency-admissions-2016-17/" xr:uid="{062344EE-8C45-4FC2-973B-94D34CD1B84E}"/>
    <hyperlink ref="A9:H9" r:id="rId2" display="https://www.england.nhs.uk/statistics/statistical-work-areas/ae-waiting-times-and-activity/ae-attendances-and-emergency-admissions-2022-23/" xr:uid="{E910A15F-3E34-4B86-A11C-8FDA41B3E741}"/>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88D8-C4A7-4EEF-A6C8-5563BCA3E996}">
  <dimension ref="A1:L265"/>
  <sheetViews>
    <sheetView showGridLines="0" topLeftCell="A12" zoomScaleNormal="100" workbookViewId="0">
      <selection activeCell="F28" sqref="F28"/>
    </sheetView>
  </sheetViews>
  <sheetFormatPr defaultColWidth="8.84375" defaultRowHeight="14.5" x14ac:dyDescent="0.35"/>
  <cols>
    <col min="1" max="1" width="58.07421875" style="4" bestFit="1" customWidth="1"/>
    <col min="2" max="2" width="7.921875" style="4" bestFit="1" customWidth="1"/>
    <col min="3" max="3" width="13.3828125" style="4" customWidth="1"/>
    <col min="4" max="4" width="17.61328125" style="4" customWidth="1"/>
    <col min="5" max="5" width="17.07421875" style="4" customWidth="1"/>
    <col min="6" max="6" width="13.07421875" style="4" customWidth="1"/>
    <col min="7" max="7" width="12.53515625" style="4" customWidth="1"/>
    <col min="8" max="8" width="20.84375" style="4" customWidth="1"/>
    <col min="9" max="9" width="15.61328125" style="4" customWidth="1"/>
    <col min="10" max="10" width="14.3828125" style="4" customWidth="1"/>
    <col min="11" max="16384" width="8.84375" style="4"/>
  </cols>
  <sheetData>
    <row r="1" spans="1:11" ht="84" customHeight="1" x14ac:dyDescent="0.35">
      <c r="A1" s="324"/>
      <c r="B1" s="324"/>
      <c r="C1" s="324"/>
      <c r="D1" s="324"/>
    </row>
    <row r="2" spans="1:11" x14ac:dyDescent="0.35">
      <c r="A2" s="3" t="s">
        <v>0</v>
      </c>
      <c r="B2" s="3" t="s">
        <v>0</v>
      </c>
      <c r="C2" s="3" t="s">
        <v>0</v>
      </c>
      <c r="D2" s="3" t="s">
        <v>0</v>
      </c>
      <c r="E2" s="3" t="s">
        <v>0</v>
      </c>
    </row>
    <row r="3" spans="1:11" ht="50.25" customHeight="1" x14ac:dyDescent="0.35">
      <c r="A3" s="329" t="s">
        <v>328</v>
      </c>
      <c r="B3" s="329"/>
      <c r="C3" s="329"/>
      <c r="D3" s="329"/>
      <c r="E3" s="329"/>
      <c r="F3" s="329"/>
      <c r="G3" s="329"/>
      <c r="H3" s="329"/>
      <c r="I3" s="329"/>
      <c r="J3" s="329"/>
    </row>
    <row r="4" spans="1:11" ht="29.25" customHeight="1" x14ac:dyDescent="0.35">
      <c r="A4" s="328" t="s">
        <v>347</v>
      </c>
      <c r="B4" s="328"/>
      <c r="C4" s="328"/>
      <c r="D4" s="328"/>
      <c r="E4" s="328"/>
    </row>
    <row r="5" spans="1:11" x14ac:dyDescent="0.35">
      <c r="A5" s="325" t="s">
        <v>32</v>
      </c>
      <c r="B5" s="325"/>
      <c r="C5" s="325"/>
      <c r="D5" s="325"/>
      <c r="E5" s="325"/>
      <c r="F5" s="325"/>
      <c r="G5" s="325"/>
      <c r="H5" s="325"/>
      <c r="I5" s="325"/>
    </row>
    <row r="6" spans="1:11" ht="119.25" customHeight="1" x14ac:dyDescent="0.35">
      <c r="A6" s="353" t="s">
        <v>343</v>
      </c>
      <c r="B6" s="353"/>
      <c r="C6" s="353"/>
      <c r="D6" s="353"/>
      <c r="E6" s="353"/>
      <c r="F6" s="353"/>
      <c r="G6" s="353"/>
      <c r="H6" s="353"/>
      <c r="I6" s="26"/>
    </row>
    <row r="7" spans="1:11" ht="30.65" customHeight="1" x14ac:dyDescent="0.35">
      <c r="A7" s="351" t="s">
        <v>646</v>
      </c>
      <c r="B7" s="351"/>
      <c r="C7" s="351"/>
      <c r="D7" s="351"/>
      <c r="E7" s="351"/>
      <c r="F7" s="351"/>
      <c r="G7" s="351"/>
      <c r="H7" s="351"/>
      <c r="I7" s="26"/>
    </row>
    <row r="8" spans="1:11" x14ac:dyDescent="0.35">
      <c r="A8" s="292" t="s">
        <v>647</v>
      </c>
      <c r="B8" s="292"/>
      <c r="C8" s="292"/>
      <c r="D8" s="292"/>
      <c r="E8" s="292"/>
      <c r="F8" s="292"/>
      <c r="G8" s="292"/>
      <c r="H8" s="292"/>
      <c r="I8" s="26"/>
    </row>
    <row r="9" spans="1:11" x14ac:dyDescent="0.35">
      <c r="A9" s="354" t="s">
        <v>344</v>
      </c>
      <c r="B9" s="354"/>
      <c r="C9" s="354"/>
      <c r="D9" s="354"/>
      <c r="E9" s="354"/>
      <c r="F9" s="354"/>
      <c r="G9" s="354"/>
      <c r="H9" s="354"/>
      <c r="I9" s="26"/>
    </row>
    <row r="10" spans="1:11" x14ac:dyDescent="0.35">
      <c r="A10" s="320" t="s">
        <v>649</v>
      </c>
      <c r="B10" s="320"/>
      <c r="C10" s="320"/>
      <c r="D10" s="320"/>
      <c r="E10" s="320"/>
      <c r="F10" s="320"/>
      <c r="G10" s="320"/>
      <c r="H10" s="320"/>
      <c r="I10" s="26"/>
    </row>
    <row r="11" spans="1:11" x14ac:dyDescent="0.35">
      <c r="A11" s="321" t="s">
        <v>349</v>
      </c>
      <c r="B11" s="321"/>
      <c r="C11" s="321"/>
      <c r="D11" s="321"/>
      <c r="E11" s="321"/>
      <c r="F11" s="321"/>
      <c r="G11" s="321"/>
      <c r="H11" s="321"/>
    </row>
    <row r="12" spans="1:11" x14ac:dyDescent="0.35">
      <c r="A12" s="108"/>
      <c r="B12" s="108"/>
      <c r="C12" s="108"/>
      <c r="D12" s="108"/>
      <c r="E12" s="108"/>
      <c r="F12" s="108"/>
      <c r="G12" s="108"/>
      <c r="H12" s="108"/>
    </row>
    <row r="13" spans="1:11" x14ac:dyDescent="0.35">
      <c r="A13" s="10" t="s">
        <v>13</v>
      </c>
    </row>
    <row r="14" spans="1:11" x14ac:dyDescent="0.35">
      <c r="A14" s="323" t="s">
        <v>2</v>
      </c>
      <c r="B14" s="323"/>
      <c r="C14" s="323"/>
      <c r="D14" s="323"/>
      <c r="E14" s="323"/>
    </row>
    <row r="15" spans="1:11" x14ac:dyDescent="0.35">
      <c r="A15" s="352"/>
      <c r="B15" s="323"/>
      <c r="C15" s="323"/>
      <c r="D15" s="323"/>
      <c r="E15" s="323"/>
      <c r="K15" s="285"/>
    </row>
    <row r="16" spans="1:11" ht="15" thickBot="1" x14ac:dyDescent="0.4">
      <c r="A16" s="3"/>
      <c r="B16" s="3"/>
      <c r="C16" s="286"/>
      <c r="D16" s="285"/>
      <c r="E16" s="285"/>
      <c r="F16" s="285"/>
      <c r="K16" s="286"/>
    </row>
    <row r="17" spans="1:12" ht="16.25" customHeight="1" thickBot="1" x14ac:dyDescent="0.4">
      <c r="A17" s="111"/>
      <c r="B17" s="112"/>
      <c r="C17" s="348" t="s">
        <v>330</v>
      </c>
      <c r="D17" s="349"/>
      <c r="E17" s="349"/>
      <c r="F17" s="350"/>
      <c r="G17" s="348" t="s">
        <v>25</v>
      </c>
      <c r="H17" s="349"/>
      <c r="I17" s="349"/>
      <c r="J17" s="350"/>
      <c r="K17" s="285"/>
      <c r="L17" s="285"/>
    </row>
    <row r="18" spans="1:12" ht="65.5" thickBot="1" x14ac:dyDescent="0.4">
      <c r="A18" s="113" t="s">
        <v>353</v>
      </c>
      <c r="B18" s="113" t="s">
        <v>354</v>
      </c>
      <c r="C18" s="114" t="s">
        <v>355</v>
      </c>
      <c r="D18" s="115" t="s">
        <v>357</v>
      </c>
      <c r="E18" s="116" t="s">
        <v>356</v>
      </c>
      <c r="F18" s="117" t="s">
        <v>358</v>
      </c>
      <c r="G18" s="142" t="s">
        <v>355</v>
      </c>
      <c r="H18" s="143" t="s">
        <v>357</v>
      </c>
      <c r="I18" s="143" t="s">
        <v>356</v>
      </c>
      <c r="J18" s="144" t="s">
        <v>358</v>
      </c>
    </row>
    <row r="19" spans="1:12" ht="15" thickBot="1" x14ac:dyDescent="0.4">
      <c r="A19" s="118" t="s">
        <v>359</v>
      </c>
      <c r="B19" s="119" t="s">
        <v>360</v>
      </c>
      <c r="C19" s="120">
        <v>23269548</v>
      </c>
      <c r="D19" s="121">
        <v>13601086</v>
      </c>
      <c r="E19" s="122">
        <v>8062035</v>
      </c>
      <c r="F19" s="123">
        <v>0.65518413274589204</v>
      </c>
      <c r="G19" s="145">
        <v>25348842</v>
      </c>
      <c r="H19" s="145">
        <v>16017093</v>
      </c>
      <c r="I19" s="145">
        <v>6606765</v>
      </c>
      <c r="J19" s="146">
        <v>0.70797354721727834</v>
      </c>
    </row>
    <row r="20" spans="1:12" x14ac:dyDescent="0.35">
      <c r="A20" s="124" t="s">
        <v>361</v>
      </c>
      <c r="B20" s="125" t="s">
        <v>362</v>
      </c>
      <c r="C20" s="126">
        <v>3793600</v>
      </c>
      <c r="D20" s="127">
        <v>2072054</v>
      </c>
      <c r="E20" s="128">
        <v>1443410</v>
      </c>
      <c r="F20" s="175">
        <v>0.78947576521353746</v>
      </c>
      <c r="G20" s="137">
        <v>4655653</v>
      </c>
      <c r="H20" s="137">
        <v>2865885</v>
      </c>
      <c r="I20" s="147">
        <v>1180021</v>
      </c>
      <c r="J20" s="139">
        <v>0.70834196345639266</v>
      </c>
    </row>
    <row r="21" spans="1:12" x14ac:dyDescent="0.35">
      <c r="A21" s="129" t="s">
        <v>363</v>
      </c>
      <c r="B21" s="130" t="s">
        <v>364</v>
      </c>
      <c r="C21" s="131">
        <v>1845345</v>
      </c>
      <c r="D21" s="132">
        <v>1052707</v>
      </c>
      <c r="E21" s="133">
        <v>668350</v>
      </c>
      <c r="F21" s="134">
        <v>0.61518706454456418</v>
      </c>
      <c r="G21" s="137">
        <v>2051391</v>
      </c>
      <c r="H21" s="137">
        <v>1232646</v>
      </c>
      <c r="I21" s="138">
        <v>517236</v>
      </c>
      <c r="J21" s="139">
        <v>0.70441664066491338</v>
      </c>
    </row>
    <row r="22" spans="1:12" x14ac:dyDescent="0.35">
      <c r="A22" s="129" t="s">
        <v>365</v>
      </c>
      <c r="B22" s="130" t="s">
        <v>366</v>
      </c>
      <c r="C22" s="131">
        <v>3120395</v>
      </c>
      <c r="D22" s="132">
        <v>1816742</v>
      </c>
      <c r="E22" s="133">
        <v>1092065</v>
      </c>
      <c r="F22" s="134">
        <v>0.67139323853402932</v>
      </c>
      <c r="G22" s="137">
        <v>3700121</v>
      </c>
      <c r="H22" s="137">
        <v>2433541</v>
      </c>
      <c r="I22" s="138">
        <v>858102</v>
      </c>
      <c r="J22" s="139">
        <v>0.73930891047419178</v>
      </c>
    </row>
    <row r="23" spans="1:12" x14ac:dyDescent="0.35">
      <c r="A23" s="129" t="s">
        <v>367</v>
      </c>
      <c r="B23" s="130" t="s">
        <v>368</v>
      </c>
      <c r="C23" s="131">
        <v>3943680</v>
      </c>
      <c r="D23" s="132">
        <v>2328300</v>
      </c>
      <c r="E23" s="133">
        <v>1447745</v>
      </c>
      <c r="F23" s="134">
        <v>0.67084072304522968</v>
      </c>
      <c r="G23" s="137">
        <v>4786749</v>
      </c>
      <c r="H23" s="137">
        <v>3174636</v>
      </c>
      <c r="I23" s="138">
        <v>1290986</v>
      </c>
      <c r="J23" s="139">
        <v>0.71090567002760197</v>
      </c>
    </row>
    <row r="24" spans="1:12" x14ac:dyDescent="0.35">
      <c r="A24" s="129" t="s">
        <v>369</v>
      </c>
      <c r="B24" s="130" t="s">
        <v>370</v>
      </c>
      <c r="C24" s="131">
        <v>2274135</v>
      </c>
      <c r="D24" s="132">
        <v>1055859</v>
      </c>
      <c r="E24" s="133">
        <v>894975</v>
      </c>
      <c r="F24" s="134">
        <v>0.64237116985879583</v>
      </c>
      <c r="G24" s="137">
        <v>2558124</v>
      </c>
      <c r="H24" s="137">
        <v>1359381</v>
      </c>
      <c r="I24" s="138">
        <v>656362</v>
      </c>
      <c r="J24" s="139">
        <v>0.67438210128969811</v>
      </c>
    </row>
    <row r="25" spans="1:12" x14ac:dyDescent="0.35">
      <c r="A25" s="129" t="s">
        <v>371</v>
      </c>
      <c r="B25" s="130" t="s">
        <v>372</v>
      </c>
      <c r="C25" s="131">
        <v>3120685</v>
      </c>
      <c r="D25" s="132">
        <v>1958835</v>
      </c>
      <c r="E25" s="133">
        <v>1149460</v>
      </c>
      <c r="F25" s="134">
        <v>0.60727097046923129</v>
      </c>
      <c r="G25" s="137">
        <v>3617001</v>
      </c>
      <c r="H25" s="137">
        <v>2473904</v>
      </c>
      <c r="I25" s="138">
        <v>1143097</v>
      </c>
      <c r="J25" s="139">
        <v>0.68396552834793245</v>
      </c>
    </row>
    <row r="26" spans="1:12" x14ac:dyDescent="0.35">
      <c r="A26" s="129" t="s">
        <v>373</v>
      </c>
      <c r="B26" s="130" t="s">
        <v>374</v>
      </c>
      <c r="C26" s="131">
        <v>3477180</v>
      </c>
      <c r="D26" s="132">
        <v>1978801</v>
      </c>
      <c r="E26" s="133">
        <v>1135510</v>
      </c>
      <c r="F26" s="134">
        <v>0.62769371862468704</v>
      </c>
      <c r="G26" s="137">
        <v>3979803</v>
      </c>
      <c r="H26" s="137">
        <v>2477100</v>
      </c>
      <c r="I26" s="138">
        <v>960961</v>
      </c>
      <c r="J26" s="139">
        <v>0.72049332458033755</v>
      </c>
    </row>
    <row r="27" spans="1:12" ht="15" thickBot="1" x14ac:dyDescent="0.4">
      <c r="A27" s="152" t="s">
        <v>636</v>
      </c>
      <c r="B27" s="153"/>
      <c r="C27" s="154">
        <v>1694525</v>
      </c>
      <c r="D27" s="155">
        <v>1337788</v>
      </c>
      <c r="E27" s="156">
        <v>230525</v>
      </c>
      <c r="F27" s="157">
        <v>0.67387227422923424</v>
      </c>
      <c r="G27" s="158" t="s">
        <v>481</v>
      </c>
      <c r="H27" s="158" t="s">
        <v>481</v>
      </c>
      <c r="I27" s="159" t="s">
        <v>481</v>
      </c>
      <c r="J27" s="160" t="s">
        <v>481</v>
      </c>
    </row>
    <row r="28" spans="1:12" x14ac:dyDescent="0.35">
      <c r="A28" s="161" t="s">
        <v>375</v>
      </c>
      <c r="B28" s="162" t="s">
        <v>376</v>
      </c>
      <c r="C28" s="296">
        <v>0</v>
      </c>
      <c r="D28" s="163">
        <v>0</v>
      </c>
      <c r="E28" s="164">
        <v>0</v>
      </c>
      <c r="F28" s="176">
        <v>0</v>
      </c>
      <c r="G28" s="165">
        <v>21761</v>
      </c>
      <c r="H28" s="165">
        <v>21761</v>
      </c>
      <c r="I28" s="166">
        <v>0</v>
      </c>
      <c r="J28" s="167">
        <v>1</v>
      </c>
    </row>
    <row r="29" spans="1:12" x14ac:dyDescent="0.35">
      <c r="A29" s="148" t="s">
        <v>377</v>
      </c>
      <c r="B29" s="149" t="s">
        <v>378</v>
      </c>
      <c r="C29" s="295">
        <v>0</v>
      </c>
      <c r="D29" s="135">
        <v>0</v>
      </c>
      <c r="E29" s="136">
        <v>0</v>
      </c>
      <c r="F29" s="177">
        <v>0</v>
      </c>
      <c r="G29" s="137">
        <v>2734</v>
      </c>
      <c r="H29" s="137">
        <v>2727</v>
      </c>
      <c r="I29" s="138">
        <v>7</v>
      </c>
      <c r="J29" s="139">
        <v>0.99743964886613024</v>
      </c>
    </row>
    <row r="30" spans="1:12" x14ac:dyDescent="0.35">
      <c r="A30" s="148" t="s">
        <v>379</v>
      </c>
      <c r="B30" s="149" t="s">
        <v>380</v>
      </c>
      <c r="C30" s="295">
        <v>0</v>
      </c>
      <c r="D30" s="135">
        <v>0</v>
      </c>
      <c r="E30" s="136">
        <v>0</v>
      </c>
      <c r="F30" s="177">
        <v>0</v>
      </c>
      <c r="G30" s="137">
        <v>0</v>
      </c>
      <c r="H30" s="137">
        <v>0</v>
      </c>
      <c r="I30" s="138">
        <v>0</v>
      </c>
      <c r="J30" s="139">
        <v>0</v>
      </c>
    </row>
    <row r="31" spans="1:12" x14ac:dyDescent="0.35">
      <c r="A31" s="148" t="s">
        <v>381</v>
      </c>
      <c r="B31" s="149" t="s">
        <v>382</v>
      </c>
      <c r="C31" s="295">
        <v>43485</v>
      </c>
      <c r="D31" s="135">
        <v>43485</v>
      </c>
      <c r="E31" s="136">
        <v>0</v>
      </c>
      <c r="F31" s="177">
        <v>1</v>
      </c>
      <c r="G31" s="137">
        <v>51407</v>
      </c>
      <c r="H31" s="137">
        <v>51407</v>
      </c>
      <c r="I31" s="138">
        <v>0</v>
      </c>
      <c r="J31" s="139">
        <v>1</v>
      </c>
    </row>
    <row r="32" spans="1:12" x14ac:dyDescent="0.35">
      <c r="A32" s="148" t="s">
        <v>383</v>
      </c>
      <c r="B32" s="149" t="s">
        <v>384</v>
      </c>
      <c r="C32" s="295">
        <v>53115</v>
      </c>
      <c r="D32" s="135">
        <v>42460</v>
      </c>
      <c r="E32" s="136">
        <v>10660</v>
      </c>
      <c r="F32" s="177">
        <v>0.8</v>
      </c>
      <c r="G32" s="137">
        <v>0</v>
      </c>
      <c r="H32" s="137">
        <v>0</v>
      </c>
      <c r="I32" s="138">
        <v>0</v>
      </c>
      <c r="J32" s="139">
        <v>0</v>
      </c>
    </row>
    <row r="33" spans="1:11" x14ac:dyDescent="0.35">
      <c r="A33" s="148" t="s">
        <v>610</v>
      </c>
      <c r="B33" s="149" t="s">
        <v>385</v>
      </c>
      <c r="C33" s="295">
        <v>82170</v>
      </c>
      <c r="D33" s="135">
        <v>67870</v>
      </c>
      <c r="E33" s="136">
        <v>14295</v>
      </c>
      <c r="F33" s="177">
        <v>0.83</v>
      </c>
      <c r="G33" s="137">
        <v>0</v>
      </c>
      <c r="H33" s="137">
        <v>0</v>
      </c>
      <c r="I33" s="138">
        <v>0</v>
      </c>
      <c r="J33" s="139">
        <v>0</v>
      </c>
    </row>
    <row r="34" spans="1:11" x14ac:dyDescent="0.35">
      <c r="A34" s="148" t="s">
        <v>386</v>
      </c>
      <c r="B34" s="149" t="s">
        <v>387</v>
      </c>
      <c r="C34" s="295">
        <v>65810</v>
      </c>
      <c r="D34" s="135">
        <v>52615</v>
      </c>
      <c r="E34" s="136">
        <v>13195</v>
      </c>
      <c r="F34" s="177">
        <v>0.8</v>
      </c>
      <c r="G34" s="137">
        <v>0</v>
      </c>
      <c r="H34" s="137">
        <v>0</v>
      </c>
      <c r="I34" s="138">
        <v>0</v>
      </c>
      <c r="J34" s="139">
        <v>0</v>
      </c>
    </row>
    <row r="35" spans="1:11" x14ac:dyDescent="0.35">
      <c r="A35" s="148" t="s">
        <v>388</v>
      </c>
      <c r="B35" s="149" t="s">
        <v>389</v>
      </c>
      <c r="C35" s="295">
        <v>92210</v>
      </c>
      <c r="D35" s="135">
        <v>66310</v>
      </c>
      <c r="E35" s="136">
        <v>25900</v>
      </c>
      <c r="F35" s="177">
        <v>0.72</v>
      </c>
      <c r="G35" s="137">
        <v>0</v>
      </c>
      <c r="H35" s="137">
        <v>0</v>
      </c>
      <c r="I35" s="138">
        <v>0</v>
      </c>
      <c r="J35" s="139">
        <v>0</v>
      </c>
    </row>
    <row r="36" spans="1:11" x14ac:dyDescent="0.35">
      <c r="A36" s="148" t="s">
        <v>390</v>
      </c>
      <c r="B36" s="149" t="s">
        <v>391</v>
      </c>
      <c r="C36" s="295">
        <v>41040</v>
      </c>
      <c r="D36" s="135">
        <v>35115</v>
      </c>
      <c r="E36" s="136">
        <v>5920</v>
      </c>
      <c r="F36" s="177">
        <v>0.86</v>
      </c>
      <c r="G36" s="137">
        <v>41254</v>
      </c>
      <c r="H36" s="137">
        <v>38949</v>
      </c>
      <c r="I36" s="138">
        <v>2305</v>
      </c>
      <c r="J36" s="139">
        <v>0.94412663014495568</v>
      </c>
    </row>
    <row r="37" spans="1:11" x14ac:dyDescent="0.35">
      <c r="A37" s="148" t="s">
        <v>392</v>
      </c>
      <c r="B37" s="149" t="s">
        <v>393</v>
      </c>
      <c r="C37" s="295">
        <v>90410</v>
      </c>
      <c r="D37" s="135">
        <v>71440</v>
      </c>
      <c r="E37" s="136">
        <v>18965</v>
      </c>
      <c r="F37" s="177">
        <v>0.79</v>
      </c>
      <c r="G37" s="137">
        <v>0</v>
      </c>
      <c r="H37" s="137">
        <v>0</v>
      </c>
      <c r="I37" s="138">
        <v>0</v>
      </c>
      <c r="J37" s="139">
        <v>0</v>
      </c>
    </row>
    <row r="38" spans="1:11" x14ac:dyDescent="0.35">
      <c r="A38" s="148" t="s">
        <v>394</v>
      </c>
      <c r="B38" s="149" t="s">
        <v>395</v>
      </c>
      <c r="C38" s="295">
        <v>34390</v>
      </c>
      <c r="D38" s="135">
        <v>28765</v>
      </c>
      <c r="E38" s="136">
        <v>5630</v>
      </c>
      <c r="F38" s="177">
        <v>0.84</v>
      </c>
      <c r="G38" s="137">
        <v>0</v>
      </c>
      <c r="H38" s="137">
        <v>0</v>
      </c>
      <c r="I38" s="138">
        <v>0</v>
      </c>
      <c r="J38" s="139">
        <v>0</v>
      </c>
      <c r="K38" s="93"/>
    </row>
    <row r="39" spans="1:11" x14ac:dyDescent="0.35">
      <c r="A39" s="148" t="s">
        <v>396</v>
      </c>
      <c r="B39" s="149" t="s">
        <v>397</v>
      </c>
      <c r="C39" s="295">
        <v>0</v>
      </c>
      <c r="D39" s="135">
        <v>0</v>
      </c>
      <c r="E39" s="136">
        <v>0</v>
      </c>
      <c r="F39" s="177">
        <v>0</v>
      </c>
      <c r="G39" s="137">
        <v>5218</v>
      </c>
      <c r="H39" s="137">
        <v>5218</v>
      </c>
      <c r="I39" s="138">
        <v>0</v>
      </c>
      <c r="J39" s="139">
        <v>1</v>
      </c>
    </row>
    <row r="40" spans="1:11" x14ac:dyDescent="0.35">
      <c r="A40" s="148" t="s">
        <v>398</v>
      </c>
      <c r="B40" s="149" t="s">
        <v>399</v>
      </c>
      <c r="C40" s="295">
        <v>126055</v>
      </c>
      <c r="D40" s="135">
        <v>100140</v>
      </c>
      <c r="E40" s="136">
        <v>25915</v>
      </c>
      <c r="F40" s="177">
        <v>0.79</v>
      </c>
      <c r="G40" s="137">
        <v>0</v>
      </c>
      <c r="H40" s="137">
        <v>0</v>
      </c>
      <c r="I40" s="138">
        <v>0</v>
      </c>
      <c r="J40" s="139">
        <v>0</v>
      </c>
    </row>
    <row r="41" spans="1:11" x14ac:dyDescent="0.35">
      <c r="A41" s="148" t="s">
        <v>400</v>
      </c>
      <c r="B41" s="149" t="s">
        <v>401</v>
      </c>
      <c r="C41" s="295">
        <v>17855</v>
      </c>
      <c r="D41" s="135">
        <v>16655</v>
      </c>
      <c r="E41" s="136">
        <v>1200</v>
      </c>
      <c r="F41" s="177">
        <v>0.93</v>
      </c>
      <c r="G41" s="137">
        <v>29602</v>
      </c>
      <c r="H41" s="137">
        <v>28770</v>
      </c>
      <c r="I41" s="138">
        <v>832</v>
      </c>
      <c r="J41" s="139">
        <v>0.97189379096007023</v>
      </c>
    </row>
    <row r="42" spans="1:11" x14ac:dyDescent="0.35">
      <c r="A42" s="148" t="s">
        <v>402</v>
      </c>
      <c r="B42" s="149" t="s">
        <v>403</v>
      </c>
      <c r="C42" s="295">
        <v>0</v>
      </c>
      <c r="D42" s="135">
        <v>0</v>
      </c>
      <c r="E42" s="136">
        <v>0</v>
      </c>
      <c r="F42" s="177">
        <v>0</v>
      </c>
      <c r="G42" s="137">
        <v>24804</v>
      </c>
      <c r="H42" s="137">
        <v>24804</v>
      </c>
      <c r="I42" s="138">
        <v>0</v>
      </c>
      <c r="J42" s="139">
        <v>1</v>
      </c>
    </row>
    <row r="43" spans="1:11" x14ac:dyDescent="0.35">
      <c r="A43" s="148" t="s">
        <v>404</v>
      </c>
      <c r="B43" s="149" t="s">
        <v>405</v>
      </c>
      <c r="C43" s="295">
        <v>100650</v>
      </c>
      <c r="D43" s="135">
        <v>76000</v>
      </c>
      <c r="E43" s="136">
        <v>24645</v>
      </c>
      <c r="F43" s="177">
        <v>0.76</v>
      </c>
      <c r="G43" s="137">
        <v>0</v>
      </c>
      <c r="H43" s="137">
        <v>0</v>
      </c>
      <c r="I43" s="138">
        <v>0</v>
      </c>
      <c r="J43" s="139">
        <v>0</v>
      </c>
    </row>
    <row r="44" spans="1:11" x14ac:dyDescent="0.35">
      <c r="A44" s="148" t="s">
        <v>611</v>
      </c>
      <c r="B44" s="149" t="s">
        <v>406</v>
      </c>
      <c r="C44" s="295">
        <v>21890</v>
      </c>
      <c r="D44" s="135">
        <v>21285</v>
      </c>
      <c r="E44" s="136">
        <v>610</v>
      </c>
      <c r="F44" s="177">
        <v>0.97</v>
      </c>
      <c r="G44" s="137">
        <v>25653</v>
      </c>
      <c r="H44" s="137">
        <v>24937</v>
      </c>
      <c r="I44" s="138">
        <v>716</v>
      </c>
      <c r="J44" s="139">
        <v>0.97208903442092542</v>
      </c>
    </row>
    <row r="45" spans="1:11" x14ac:dyDescent="0.35">
      <c r="A45" s="148" t="s">
        <v>407</v>
      </c>
      <c r="B45" s="149" t="s">
        <v>408</v>
      </c>
      <c r="C45" s="295">
        <v>9590</v>
      </c>
      <c r="D45" s="135">
        <v>9380</v>
      </c>
      <c r="E45" s="136">
        <v>210</v>
      </c>
      <c r="F45" s="177">
        <v>0.98</v>
      </c>
      <c r="G45" s="137">
        <v>0</v>
      </c>
      <c r="H45" s="137">
        <v>0</v>
      </c>
      <c r="I45" s="138">
        <v>0</v>
      </c>
      <c r="J45" s="139">
        <v>0</v>
      </c>
    </row>
    <row r="46" spans="1:11" x14ac:dyDescent="0.35">
      <c r="A46" s="148" t="s">
        <v>605</v>
      </c>
      <c r="B46" s="149" t="s">
        <v>612</v>
      </c>
      <c r="C46" s="295">
        <v>88910</v>
      </c>
      <c r="D46" s="135">
        <v>85770</v>
      </c>
      <c r="E46" s="136">
        <v>3140</v>
      </c>
      <c r="F46" s="177">
        <v>0.96</v>
      </c>
      <c r="G46" s="137">
        <v>0</v>
      </c>
      <c r="H46" s="137">
        <v>0</v>
      </c>
      <c r="I46" s="138">
        <v>0</v>
      </c>
      <c r="J46" s="139">
        <v>0</v>
      </c>
    </row>
    <row r="47" spans="1:11" x14ac:dyDescent="0.35">
      <c r="A47" s="148" t="s">
        <v>409</v>
      </c>
      <c r="B47" s="149" t="s">
        <v>410</v>
      </c>
      <c r="C47" s="295">
        <v>0</v>
      </c>
      <c r="D47" s="135">
        <v>0</v>
      </c>
      <c r="E47" s="136">
        <v>0</v>
      </c>
      <c r="F47" s="177">
        <v>0</v>
      </c>
      <c r="G47" s="137">
        <v>3995</v>
      </c>
      <c r="H47" s="137">
        <v>3995</v>
      </c>
      <c r="I47" s="138">
        <v>0</v>
      </c>
      <c r="J47" s="139">
        <v>1</v>
      </c>
    </row>
    <row r="48" spans="1:11" x14ac:dyDescent="0.35">
      <c r="A48" s="148" t="s">
        <v>411</v>
      </c>
      <c r="B48" s="149" t="s">
        <v>412</v>
      </c>
      <c r="C48" s="295">
        <v>0</v>
      </c>
      <c r="D48" s="135">
        <v>0</v>
      </c>
      <c r="E48" s="136">
        <v>0</v>
      </c>
      <c r="F48" s="177">
        <v>0</v>
      </c>
      <c r="G48" s="137">
        <v>1808</v>
      </c>
      <c r="H48" s="137">
        <v>1808</v>
      </c>
      <c r="I48" s="138">
        <v>0</v>
      </c>
      <c r="J48" s="139">
        <v>1</v>
      </c>
    </row>
    <row r="49" spans="1:10" x14ac:dyDescent="0.35">
      <c r="A49" s="148" t="s">
        <v>413</v>
      </c>
      <c r="B49" s="149" t="s">
        <v>414</v>
      </c>
      <c r="C49" s="295">
        <v>0</v>
      </c>
      <c r="D49" s="135">
        <v>0</v>
      </c>
      <c r="E49" s="136">
        <v>0</v>
      </c>
      <c r="F49" s="177">
        <v>0</v>
      </c>
      <c r="G49" s="137">
        <v>4212</v>
      </c>
      <c r="H49" s="137">
        <v>4212</v>
      </c>
      <c r="I49" s="138">
        <v>0</v>
      </c>
      <c r="J49" s="139">
        <v>1</v>
      </c>
    </row>
    <row r="50" spans="1:10" x14ac:dyDescent="0.35">
      <c r="A50" s="148" t="s">
        <v>415</v>
      </c>
      <c r="B50" s="149" t="s">
        <v>416</v>
      </c>
      <c r="C50" s="295">
        <v>0</v>
      </c>
      <c r="D50" s="135">
        <v>0</v>
      </c>
      <c r="E50" s="136">
        <v>0</v>
      </c>
      <c r="F50" s="177">
        <v>0</v>
      </c>
      <c r="G50" s="137">
        <v>7120</v>
      </c>
      <c r="H50" s="137">
        <v>7120</v>
      </c>
      <c r="I50" s="138">
        <v>0</v>
      </c>
      <c r="J50" s="139">
        <v>1</v>
      </c>
    </row>
    <row r="51" spans="1:10" x14ac:dyDescent="0.35">
      <c r="A51" s="148" t="s">
        <v>417</v>
      </c>
      <c r="B51" s="149" t="s">
        <v>418</v>
      </c>
      <c r="C51" s="295">
        <v>48695</v>
      </c>
      <c r="D51" s="135">
        <v>48355</v>
      </c>
      <c r="E51" s="136">
        <v>340</v>
      </c>
      <c r="F51" s="177">
        <v>0.99</v>
      </c>
      <c r="G51" s="137">
        <v>0</v>
      </c>
      <c r="H51" s="137">
        <v>0</v>
      </c>
      <c r="I51" s="138">
        <v>0</v>
      </c>
      <c r="J51" s="139">
        <v>0</v>
      </c>
    </row>
    <row r="52" spans="1:10" x14ac:dyDescent="0.35">
      <c r="A52" s="148" t="s">
        <v>419</v>
      </c>
      <c r="B52" s="149" t="s">
        <v>420</v>
      </c>
      <c r="C52" s="295">
        <v>0</v>
      </c>
      <c r="D52" s="135">
        <v>0</v>
      </c>
      <c r="E52" s="136">
        <v>0</v>
      </c>
      <c r="F52" s="177">
        <v>0</v>
      </c>
      <c r="G52" s="137">
        <v>14711</v>
      </c>
      <c r="H52" s="137">
        <v>14708</v>
      </c>
      <c r="I52" s="138">
        <v>3</v>
      </c>
      <c r="J52" s="139">
        <v>0.99979607096730339</v>
      </c>
    </row>
    <row r="53" spans="1:10" x14ac:dyDescent="0.35">
      <c r="A53" s="148" t="s">
        <v>613</v>
      </c>
      <c r="B53" s="149" t="s">
        <v>614</v>
      </c>
      <c r="C53" s="295">
        <v>16155</v>
      </c>
      <c r="D53" s="135">
        <v>16155</v>
      </c>
      <c r="E53" s="136">
        <v>0</v>
      </c>
      <c r="F53" s="177">
        <v>1</v>
      </c>
      <c r="G53" s="137">
        <v>0</v>
      </c>
      <c r="H53" s="137">
        <v>0</v>
      </c>
      <c r="I53" s="138">
        <v>0</v>
      </c>
      <c r="J53" s="139">
        <v>0</v>
      </c>
    </row>
    <row r="54" spans="1:10" x14ac:dyDescent="0.35">
      <c r="A54" s="148" t="s">
        <v>421</v>
      </c>
      <c r="B54" s="149" t="s">
        <v>422</v>
      </c>
      <c r="C54" s="295">
        <v>0</v>
      </c>
      <c r="D54" s="135">
        <v>0</v>
      </c>
      <c r="E54" s="136">
        <v>0</v>
      </c>
      <c r="F54" s="177">
        <v>0</v>
      </c>
      <c r="G54" s="137">
        <v>27179</v>
      </c>
      <c r="H54" s="137">
        <v>26665</v>
      </c>
      <c r="I54" s="138">
        <v>514</v>
      </c>
      <c r="J54" s="139">
        <v>0.98108834026270286</v>
      </c>
    </row>
    <row r="55" spans="1:10" x14ac:dyDescent="0.35">
      <c r="A55" s="148" t="s">
        <v>423</v>
      </c>
      <c r="B55" s="149" t="s">
        <v>424</v>
      </c>
      <c r="C55" s="295">
        <v>80995</v>
      </c>
      <c r="D55" s="135">
        <v>77690</v>
      </c>
      <c r="E55" s="136">
        <v>3300</v>
      </c>
      <c r="F55" s="177">
        <v>0.96</v>
      </c>
      <c r="G55" s="137">
        <v>0</v>
      </c>
      <c r="H55" s="137">
        <v>0</v>
      </c>
      <c r="I55" s="138">
        <v>0</v>
      </c>
      <c r="J55" s="139">
        <v>0</v>
      </c>
    </row>
    <row r="56" spans="1:10" x14ac:dyDescent="0.35">
      <c r="A56" s="148" t="s">
        <v>615</v>
      </c>
      <c r="B56" s="149" t="s">
        <v>616</v>
      </c>
      <c r="C56" s="295">
        <v>2885</v>
      </c>
      <c r="D56" s="135">
        <v>2870</v>
      </c>
      <c r="E56" s="136">
        <v>10</v>
      </c>
      <c r="F56" s="177">
        <v>1</v>
      </c>
      <c r="G56" s="137">
        <v>0</v>
      </c>
      <c r="H56" s="137">
        <v>0</v>
      </c>
      <c r="I56" s="138">
        <v>0</v>
      </c>
      <c r="J56" s="139">
        <v>0</v>
      </c>
    </row>
    <row r="57" spans="1:10" x14ac:dyDescent="0.35">
      <c r="A57" s="148" t="s">
        <v>617</v>
      </c>
      <c r="B57" s="149" t="s">
        <v>618</v>
      </c>
      <c r="C57" s="295">
        <v>5270</v>
      </c>
      <c r="D57" s="135">
        <v>5205</v>
      </c>
      <c r="E57" s="136">
        <v>65</v>
      </c>
      <c r="F57" s="177">
        <v>0.99</v>
      </c>
      <c r="G57" s="137">
        <v>0</v>
      </c>
      <c r="H57" s="137">
        <v>0</v>
      </c>
      <c r="I57" s="138">
        <v>0</v>
      </c>
      <c r="J57" s="139">
        <v>0</v>
      </c>
    </row>
    <row r="58" spans="1:10" x14ac:dyDescent="0.35">
      <c r="A58" s="148" t="s">
        <v>425</v>
      </c>
      <c r="B58" s="149" t="s">
        <v>426</v>
      </c>
      <c r="C58" s="295">
        <v>0</v>
      </c>
      <c r="D58" s="135">
        <v>0</v>
      </c>
      <c r="E58" s="136">
        <v>0</v>
      </c>
      <c r="F58" s="177">
        <v>0</v>
      </c>
      <c r="G58" s="137">
        <v>746</v>
      </c>
      <c r="H58" s="137">
        <v>746</v>
      </c>
      <c r="I58" s="138">
        <v>0</v>
      </c>
      <c r="J58" s="139">
        <v>1</v>
      </c>
    </row>
    <row r="59" spans="1:10" x14ac:dyDescent="0.35">
      <c r="A59" s="148" t="s">
        <v>427</v>
      </c>
      <c r="B59" s="149" t="s">
        <v>428</v>
      </c>
      <c r="C59" s="295">
        <v>0</v>
      </c>
      <c r="D59" s="135">
        <v>0</v>
      </c>
      <c r="E59" s="136">
        <v>0</v>
      </c>
      <c r="F59" s="177">
        <v>0</v>
      </c>
      <c r="G59" s="137">
        <v>0</v>
      </c>
      <c r="H59" s="137">
        <v>0</v>
      </c>
      <c r="I59" s="138">
        <v>0</v>
      </c>
      <c r="J59" s="139">
        <v>0</v>
      </c>
    </row>
    <row r="60" spans="1:10" x14ac:dyDescent="0.35">
      <c r="A60" s="148" t="s">
        <v>429</v>
      </c>
      <c r="B60" s="149" t="s">
        <v>430</v>
      </c>
      <c r="C60" s="295">
        <v>0</v>
      </c>
      <c r="D60" s="135">
        <v>0</v>
      </c>
      <c r="E60" s="136">
        <v>0</v>
      </c>
      <c r="F60" s="177">
        <v>0</v>
      </c>
      <c r="G60" s="137">
        <v>10219</v>
      </c>
      <c r="H60" s="137">
        <v>10187</v>
      </c>
      <c r="I60" s="138">
        <v>32</v>
      </c>
      <c r="J60" s="139">
        <v>0.99686857813876117</v>
      </c>
    </row>
    <row r="61" spans="1:10" x14ac:dyDescent="0.35">
      <c r="A61" s="148" t="s">
        <v>431</v>
      </c>
      <c r="B61" s="149" t="s">
        <v>432</v>
      </c>
      <c r="C61" s="295">
        <v>0</v>
      </c>
      <c r="D61" s="135">
        <v>0</v>
      </c>
      <c r="E61" s="136">
        <v>0</v>
      </c>
      <c r="F61" s="177">
        <v>0</v>
      </c>
      <c r="G61" s="137">
        <v>20805</v>
      </c>
      <c r="H61" s="137">
        <v>20805</v>
      </c>
      <c r="I61" s="138">
        <v>0</v>
      </c>
      <c r="J61" s="139">
        <v>1</v>
      </c>
    </row>
    <row r="62" spans="1:10" x14ac:dyDescent="0.35">
      <c r="A62" s="148" t="s">
        <v>433</v>
      </c>
      <c r="B62" s="149" t="s">
        <v>434</v>
      </c>
      <c r="C62" s="295">
        <v>0</v>
      </c>
      <c r="D62" s="135">
        <v>0</v>
      </c>
      <c r="E62" s="136">
        <v>0</v>
      </c>
      <c r="F62" s="177">
        <v>0</v>
      </c>
      <c r="G62" s="137">
        <v>53860</v>
      </c>
      <c r="H62" s="137">
        <v>53860</v>
      </c>
      <c r="I62" s="138">
        <v>0</v>
      </c>
      <c r="J62" s="139">
        <v>1</v>
      </c>
    </row>
    <row r="63" spans="1:10" x14ac:dyDescent="0.35">
      <c r="A63" s="148" t="s">
        <v>435</v>
      </c>
      <c r="B63" s="149" t="s">
        <v>436</v>
      </c>
      <c r="C63" s="295">
        <v>29835</v>
      </c>
      <c r="D63" s="135">
        <v>28490</v>
      </c>
      <c r="E63" s="136">
        <v>1345</v>
      </c>
      <c r="F63" s="177">
        <v>0.95</v>
      </c>
      <c r="G63" s="137">
        <v>0</v>
      </c>
      <c r="H63" s="137">
        <v>0</v>
      </c>
      <c r="I63" s="138">
        <v>0</v>
      </c>
      <c r="J63" s="139">
        <v>0</v>
      </c>
    </row>
    <row r="64" spans="1:10" x14ac:dyDescent="0.35">
      <c r="A64" s="148" t="s">
        <v>437</v>
      </c>
      <c r="B64" s="149" t="s">
        <v>438</v>
      </c>
      <c r="C64" s="295">
        <v>0</v>
      </c>
      <c r="D64" s="135">
        <v>0</v>
      </c>
      <c r="E64" s="136">
        <v>0</v>
      </c>
      <c r="F64" s="177">
        <v>0</v>
      </c>
      <c r="G64" s="137">
        <v>0</v>
      </c>
      <c r="H64" s="137">
        <v>0</v>
      </c>
      <c r="I64" s="138">
        <v>0</v>
      </c>
      <c r="J64" s="139">
        <v>0</v>
      </c>
    </row>
    <row r="65" spans="1:10" x14ac:dyDescent="0.35">
      <c r="A65" s="148" t="s">
        <v>439</v>
      </c>
      <c r="B65" s="149" t="s">
        <v>440</v>
      </c>
      <c r="C65" s="295">
        <v>0</v>
      </c>
      <c r="D65" s="135">
        <v>0</v>
      </c>
      <c r="E65" s="136">
        <v>0</v>
      </c>
      <c r="F65" s="177">
        <v>0</v>
      </c>
      <c r="G65" s="137">
        <v>0</v>
      </c>
      <c r="H65" s="137">
        <v>0</v>
      </c>
      <c r="I65" s="138">
        <v>0</v>
      </c>
      <c r="J65" s="139">
        <v>0</v>
      </c>
    </row>
    <row r="66" spans="1:10" x14ac:dyDescent="0.35">
      <c r="A66" s="148" t="s">
        <v>441</v>
      </c>
      <c r="B66" s="149" t="s">
        <v>442</v>
      </c>
      <c r="C66" s="295">
        <v>32260</v>
      </c>
      <c r="D66" s="135">
        <v>22510</v>
      </c>
      <c r="E66" s="136">
        <v>9750</v>
      </c>
      <c r="F66" s="177">
        <v>0.7</v>
      </c>
      <c r="G66" s="137">
        <v>0</v>
      </c>
      <c r="H66" s="137">
        <v>0</v>
      </c>
      <c r="I66" s="138">
        <v>0</v>
      </c>
      <c r="J66" s="139">
        <v>0</v>
      </c>
    </row>
    <row r="67" spans="1:10" x14ac:dyDescent="0.35">
      <c r="A67" s="148" t="s">
        <v>443</v>
      </c>
      <c r="B67" s="149" t="s">
        <v>444</v>
      </c>
      <c r="C67" s="295">
        <v>5140</v>
      </c>
      <c r="D67" s="135">
        <v>3705</v>
      </c>
      <c r="E67" s="136">
        <v>1435</v>
      </c>
      <c r="F67" s="177">
        <v>0.72</v>
      </c>
      <c r="G67" s="137">
        <v>0</v>
      </c>
      <c r="H67" s="137">
        <v>0</v>
      </c>
      <c r="I67" s="138">
        <v>0</v>
      </c>
      <c r="J67" s="139">
        <v>0</v>
      </c>
    </row>
    <row r="68" spans="1:10" x14ac:dyDescent="0.35">
      <c r="A68" s="148" t="s">
        <v>445</v>
      </c>
      <c r="B68" s="149" t="s">
        <v>446</v>
      </c>
      <c r="C68" s="295">
        <v>2595</v>
      </c>
      <c r="D68" s="135">
        <v>2280</v>
      </c>
      <c r="E68" s="136">
        <v>315</v>
      </c>
      <c r="F68" s="177">
        <v>0.88</v>
      </c>
      <c r="G68" s="137">
        <v>0</v>
      </c>
      <c r="H68" s="137">
        <v>0</v>
      </c>
      <c r="I68" s="138">
        <v>0</v>
      </c>
      <c r="J68" s="139">
        <v>0</v>
      </c>
    </row>
    <row r="69" spans="1:10" x14ac:dyDescent="0.35">
      <c r="A69" s="148" t="s">
        <v>447</v>
      </c>
      <c r="B69" s="149" t="s">
        <v>448</v>
      </c>
      <c r="C69" s="295">
        <v>0</v>
      </c>
      <c r="D69" s="135">
        <v>0</v>
      </c>
      <c r="E69" s="136">
        <v>0</v>
      </c>
      <c r="F69" s="177">
        <v>0</v>
      </c>
      <c r="G69" s="137">
        <v>75650</v>
      </c>
      <c r="H69" s="137">
        <v>73209</v>
      </c>
      <c r="I69" s="138">
        <v>2441</v>
      </c>
      <c r="J69" s="139">
        <v>0.96773298083278259</v>
      </c>
    </row>
    <row r="70" spans="1:10" x14ac:dyDescent="0.35">
      <c r="A70" s="148" t="s">
        <v>449</v>
      </c>
      <c r="B70" s="149" t="s">
        <v>450</v>
      </c>
      <c r="C70" s="295">
        <v>140835</v>
      </c>
      <c r="D70" s="135">
        <v>125425</v>
      </c>
      <c r="E70" s="136">
        <v>15410</v>
      </c>
      <c r="F70" s="177">
        <v>0.89</v>
      </c>
      <c r="G70" s="137">
        <v>0</v>
      </c>
      <c r="H70" s="137">
        <v>0</v>
      </c>
      <c r="I70" s="138">
        <v>0</v>
      </c>
      <c r="J70" s="139">
        <v>0</v>
      </c>
    </row>
    <row r="71" spans="1:10" x14ac:dyDescent="0.35">
      <c r="A71" s="148" t="s">
        <v>451</v>
      </c>
      <c r="B71" s="149" t="s">
        <v>452</v>
      </c>
      <c r="C71" s="295">
        <v>0</v>
      </c>
      <c r="D71" s="135">
        <v>0</v>
      </c>
      <c r="E71" s="136">
        <v>0</v>
      </c>
      <c r="F71" s="177">
        <v>0</v>
      </c>
      <c r="G71" s="137">
        <v>44180</v>
      </c>
      <c r="H71" s="137">
        <v>35901</v>
      </c>
      <c r="I71" s="138">
        <v>8279</v>
      </c>
      <c r="J71" s="139">
        <v>0.81260751471253956</v>
      </c>
    </row>
    <row r="72" spans="1:10" x14ac:dyDescent="0.35">
      <c r="A72" s="148" t="s">
        <v>453</v>
      </c>
      <c r="B72" s="149" t="s">
        <v>454</v>
      </c>
      <c r="C72" s="295">
        <v>0</v>
      </c>
      <c r="D72" s="135">
        <v>0</v>
      </c>
      <c r="E72" s="136">
        <v>0</v>
      </c>
      <c r="F72" s="177">
        <v>0</v>
      </c>
      <c r="G72" s="137">
        <v>32604</v>
      </c>
      <c r="H72" s="137">
        <v>32604</v>
      </c>
      <c r="I72" s="138">
        <v>0</v>
      </c>
      <c r="J72" s="139">
        <v>1</v>
      </c>
    </row>
    <row r="73" spans="1:10" x14ac:dyDescent="0.35">
      <c r="A73" s="148" t="s">
        <v>455</v>
      </c>
      <c r="B73" s="149" t="s">
        <v>456</v>
      </c>
      <c r="C73" s="295">
        <v>0</v>
      </c>
      <c r="D73" s="135">
        <v>0</v>
      </c>
      <c r="E73" s="136">
        <v>0</v>
      </c>
      <c r="F73" s="177">
        <v>0</v>
      </c>
      <c r="G73" s="137">
        <v>31595</v>
      </c>
      <c r="H73" s="137">
        <v>27524</v>
      </c>
      <c r="I73" s="138">
        <v>4071</v>
      </c>
      <c r="J73" s="139">
        <v>0.87115049849659754</v>
      </c>
    </row>
    <row r="74" spans="1:10" x14ac:dyDescent="0.35">
      <c r="A74" s="148" t="s">
        <v>457</v>
      </c>
      <c r="B74" s="149" t="s">
        <v>458</v>
      </c>
      <c r="C74" s="295">
        <v>0</v>
      </c>
      <c r="D74" s="135">
        <v>0</v>
      </c>
      <c r="E74" s="136">
        <v>0</v>
      </c>
      <c r="F74" s="177">
        <v>0</v>
      </c>
      <c r="G74" s="137">
        <v>15887</v>
      </c>
      <c r="H74" s="137">
        <v>15706</v>
      </c>
      <c r="I74" s="138">
        <v>181</v>
      </c>
      <c r="J74" s="139">
        <v>0.98860703720022658</v>
      </c>
    </row>
    <row r="75" spans="1:10" x14ac:dyDescent="0.35">
      <c r="A75" s="148" t="s">
        <v>459</v>
      </c>
      <c r="B75" s="149" t="s">
        <v>460</v>
      </c>
      <c r="C75" s="295">
        <v>40015</v>
      </c>
      <c r="D75" s="135">
        <v>36045</v>
      </c>
      <c r="E75" s="136">
        <v>3970</v>
      </c>
      <c r="F75" s="177">
        <v>0.9</v>
      </c>
      <c r="G75" s="137">
        <v>21591</v>
      </c>
      <c r="H75" s="137">
        <v>21407</v>
      </c>
      <c r="I75" s="138">
        <v>184</v>
      </c>
      <c r="J75" s="139">
        <v>0.9914779306192395</v>
      </c>
    </row>
    <row r="76" spans="1:10" x14ac:dyDescent="0.35">
      <c r="A76" s="148" t="s">
        <v>461</v>
      </c>
      <c r="B76" s="149" t="s">
        <v>462</v>
      </c>
      <c r="C76" s="295">
        <v>0</v>
      </c>
      <c r="D76" s="135">
        <v>0</v>
      </c>
      <c r="E76" s="136">
        <v>0</v>
      </c>
      <c r="F76" s="177">
        <v>0</v>
      </c>
      <c r="G76" s="137">
        <v>63627</v>
      </c>
      <c r="H76" s="137">
        <v>56857</v>
      </c>
      <c r="I76" s="138">
        <v>6770</v>
      </c>
      <c r="J76" s="139">
        <v>0.89359862951262825</v>
      </c>
    </row>
    <row r="77" spans="1:10" x14ac:dyDescent="0.35">
      <c r="A77" s="148" t="s">
        <v>463</v>
      </c>
      <c r="B77" s="149" t="s">
        <v>464</v>
      </c>
      <c r="C77" s="295">
        <v>0</v>
      </c>
      <c r="D77" s="135">
        <v>0</v>
      </c>
      <c r="E77" s="136">
        <v>0</v>
      </c>
      <c r="F77" s="177">
        <v>0</v>
      </c>
      <c r="G77" s="137">
        <v>19208</v>
      </c>
      <c r="H77" s="137">
        <v>19174</v>
      </c>
      <c r="I77" s="138">
        <v>34</v>
      </c>
      <c r="J77" s="139">
        <v>0.99822990420658064</v>
      </c>
    </row>
    <row r="78" spans="1:10" x14ac:dyDescent="0.35">
      <c r="A78" s="148" t="s">
        <v>465</v>
      </c>
      <c r="B78" s="149" t="s">
        <v>466</v>
      </c>
      <c r="C78" s="295">
        <v>0</v>
      </c>
      <c r="D78" s="135">
        <v>0</v>
      </c>
      <c r="E78" s="136">
        <v>0</v>
      </c>
      <c r="F78" s="177">
        <v>0</v>
      </c>
      <c r="G78" s="137">
        <v>4904</v>
      </c>
      <c r="H78" s="137">
        <v>4904</v>
      </c>
      <c r="I78" s="138">
        <v>0</v>
      </c>
      <c r="J78" s="139">
        <v>1</v>
      </c>
    </row>
    <row r="79" spans="1:10" x14ac:dyDescent="0.35">
      <c r="A79" s="148" t="s">
        <v>467</v>
      </c>
      <c r="B79" s="149" t="s">
        <v>468</v>
      </c>
      <c r="C79" s="295">
        <v>0</v>
      </c>
      <c r="D79" s="135">
        <v>0</v>
      </c>
      <c r="E79" s="136">
        <v>0</v>
      </c>
      <c r="F79" s="177">
        <v>0</v>
      </c>
      <c r="G79" s="137">
        <v>3286</v>
      </c>
      <c r="H79" s="137">
        <v>3286</v>
      </c>
      <c r="I79" s="138">
        <v>0</v>
      </c>
      <c r="J79" s="139">
        <v>1</v>
      </c>
    </row>
    <row r="80" spans="1:10" x14ac:dyDescent="0.35">
      <c r="A80" s="148" t="s">
        <v>469</v>
      </c>
      <c r="B80" s="149" t="s">
        <v>470</v>
      </c>
      <c r="C80" s="295">
        <v>0</v>
      </c>
      <c r="D80" s="135">
        <v>0</v>
      </c>
      <c r="E80" s="136">
        <v>0</v>
      </c>
      <c r="F80" s="177">
        <v>0</v>
      </c>
      <c r="G80" s="137">
        <v>35320</v>
      </c>
      <c r="H80" s="137">
        <v>35320</v>
      </c>
      <c r="I80" s="138">
        <v>0</v>
      </c>
      <c r="J80" s="139">
        <v>1</v>
      </c>
    </row>
    <row r="81" spans="1:10" x14ac:dyDescent="0.35">
      <c r="A81" s="148" t="s">
        <v>471</v>
      </c>
      <c r="B81" s="149" t="s">
        <v>472</v>
      </c>
      <c r="C81" s="295">
        <v>0</v>
      </c>
      <c r="D81" s="135">
        <v>0</v>
      </c>
      <c r="E81" s="136">
        <v>0</v>
      </c>
      <c r="F81" s="177">
        <v>0</v>
      </c>
      <c r="G81" s="137">
        <v>4237</v>
      </c>
      <c r="H81" s="137">
        <v>4236</v>
      </c>
      <c r="I81" s="138">
        <v>1</v>
      </c>
      <c r="J81" s="139">
        <v>0.99976398395090871</v>
      </c>
    </row>
    <row r="82" spans="1:10" x14ac:dyDescent="0.35">
      <c r="A82" s="148" t="s">
        <v>473</v>
      </c>
      <c r="B82" s="149" t="s">
        <v>474</v>
      </c>
      <c r="C82" s="295">
        <v>0</v>
      </c>
      <c r="D82" s="135">
        <v>0</v>
      </c>
      <c r="E82" s="136">
        <v>0</v>
      </c>
      <c r="F82" s="177">
        <v>0</v>
      </c>
      <c r="G82" s="137">
        <v>0</v>
      </c>
      <c r="H82" s="137">
        <v>0</v>
      </c>
      <c r="I82" s="138">
        <v>0</v>
      </c>
      <c r="J82" s="139">
        <v>0</v>
      </c>
    </row>
    <row r="83" spans="1:10" x14ac:dyDescent="0.35">
      <c r="A83" s="148" t="s">
        <v>475</v>
      </c>
      <c r="B83" s="149" t="s">
        <v>476</v>
      </c>
      <c r="C83" s="295">
        <v>0</v>
      </c>
      <c r="D83" s="135">
        <v>0</v>
      </c>
      <c r="E83" s="136">
        <v>0</v>
      </c>
      <c r="F83" s="177">
        <v>0</v>
      </c>
      <c r="G83" s="137">
        <v>0</v>
      </c>
      <c r="H83" s="137">
        <v>0</v>
      </c>
      <c r="I83" s="138">
        <v>0</v>
      </c>
      <c r="J83" s="139">
        <v>0</v>
      </c>
    </row>
    <row r="84" spans="1:10" x14ac:dyDescent="0.35">
      <c r="A84" s="148" t="s">
        <v>477</v>
      </c>
      <c r="B84" s="149" t="s">
        <v>478</v>
      </c>
      <c r="C84" s="295">
        <v>27490</v>
      </c>
      <c r="D84" s="135">
        <v>18850</v>
      </c>
      <c r="E84" s="136">
        <v>8640</v>
      </c>
      <c r="F84" s="177">
        <v>0.69</v>
      </c>
      <c r="G84" s="137">
        <v>0</v>
      </c>
      <c r="H84" s="137">
        <v>0</v>
      </c>
      <c r="I84" s="138">
        <v>0</v>
      </c>
      <c r="J84" s="139">
        <v>0</v>
      </c>
    </row>
    <row r="85" spans="1:10" x14ac:dyDescent="0.35">
      <c r="A85" s="148" t="s">
        <v>479</v>
      </c>
      <c r="B85" s="149" t="s">
        <v>480</v>
      </c>
      <c r="C85" s="295">
        <v>0</v>
      </c>
      <c r="D85" s="135">
        <v>0</v>
      </c>
      <c r="E85" s="136">
        <v>0</v>
      </c>
      <c r="F85" s="177">
        <v>0</v>
      </c>
      <c r="G85" s="137">
        <v>0</v>
      </c>
      <c r="H85" s="137">
        <v>0</v>
      </c>
      <c r="I85" s="138">
        <v>0</v>
      </c>
      <c r="J85" s="139">
        <v>0</v>
      </c>
    </row>
    <row r="86" spans="1:10" x14ac:dyDescent="0.35">
      <c r="A86" s="148" t="s">
        <v>482</v>
      </c>
      <c r="B86" s="149" t="s">
        <v>483</v>
      </c>
      <c r="C86" s="295">
        <v>0</v>
      </c>
      <c r="D86" s="135">
        <v>0</v>
      </c>
      <c r="E86" s="136">
        <v>0</v>
      </c>
      <c r="F86" s="177">
        <v>0</v>
      </c>
      <c r="G86" s="137">
        <v>19209</v>
      </c>
      <c r="H86" s="137">
        <v>19209</v>
      </c>
      <c r="I86" s="138">
        <v>0</v>
      </c>
      <c r="J86" s="139">
        <v>1</v>
      </c>
    </row>
    <row r="87" spans="1:10" x14ac:dyDescent="0.35">
      <c r="A87" s="148" t="s">
        <v>619</v>
      </c>
      <c r="B87" s="149" t="s">
        <v>484</v>
      </c>
      <c r="C87" s="295">
        <v>19285</v>
      </c>
      <c r="D87" s="135">
        <v>18790</v>
      </c>
      <c r="E87" s="136">
        <v>495</v>
      </c>
      <c r="F87" s="177">
        <v>0.97</v>
      </c>
      <c r="G87" s="137">
        <v>21699</v>
      </c>
      <c r="H87" s="137">
        <v>21196</v>
      </c>
      <c r="I87" s="138">
        <v>503</v>
      </c>
      <c r="J87" s="139">
        <v>0.97681920825844504</v>
      </c>
    </row>
    <row r="88" spans="1:10" x14ac:dyDescent="0.35">
      <c r="A88" s="148" t="s">
        <v>610</v>
      </c>
      <c r="B88" s="149" t="s">
        <v>485</v>
      </c>
      <c r="C88" s="295">
        <v>28455</v>
      </c>
      <c r="D88" s="135">
        <v>27570</v>
      </c>
      <c r="E88" s="136">
        <v>885</v>
      </c>
      <c r="F88" s="177">
        <v>0.97</v>
      </c>
      <c r="G88" s="137">
        <v>0</v>
      </c>
      <c r="H88" s="137">
        <v>0</v>
      </c>
      <c r="I88" s="138">
        <v>0</v>
      </c>
      <c r="J88" s="139">
        <v>0</v>
      </c>
    </row>
    <row r="89" spans="1:10" x14ac:dyDescent="0.35">
      <c r="A89" s="148" t="s">
        <v>620</v>
      </c>
      <c r="B89" s="149" t="s">
        <v>486</v>
      </c>
      <c r="C89" s="295">
        <v>7680</v>
      </c>
      <c r="D89" s="135">
        <v>7510</v>
      </c>
      <c r="E89" s="136">
        <v>170</v>
      </c>
      <c r="F89" s="177">
        <v>0.98</v>
      </c>
      <c r="G89" s="137">
        <v>8391</v>
      </c>
      <c r="H89" s="137">
        <v>8211</v>
      </c>
      <c r="I89" s="138">
        <v>180</v>
      </c>
      <c r="J89" s="139">
        <v>0.97854844476224523</v>
      </c>
    </row>
    <row r="90" spans="1:10" x14ac:dyDescent="0.35">
      <c r="A90" s="148" t="s">
        <v>487</v>
      </c>
      <c r="B90" s="149" t="s">
        <v>488</v>
      </c>
      <c r="C90" s="295">
        <v>0</v>
      </c>
      <c r="D90" s="135">
        <v>0</v>
      </c>
      <c r="E90" s="136">
        <v>0</v>
      </c>
      <c r="F90" s="177">
        <v>0</v>
      </c>
      <c r="G90" s="137">
        <v>49024</v>
      </c>
      <c r="H90" s="137">
        <v>49024</v>
      </c>
      <c r="I90" s="138">
        <v>0</v>
      </c>
      <c r="J90" s="139">
        <v>1</v>
      </c>
    </row>
    <row r="91" spans="1:10" x14ac:dyDescent="0.35">
      <c r="A91" s="148" t="s">
        <v>489</v>
      </c>
      <c r="B91" s="149" t="s">
        <v>490</v>
      </c>
      <c r="C91" s="295">
        <v>0</v>
      </c>
      <c r="D91" s="135">
        <v>0</v>
      </c>
      <c r="E91" s="136">
        <v>0</v>
      </c>
      <c r="F91" s="177">
        <v>0</v>
      </c>
      <c r="G91" s="137">
        <v>58726</v>
      </c>
      <c r="H91" s="137">
        <v>50454</v>
      </c>
      <c r="I91" s="138">
        <v>8272</v>
      </c>
      <c r="J91" s="139">
        <v>0.85914245819568846</v>
      </c>
    </row>
    <row r="92" spans="1:10" x14ac:dyDescent="0.35">
      <c r="A92" s="148" t="s">
        <v>491</v>
      </c>
      <c r="B92" s="149" t="s">
        <v>492</v>
      </c>
      <c r="C92" s="295">
        <v>58665</v>
      </c>
      <c r="D92" s="135">
        <v>50390</v>
      </c>
      <c r="E92" s="136">
        <v>8275</v>
      </c>
      <c r="F92" s="177">
        <v>0.86</v>
      </c>
      <c r="G92" s="137">
        <v>0</v>
      </c>
      <c r="H92" s="137">
        <v>0</v>
      </c>
      <c r="I92" s="138">
        <v>0</v>
      </c>
      <c r="J92" s="139">
        <v>0</v>
      </c>
    </row>
    <row r="93" spans="1:10" x14ac:dyDescent="0.35">
      <c r="A93" s="148" t="s">
        <v>493</v>
      </c>
      <c r="B93" s="149" t="s">
        <v>494</v>
      </c>
      <c r="C93" s="295">
        <v>0</v>
      </c>
      <c r="D93" s="135">
        <v>0</v>
      </c>
      <c r="E93" s="136">
        <v>0</v>
      </c>
      <c r="F93" s="177">
        <v>0</v>
      </c>
      <c r="G93" s="137">
        <v>66153</v>
      </c>
      <c r="H93" s="137">
        <v>63319</v>
      </c>
      <c r="I93" s="138">
        <v>2834</v>
      </c>
      <c r="J93" s="139">
        <v>0.9571599171617311</v>
      </c>
    </row>
    <row r="94" spans="1:10" x14ac:dyDescent="0.35">
      <c r="A94" s="148" t="s">
        <v>621</v>
      </c>
      <c r="B94" s="149" t="s">
        <v>495</v>
      </c>
      <c r="C94" s="295">
        <v>67660</v>
      </c>
      <c r="D94" s="135">
        <v>57020</v>
      </c>
      <c r="E94" s="136">
        <v>10640</v>
      </c>
      <c r="F94" s="177">
        <v>0.84</v>
      </c>
      <c r="G94" s="137">
        <v>69946</v>
      </c>
      <c r="H94" s="137">
        <v>67181</v>
      </c>
      <c r="I94" s="138">
        <v>2765</v>
      </c>
      <c r="J94" s="139">
        <v>0.96046950504675033</v>
      </c>
    </row>
    <row r="95" spans="1:10" x14ac:dyDescent="0.35">
      <c r="A95" s="148" t="s">
        <v>496</v>
      </c>
      <c r="B95" s="149" t="s">
        <v>497</v>
      </c>
      <c r="C95" s="295">
        <v>64300</v>
      </c>
      <c r="D95" s="135">
        <v>58010</v>
      </c>
      <c r="E95" s="136">
        <v>6290</v>
      </c>
      <c r="F95" s="177">
        <v>0.9</v>
      </c>
      <c r="G95" s="137">
        <v>0</v>
      </c>
      <c r="H95" s="137">
        <v>0</v>
      </c>
      <c r="I95" s="138">
        <v>0</v>
      </c>
      <c r="J95" s="139">
        <v>0</v>
      </c>
    </row>
    <row r="96" spans="1:10" x14ac:dyDescent="0.35">
      <c r="A96" s="148" t="s">
        <v>498</v>
      </c>
      <c r="B96" s="149" t="s">
        <v>499</v>
      </c>
      <c r="C96" s="295">
        <v>4230</v>
      </c>
      <c r="D96" s="135">
        <v>4200</v>
      </c>
      <c r="E96" s="136">
        <v>30</v>
      </c>
      <c r="F96" s="177">
        <v>0.99</v>
      </c>
      <c r="G96" s="137">
        <v>0</v>
      </c>
      <c r="H96" s="137">
        <v>0</v>
      </c>
      <c r="I96" s="138">
        <v>0</v>
      </c>
      <c r="J96" s="139">
        <v>0</v>
      </c>
    </row>
    <row r="97" spans="1:10" x14ac:dyDescent="0.35">
      <c r="A97" s="148" t="s">
        <v>622</v>
      </c>
      <c r="B97" s="149" t="s">
        <v>500</v>
      </c>
      <c r="C97" s="295">
        <v>21125</v>
      </c>
      <c r="D97" s="135">
        <v>19645</v>
      </c>
      <c r="E97" s="136">
        <v>1475</v>
      </c>
      <c r="F97" s="177">
        <v>0.93</v>
      </c>
      <c r="G97" s="137">
        <v>34554</v>
      </c>
      <c r="H97" s="137">
        <v>33451</v>
      </c>
      <c r="I97" s="138">
        <v>1103</v>
      </c>
      <c r="J97" s="139">
        <v>0.96807894889158996</v>
      </c>
    </row>
    <row r="98" spans="1:10" x14ac:dyDescent="0.35">
      <c r="A98" s="148" t="s">
        <v>623</v>
      </c>
      <c r="B98" s="149" t="s">
        <v>501</v>
      </c>
      <c r="C98" s="295">
        <v>23260</v>
      </c>
      <c r="D98" s="135">
        <v>21275</v>
      </c>
      <c r="E98" s="136">
        <v>1985</v>
      </c>
      <c r="F98" s="177">
        <v>0.91</v>
      </c>
      <c r="G98" s="137">
        <v>38331</v>
      </c>
      <c r="H98" s="137">
        <v>36496</v>
      </c>
      <c r="I98" s="138">
        <v>1835</v>
      </c>
      <c r="J98" s="139">
        <v>0.95212752080561425</v>
      </c>
    </row>
    <row r="99" spans="1:10" x14ac:dyDescent="0.35">
      <c r="A99" s="148" t="s">
        <v>502</v>
      </c>
      <c r="B99" s="149" t="s">
        <v>503</v>
      </c>
      <c r="C99" s="295">
        <v>0</v>
      </c>
      <c r="D99" s="135">
        <v>0</v>
      </c>
      <c r="E99" s="136">
        <v>0</v>
      </c>
      <c r="F99" s="177">
        <v>0</v>
      </c>
      <c r="G99" s="137">
        <v>11109</v>
      </c>
      <c r="H99" s="137">
        <v>11094</v>
      </c>
      <c r="I99" s="138">
        <v>15</v>
      </c>
      <c r="J99" s="139">
        <v>0.99864974345125579</v>
      </c>
    </row>
    <row r="100" spans="1:10" x14ac:dyDescent="0.35">
      <c r="A100" s="148" t="s">
        <v>624</v>
      </c>
      <c r="B100" s="149" t="s">
        <v>625</v>
      </c>
      <c r="C100" s="295">
        <v>24810</v>
      </c>
      <c r="D100" s="135">
        <v>24810</v>
      </c>
      <c r="E100" s="136">
        <v>0</v>
      </c>
      <c r="F100" s="177">
        <v>1</v>
      </c>
      <c r="G100" s="137">
        <v>0</v>
      </c>
      <c r="H100" s="137">
        <v>0</v>
      </c>
      <c r="I100" s="138">
        <v>0</v>
      </c>
      <c r="J100" s="139">
        <v>0</v>
      </c>
    </row>
    <row r="101" spans="1:10" x14ac:dyDescent="0.35">
      <c r="A101" s="148" t="s">
        <v>504</v>
      </c>
      <c r="B101" s="149" t="s">
        <v>505</v>
      </c>
      <c r="C101" s="295">
        <v>3970</v>
      </c>
      <c r="D101" s="135">
        <v>3825</v>
      </c>
      <c r="E101" s="136">
        <v>145</v>
      </c>
      <c r="F101" s="177">
        <v>0.96</v>
      </c>
      <c r="G101" s="137">
        <v>0</v>
      </c>
      <c r="H101" s="137">
        <v>0</v>
      </c>
      <c r="I101" s="138">
        <v>0</v>
      </c>
      <c r="J101" s="139">
        <v>0</v>
      </c>
    </row>
    <row r="102" spans="1:10" x14ac:dyDescent="0.35">
      <c r="A102" s="148" t="s">
        <v>66</v>
      </c>
      <c r="B102" s="149" t="s">
        <v>65</v>
      </c>
      <c r="C102" s="295">
        <v>475165</v>
      </c>
      <c r="D102" s="135">
        <v>276475</v>
      </c>
      <c r="E102" s="136">
        <v>198690</v>
      </c>
      <c r="F102" s="177">
        <v>0.57999999999999996</v>
      </c>
      <c r="G102" s="137">
        <v>483880</v>
      </c>
      <c r="H102" s="137">
        <v>285489</v>
      </c>
      <c r="I102" s="138">
        <v>198391</v>
      </c>
      <c r="J102" s="139">
        <v>0.58999958667438213</v>
      </c>
    </row>
    <row r="103" spans="1:10" x14ac:dyDescent="0.35">
      <c r="A103" s="148" t="s">
        <v>68</v>
      </c>
      <c r="B103" s="149" t="s">
        <v>67</v>
      </c>
      <c r="C103" s="297">
        <v>239185</v>
      </c>
      <c r="D103" s="301">
        <v>173020</v>
      </c>
      <c r="E103" s="302">
        <v>66165</v>
      </c>
      <c r="F103" s="177">
        <v>0.72</v>
      </c>
      <c r="G103" s="137">
        <v>238014</v>
      </c>
      <c r="H103" s="137">
        <v>171876</v>
      </c>
      <c r="I103" s="138">
        <v>66138</v>
      </c>
      <c r="J103" s="139">
        <v>0.72212558925105241</v>
      </c>
    </row>
    <row r="104" spans="1:10" x14ac:dyDescent="0.35">
      <c r="A104" s="287" t="s">
        <v>506</v>
      </c>
      <c r="B104" s="288" t="s">
        <v>507</v>
      </c>
      <c r="C104" s="307">
        <v>162185</v>
      </c>
      <c r="D104" s="305">
        <v>0</v>
      </c>
      <c r="E104" s="305">
        <v>0</v>
      </c>
      <c r="F104" s="294">
        <v>0</v>
      </c>
      <c r="G104" s="289">
        <v>158191</v>
      </c>
      <c r="H104" s="289">
        <v>0</v>
      </c>
      <c r="I104" s="290">
        <v>0</v>
      </c>
      <c r="J104" s="291">
        <v>0</v>
      </c>
    </row>
    <row r="105" spans="1:10" x14ac:dyDescent="0.35">
      <c r="A105" s="148" t="s">
        <v>508</v>
      </c>
      <c r="B105" s="149" t="s">
        <v>509</v>
      </c>
      <c r="C105" s="298">
        <v>33445</v>
      </c>
      <c r="D105" s="306">
        <v>33065</v>
      </c>
      <c r="E105" s="306">
        <v>380</v>
      </c>
      <c r="F105" s="139">
        <v>0.99</v>
      </c>
      <c r="G105" s="137">
        <v>33364</v>
      </c>
      <c r="H105" s="137">
        <v>33329</v>
      </c>
      <c r="I105" s="138">
        <v>35</v>
      </c>
      <c r="J105" s="139">
        <v>0.99895096511209691</v>
      </c>
    </row>
    <row r="106" spans="1:10" x14ac:dyDescent="0.35">
      <c r="A106" s="148" t="s">
        <v>70</v>
      </c>
      <c r="B106" s="149" t="s">
        <v>69</v>
      </c>
      <c r="C106" s="295">
        <v>46155</v>
      </c>
      <c r="D106" s="306">
        <v>29465</v>
      </c>
      <c r="E106" s="306">
        <v>16685</v>
      </c>
      <c r="F106" s="139">
        <v>0.64</v>
      </c>
      <c r="G106" s="137">
        <v>68419</v>
      </c>
      <c r="H106" s="137">
        <v>52046</v>
      </c>
      <c r="I106" s="138">
        <v>16373</v>
      </c>
      <c r="J106" s="139">
        <v>0.76069512854616406</v>
      </c>
    </row>
    <row r="107" spans="1:10" x14ac:dyDescent="0.35">
      <c r="A107" s="148" t="s">
        <v>72</v>
      </c>
      <c r="B107" s="149" t="s">
        <v>71</v>
      </c>
      <c r="C107" s="295">
        <v>367555</v>
      </c>
      <c r="D107" s="306">
        <v>217640</v>
      </c>
      <c r="E107" s="306">
        <v>149910</v>
      </c>
      <c r="F107" s="139">
        <v>0.59</v>
      </c>
      <c r="G107" s="137">
        <v>514816</v>
      </c>
      <c r="H107" s="137">
        <v>348750</v>
      </c>
      <c r="I107" s="138">
        <v>166066</v>
      </c>
      <c r="J107" s="139">
        <v>0.67742649801093979</v>
      </c>
    </row>
    <row r="108" spans="1:10" x14ac:dyDescent="0.35">
      <c r="A108" s="148" t="s">
        <v>74</v>
      </c>
      <c r="B108" s="149" t="s">
        <v>73</v>
      </c>
      <c r="C108" s="295">
        <v>175745</v>
      </c>
      <c r="D108" s="306">
        <v>80185</v>
      </c>
      <c r="E108" s="306">
        <v>95555</v>
      </c>
      <c r="F108" s="139">
        <v>0.46</v>
      </c>
      <c r="G108" s="137">
        <v>322600</v>
      </c>
      <c r="H108" s="137">
        <v>226921</v>
      </c>
      <c r="I108" s="138">
        <v>95679</v>
      </c>
      <c r="J108" s="139">
        <v>0.70341289522628647</v>
      </c>
    </row>
    <row r="109" spans="1:10" x14ac:dyDescent="0.35">
      <c r="A109" s="148" t="s">
        <v>76</v>
      </c>
      <c r="B109" s="149" t="s">
        <v>75</v>
      </c>
      <c r="C109" s="295">
        <v>90365</v>
      </c>
      <c r="D109" s="306">
        <v>54780</v>
      </c>
      <c r="E109" s="306">
        <v>35585</v>
      </c>
      <c r="F109" s="139">
        <v>0.61</v>
      </c>
      <c r="G109" s="137">
        <v>78404</v>
      </c>
      <c r="H109" s="137">
        <v>43296</v>
      </c>
      <c r="I109" s="138">
        <v>35108</v>
      </c>
      <c r="J109" s="139">
        <v>0.55221672363654917</v>
      </c>
    </row>
    <row r="110" spans="1:10" x14ac:dyDescent="0.35">
      <c r="A110" s="148" t="s">
        <v>78</v>
      </c>
      <c r="B110" s="149" t="s">
        <v>77</v>
      </c>
      <c r="C110" s="295">
        <v>66450</v>
      </c>
      <c r="D110" s="306">
        <v>50590</v>
      </c>
      <c r="E110" s="306">
        <v>15860</v>
      </c>
      <c r="F110" s="139">
        <v>0.76</v>
      </c>
      <c r="G110" s="137">
        <v>66631</v>
      </c>
      <c r="H110" s="137">
        <v>48733</v>
      </c>
      <c r="I110" s="138">
        <v>17898</v>
      </c>
      <c r="J110" s="139">
        <v>0.7313862916660413</v>
      </c>
    </row>
    <row r="111" spans="1:10" x14ac:dyDescent="0.35">
      <c r="A111" s="148" t="s">
        <v>80</v>
      </c>
      <c r="B111" s="149" t="s">
        <v>79</v>
      </c>
      <c r="C111" s="295">
        <v>193335</v>
      </c>
      <c r="D111" s="306">
        <v>117815</v>
      </c>
      <c r="E111" s="306">
        <v>75515</v>
      </c>
      <c r="F111" s="139">
        <v>0.61</v>
      </c>
      <c r="G111" s="137">
        <v>193472</v>
      </c>
      <c r="H111" s="137">
        <v>117908</v>
      </c>
      <c r="I111" s="138">
        <v>75564</v>
      </c>
      <c r="J111" s="139">
        <v>0.60943185577241155</v>
      </c>
    </row>
    <row r="112" spans="1:10" x14ac:dyDescent="0.35">
      <c r="A112" s="148" t="s">
        <v>82</v>
      </c>
      <c r="B112" s="149" t="s">
        <v>81</v>
      </c>
      <c r="C112" s="295">
        <v>104860</v>
      </c>
      <c r="D112" s="306">
        <v>59135</v>
      </c>
      <c r="E112" s="306">
        <v>45725</v>
      </c>
      <c r="F112" s="139">
        <v>0.56000000000000005</v>
      </c>
      <c r="G112" s="137">
        <v>104085</v>
      </c>
      <c r="H112" s="137">
        <v>59576</v>
      </c>
      <c r="I112" s="138">
        <v>44509</v>
      </c>
      <c r="J112" s="139">
        <v>0.57237834462218384</v>
      </c>
    </row>
    <row r="113" spans="1:10" x14ac:dyDescent="0.35">
      <c r="A113" s="148" t="s">
        <v>84</v>
      </c>
      <c r="B113" s="149" t="s">
        <v>83</v>
      </c>
      <c r="C113" s="295">
        <v>140875</v>
      </c>
      <c r="D113" s="306">
        <v>102465</v>
      </c>
      <c r="E113" s="306">
        <v>38410</v>
      </c>
      <c r="F113" s="139">
        <v>0.73</v>
      </c>
      <c r="G113" s="137">
        <v>140764</v>
      </c>
      <c r="H113" s="137">
        <v>102649</v>
      </c>
      <c r="I113" s="138">
        <v>38115</v>
      </c>
      <c r="J113" s="139">
        <v>0.72922764343155921</v>
      </c>
    </row>
    <row r="114" spans="1:10" x14ac:dyDescent="0.35">
      <c r="A114" s="148" t="s">
        <v>86</v>
      </c>
      <c r="B114" s="149" t="s">
        <v>85</v>
      </c>
      <c r="C114" s="295">
        <v>383525</v>
      </c>
      <c r="D114" s="306">
        <v>234810</v>
      </c>
      <c r="E114" s="306">
        <v>148715</v>
      </c>
      <c r="F114" s="139">
        <v>0.61</v>
      </c>
      <c r="G114" s="137">
        <v>382943</v>
      </c>
      <c r="H114" s="137">
        <v>246332</v>
      </c>
      <c r="I114" s="138">
        <v>136611</v>
      </c>
      <c r="J114" s="139">
        <v>0.64326022410645967</v>
      </c>
    </row>
    <row r="115" spans="1:10" x14ac:dyDescent="0.35">
      <c r="A115" s="148" t="s">
        <v>88</v>
      </c>
      <c r="B115" s="149" t="s">
        <v>87</v>
      </c>
      <c r="C115" s="295">
        <v>302300</v>
      </c>
      <c r="D115" s="306">
        <v>196360</v>
      </c>
      <c r="E115" s="306">
        <v>105940</v>
      </c>
      <c r="F115" s="139">
        <v>0.65</v>
      </c>
      <c r="G115" s="137">
        <v>305052</v>
      </c>
      <c r="H115" s="137">
        <v>197770</v>
      </c>
      <c r="I115" s="138">
        <v>107282</v>
      </c>
      <c r="J115" s="139">
        <v>0.64831569699592195</v>
      </c>
    </row>
    <row r="116" spans="1:10" x14ac:dyDescent="0.35">
      <c r="A116" s="148" t="s">
        <v>90</v>
      </c>
      <c r="B116" s="149" t="s">
        <v>89</v>
      </c>
      <c r="C116" s="295">
        <v>198250</v>
      </c>
      <c r="D116" s="306">
        <v>127950</v>
      </c>
      <c r="E116" s="306">
        <v>70295</v>
      </c>
      <c r="F116" s="139">
        <v>0.65</v>
      </c>
      <c r="G116" s="137">
        <v>202031</v>
      </c>
      <c r="H116" s="137">
        <v>130517</v>
      </c>
      <c r="I116" s="138">
        <v>71514</v>
      </c>
      <c r="J116" s="139">
        <v>0.6460246199840618</v>
      </c>
    </row>
    <row r="117" spans="1:10" x14ac:dyDescent="0.35">
      <c r="A117" s="148" t="s">
        <v>92</v>
      </c>
      <c r="B117" s="149" t="s">
        <v>91</v>
      </c>
      <c r="C117" s="295">
        <v>96250</v>
      </c>
      <c r="D117" s="306">
        <v>55320</v>
      </c>
      <c r="E117" s="306">
        <v>40935</v>
      </c>
      <c r="F117" s="139">
        <v>0.56999999999999995</v>
      </c>
      <c r="G117" s="137">
        <v>143676</v>
      </c>
      <c r="H117" s="137">
        <v>95705</v>
      </c>
      <c r="I117" s="138">
        <v>47971</v>
      </c>
      <c r="J117" s="139">
        <v>0.6661168183969487</v>
      </c>
    </row>
    <row r="118" spans="1:10" x14ac:dyDescent="0.35">
      <c r="A118" s="148" t="s">
        <v>510</v>
      </c>
      <c r="B118" s="149" t="s">
        <v>511</v>
      </c>
      <c r="C118" s="295">
        <v>39925</v>
      </c>
      <c r="D118" s="306">
        <v>39650</v>
      </c>
      <c r="E118" s="306">
        <v>280</v>
      </c>
      <c r="F118" s="139">
        <v>0.99</v>
      </c>
      <c r="G118" s="137">
        <v>27494</v>
      </c>
      <c r="H118" s="137">
        <v>26552</v>
      </c>
      <c r="I118" s="138">
        <v>942</v>
      </c>
      <c r="J118" s="139">
        <v>0.96573797919546078</v>
      </c>
    </row>
    <row r="119" spans="1:10" x14ac:dyDescent="0.35">
      <c r="A119" s="148" t="s">
        <v>94</v>
      </c>
      <c r="B119" s="149" t="s">
        <v>93</v>
      </c>
      <c r="C119" s="295">
        <v>139970</v>
      </c>
      <c r="D119" s="306">
        <v>68970</v>
      </c>
      <c r="E119" s="306">
        <v>71000</v>
      </c>
      <c r="F119" s="139">
        <v>0.49</v>
      </c>
      <c r="G119" s="137">
        <v>123892</v>
      </c>
      <c r="H119" s="137">
        <v>83482</v>
      </c>
      <c r="I119" s="138">
        <v>40410</v>
      </c>
      <c r="J119" s="139">
        <v>0.67382881864850031</v>
      </c>
    </row>
    <row r="120" spans="1:10" x14ac:dyDescent="0.35">
      <c r="A120" s="148" t="s">
        <v>96</v>
      </c>
      <c r="B120" s="149" t="s">
        <v>95</v>
      </c>
      <c r="C120" s="295">
        <v>87180</v>
      </c>
      <c r="D120" s="306">
        <v>63095</v>
      </c>
      <c r="E120" s="306">
        <v>24085</v>
      </c>
      <c r="F120" s="139">
        <v>0.72</v>
      </c>
      <c r="G120" s="137">
        <v>85244</v>
      </c>
      <c r="H120" s="137">
        <v>61284</v>
      </c>
      <c r="I120" s="138">
        <v>23960</v>
      </c>
      <c r="J120" s="139">
        <v>0.71892449908497957</v>
      </c>
    </row>
    <row r="121" spans="1:10" x14ac:dyDescent="0.35">
      <c r="A121" s="148" t="s">
        <v>98</v>
      </c>
      <c r="B121" s="149" t="s">
        <v>97</v>
      </c>
      <c r="C121" s="295">
        <v>96615</v>
      </c>
      <c r="D121" s="306">
        <v>59670</v>
      </c>
      <c r="E121" s="306">
        <v>36945</v>
      </c>
      <c r="F121" s="139">
        <v>0.62</v>
      </c>
      <c r="G121" s="137">
        <v>143989</v>
      </c>
      <c r="H121" s="137">
        <v>105691</v>
      </c>
      <c r="I121" s="138">
        <v>38298</v>
      </c>
      <c r="J121" s="139">
        <v>0.73402134885303738</v>
      </c>
    </row>
    <row r="122" spans="1:10" x14ac:dyDescent="0.35">
      <c r="A122" s="148" t="s">
        <v>100</v>
      </c>
      <c r="B122" s="149" t="s">
        <v>99</v>
      </c>
      <c r="C122" s="295">
        <v>93715</v>
      </c>
      <c r="D122" s="306">
        <v>47870</v>
      </c>
      <c r="E122" s="306">
        <v>45840</v>
      </c>
      <c r="F122" s="139">
        <v>0.51</v>
      </c>
      <c r="G122" s="137">
        <v>129402</v>
      </c>
      <c r="H122" s="137">
        <v>82910</v>
      </c>
      <c r="I122" s="138">
        <v>46492</v>
      </c>
      <c r="J122" s="139">
        <v>0.64071652679247615</v>
      </c>
    </row>
    <row r="123" spans="1:10" x14ac:dyDescent="0.35">
      <c r="A123" s="148" t="s">
        <v>626</v>
      </c>
      <c r="B123" s="149" t="s">
        <v>101</v>
      </c>
      <c r="C123" s="295">
        <v>173355</v>
      </c>
      <c r="D123" s="306">
        <v>108670</v>
      </c>
      <c r="E123" s="306">
        <v>64685</v>
      </c>
      <c r="F123" s="139">
        <v>0.63</v>
      </c>
      <c r="G123" s="137">
        <v>173212</v>
      </c>
      <c r="H123" s="137">
        <v>108294</v>
      </c>
      <c r="I123" s="138">
        <v>64918</v>
      </c>
      <c r="J123" s="139">
        <v>0.625210724430178</v>
      </c>
    </row>
    <row r="124" spans="1:10" x14ac:dyDescent="0.35">
      <c r="A124" s="148" t="s">
        <v>104</v>
      </c>
      <c r="B124" s="149" t="s">
        <v>103</v>
      </c>
      <c r="C124" s="295">
        <v>68175</v>
      </c>
      <c r="D124" s="306">
        <v>50970</v>
      </c>
      <c r="E124" s="306">
        <v>17205</v>
      </c>
      <c r="F124" s="139">
        <v>0.75</v>
      </c>
      <c r="G124" s="137">
        <v>68162</v>
      </c>
      <c r="H124" s="137">
        <v>50763</v>
      </c>
      <c r="I124" s="138">
        <v>17399</v>
      </c>
      <c r="J124" s="139">
        <v>0.74474047123030429</v>
      </c>
    </row>
    <row r="125" spans="1:10" x14ac:dyDescent="0.35">
      <c r="A125" s="148" t="s">
        <v>106</v>
      </c>
      <c r="B125" s="149" t="s">
        <v>105</v>
      </c>
      <c r="C125" s="297">
        <v>119645</v>
      </c>
      <c r="D125" s="306">
        <v>73930</v>
      </c>
      <c r="E125" s="306">
        <v>45715</v>
      </c>
      <c r="F125" s="139">
        <v>0.62</v>
      </c>
      <c r="G125" s="137">
        <v>111737</v>
      </c>
      <c r="H125" s="137">
        <v>65369</v>
      </c>
      <c r="I125" s="138">
        <v>46368</v>
      </c>
      <c r="J125" s="139">
        <v>0.58502555107081811</v>
      </c>
    </row>
    <row r="126" spans="1:10" x14ac:dyDescent="0.35">
      <c r="A126" s="287" t="s">
        <v>512</v>
      </c>
      <c r="B126" s="288" t="s">
        <v>513</v>
      </c>
      <c r="C126" s="307">
        <v>259900</v>
      </c>
      <c r="D126" s="305">
        <v>0</v>
      </c>
      <c r="E126" s="305">
        <v>0</v>
      </c>
      <c r="F126" s="294">
        <v>0</v>
      </c>
      <c r="G126" s="289">
        <v>265793</v>
      </c>
      <c r="H126" s="289">
        <v>0</v>
      </c>
      <c r="I126" s="290">
        <v>0</v>
      </c>
      <c r="J126" s="291">
        <v>0</v>
      </c>
    </row>
    <row r="127" spans="1:10" x14ac:dyDescent="0.35">
      <c r="A127" s="148" t="s">
        <v>108</v>
      </c>
      <c r="B127" s="149" t="s">
        <v>107</v>
      </c>
      <c r="C127" s="298">
        <v>138325</v>
      </c>
      <c r="D127" s="306">
        <v>75425</v>
      </c>
      <c r="E127" s="306">
        <v>62900</v>
      </c>
      <c r="F127" s="139">
        <v>0.55000000000000004</v>
      </c>
      <c r="G127" s="137">
        <v>221343</v>
      </c>
      <c r="H127" s="137">
        <v>156789</v>
      </c>
      <c r="I127" s="138">
        <v>64554</v>
      </c>
      <c r="J127" s="139">
        <v>0.70835309903633725</v>
      </c>
    </row>
    <row r="128" spans="1:10" x14ac:dyDescent="0.35">
      <c r="A128" s="148" t="s">
        <v>110</v>
      </c>
      <c r="B128" s="149" t="s">
        <v>109</v>
      </c>
      <c r="C128" s="295">
        <v>84170</v>
      </c>
      <c r="D128" s="306">
        <v>65260</v>
      </c>
      <c r="E128" s="306">
        <v>18905</v>
      </c>
      <c r="F128" s="139">
        <v>0.78</v>
      </c>
      <c r="G128" s="137">
        <v>63634</v>
      </c>
      <c r="H128" s="137">
        <v>44597</v>
      </c>
      <c r="I128" s="138">
        <v>19037</v>
      </c>
      <c r="J128" s="139">
        <v>0.70083603105258196</v>
      </c>
    </row>
    <row r="129" spans="1:10" x14ac:dyDescent="0.35">
      <c r="A129" s="148" t="s">
        <v>112</v>
      </c>
      <c r="B129" s="149" t="s">
        <v>111</v>
      </c>
      <c r="C129" s="295">
        <v>70300</v>
      </c>
      <c r="D129" s="306">
        <v>39005</v>
      </c>
      <c r="E129" s="306">
        <v>31300</v>
      </c>
      <c r="F129" s="139">
        <v>0.55000000000000004</v>
      </c>
      <c r="G129" s="137">
        <v>73700</v>
      </c>
      <c r="H129" s="137">
        <v>42445</v>
      </c>
      <c r="I129" s="138">
        <v>31255</v>
      </c>
      <c r="J129" s="139">
        <v>0.57591587516960652</v>
      </c>
    </row>
    <row r="130" spans="1:10" x14ac:dyDescent="0.35">
      <c r="A130" s="148" t="s">
        <v>114</v>
      </c>
      <c r="B130" s="149" t="s">
        <v>113</v>
      </c>
      <c r="C130" s="295">
        <v>65350</v>
      </c>
      <c r="D130" s="306">
        <v>58375</v>
      </c>
      <c r="E130" s="306">
        <v>6975</v>
      </c>
      <c r="F130" s="139">
        <v>0.89</v>
      </c>
      <c r="G130" s="137">
        <v>65349</v>
      </c>
      <c r="H130" s="137">
        <v>58465</v>
      </c>
      <c r="I130" s="138">
        <v>6884</v>
      </c>
      <c r="J130" s="139">
        <v>0.89465791366356029</v>
      </c>
    </row>
    <row r="131" spans="1:10" x14ac:dyDescent="0.35">
      <c r="A131" s="148" t="s">
        <v>116</v>
      </c>
      <c r="B131" s="149" t="s">
        <v>115</v>
      </c>
      <c r="C131" s="295">
        <v>74620</v>
      </c>
      <c r="D131" s="306">
        <v>39935</v>
      </c>
      <c r="E131" s="306">
        <v>34685</v>
      </c>
      <c r="F131" s="139">
        <v>0.54</v>
      </c>
      <c r="G131" s="137">
        <v>84876</v>
      </c>
      <c r="H131" s="137">
        <v>50246</v>
      </c>
      <c r="I131" s="138">
        <v>34630</v>
      </c>
      <c r="J131" s="139">
        <v>0.5919930251189971</v>
      </c>
    </row>
    <row r="132" spans="1:10" x14ac:dyDescent="0.35">
      <c r="A132" s="148" t="s">
        <v>118</v>
      </c>
      <c r="B132" s="149" t="s">
        <v>117</v>
      </c>
      <c r="C132" s="295">
        <v>93000</v>
      </c>
      <c r="D132" s="306">
        <v>51005</v>
      </c>
      <c r="E132" s="306">
        <v>41990</v>
      </c>
      <c r="F132" s="139">
        <v>0.55000000000000004</v>
      </c>
      <c r="G132" s="137">
        <v>92914</v>
      </c>
      <c r="H132" s="137">
        <v>51030</v>
      </c>
      <c r="I132" s="138">
        <v>41884</v>
      </c>
      <c r="J132" s="139">
        <v>0.54921755601954492</v>
      </c>
    </row>
    <row r="133" spans="1:10" x14ac:dyDescent="0.35">
      <c r="A133" s="148" t="s">
        <v>120</v>
      </c>
      <c r="B133" s="149" t="s">
        <v>119</v>
      </c>
      <c r="C133" s="295">
        <v>101070</v>
      </c>
      <c r="D133" s="306">
        <v>70385</v>
      </c>
      <c r="E133" s="306">
        <v>30685</v>
      </c>
      <c r="F133" s="139">
        <v>0.7</v>
      </c>
      <c r="G133" s="137">
        <v>165488</v>
      </c>
      <c r="H133" s="137">
        <v>130975</v>
      </c>
      <c r="I133" s="138">
        <v>34513</v>
      </c>
      <c r="J133" s="139">
        <v>0.79144711399013823</v>
      </c>
    </row>
    <row r="134" spans="1:10" x14ac:dyDescent="0.35">
      <c r="A134" s="148" t="s">
        <v>122</v>
      </c>
      <c r="B134" s="149" t="s">
        <v>121</v>
      </c>
      <c r="C134" s="295">
        <v>275765</v>
      </c>
      <c r="D134" s="306">
        <v>194085</v>
      </c>
      <c r="E134" s="306">
        <v>81680</v>
      </c>
      <c r="F134" s="139">
        <v>0.7</v>
      </c>
      <c r="G134" s="137">
        <v>297708</v>
      </c>
      <c r="H134" s="137">
        <v>215824</v>
      </c>
      <c r="I134" s="138">
        <v>81884</v>
      </c>
      <c r="J134" s="139">
        <v>0.72495196635629544</v>
      </c>
    </row>
    <row r="135" spans="1:10" x14ac:dyDescent="0.35">
      <c r="A135" s="148" t="s">
        <v>514</v>
      </c>
      <c r="B135" s="149" t="s">
        <v>515</v>
      </c>
      <c r="C135" s="297">
        <v>133890</v>
      </c>
      <c r="D135" s="306">
        <v>128885</v>
      </c>
      <c r="E135" s="306">
        <v>5010</v>
      </c>
      <c r="F135" s="139">
        <v>0.96</v>
      </c>
      <c r="G135" s="137">
        <v>133925</v>
      </c>
      <c r="H135" s="137">
        <v>129412</v>
      </c>
      <c r="I135" s="138">
        <v>4513</v>
      </c>
      <c r="J135" s="139">
        <v>0.96630203472092591</v>
      </c>
    </row>
    <row r="136" spans="1:10" x14ac:dyDescent="0.35">
      <c r="A136" s="287" t="s">
        <v>516</v>
      </c>
      <c r="B136" s="288" t="s">
        <v>517</v>
      </c>
      <c r="C136" s="307">
        <v>245355</v>
      </c>
      <c r="D136" s="305">
        <v>0</v>
      </c>
      <c r="E136" s="305">
        <v>0</v>
      </c>
      <c r="F136" s="294">
        <v>0</v>
      </c>
      <c r="G136" s="289">
        <v>245671</v>
      </c>
      <c r="H136" s="289">
        <v>0</v>
      </c>
      <c r="I136" s="290">
        <v>0</v>
      </c>
      <c r="J136" s="291">
        <v>0</v>
      </c>
    </row>
    <row r="137" spans="1:10" x14ac:dyDescent="0.35">
      <c r="A137" s="148" t="s">
        <v>627</v>
      </c>
      <c r="B137" s="149" t="s">
        <v>628</v>
      </c>
      <c r="C137" s="298">
        <v>12520</v>
      </c>
      <c r="D137" s="306">
        <v>12505</v>
      </c>
      <c r="E137" s="306">
        <v>15</v>
      </c>
      <c r="F137" s="139">
        <v>1</v>
      </c>
      <c r="G137" s="137">
        <v>0</v>
      </c>
      <c r="H137" s="137">
        <v>0</v>
      </c>
      <c r="I137" s="138">
        <v>0</v>
      </c>
      <c r="J137" s="139">
        <v>0</v>
      </c>
    </row>
    <row r="138" spans="1:10" x14ac:dyDescent="0.35">
      <c r="A138" s="148" t="s">
        <v>124</v>
      </c>
      <c r="B138" s="149" t="s">
        <v>123</v>
      </c>
      <c r="C138" s="295">
        <v>192525</v>
      </c>
      <c r="D138" s="306">
        <v>147590</v>
      </c>
      <c r="E138" s="306">
        <v>44935</v>
      </c>
      <c r="F138" s="139">
        <v>0.77</v>
      </c>
      <c r="G138" s="137">
        <v>193502</v>
      </c>
      <c r="H138" s="137">
        <v>148509</v>
      </c>
      <c r="I138" s="138">
        <v>44993</v>
      </c>
      <c r="J138" s="139">
        <v>0.76748043947866174</v>
      </c>
    </row>
    <row r="139" spans="1:10" x14ac:dyDescent="0.35">
      <c r="A139" s="148" t="s">
        <v>518</v>
      </c>
      <c r="B139" s="149" t="s">
        <v>125</v>
      </c>
      <c r="C139" s="295">
        <v>205435</v>
      </c>
      <c r="D139" s="306">
        <v>103615</v>
      </c>
      <c r="E139" s="306">
        <v>101825</v>
      </c>
      <c r="F139" s="139">
        <v>0.5</v>
      </c>
      <c r="G139" s="137">
        <v>311209</v>
      </c>
      <c r="H139" s="137">
        <v>206904</v>
      </c>
      <c r="I139" s="138">
        <v>104305</v>
      </c>
      <c r="J139" s="139">
        <v>0.66483938446510227</v>
      </c>
    </row>
    <row r="140" spans="1:10" x14ac:dyDescent="0.35">
      <c r="A140" s="148" t="s">
        <v>519</v>
      </c>
      <c r="B140" s="149" t="s">
        <v>520</v>
      </c>
      <c r="C140" s="295">
        <v>13695</v>
      </c>
      <c r="D140" s="306">
        <v>12160</v>
      </c>
      <c r="E140" s="306">
        <v>1530</v>
      </c>
      <c r="F140" s="139">
        <v>0.89</v>
      </c>
      <c r="G140" s="137">
        <v>15046</v>
      </c>
      <c r="H140" s="137">
        <v>13454</v>
      </c>
      <c r="I140" s="138">
        <v>1592</v>
      </c>
      <c r="J140" s="139">
        <v>0.89419114714874381</v>
      </c>
    </row>
    <row r="141" spans="1:10" x14ac:dyDescent="0.35">
      <c r="A141" s="148" t="s">
        <v>128</v>
      </c>
      <c r="B141" s="149" t="s">
        <v>127</v>
      </c>
      <c r="C141" s="295">
        <v>170485</v>
      </c>
      <c r="D141" s="306">
        <v>67450</v>
      </c>
      <c r="E141" s="306">
        <v>103035</v>
      </c>
      <c r="F141" s="139">
        <v>0.4</v>
      </c>
      <c r="G141" s="137">
        <v>315206</v>
      </c>
      <c r="H141" s="137">
        <v>181110</v>
      </c>
      <c r="I141" s="138">
        <v>134096</v>
      </c>
      <c r="J141" s="139">
        <v>0.57457662607945281</v>
      </c>
    </row>
    <row r="142" spans="1:10" x14ac:dyDescent="0.35">
      <c r="A142" s="148" t="s">
        <v>130</v>
      </c>
      <c r="B142" s="149" t="s">
        <v>129</v>
      </c>
      <c r="C142" s="297">
        <v>101890</v>
      </c>
      <c r="D142" s="306">
        <v>62970</v>
      </c>
      <c r="E142" s="306">
        <v>38920</v>
      </c>
      <c r="F142" s="139">
        <v>0.62</v>
      </c>
      <c r="G142" s="137">
        <v>101629</v>
      </c>
      <c r="H142" s="137">
        <v>62823</v>
      </c>
      <c r="I142" s="138">
        <v>38806</v>
      </c>
      <c r="J142" s="139">
        <v>0.61816017081738484</v>
      </c>
    </row>
    <row r="143" spans="1:10" x14ac:dyDescent="0.35">
      <c r="A143" s="287" t="s">
        <v>521</v>
      </c>
      <c r="B143" s="288" t="s">
        <v>522</v>
      </c>
      <c r="C143" s="307">
        <v>92270</v>
      </c>
      <c r="D143" s="305">
        <v>0</v>
      </c>
      <c r="E143" s="305">
        <v>0</v>
      </c>
      <c r="F143" s="294">
        <v>0</v>
      </c>
      <c r="G143" s="289">
        <v>92079</v>
      </c>
      <c r="H143" s="289">
        <v>0</v>
      </c>
      <c r="I143" s="290">
        <v>0</v>
      </c>
      <c r="J143" s="291">
        <v>0</v>
      </c>
    </row>
    <row r="144" spans="1:10" x14ac:dyDescent="0.35">
      <c r="A144" s="148" t="s">
        <v>132</v>
      </c>
      <c r="B144" s="149" t="s">
        <v>131</v>
      </c>
      <c r="C144" s="298">
        <v>99820</v>
      </c>
      <c r="D144" s="306">
        <v>67265</v>
      </c>
      <c r="E144" s="306">
        <v>32550</v>
      </c>
      <c r="F144" s="139">
        <v>0.67</v>
      </c>
      <c r="G144" s="137">
        <v>99890</v>
      </c>
      <c r="H144" s="137">
        <v>67406</v>
      </c>
      <c r="I144" s="138">
        <v>32484</v>
      </c>
      <c r="J144" s="139">
        <v>0.6748022825107618</v>
      </c>
    </row>
    <row r="145" spans="1:10" x14ac:dyDescent="0.35">
      <c r="A145" s="148" t="s">
        <v>134</v>
      </c>
      <c r="B145" s="149" t="s">
        <v>133</v>
      </c>
      <c r="C145" s="295">
        <v>207610</v>
      </c>
      <c r="D145" s="306">
        <v>119735</v>
      </c>
      <c r="E145" s="306">
        <v>87875</v>
      </c>
      <c r="F145" s="139">
        <v>0.57999999999999996</v>
      </c>
      <c r="G145" s="137">
        <v>203599</v>
      </c>
      <c r="H145" s="137">
        <v>116357</v>
      </c>
      <c r="I145" s="138">
        <v>87242</v>
      </c>
      <c r="J145" s="139">
        <v>0.57150084234205467</v>
      </c>
    </row>
    <row r="146" spans="1:10" x14ac:dyDescent="0.35">
      <c r="A146" s="148" t="s">
        <v>136</v>
      </c>
      <c r="B146" s="149" t="s">
        <v>135</v>
      </c>
      <c r="C146" s="297">
        <v>76455</v>
      </c>
      <c r="D146" s="306">
        <v>48355</v>
      </c>
      <c r="E146" s="306">
        <v>28100</v>
      </c>
      <c r="F146" s="139">
        <v>0.63</v>
      </c>
      <c r="G146" s="137">
        <v>92289</v>
      </c>
      <c r="H146" s="137">
        <v>62455</v>
      </c>
      <c r="I146" s="138">
        <v>29834</v>
      </c>
      <c r="J146" s="139">
        <v>0.67673287173986063</v>
      </c>
    </row>
    <row r="147" spans="1:10" x14ac:dyDescent="0.35">
      <c r="A147" s="287" t="s">
        <v>523</v>
      </c>
      <c r="B147" s="288" t="s">
        <v>524</v>
      </c>
      <c r="C147" s="307">
        <v>89315</v>
      </c>
      <c r="D147" s="305">
        <v>0</v>
      </c>
      <c r="E147" s="305">
        <v>0</v>
      </c>
      <c r="F147" s="294">
        <v>0</v>
      </c>
      <c r="G147" s="289">
        <v>89071</v>
      </c>
      <c r="H147" s="289">
        <v>0</v>
      </c>
      <c r="I147" s="290">
        <v>0</v>
      </c>
      <c r="J147" s="291">
        <v>0</v>
      </c>
    </row>
    <row r="148" spans="1:10" x14ac:dyDescent="0.35">
      <c r="A148" s="287" t="s">
        <v>525</v>
      </c>
      <c r="B148" s="288" t="s">
        <v>526</v>
      </c>
      <c r="C148" s="307">
        <v>186225</v>
      </c>
      <c r="D148" s="305">
        <v>0</v>
      </c>
      <c r="E148" s="305">
        <v>0</v>
      </c>
      <c r="F148" s="294">
        <v>0</v>
      </c>
      <c r="G148" s="289">
        <v>187517</v>
      </c>
      <c r="H148" s="289">
        <v>0</v>
      </c>
      <c r="I148" s="290">
        <v>0</v>
      </c>
      <c r="J148" s="291">
        <v>0</v>
      </c>
    </row>
    <row r="149" spans="1:10" x14ac:dyDescent="0.35">
      <c r="A149" s="148" t="s">
        <v>138</v>
      </c>
      <c r="B149" s="149" t="s">
        <v>137</v>
      </c>
      <c r="C149" s="298">
        <v>178935</v>
      </c>
      <c r="D149" s="306">
        <v>135315</v>
      </c>
      <c r="E149" s="306">
        <v>43620</v>
      </c>
      <c r="F149" s="139">
        <v>0.76</v>
      </c>
      <c r="G149" s="137">
        <v>183309</v>
      </c>
      <c r="H149" s="137">
        <v>139677</v>
      </c>
      <c r="I149" s="138">
        <v>43632</v>
      </c>
      <c r="J149" s="139">
        <v>0.76197568040849062</v>
      </c>
    </row>
    <row r="150" spans="1:10" x14ac:dyDescent="0.35">
      <c r="A150" s="148" t="s">
        <v>527</v>
      </c>
      <c r="B150" s="149" t="s">
        <v>139</v>
      </c>
      <c r="C150" s="295">
        <v>148665</v>
      </c>
      <c r="D150" s="306">
        <v>83870</v>
      </c>
      <c r="E150" s="306">
        <v>64795</v>
      </c>
      <c r="F150" s="139">
        <v>0.56000000000000005</v>
      </c>
      <c r="G150" s="137">
        <v>178616</v>
      </c>
      <c r="H150" s="137">
        <v>108142</v>
      </c>
      <c r="I150" s="138">
        <v>70474</v>
      </c>
      <c r="J150" s="139">
        <v>0.60544408115734316</v>
      </c>
    </row>
    <row r="151" spans="1:10" x14ac:dyDescent="0.35">
      <c r="A151" s="148" t="s">
        <v>142</v>
      </c>
      <c r="B151" s="149" t="s">
        <v>141</v>
      </c>
      <c r="C151" s="295">
        <v>150985</v>
      </c>
      <c r="D151" s="306">
        <v>89260</v>
      </c>
      <c r="E151" s="306">
        <v>61725</v>
      </c>
      <c r="F151" s="139">
        <v>0.59</v>
      </c>
      <c r="G151" s="137">
        <v>151146</v>
      </c>
      <c r="H151" s="137">
        <v>99306</v>
      </c>
      <c r="I151" s="138">
        <v>51840</v>
      </c>
      <c r="J151" s="139">
        <v>0.65702036441586276</v>
      </c>
    </row>
    <row r="152" spans="1:10" x14ac:dyDescent="0.35">
      <c r="A152" s="148" t="s">
        <v>144</v>
      </c>
      <c r="B152" s="149" t="s">
        <v>143</v>
      </c>
      <c r="C152" s="297">
        <v>157985</v>
      </c>
      <c r="D152" s="306">
        <v>98890</v>
      </c>
      <c r="E152" s="306">
        <v>59095</v>
      </c>
      <c r="F152" s="139">
        <v>0.63</v>
      </c>
      <c r="G152" s="137">
        <v>225061</v>
      </c>
      <c r="H152" s="137">
        <v>168846</v>
      </c>
      <c r="I152" s="138">
        <v>56215</v>
      </c>
      <c r="J152" s="139">
        <v>0.75022327280159606</v>
      </c>
    </row>
    <row r="153" spans="1:10" x14ac:dyDescent="0.35">
      <c r="A153" s="287" t="s">
        <v>528</v>
      </c>
      <c r="B153" s="288" t="s">
        <v>529</v>
      </c>
      <c r="C153" s="307">
        <v>166885</v>
      </c>
      <c r="D153" s="305">
        <v>0</v>
      </c>
      <c r="E153" s="305">
        <v>0</v>
      </c>
      <c r="F153" s="294">
        <v>0</v>
      </c>
      <c r="G153" s="289">
        <v>162807</v>
      </c>
      <c r="H153" s="289">
        <v>0</v>
      </c>
      <c r="I153" s="290">
        <v>0</v>
      </c>
      <c r="J153" s="291">
        <v>0</v>
      </c>
    </row>
    <row r="154" spans="1:10" x14ac:dyDescent="0.35">
      <c r="A154" s="148" t="s">
        <v>146</v>
      </c>
      <c r="B154" s="149" t="s">
        <v>145</v>
      </c>
      <c r="C154" s="298">
        <v>174510</v>
      </c>
      <c r="D154" s="306">
        <v>132275</v>
      </c>
      <c r="E154" s="306">
        <v>42235</v>
      </c>
      <c r="F154" s="139">
        <v>0.76</v>
      </c>
      <c r="G154" s="137">
        <v>173962</v>
      </c>
      <c r="H154" s="137">
        <v>122667</v>
      </c>
      <c r="I154" s="138">
        <v>51295</v>
      </c>
      <c r="J154" s="139">
        <v>0.70513675400374798</v>
      </c>
    </row>
    <row r="155" spans="1:10" x14ac:dyDescent="0.35">
      <c r="A155" s="148" t="s">
        <v>148</v>
      </c>
      <c r="B155" s="149" t="s">
        <v>147</v>
      </c>
      <c r="C155" s="295">
        <v>177095</v>
      </c>
      <c r="D155" s="306">
        <v>126490</v>
      </c>
      <c r="E155" s="306">
        <v>50600</v>
      </c>
      <c r="F155" s="139">
        <v>0.71</v>
      </c>
      <c r="G155" s="137">
        <v>211668</v>
      </c>
      <c r="H155" s="137">
        <v>162108</v>
      </c>
      <c r="I155" s="138">
        <v>49560</v>
      </c>
      <c r="J155" s="139">
        <v>0.76585974261579459</v>
      </c>
    </row>
    <row r="156" spans="1:10" x14ac:dyDescent="0.35">
      <c r="A156" s="148" t="s">
        <v>150</v>
      </c>
      <c r="B156" s="149" t="s">
        <v>149</v>
      </c>
      <c r="C156" s="295">
        <v>231840</v>
      </c>
      <c r="D156" s="306">
        <v>138505</v>
      </c>
      <c r="E156" s="306">
        <v>93335</v>
      </c>
      <c r="F156" s="139">
        <v>0.6</v>
      </c>
      <c r="G156" s="137">
        <v>307678</v>
      </c>
      <c r="H156" s="137">
        <v>209111</v>
      </c>
      <c r="I156" s="138">
        <v>98567</v>
      </c>
      <c r="J156" s="139">
        <v>0.67964235336943168</v>
      </c>
    </row>
    <row r="157" spans="1:10" x14ac:dyDescent="0.35">
      <c r="A157" s="148" t="s">
        <v>152</v>
      </c>
      <c r="B157" s="149" t="s">
        <v>151</v>
      </c>
      <c r="C157" s="295">
        <v>202060</v>
      </c>
      <c r="D157" s="306">
        <v>147350</v>
      </c>
      <c r="E157" s="306">
        <v>54705</v>
      </c>
      <c r="F157" s="139">
        <v>0.73</v>
      </c>
      <c r="G157" s="137">
        <v>200621</v>
      </c>
      <c r="H157" s="137">
        <v>146104</v>
      </c>
      <c r="I157" s="138">
        <v>54517</v>
      </c>
      <c r="J157" s="139">
        <v>0.72825875656087846</v>
      </c>
    </row>
    <row r="158" spans="1:10" x14ac:dyDescent="0.35">
      <c r="A158" s="148" t="s">
        <v>154</v>
      </c>
      <c r="B158" s="149" t="s">
        <v>153</v>
      </c>
      <c r="C158" s="295">
        <v>147420</v>
      </c>
      <c r="D158" s="306">
        <v>56310</v>
      </c>
      <c r="E158" s="306">
        <v>91110</v>
      </c>
      <c r="F158" s="139">
        <v>0.38</v>
      </c>
      <c r="G158" s="137">
        <v>147579</v>
      </c>
      <c r="H158" s="137">
        <v>112976</v>
      </c>
      <c r="I158" s="138">
        <v>34603</v>
      </c>
      <c r="J158" s="139">
        <v>0.76552897092404748</v>
      </c>
    </row>
    <row r="159" spans="1:10" x14ac:dyDescent="0.35">
      <c r="A159" s="148" t="s">
        <v>156</v>
      </c>
      <c r="B159" s="149" t="s">
        <v>155</v>
      </c>
      <c r="C159" s="295">
        <v>87575</v>
      </c>
      <c r="D159" s="306">
        <v>56645</v>
      </c>
      <c r="E159" s="306">
        <v>30935</v>
      </c>
      <c r="F159" s="139">
        <v>0.65</v>
      </c>
      <c r="G159" s="137">
        <v>87601</v>
      </c>
      <c r="H159" s="137">
        <v>56562</v>
      </c>
      <c r="I159" s="138">
        <v>31039</v>
      </c>
      <c r="J159" s="139">
        <v>0.64567756075843885</v>
      </c>
    </row>
    <row r="160" spans="1:10" x14ac:dyDescent="0.35">
      <c r="A160" s="148" t="s">
        <v>158</v>
      </c>
      <c r="B160" s="149" t="s">
        <v>157</v>
      </c>
      <c r="C160" s="295">
        <v>254620</v>
      </c>
      <c r="D160" s="306">
        <v>159650</v>
      </c>
      <c r="E160" s="306">
        <v>94970</v>
      </c>
      <c r="F160" s="139">
        <v>0.63</v>
      </c>
      <c r="G160" s="137">
        <v>262573</v>
      </c>
      <c r="H160" s="137">
        <v>166648</v>
      </c>
      <c r="I160" s="138">
        <v>95925</v>
      </c>
      <c r="J160" s="139">
        <v>0.63467302426372851</v>
      </c>
    </row>
    <row r="161" spans="1:10" x14ac:dyDescent="0.35">
      <c r="A161" s="148" t="s">
        <v>160</v>
      </c>
      <c r="B161" s="149" t="s">
        <v>159</v>
      </c>
      <c r="C161" s="295">
        <v>152895</v>
      </c>
      <c r="D161" s="306">
        <v>91485</v>
      </c>
      <c r="E161" s="306">
        <v>61410</v>
      </c>
      <c r="F161" s="139">
        <v>0.6</v>
      </c>
      <c r="G161" s="137">
        <v>152870</v>
      </c>
      <c r="H161" s="137">
        <v>91484</v>
      </c>
      <c r="I161" s="138">
        <v>61386</v>
      </c>
      <c r="J161" s="139">
        <v>0.59844312160659385</v>
      </c>
    </row>
    <row r="162" spans="1:10" x14ac:dyDescent="0.35">
      <c r="A162" s="148" t="s">
        <v>162</v>
      </c>
      <c r="B162" s="149" t="s">
        <v>161</v>
      </c>
      <c r="C162" s="295">
        <v>48865</v>
      </c>
      <c r="D162" s="306">
        <v>25890</v>
      </c>
      <c r="E162" s="306">
        <v>22975</v>
      </c>
      <c r="F162" s="139">
        <v>0.53</v>
      </c>
      <c r="G162" s="137">
        <v>50252</v>
      </c>
      <c r="H162" s="137">
        <v>26989</v>
      </c>
      <c r="I162" s="138">
        <v>23263</v>
      </c>
      <c r="J162" s="139">
        <v>0.53707315131736055</v>
      </c>
    </row>
    <row r="163" spans="1:10" x14ac:dyDescent="0.35">
      <c r="A163" s="148" t="s">
        <v>164</v>
      </c>
      <c r="B163" s="149" t="s">
        <v>163</v>
      </c>
      <c r="C163" s="295">
        <v>86965</v>
      </c>
      <c r="D163" s="306">
        <v>54110</v>
      </c>
      <c r="E163" s="306">
        <v>32855</v>
      </c>
      <c r="F163" s="139">
        <v>0.62</v>
      </c>
      <c r="G163" s="137">
        <v>84032</v>
      </c>
      <c r="H163" s="137">
        <v>47850</v>
      </c>
      <c r="I163" s="138">
        <v>36182</v>
      </c>
      <c r="J163" s="139">
        <v>0.56942593297791322</v>
      </c>
    </row>
    <row r="164" spans="1:10" x14ac:dyDescent="0.35">
      <c r="A164" s="148" t="s">
        <v>166</v>
      </c>
      <c r="B164" s="149" t="s">
        <v>165</v>
      </c>
      <c r="C164" s="295">
        <v>259955</v>
      </c>
      <c r="D164" s="306">
        <v>134935</v>
      </c>
      <c r="E164" s="306">
        <v>125020</v>
      </c>
      <c r="F164" s="139">
        <v>0.52</v>
      </c>
      <c r="G164" s="137">
        <v>293809</v>
      </c>
      <c r="H164" s="137">
        <v>176832</v>
      </c>
      <c r="I164" s="138">
        <v>116977</v>
      </c>
      <c r="J164" s="139">
        <v>0.60186039229567512</v>
      </c>
    </row>
    <row r="165" spans="1:10" x14ac:dyDescent="0.35">
      <c r="A165" s="148" t="s">
        <v>168</v>
      </c>
      <c r="B165" s="149" t="s">
        <v>167</v>
      </c>
      <c r="C165" s="297">
        <v>139695</v>
      </c>
      <c r="D165" s="306">
        <v>104705</v>
      </c>
      <c r="E165" s="306">
        <v>34995</v>
      </c>
      <c r="F165" s="139">
        <v>0.75</v>
      </c>
      <c r="G165" s="137">
        <v>179667</v>
      </c>
      <c r="H165" s="137">
        <v>135743</v>
      </c>
      <c r="I165" s="138">
        <v>43924</v>
      </c>
      <c r="J165" s="139">
        <v>0.75552549995269025</v>
      </c>
    </row>
    <row r="166" spans="1:10" x14ac:dyDescent="0.35">
      <c r="A166" s="287" t="s">
        <v>530</v>
      </c>
      <c r="B166" s="288" t="s">
        <v>531</v>
      </c>
      <c r="C166" s="307">
        <v>115215</v>
      </c>
      <c r="D166" s="305">
        <v>0</v>
      </c>
      <c r="E166" s="305">
        <v>0</v>
      </c>
      <c r="F166" s="294">
        <v>0</v>
      </c>
      <c r="G166" s="289">
        <v>143318</v>
      </c>
      <c r="H166" s="289">
        <v>0</v>
      </c>
      <c r="I166" s="290">
        <v>0</v>
      </c>
      <c r="J166" s="291">
        <v>0</v>
      </c>
    </row>
    <row r="167" spans="1:10" x14ac:dyDescent="0.35">
      <c r="A167" s="148" t="s">
        <v>170</v>
      </c>
      <c r="B167" s="149" t="s">
        <v>169</v>
      </c>
      <c r="C167" s="298">
        <v>243135</v>
      </c>
      <c r="D167" s="306">
        <v>171325</v>
      </c>
      <c r="E167" s="306">
        <v>71810</v>
      </c>
      <c r="F167" s="139">
        <v>0.7</v>
      </c>
      <c r="G167" s="137">
        <v>243127</v>
      </c>
      <c r="H167" s="137">
        <v>171276</v>
      </c>
      <c r="I167" s="138">
        <v>71851</v>
      </c>
      <c r="J167" s="139">
        <v>0.70447132568575266</v>
      </c>
    </row>
    <row r="168" spans="1:10" x14ac:dyDescent="0.35">
      <c r="A168" s="148" t="s">
        <v>172</v>
      </c>
      <c r="B168" s="149" t="s">
        <v>171</v>
      </c>
      <c r="C168" s="295">
        <v>108235</v>
      </c>
      <c r="D168" s="306">
        <v>73150</v>
      </c>
      <c r="E168" s="306">
        <v>35090</v>
      </c>
      <c r="F168" s="139">
        <v>0.68</v>
      </c>
      <c r="G168" s="137">
        <v>106463</v>
      </c>
      <c r="H168" s="137">
        <v>72866</v>
      </c>
      <c r="I168" s="138">
        <v>33597</v>
      </c>
      <c r="J168" s="139">
        <v>0.68442557508242297</v>
      </c>
    </row>
    <row r="169" spans="1:10" x14ac:dyDescent="0.35">
      <c r="A169" s="148" t="s">
        <v>174</v>
      </c>
      <c r="B169" s="149" t="s">
        <v>173</v>
      </c>
      <c r="C169" s="295">
        <v>235605</v>
      </c>
      <c r="D169" s="306">
        <v>151920</v>
      </c>
      <c r="E169" s="306">
        <v>83680</v>
      </c>
      <c r="F169" s="139">
        <v>0.64</v>
      </c>
      <c r="G169" s="137">
        <v>241356</v>
      </c>
      <c r="H169" s="137">
        <v>187615</v>
      </c>
      <c r="I169" s="138">
        <v>53741</v>
      </c>
      <c r="J169" s="139">
        <v>0.77733721142213164</v>
      </c>
    </row>
    <row r="170" spans="1:10" x14ac:dyDescent="0.35">
      <c r="A170" s="148" t="s">
        <v>176</v>
      </c>
      <c r="B170" s="149" t="s">
        <v>175</v>
      </c>
      <c r="C170" s="295">
        <v>69530</v>
      </c>
      <c r="D170" s="306">
        <v>38520</v>
      </c>
      <c r="E170" s="306">
        <v>31010</v>
      </c>
      <c r="F170" s="139">
        <v>0.55000000000000004</v>
      </c>
      <c r="G170" s="137">
        <v>68815</v>
      </c>
      <c r="H170" s="137">
        <v>38312</v>
      </c>
      <c r="I170" s="138">
        <v>30503</v>
      </c>
      <c r="J170" s="139">
        <v>0.55673908304875386</v>
      </c>
    </row>
    <row r="171" spans="1:10" x14ac:dyDescent="0.35">
      <c r="A171" s="148" t="s">
        <v>178</v>
      </c>
      <c r="B171" s="149" t="s">
        <v>177</v>
      </c>
      <c r="C171" s="295">
        <v>96890</v>
      </c>
      <c r="D171" s="306">
        <v>72225</v>
      </c>
      <c r="E171" s="306">
        <v>24660</v>
      </c>
      <c r="F171" s="139">
        <v>0.75</v>
      </c>
      <c r="G171" s="137">
        <v>96410</v>
      </c>
      <c r="H171" s="137">
        <v>73079</v>
      </c>
      <c r="I171" s="138">
        <v>23331</v>
      </c>
      <c r="J171" s="140">
        <v>0.75800228192096253</v>
      </c>
    </row>
    <row r="172" spans="1:10" x14ac:dyDescent="0.35">
      <c r="A172" s="148" t="s">
        <v>180</v>
      </c>
      <c r="B172" s="149" t="s">
        <v>179</v>
      </c>
      <c r="C172" s="295">
        <v>138915</v>
      </c>
      <c r="D172" s="306">
        <v>72765</v>
      </c>
      <c r="E172" s="306">
        <v>66145</v>
      </c>
      <c r="F172" s="139">
        <v>0.52</v>
      </c>
      <c r="G172" s="137">
        <v>232414</v>
      </c>
      <c r="H172" s="137">
        <v>166733</v>
      </c>
      <c r="I172" s="138">
        <v>65681</v>
      </c>
      <c r="J172" s="139">
        <v>0.71739654237696526</v>
      </c>
    </row>
    <row r="173" spans="1:10" x14ac:dyDescent="0.35">
      <c r="A173" s="148" t="s">
        <v>532</v>
      </c>
      <c r="B173" s="149" t="s">
        <v>181</v>
      </c>
      <c r="C173" s="295">
        <v>345135</v>
      </c>
      <c r="D173" s="306">
        <v>201985</v>
      </c>
      <c r="E173" s="306">
        <v>143145</v>
      </c>
      <c r="F173" s="139">
        <v>0.59</v>
      </c>
      <c r="G173" s="137">
        <v>361608</v>
      </c>
      <c r="H173" s="137">
        <v>217808</v>
      </c>
      <c r="I173" s="138">
        <v>143800</v>
      </c>
      <c r="J173" s="139">
        <v>0.60233180681843324</v>
      </c>
    </row>
    <row r="174" spans="1:10" x14ac:dyDescent="0.35">
      <c r="A174" s="148" t="s">
        <v>184</v>
      </c>
      <c r="B174" s="149" t="s">
        <v>183</v>
      </c>
      <c r="C174" s="295">
        <v>131100</v>
      </c>
      <c r="D174" s="306">
        <v>77220</v>
      </c>
      <c r="E174" s="306">
        <v>53880</v>
      </c>
      <c r="F174" s="139">
        <v>0.59</v>
      </c>
      <c r="G174" s="137">
        <v>131315</v>
      </c>
      <c r="H174" s="137">
        <v>77912</v>
      </c>
      <c r="I174" s="138">
        <v>53403</v>
      </c>
      <c r="J174" s="139">
        <v>0.59332140273388412</v>
      </c>
    </row>
    <row r="175" spans="1:10" x14ac:dyDescent="0.35">
      <c r="A175" s="148" t="s">
        <v>186</v>
      </c>
      <c r="B175" s="149" t="s">
        <v>185</v>
      </c>
      <c r="C175" s="295">
        <v>125885</v>
      </c>
      <c r="D175" s="306">
        <v>79695</v>
      </c>
      <c r="E175" s="306">
        <v>46190</v>
      </c>
      <c r="F175" s="139">
        <v>0.63</v>
      </c>
      <c r="G175" s="137">
        <v>125999</v>
      </c>
      <c r="H175" s="137">
        <v>80099</v>
      </c>
      <c r="I175" s="138">
        <v>45900</v>
      </c>
      <c r="J175" s="139">
        <v>0.63571139453487724</v>
      </c>
    </row>
    <row r="176" spans="1:10" x14ac:dyDescent="0.35">
      <c r="A176" s="148" t="s">
        <v>188</v>
      </c>
      <c r="B176" s="149" t="s">
        <v>187</v>
      </c>
      <c r="C176" s="295">
        <v>122970</v>
      </c>
      <c r="D176" s="306">
        <v>91690</v>
      </c>
      <c r="E176" s="306">
        <v>31285</v>
      </c>
      <c r="F176" s="139">
        <v>0.75</v>
      </c>
      <c r="G176" s="137">
        <v>123007</v>
      </c>
      <c r="H176" s="137">
        <v>91733</v>
      </c>
      <c r="I176" s="138">
        <v>31274</v>
      </c>
      <c r="J176" s="139">
        <v>0.74575430666547438</v>
      </c>
    </row>
    <row r="177" spans="1:10" x14ac:dyDescent="0.35">
      <c r="A177" s="148" t="s">
        <v>190</v>
      </c>
      <c r="B177" s="149" t="s">
        <v>189</v>
      </c>
      <c r="C177" s="295">
        <v>142380</v>
      </c>
      <c r="D177" s="306">
        <v>89995</v>
      </c>
      <c r="E177" s="306">
        <v>52385</v>
      </c>
      <c r="F177" s="139">
        <v>0.63</v>
      </c>
      <c r="G177" s="137">
        <v>141909</v>
      </c>
      <c r="H177" s="137">
        <v>89618</v>
      </c>
      <c r="I177" s="138">
        <v>52291</v>
      </c>
      <c r="J177" s="139">
        <v>0.63151738085674625</v>
      </c>
    </row>
    <row r="178" spans="1:10" x14ac:dyDescent="0.35">
      <c r="A178" s="148" t="s">
        <v>192</v>
      </c>
      <c r="B178" s="149" t="s">
        <v>191</v>
      </c>
      <c r="C178" s="295">
        <v>177480</v>
      </c>
      <c r="D178" s="306">
        <v>132965</v>
      </c>
      <c r="E178" s="306">
        <v>44515</v>
      </c>
      <c r="F178" s="139">
        <v>0.75</v>
      </c>
      <c r="G178" s="137">
        <v>178860</v>
      </c>
      <c r="H178" s="137">
        <v>134358</v>
      </c>
      <c r="I178" s="138">
        <v>44502</v>
      </c>
      <c r="J178" s="139">
        <v>0.7511908755451191</v>
      </c>
    </row>
    <row r="179" spans="1:10" x14ac:dyDescent="0.35">
      <c r="A179" s="148" t="s">
        <v>194</v>
      </c>
      <c r="B179" s="149" t="s">
        <v>193</v>
      </c>
      <c r="C179" s="295">
        <v>109575</v>
      </c>
      <c r="D179" s="306">
        <v>68425</v>
      </c>
      <c r="E179" s="306">
        <v>41150</v>
      </c>
      <c r="F179" s="139">
        <v>0.62</v>
      </c>
      <c r="G179" s="137">
        <v>191594</v>
      </c>
      <c r="H179" s="137">
        <v>146444</v>
      </c>
      <c r="I179" s="138">
        <v>45150</v>
      </c>
      <c r="J179" s="139">
        <v>0.76434543879244654</v>
      </c>
    </row>
    <row r="180" spans="1:10" x14ac:dyDescent="0.35">
      <c r="A180" s="148" t="s">
        <v>196</v>
      </c>
      <c r="B180" s="149" t="s">
        <v>195</v>
      </c>
      <c r="C180" s="297">
        <v>118415</v>
      </c>
      <c r="D180" s="306">
        <v>77575</v>
      </c>
      <c r="E180" s="306">
        <v>40840</v>
      </c>
      <c r="F180" s="139">
        <v>0.66</v>
      </c>
      <c r="G180" s="137">
        <v>128183</v>
      </c>
      <c r="H180" s="137">
        <v>87827</v>
      </c>
      <c r="I180" s="138">
        <v>40356</v>
      </c>
      <c r="J180" s="139">
        <v>0.68516886014526113</v>
      </c>
    </row>
    <row r="181" spans="1:10" x14ac:dyDescent="0.35">
      <c r="A181" s="287" t="s">
        <v>533</v>
      </c>
      <c r="B181" s="288" t="s">
        <v>534</v>
      </c>
      <c r="C181" s="307">
        <v>107760</v>
      </c>
      <c r="D181" s="305">
        <v>0</v>
      </c>
      <c r="E181" s="305">
        <v>0</v>
      </c>
      <c r="F181" s="294">
        <v>0</v>
      </c>
      <c r="G181" s="289">
        <v>108974</v>
      </c>
      <c r="H181" s="289">
        <v>0</v>
      </c>
      <c r="I181" s="290">
        <v>0</v>
      </c>
      <c r="J181" s="291">
        <v>0</v>
      </c>
    </row>
    <row r="182" spans="1:10" x14ac:dyDescent="0.35">
      <c r="A182" s="148" t="s">
        <v>198</v>
      </c>
      <c r="B182" s="149" t="s">
        <v>197</v>
      </c>
      <c r="C182" s="298">
        <v>136655</v>
      </c>
      <c r="D182" s="306">
        <v>89780</v>
      </c>
      <c r="E182" s="306">
        <v>46870</v>
      </c>
      <c r="F182" s="139">
        <v>0.66</v>
      </c>
      <c r="G182" s="137">
        <v>139016</v>
      </c>
      <c r="H182" s="137">
        <v>92246</v>
      </c>
      <c r="I182" s="138">
        <v>46770</v>
      </c>
      <c r="J182" s="139">
        <v>0.66356390631294238</v>
      </c>
    </row>
    <row r="183" spans="1:10" x14ac:dyDescent="0.35">
      <c r="A183" s="148" t="s">
        <v>535</v>
      </c>
      <c r="B183" s="149" t="s">
        <v>536</v>
      </c>
      <c r="C183" s="295">
        <v>18755</v>
      </c>
      <c r="D183" s="306">
        <v>18755</v>
      </c>
      <c r="E183" s="306">
        <v>0</v>
      </c>
      <c r="F183" s="139">
        <v>1</v>
      </c>
      <c r="G183" s="137">
        <v>33957</v>
      </c>
      <c r="H183" s="137">
        <v>31188</v>
      </c>
      <c r="I183" s="138">
        <v>2769</v>
      </c>
      <c r="J183" s="139">
        <v>0.9184556939658981</v>
      </c>
    </row>
    <row r="184" spans="1:10" x14ac:dyDescent="0.35">
      <c r="A184" s="148" t="s">
        <v>200</v>
      </c>
      <c r="B184" s="149" t="s">
        <v>199</v>
      </c>
      <c r="C184" s="295">
        <v>50325</v>
      </c>
      <c r="D184" s="306">
        <v>29675</v>
      </c>
      <c r="E184" s="306">
        <v>20650</v>
      </c>
      <c r="F184" s="139">
        <v>0.59</v>
      </c>
      <c r="G184" s="137">
        <v>75446</v>
      </c>
      <c r="H184" s="137">
        <v>54780</v>
      </c>
      <c r="I184" s="138">
        <v>20666</v>
      </c>
      <c r="J184" s="139">
        <v>0.72608223099965541</v>
      </c>
    </row>
    <row r="185" spans="1:10" x14ac:dyDescent="0.35">
      <c r="A185" s="148" t="s">
        <v>202</v>
      </c>
      <c r="B185" s="149" t="s">
        <v>201</v>
      </c>
      <c r="C185" s="295">
        <v>194050</v>
      </c>
      <c r="D185" s="306">
        <v>130810</v>
      </c>
      <c r="E185" s="306">
        <v>63240</v>
      </c>
      <c r="F185" s="139">
        <v>0.67</v>
      </c>
      <c r="G185" s="137">
        <v>193979</v>
      </c>
      <c r="H185" s="137">
        <v>131719</v>
      </c>
      <c r="I185" s="138">
        <v>62260</v>
      </c>
      <c r="J185" s="139">
        <v>0.67903742157656244</v>
      </c>
    </row>
    <row r="186" spans="1:10" x14ac:dyDescent="0.35">
      <c r="A186" s="148" t="s">
        <v>537</v>
      </c>
      <c r="B186" s="149" t="s">
        <v>538</v>
      </c>
      <c r="C186" s="295">
        <v>66765</v>
      </c>
      <c r="D186" s="306">
        <v>66365</v>
      </c>
      <c r="E186" s="306">
        <v>405</v>
      </c>
      <c r="F186" s="139">
        <v>0.99</v>
      </c>
      <c r="G186" s="137">
        <v>66716</v>
      </c>
      <c r="H186" s="137">
        <v>66318</v>
      </c>
      <c r="I186" s="138">
        <v>398</v>
      </c>
      <c r="J186" s="139">
        <v>0.99403441453324537</v>
      </c>
    </row>
    <row r="187" spans="1:10" x14ac:dyDescent="0.35">
      <c r="A187" s="148" t="s">
        <v>204</v>
      </c>
      <c r="B187" s="150" t="s">
        <v>203</v>
      </c>
      <c r="C187" s="295">
        <v>143655</v>
      </c>
      <c r="D187" s="306">
        <v>87320</v>
      </c>
      <c r="E187" s="306">
        <v>56335</v>
      </c>
      <c r="F187" s="139">
        <v>0.61</v>
      </c>
      <c r="G187" s="137">
        <v>191271</v>
      </c>
      <c r="H187" s="137">
        <v>133650</v>
      </c>
      <c r="I187" s="138">
        <v>57621</v>
      </c>
      <c r="J187" s="139">
        <v>0.69874680427247204</v>
      </c>
    </row>
    <row r="188" spans="1:10" x14ac:dyDescent="0.35">
      <c r="A188" s="148" t="s">
        <v>539</v>
      </c>
      <c r="B188" s="151" t="s">
        <v>540</v>
      </c>
      <c r="C188" s="295">
        <v>16540</v>
      </c>
      <c r="D188" s="306">
        <v>16475</v>
      </c>
      <c r="E188" s="306">
        <v>65</v>
      </c>
      <c r="F188" s="139">
        <v>1</v>
      </c>
      <c r="G188" s="137">
        <v>16597</v>
      </c>
      <c r="H188" s="137">
        <v>16537</v>
      </c>
      <c r="I188" s="138">
        <v>60</v>
      </c>
      <c r="J188" s="139">
        <v>0.99638488883533172</v>
      </c>
    </row>
    <row r="189" spans="1:10" x14ac:dyDescent="0.35">
      <c r="A189" s="148" t="s">
        <v>206</v>
      </c>
      <c r="B189" s="149" t="s">
        <v>205</v>
      </c>
      <c r="C189" s="297">
        <v>66805</v>
      </c>
      <c r="D189" s="306">
        <v>52775</v>
      </c>
      <c r="E189" s="306">
        <v>14030</v>
      </c>
      <c r="F189" s="139">
        <v>0.79</v>
      </c>
      <c r="G189" s="137">
        <v>66830</v>
      </c>
      <c r="H189" s="137">
        <v>53933</v>
      </c>
      <c r="I189" s="138">
        <v>12897</v>
      </c>
      <c r="J189" s="139">
        <v>0.80701780637438281</v>
      </c>
    </row>
    <row r="190" spans="1:10" x14ac:dyDescent="0.35">
      <c r="A190" s="287" t="s">
        <v>541</v>
      </c>
      <c r="B190" s="288" t="s">
        <v>542</v>
      </c>
      <c r="C190" s="307">
        <v>221185</v>
      </c>
      <c r="D190" s="305">
        <v>0</v>
      </c>
      <c r="E190" s="305">
        <v>0</v>
      </c>
      <c r="F190" s="294">
        <v>0</v>
      </c>
      <c r="G190" s="289">
        <v>349110</v>
      </c>
      <c r="H190" s="289">
        <v>0</v>
      </c>
      <c r="I190" s="290">
        <v>0</v>
      </c>
      <c r="J190" s="291">
        <v>0</v>
      </c>
    </row>
    <row r="191" spans="1:10" x14ac:dyDescent="0.35">
      <c r="A191" s="148" t="s">
        <v>208</v>
      </c>
      <c r="B191" s="149" t="s">
        <v>207</v>
      </c>
      <c r="C191" s="298">
        <v>124575</v>
      </c>
      <c r="D191" s="306">
        <v>67105</v>
      </c>
      <c r="E191" s="306">
        <v>57470</v>
      </c>
      <c r="F191" s="139">
        <v>0.54</v>
      </c>
      <c r="G191" s="137">
        <v>125266</v>
      </c>
      <c r="H191" s="137">
        <v>70351</v>
      </c>
      <c r="I191" s="138">
        <v>54915</v>
      </c>
      <c r="J191" s="139">
        <v>0.56161288777481522</v>
      </c>
    </row>
    <row r="192" spans="1:10" x14ac:dyDescent="0.35">
      <c r="A192" s="148" t="s">
        <v>210</v>
      </c>
      <c r="B192" s="149" t="s">
        <v>209</v>
      </c>
      <c r="C192" s="295">
        <v>126185</v>
      </c>
      <c r="D192" s="306">
        <v>65265</v>
      </c>
      <c r="E192" s="306">
        <v>60920</v>
      </c>
      <c r="F192" s="139">
        <v>0.52</v>
      </c>
      <c r="G192" s="137">
        <v>126557</v>
      </c>
      <c r="H192" s="137">
        <v>101993</v>
      </c>
      <c r="I192" s="138">
        <v>24564</v>
      </c>
      <c r="J192" s="139">
        <v>0.80590563935617943</v>
      </c>
    </row>
    <row r="193" spans="1:10" x14ac:dyDescent="0.35">
      <c r="A193" s="148" t="s">
        <v>212</v>
      </c>
      <c r="B193" s="149" t="s">
        <v>211</v>
      </c>
      <c r="C193" s="295">
        <v>110290</v>
      </c>
      <c r="D193" s="306">
        <v>80835</v>
      </c>
      <c r="E193" s="306">
        <v>29455</v>
      </c>
      <c r="F193" s="139">
        <v>0.73</v>
      </c>
      <c r="G193" s="137">
        <v>110355</v>
      </c>
      <c r="H193" s="137">
        <v>80889</v>
      </c>
      <c r="I193" s="138">
        <v>29466</v>
      </c>
      <c r="J193" s="139">
        <v>0.7329889900774772</v>
      </c>
    </row>
    <row r="194" spans="1:10" x14ac:dyDescent="0.35">
      <c r="A194" s="148" t="s">
        <v>214</v>
      </c>
      <c r="B194" s="149" t="s">
        <v>213</v>
      </c>
      <c r="C194" s="295">
        <v>229365</v>
      </c>
      <c r="D194" s="306">
        <v>124645</v>
      </c>
      <c r="E194" s="306">
        <v>104720</v>
      </c>
      <c r="F194" s="139">
        <v>0.54</v>
      </c>
      <c r="G194" s="137">
        <v>339382</v>
      </c>
      <c r="H194" s="137">
        <v>235038</v>
      </c>
      <c r="I194" s="138">
        <v>104344</v>
      </c>
      <c r="J194" s="139">
        <v>0.69254704138699164</v>
      </c>
    </row>
    <row r="195" spans="1:10" x14ac:dyDescent="0.35">
      <c r="A195" s="148" t="s">
        <v>216</v>
      </c>
      <c r="B195" s="149" t="s">
        <v>215</v>
      </c>
      <c r="C195" s="295">
        <v>152890</v>
      </c>
      <c r="D195" s="306">
        <v>105005</v>
      </c>
      <c r="E195" s="306">
        <v>47885</v>
      </c>
      <c r="F195" s="139">
        <v>0.69</v>
      </c>
      <c r="G195" s="137">
        <v>152474</v>
      </c>
      <c r="H195" s="137">
        <v>104630</v>
      </c>
      <c r="I195" s="138">
        <v>47844</v>
      </c>
      <c r="J195" s="139">
        <v>0.68621535474900641</v>
      </c>
    </row>
    <row r="196" spans="1:10" x14ac:dyDescent="0.35">
      <c r="A196" s="148" t="s">
        <v>218</v>
      </c>
      <c r="B196" s="149" t="s">
        <v>217</v>
      </c>
      <c r="C196" s="295">
        <v>380265</v>
      </c>
      <c r="D196" s="306">
        <v>198535</v>
      </c>
      <c r="E196" s="306">
        <v>181730</v>
      </c>
      <c r="F196" s="139">
        <v>0.52</v>
      </c>
      <c r="G196" s="137">
        <v>378058</v>
      </c>
      <c r="H196" s="137">
        <v>196607</v>
      </c>
      <c r="I196" s="138">
        <v>181451</v>
      </c>
      <c r="J196" s="139">
        <v>0.52004454342984407</v>
      </c>
    </row>
    <row r="197" spans="1:10" x14ac:dyDescent="0.35">
      <c r="A197" s="148" t="s">
        <v>220</v>
      </c>
      <c r="B197" s="149" t="s">
        <v>219</v>
      </c>
      <c r="C197" s="295">
        <v>151310</v>
      </c>
      <c r="D197" s="306">
        <v>100530</v>
      </c>
      <c r="E197" s="306">
        <v>50780</v>
      </c>
      <c r="F197" s="139">
        <v>0.66</v>
      </c>
      <c r="G197" s="137">
        <v>152589</v>
      </c>
      <c r="H197" s="137">
        <v>101566</v>
      </c>
      <c r="I197" s="138">
        <v>51023</v>
      </c>
      <c r="J197" s="139">
        <v>0.66561809829017815</v>
      </c>
    </row>
    <row r="198" spans="1:10" x14ac:dyDescent="0.35">
      <c r="A198" s="148" t="s">
        <v>222</v>
      </c>
      <c r="B198" s="149" t="s">
        <v>221</v>
      </c>
      <c r="C198" s="295">
        <v>246175</v>
      </c>
      <c r="D198" s="306">
        <v>190175</v>
      </c>
      <c r="E198" s="306">
        <v>55995</v>
      </c>
      <c r="F198" s="139">
        <v>0.77</v>
      </c>
      <c r="G198" s="137">
        <v>246800</v>
      </c>
      <c r="H198" s="137">
        <v>191806</v>
      </c>
      <c r="I198" s="138">
        <v>54994</v>
      </c>
      <c r="J198" s="139">
        <v>0.77717179902755262</v>
      </c>
    </row>
    <row r="199" spans="1:10" x14ac:dyDescent="0.35">
      <c r="A199" s="148" t="s">
        <v>224</v>
      </c>
      <c r="B199" s="149" t="s">
        <v>223</v>
      </c>
      <c r="C199" s="295">
        <v>144435</v>
      </c>
      <c r="D199" s="306">
        <v>83315</v>
      </c>
      <c r="E199" s="306">
        <v>61120</v>
      </c>
      <c r="F199" s="139">
        <v>0.57999999999999996</v>
      </c>
      <c r="G199" s="137">
        <v>144386</v>
      </c>
      <c r="H199" s="137">
        <v>83323</v>
      </c>
      <c r="I199" s="138">
        <v>61063</v>
      </c>
      <c r="J199" s="139">
        <v>0.57708503594531324</v>
      </c>
    </row>
    <row r="200" spans="1:10" x14ac:dyDescent="0.35">
      <c r="A200" s="148" t="s">
        <v>226</v>
      </c>
      <c r="B200" s="149" t="s">
        <v>225</v>
      </c>
      <c r="C200" s="295">
        <v>229880</v>
      </c>
      <c r="D200" s="306">
        <v>208975</v>
      </c>
      <c r="E200" s="306">
        <v>20905</v>
      </c>
      <c r="F200" s="139">
        <v>0.91</v>
      </c>
      <c r="G200" s="137">
        <v>235434</v>
      </c>
      <c r="H200" s="137">
        <v>214502</v>
      </c>
      <c r="I200" s="138">
        <v>20932</v>
      </c>
      <c r="J200" s="139">
        <v>0.91109185589167241</v>
      </c>
    </row>
    <row r="201" spans="1:10" x14ac:dyDescent="0.35">
      <c r="A201" s="148" t="s">
        <v>228</v>
      </c>
      <c r="B201" s="149" t="s">
        <v>227</v>
      </c>
      <c r="C201" s="295">
        <v>260340</v>
      </c>
      <c r="D201" s="306">
        <v>145500</v>
      </c>
      <c r="E201" s="306">
        <v>114835</v>
      </c>
      <c r="F201" s="139">
        <v>0.56000000000000005</v>
      </c>
      <c r="G201" s="137">
        <v>341212</v>
      </c>
      <c r="H201" s="137">
        <v>209501</v>
      </c>
      <c r="I201" s="138">
        <v>131711</v>
      </c>
      <c r="J201" s="139">
        <v>0.61399071544963246</v>
      </c>
    </row>
    <row r="202" spans="1:10" x14ac:dyDescent="0.35">
      <c r="A202" s="148" t="s">
        <v>230</v>
      </c>
      <c r="B202" s="149" t="s">
        <v>229</v>
      </c>
      <c r="C202" s="295">
        <v>155075</v>
      </c>
      <c r="D202" s="306">
        <v>88960</v>
      </c>
      <c r="E202" s="306">
        <v>66115</v>
      </c>
      <c r="F202" s="139">
        <v>0.56999999999999995</v>
      </c>
      <c r="G202" s="137">
        <v>174479</v>
      </c>
      <c r="H202" s="137">
        <v>108346</v>
      </c>
      <c r="I202" s="138">
        <v>66133</v>
      </c>
      <c r="J202" s="139">
        <v>0.62096871256712838</v>
      </c>
    </row>
    <row r="203" spans="1:10" x14ac:dyDescent="0.35">
      <c r="A203" s="148" t="s">
        <v>232</v>
      </c>
      <c r="B203" s="149" t="s">
        <v>231</v>
      </c>
      <c r="C203" s="295">
        <v>112545</v>
      </c>
      <c r="D203" s="306">
        <v>61100</v>
      </c>
      <c r="E203" s="306">
        <v>51445</v>
      </c>
      <c r="F203" s="139">
        <v>0.54</v>
      </c>
      <c r="G203" s="137">
        <v>124126</v>
      </c>
      <c r="H203" s="137">
        <v>72356</v>
      </c>
      <c r="I203" s="138">
        <v>51770</v>
      </c>
      <c r="J203" s="139">
        <v>0.5829238032321995</v>
      </c>
    </row>
    <row r="204" spans="1:10" x14ac:dyDescent="0.35">
      <c r="A204" s="148" t="s">
        <v>234</v>
      </c>
      <c r="B204" s="149" t="s">
        <v>233</v>
      </c>
      <c r="C204" s="295">
        <v>124380</v>
      </c>
      <c r="D204" s="306">
        <v>81180</v>
      </c>
      <c r="E204" s="306">
        <v>43200</v>
      </c>
      <c r="F204" s="139">
        <v>0.65</v>
      </c>
      <c r="G204" s="137">
        <v>126015</v>
      </c>
      <c r="H204" s="137">
        <v>81172</v>
      </c>
      <c r="I204" s="138">
        <v>44843</v>
      </c>
      <c r="J204" s="139">
        <v>0.64414553822957588</v>
      </c>
    </row>
    <row r="205" spans="1:10" x14ac:dyDescent="0.35">
      <c r="A205" s="148" t="s">
        <v>543</v>
      </c>
      <c r="B205" s="149" t="s">
        <v>544</v>
      </c>
      <c r="C205" s="295">
        <v>63910</v>
      </c>
      <c r="D205" s="306">
        <v>63615</v>
      </c>
      <c r="E205" s="306">
        <v>295</v>
      </c>
      <c r="F205" s="139">
        <v>1</v>
      </c>
      <c r="G205" s="137">
        <v>63702</v>
      </c>
      <c r="H205" s="137">
        <v>63452</v>
      </c>
      <c r="I205" s="138">
        <v>250</v>
      </c>
      <c r="J205" s="139">
        <v>0.99607547643716055</v>
      </c>
    </row>
    <row r="206" spans="1:10" x14ac:dyDescent="0.35">
      <c r="A206" s="148" t="s">
        <v>236</v>
      </c>
      <c r="B206" s="149" t="s">
        <v>235</v>
      </c>
      <c r="C206" s="295">
        <v>186690</v>
      </c>
      <c r="D206" s="306">
        <v>125875</v>
      </c>
      <c r="E206" s="306">
        <v>60815</v>
      </c>
      <c r="F206" s="139">
        <v>0.67</v>
      </c>
      <c r="G206" s="137">
        <v>185600</v>
      </c>
      <c r="H206" s="137">
        <v>125899</v>
      </c>
      <c r="I206" s="138">
        <v>59701</v>
      </c>
      <c r="J206" s="139">
        <v>0.67833512931034479</v>
      </c>
    </row>
    <row r="207" spans="1:10" x14ac:dyDescent="0.35">
      <c r="A207" s="148" t="s">
        <v>238</v>
      </c>
      <c r="B207" s="149" t="s">
        <v>237</v>
      </c>
      <c r="C207" s="295">
        <v>128390</v>
      </c>
      <c r="D207" s="306">
        <v>91125</v>
      </c>
      <c r="E207" s="306">
        <v>37265</v>
      </c>
      <c r="F207" s="139">
        <v>0.71</v>
      </c>
      <c r="G207" s="137">
        <v>135846</v>
      </c>
      <c r="H207" s="137">
        <v>98396</v>
      </c>
      <c r="I207" s="138">
        <v>37450</v>
      </c>
      <c r="J207" s="139">
        <v>0.72432018609307602</v>
      </c>
    </row>
    <row r="208" spans="1:10" x14ac:dyDescent="0.35">
      <c r="A208" s="148" t="s">
        <v>545</v>
      </c>
      <c r="B208" s="149" t="s">
        <v>546</v>
      </c>
      <c r="C208" s="295">
        <v>10815</v>
      </c>
      <c r="D208" s="306">
        <v>10770</v>
      </c>
      <c r="E208" s="306">
        <v>45</v>
      </c>
      <c r="F208" s="139">
        <v>1</v>
      </c>
      <c r="G208" s="137">
        <v>10839</v>
      </c>
      <c r="H208" s="137">
        <v>10794</v>
      </c>
      <c r="I208" s="138">
        <v>45</v>
      </c>
      <c r="J208" s="139">
        <v>0.99584832549128144</v>
      </c>
    </row>
    <row r="209" spans="1:10" x14ac:dyDescent="0.35">
      <c r="A209" s="148" t="s">
        <v>240</v>
      </c>
      <c r="B209" s="149" t="s">
        <v>239</v>
      </c>
      <c r="C209" s="295">
        <v>96780</v>
      </c>
      <c r="D209" s="306">
        <v>53330</v>
      </c>
      <c r="E209" s="306">
        <v>43445</v>
      </c>
      <c r="F209" s="139">
        <v>0.55000000000000004</v>
      </c>
      <c r="G209" s="137">
        <v>97949</v>
      </c>
      <c r="H209" s="137">
        <v>61609</v>
      </c>
      <c r="I209" s="138">
        <v>36340</v>
      </c>
      <c r="J209" s="139">
        <v>0.62899059714749517</v>
      </c>
    </row>
    <row r="210" spans="1:10" x14ac:dyDescent="0.35">
      <c r="A210" s="148" t="s">
        <v>242</v>
      </c>
      <c r="B210" s="149" t="s">
        <v>241</v>
      </c>
      <c r="C210" s="295">
        <v>158410</v>
      </c>
      <c r="D210" s="306">
        <v>82855</v>
      </c>
      <c r="E210" s="306">
        <v>75555</v>
      </c>
      <c r="F210" s="139">
        <v>0.52</v>
      </c>
      <c r="G210" s="137">
        <v>160958</v>
      </c>
      <c r="H210" s="137">
        <v>119459</v>
      </c>
      <c r="I210" s="138">
        <v>41499</v>
      </c>
      <c r="J210" s="139">
        <v>0.74217497732327686</v>
      </c>
    </row>
    <row r="211" spans="1:10" x14ac:dyDescent="0.35">
      <c r="A211" s="148" t="s">
        <v>244</v>
      </c>
      <c r="B211" s="149" t="s">
        <v>243</v>
      </c>
      <c r="C211" s="297">
        <v>276390</v>
      </c>
      <c r="D211" s="306">
        <v>173270</v>
      </c>
      <c r="E211" s="306">
        <v>103120</v>
      </c>
      <c r="F211" s="139">
        <v>0.63</v>
      </c>
      <c r="G211" s="137">
        <v>279265</v>
      </c>
      <c r="H211" s="137">
        <v>189945</v>
      </c>
      <c r="I211" s="138">
        <v>89320</v>
      </c>
      <c r="J211" s="139">
        <v>0.68016042110540165</v>
      </c>
    </row>
    <row r="212" spans="1:10" x14ac:dyDescent="0.35">
      <c r="A212" s="287" t="s">
        <v>547</v>
      </c>
      <c r="B212" s="288" t="s">
        <v>548</v>
      </c>
      <c r="C212" s="307">
        <v>179905</v>
      </c>
      <c r="D212" s="305">
        <v>0</v>
      </c>
      <c r="E212" s="305">
        <v>0</v>
      </c>
      <c r="F212" s="294">
        <v>0</v>
      </c>
      <c r="G212" s="289">
        <v>181132</v>
      </c>
      <c r="H212" s="289">
        <v>0</v>
      </c>
      <c r="I212" s="290">
        <v>0</v>
      </c>
      <c r="J212" s="291">
        <v>0</v>
      </c>
    </row>
    <row r="213" spans="1:10" x14ac:dyDescent="0.35">
      <c r="A213" s="148" t="s">
        <v>246</v>
      </c>
      <c r="B213" s="149" t="s">
        <v>245</v>
      </c>
      <c r="C213" s="298">
        <v>91170</v>
      </c>
      <c r="D213" s="306">
        <v>59430</v>
      </c>
      <c r="E213" s="306">
        <v>31740</v>
      </c>
      <c r="F213" s="139">
        <v>0.65</v>
      </c>
      <c r="G213" s="137">
        <v>126744</v>
      </c>
      <c r="H213" s="137">
        <v>94943</v>
      </c>
      <c r="I213" s="138">
        <v>31801</v>
      </c>
      <c r="J213" s="139">
        <v>0.74909265921858237</v>
      </c>
    </row>
    <row r="214" spans="1:10" x14ac:dyDescent="0.35">
      <c r="A214" s="148" t="s">
        <v>549</v>
      </c>
      <c r="B214" s="149" t="s">
        <v>550</v>
      </c>
      <c r="C214" s="295">
        <v>29010</v>
      </c>
      <c r="D214" s="306">
        <v>27570</v>
      </c>
      <c r="E214" s="306">
        <v>1440</v>
      </c>
      <c r="F214" s="139">
        <v>0.95</v>
      </c>
      <c r="G214" s="137">
        <v>26529</v>
      </c>
      <c r="H214" s="137">
        <v>25691</v>
      </c>
      <c r="I214" s="138">
        <v>838</v>
      </c>
      <c r="J214" s="139">
        <v>0.96841192657092234</v>
      </c>
    </row>
    <row r="215" spans="1:10" x14ac:dyDescent="0.35">
      <c r="A215" s="148" t="s">
        <v>551</v>
      </c>
      <c r="B215" s="149" t="s">
        <v>552</v>
      </c>
      <c r="C215" s="295">
        <v>115705</v>
      </c>
      <c r="D215" s="306">
        <v>107600</v>
      </c>
      <c r="E215" s="306">
        <v>8105</v>
      </c>
      <c r="F215" s="139">
        <v>0.93</v>
      </c>
      <c r="G215" s="137">
        <v>146235</v>
      </c>
      <c r="H215" s="137">
        <v>140627</v>
      </c>
      <c r="I215" s="138">
        <v>5608</v>
      </c>
      <c r="J215" s="139">
        <v>0.96165076760009571</v>
      </c>
    </row>
    <row r="216" spans="1:10" x14ac:dyDescent="0.35">
      <c r="A216" s="148" t="s">
        <v>553</v>
      </c>
      <c r="B216" s="149" t="s">
        <v>554</v>
      </c>
      <c r="C216" s="295">
        <v>0</v>
      </c>
      <c r="D216" s="306">
        <v>0</v>
      </c>
      <c r="E216" s="306">
        <v>0</v>
      </c>
      <c r="F216" s="139">
        <v>0</v>
      </c>
      <c r="G216" s="137">
        <v>0</v>
      </c>
      <c r="H216" s="137">
        <v>0</v>
      </c>
      <c r="I216" s="138">
        <v>0</v>
      </c>
      <c r="J216" s="139">
        <v>0</v>
      </c>
    </row>
    <row r="217" spans="1:10" x14ac:dyDescent="0.35">
      <c r="A217" s="148" t="s">
        <v>248</v>
      </c>
      <c r="B217" s="149" t="s">
        <v>247</v>
      </c>
      <c r="C217" s="295">
        <v>121595</v>
      </c>
      <c r="D217" s="306">
        <v>55630</v>
      </c>
      <c r="E217" s="306">
        <v>65965</v>
      </c>
      <c r="F217" s="139">
        <v>0.46</v>
      </c>
      <c r="G217" s="137">
        <v>121698</v>
      </c>
      <c r="H217" s="137">
        <v>55539</v>
      </c>
      <c r="I217" s="138">
        <v>66159</v>
      </c>
      <c r="J217" s="139">
        <v>0.45636740127200121</v>
      </c>
    </row>
    <row r="218" spans="1:10" x14ac:dyDescent="0.35">
      <c r="A218" s="148" t="s">
        <v>250</v>
      </c>
      <c r="B218" s="149" t="s">
        <v>249</v>
      </c>
      <c r="C218" s="295">
        <v>141290</v>
      </c>
      <c r="D218" s="306">
        <v>64695</v>
      </c>
      <c r="E218" s="306">
        <v>76595</v>
      </c>
      <c r="F218" s="139">
        <v>0.46</v>
      </c>
      <c r="G218" s="137">
        <v>209279</v>
      </c>
      <c r="H218" s="137">
        <v>126092</v>
      </c>
      <c r="I218" s="138">
        <v>83187</v>
      </c>
      <c r="J218" s="139">
        <v>0.60250670158018726</v>
      </c>
    </row>
    <row r="219" spans="1:10" x14ac:dyDescent="0.35">
      <c r="A219" s="148" t="s">
        <v>252</v>
      </c>
      <c r="B219" s="149" t="s">
        <v>251</v>
      </c>
      <c r="C219" s="295">
        <v>256110</v>
      </c>
      <c r="D219" s="306">
        <v>139155</v>
      </c>
      <c r="E219" s="306">
        <v>116955</v>
      </c>
      <c r="F219" s="139">
        <v>0.54</v>
      </c>
      <c r="G219" s="137">
        <v>258365</v>
      </c>
      <c r="H219" s="137">
        <v>141062</v>
      </c>
      <c r="I219" s="138">
        <v>117303</v>
      </c>
      <c r="J219" s="139">
        <v>0.54597952509047276</v>
      </c>
    </row>
    <row r="220" spans="1:10" x14ac:dyDescent="0.35">
      <c r="A220" s="148" t="s">
        <v>254</v>
      </c>
      <c r="B220" s="149" t="s">
        <v>253</v>
      </c>
      <c r="C220" s="295">
        <v>232115</v>
      </c>
      <c r="D220" s="306">
        <v>191455</v>
      </c>
      <c r="E220" s="306">
        <v>40660</v>
      </c>
      <c r="F220" s="139">
        <v>0.82</v>
      </c>
      <c r="G220" s="137">
        <v>233269</v>
      </c>
      <c r="H220" s="141">
        <v>195991</v>
      </c>
      <c r="I220" s="138">
        <v>37278</v>
      </c>
      <c r="J220" s="139">
        <v>0.84019308180684105</v>
      </c>
    </row>
    <row r="221" spans="1:10" x14ac:dyDescent="0.35">
      <c r="A221" s="148" t="s">
        <v>555</v>
      </c>
      <c r="B221" s="149" t="s">
        <v>255</v>
      </c>
      <c r="C221" s="295">
        <v>175580</v>
      </c>
      <c r="D221" s="306">
        <v>102770</v>
      </c>
      <c r="E221" s="306">
        <v>72810</v>
      </c>
      <c r="F221" s="139">
        <v>0.59</v>
      </c>
      <c r="G221" s="137">
        <v>181423</v>
      </c>
      <c r="H221" s="137">
        <v>116049</v>
      </c>
      <c r="I221" s="138">
        <v>65374</v>
      </c>
      <c r="J221" s="139">
        <v>0.63965980057655314</v>
      </c>
    </row>
    <row r="222" spans="1:10" x14ac:dyDescent="0.35">
      <c r="A222" s="148" t="s">
        <v>258</v>
      </c>
      <c r="B222" s="149" t="s">
        <v>257</v>
      </c>
      <c r="C222" s="295">
        <v>180585</v>
      </c>
      <c r="D222" s="306">
        <v>115920</v>
      </c>
      <c r="E222" s="306">
        <v>64665</v>
      </c>
      <c r="F222" s="139">
        <v>0.64</v>
      </c>
      <c r="G222" s="137">
        <v>180577</v>
      </c>
      <c r="H222" s="137">
        <v>115926</v>
      </c>
      <c r="I222" s="138">
        <v>64651</v>
      </c>
      <c r="J222" s="139">
        <v>0.64197544537787199</v>
      </c>
    </row>
    <row r="223" spans="1:10" x14ac:dyDescent="0.35">
      <c r="A223" s="148" t="s">
        <v>260</v>
      </c>
      <c r="B223" s="149" t="s">
        <v>259</v>
      </c>
      <c r="C223" s="295">
        <v>110850</v>
      </c>
      <c r="D223" s="306">
        <v>66240</v>
      </c>
      <c r="E223" s="306">
        <v>44610</v>
      </c>
      <c r="F223" s="139">
        <v>0.6</v>
      </c>
      <c r="G223" s="137">
        <v>110846</v>
      </c>
      <c r="H223" s="137">
        <v>66250</v>
      </c>
      <c r="I223" s="138">
        <v>44596</v>
      </c>
      <c r="J223" s="139">
        <v>0.59767605506739074</v>
      </c>
    </row>
    <row r="224" spans="1:10" x14ac:dyDescent="0.35">
      <c r="A224" s="148" t="s">
        <v>262</v>
      </c>
      <c r="B224" s="149" t="s">
        <v>261</v>
      </c>
      <c r="C224" s="295">
        <v>207260</v>
      </c>
      <c r="D224" s="306">
        <v>135600</v>
      </c>
      <c r="E224" s="306">
        <v>71665</v>
      </c>
      <c r="F224" s="139">
        <v>0.65</v>
      </c>
      <c r="G224" s="137">
        <v>207188</v>
      </c>
      <c r="H224" s="137">
        <v>135131</v>
      </c>
      <c r="I224" s="138">
        <v>72057</v>
      </c>
      <c r="J224" s="139">
        <v>0.65221441396219859</v>
      </c>
    </row>
    <row r="225" spans="1:10" x14ac:dyDescent="0.35">
      <c r="A225" s="148" t="s">
        <v>556</v>
      </c>
      <c r="B225" s="149" t="s">
        <v>263</v>
      </c>
      <c r="C225" s="295">
        <v>121690</v>
      </c>
      <c r="D225" s="306">
        <v>72465</v>
      </c>
      <c r="E225" s="306">
        <v>49225</v>
      </c>
      <c r="F225" s="139">
        <v>0.6</v>
      </c>
      <c r="G225" s="137">
        <v>121693</v>
      </c>
      <c r="H225" s="137">
        <v>81981</v>
      </c>
      <c r="I225" s="138">
        <v>39712</v>
      </c>
      <c r="J225" s="139">
        <v>0.67367063019236928</v>
      </c>
    </row>
    <row r="226" spans="1:10" x14ac:dyDescent="0.35">
      <c r="A226" s="148" t="s">
        <v>557</v>
      </c>
      <c r="B226" s="149" t="s">
        <v>558</v>
      </c>
      <c r="C226" s="295">
        <v>20840</v>
      </c>
      <c r="D226" s="306">
        <v>13740</v>
      </c>
      <c r="E226" s="306">
        <v>7095</v>
      </c>
      <c r="F226" s="139">
        <v>0.66</v>
      </c>
      <c r="G226" s="137">
        <v>14489</v>
      </c>
      <c r="H226" s="137">
        <v>14360</v>
      </c>
      <c r="I226" s="138">
        <v>129</v>
      </c>
      <c r="J226" s="139">
        <v>0.99109669404375733</v>
      </c>
    </row>
    <row r="227" spans="1:10" x14ac:dyDescent="0.35">
      <c r="A227" s="148" t="s">
        <v>266</v>
      </c>
      <c r="B227" s="149" t="s">
        <v>265</v>
      </c>
      <c r="C227" s="297">
        <v>172465</v>
      </c>
      <c r="D227" s="306">
        <v>121130</v>
      </c>
      <c r="E227" s="306">
        <v>51330</v>
      </c>
      <c r="F227" s="139">
        <v>0.7</v>
      </c>
      <c r="G227" s="137">
        <v>173224</v>
      </c>
      <c r="H227" s="137">
        <v>121498</v>
      </c>
      <c r="I227" s="138">
        <v>51726</v>
      </c>
      <c r="J227" s="139">
        <v>0.70139241675518404</v>
      </c>
    </row>
    <row r="228" spans="1:10" x14ac:dyDescent="0.35">
      <c r="A228" s="287" t="s">
        <v>559</v>
      </c>
      <c r="B228" s="288" t="s">
        <v>560</v>
      </c>
      <c r="C228" s="307">
        <v>211380</v>
      </c>
      <c r="D228" s="305">
        <v>0</v>
      </c>
      <c r="E228" s="305">
        <v>0</v>
      </c>
      <c r="F228" s="294">
        <v>0</v>
      </c>
      <c r="G228" s="289">
        <v>212153</v>
      </c>
      <c r="H228" s="289">
        <v>0</v>
      </c>
      <c r="I228" s="290">
        <v>0</v>
      </c>
      <c r="J228" s="291">
        <v>0</v>
      </c>
    </row>
    <row r="229" spans="1:10" x14ac:dyDescent="0.35">
      <c r="A229" s="148" t="s">
        <v>268</v>
      </c>
      <c r="B229" s="149" t="s">
        <v>267</v>
      </c>
      <c r="C229" s="299">
        <v>152085</v>
      </c>
      <c r="D229" s="306">
        <v>102330</v>
      </c>
      <c r="E229" s="306">
        <v>49755</v>
      </c>
      <c r="F229" s="139">
        <v>0.67</v>
      </c>
      <c r="G229" s="137">
        <v>152068</v>
      </c>
      <c r="H229" s="137">
        <v>103273</v>
      </c>
      <c r="I229" s="138">
        <v>48795</v>
      </c>
      <c r="J229" s="139">
        <v>0.67912381303101244</v>
      </c>
    </row>
    <row r="230" spans="1:10" x14ac:dyDescent="0.35">
      <c r="A230" s="287" t="s">
        <v>561</v>
      </c>
      <c r="B230" s="288" t="s">
        <v>562</v>
      </c>
      <c r="C230" s="307">
        <v>268545</v>
      </c>
      <c r="D230" s="305">
        <v>0</v>
      </c>
      <c r="E230" s="305">
        <v>0</v>
      </c>
      <c r="F230" s="294">
        <v>0</v>
      </c>
      <c r="G230" s="289">
        <v>268531</v>
      </c>
      <c r="H230" s="289">
        <v>0</v>
      </c>
      <c r="I230" s="290">
        <v>0</v>
      </c>
      <c r="J230" s="291">
        <v>0</v>
      </c>
    </row>
    <row r="231" spans="1:10" x14ac:dyDescent="0.35">
      <c r="A231" s="148" t="s">
        <v>270</v>
      </c>
      <c r="B231" s="149" t="s">
        <v>269</v>
      </c>
      <c r="C231" s="298">
        <v>326665</v>
      </c>
      <c r="D231" s="306">
        <v>229065</v>
      </c>
      <c r="E231" s="306">
        <v>97600</v>
      </c>
      <c r="F231" s="139">
        <v>0.7</v>
      </c>
      <c r="G231" s="137">
        <v>316217</v>
      </c>
      <c r="H231" s="137">
        <v>228132</v>
      </c>
      <c r="I231" s="138">
        <v>88085</v>
      </c>
      <c r="J231" s="139">
        <v>0.72144128873526725</v>
      </c>
    </row>
    <row r="232" spans="1:10" x14ac:dyDescent="0.35">
      <c r="A232" s="148" t="s">
        <v>272</v>
      </c>
      <c r="B232" s="149" t="s">
        <v>271</v>
      </c>
      <c r="C232" s="295">
        <v>74855</v>
      </c>
      <c r="D232" s="306">
        <v>29625</v>
      </c>
      <c r="E232" s="306">
        <v>45230</v>
      </c>
      <c r="F232" s="139">
        <v>0.4</v>
      </c>
      <c r="G232" s="137">
        <v>231719</v>
      </c>
      <c r="H232" s="137">
        <v>184920</v>
      </c>
      <c r="I232" s="138">
        <v>46799</v>
      </c>
      <c r="J232" s="139">
        <v>0.79803555168113105</v>
      </c>
    </row>
    <row r="233" spans="1:10" x14ac:dyDescent="0.35">
      <c r="A233" s="148" t="s">
        <v>274</v>
      </c>
      <c r="B233" s="149" t="s">
        <v>273</v>
      </c>
      <c r="C233" s="295">
        <v>176230</v>
      </c>
      <c r="D233" s="306">
        <v>125320</v>
      </c>
      <c r="E233" s="306">
        <v>50910</v>
      </c>
      <c r="F233" s="139">
        <v>0.71</v>
      </c>
      <c r="G233" s="137">
        <v>184687</v>
      </c>
      <c r="H233" s="137">
        <v>139038</v>
      </c>
      <c r="I233" s="138">
        <v>45649</v>
      </c>
      <c r="J233" s="139">
        <v>0.75283046451563995</v>
      </c>
    </row>
    <row r="234" spans="1:10" x14ac:dyDescent="0.35">
      <c r="A234" s="148" t="s">
        <v>276</v>
      </c>
      <c r="B234" s="149" t="s">
        <v>275</v>
      </c>
      <c r="C234" s="295">
        <v>165750</v>
      </c>
      <c r="D234" s="306">
        <v>88705</v>
      </c>
      <c r="E234" s="306">
        <v>77045</v>
      </c>
      <c r="F234" s="139">
        <v>0.54</v>
      </c>
      <c r="G234" s="137">
        <v>255915</v>
      </c>
      <c r="H234" s="137">
        <v>179858</v>
      </c>
      <c r="I234" s="138">
        <v>76057</v>
      </c>
      <c r="J234" s="139">
        <v>0.70280366527948734</v>
      </c>
    </row>
    <row r="235" spans="1:10" x14ac:dyDescent="0.35">
      <c r="A235" s="148" t="s">
        <v>278</v>
      </c>
      <c r="B235" s="149" t="s">
        <v>277</v>
      </c>
      <c r="C235" s="295">
        <v>80770</v>
      </c>
      <c r="D235" s="306">
        <v>37300</v>
      </c>
      <c r="E235" s="306">
        <v>43470</v>
      </c>
      <c r="F235" s="139">
        <v>0.46</v>
      </c>
      <c r="G235" s="137">
        <v>156451</v>
      </c>
      <c r="H235" s="137">
        <v>109285</v>
      </c>
      <c r="I235" s="138">
        <v>47166</v>
      </c>
      <c r="J235" s="139">
        <v>0.69852541690369507</v>
      </c>
    </row>
    <row r="236" spans="1:10" x14ac:dyDescent="0.35">
      <c r="A236" s="148" t="s">
        <v>280</v>
      </c>
      <c r="B236" s="149" t="s">
        <v>279</v>
      </c>
      <c r="C236" s="295">
        <v>209775</v>
      </c>
      <c r="D236" s="306">
        <v>152600</v>
      </c>
      <c r="E236" s="306">
        <v>57175</v>
      </c>
      <c r="F236" s="139">
        <v>0.73</v>
      </c>
      <c r="G236" s="137">
        <v>207767</v>
      </c>
      <c r="H236" s="137">
        <v>150964</v>
      </c>
      <c r="I236" s="138">
        <v>56803</v>
      </c>
      <c r="J236" s="139">
        <v>0.72660239595315912</v>
      </c>
    </row>
    <row r="237" spans="1:10" x14ac:dyDescent="0.35">
      <c r="A237" s="148" t="s">
        <v>563</v>
      </c>
      <c r="B237" s="149" t="s">
        <v>281</v>
      </c>
      <c r="C237" s="295">
        <v>149390</v>
      </c>
      <c r="D237" s="306">
        <v>79050</v>
      </c>
      <c r="E237" s="306">
        <v>70345</v>
      </c>
      <c r="F237" s="139">
        <v>0.53</v>
      </c>
      <c r="G237" s="137">
        <v>149413</v>
      </c>
      <c r="H237" s="137">
        <v>78688</v>
      </c>
      <c r="I237" s="138">
        <v>70725</v>
      </c>
      <c r="J237" s="139">
        <v>0.52664761433074769</v>
      </c>
    </row>
    <row r="238" spans="1:10" x14ac:dyDescent="0.35">
      <c r="A238" s="148" t="s">
        <v>564</v>
      </c>
      <c r="B238" s="149" t="s">
        <v>565</v>
      </c>
      <c r="C238" s="295">
        <v>45165</v>
      </c>
      <c r="D238" s="306">
        <v>42560</v>
      </c>
      <c r="E238" s="306">
        <v>2605</v>
      </c>
      <c r="F238" s="139">
        <v>0.94</v>
      </c>
      <c r="G238" s="137">
        <v>44992</v>
      </c>
      <c r="H238" s="137">
        <v>42177</v>
      </c>
      <c r="I238" s="138">
        <v>2815</v>
      </c>
      <c r="J238" s="139">
        <v>0.93743332147937408</v>
      </c>
    </row>
    <row r="239" spans="1:10" x14ac:dyDescent="0.35">
      <c r="A239" s="148" t="s">
        <v>566</v>
      </c>
      <c r="B239" s="149" t="s">
        <v>567</v>
      </c>
      <c r="C239" s="295">
        <v>0</v>
      </c>
      <c r="D239" s="306">
        <v>0</v>
      </c>
      <c r="E239" s="306">
        <v>0</v>
      </c>
      <c r="F239" s="139">
        <v>0</v>
      </c>
      <c r="G239" s="137">
        <v>12679</v>
      </c>
      <c r="H239" s="137">
        <v>12166</v>
      </c>
      <c r="I239" s="138">
        <v>513</v>
      </c>
      <c r="J239" s="139">
        <v>0.95953939585140779</v>
      </c>
    </row>
    <row r="240" spans="1:10" x14ac:dyDescent="0.35">
      <c r="A240" s="148" t="s">
        <v>568</v>
      </c>
      <c r="B240" s="149" t="s">
        <v>569</v>
      </c>
      <c r="C240" s="295">
        <v>153245</v>
      </c>
      <c r="D240" s="306">
        <v>143485</v>
      </c>
      <c r="E240" s="306">
        <v>9760</v>
      </c>
      <c r="F240" s="139">
        <v>0.94</v>
      </c>
      <c r="G240" s="137">
        <v>89148</v>
      </c>
      <c r="H240" s="137">
        <v>85752</v>
      </c>
      <c r="I240" s="138">
        <v>3396</v>
      </c>
      <c r="J240" s="139">
        <v>0.96190604388208367</v>
      </c>
    </row>
    <row r="241" spans="1:10" x14ac:dyDescent="0.35">
      <c r="A241" s="148" t="s">
        <v>629</v>
      </c>
      <c r="B241" s="149" t="s">
        <v>570</v>
      </c>
      <c r="C241" s="295">
        <v>6840</v>
      </c>
      <c r="D241" s="306">
        <v>6660</v>
      </c>
      <c r="E241" s="306">
        <v>175</v>
      </c>
      <c r="F241" s="139">
        <v>0.97</v>
      </c>
      <c r="G241" s="137">
        <v>52494</v>
      </c>
      <c r="H241" s="137">
        <v>51199</v>
      </c>
      <c r="I241" s="138">
        <v>1295</v>
      </c>
      <c r="J241" s="139">
        <v>0.97533051396350057</v>
      </c>
    </row>
    <row r="242" spans="1:10" x14ac:dyDescent="0.35">
      <c r="A242" s="148" t="s">
        <v>571</v>
      </c>
      <c r="B242" s="149" t="s">
        <v>572</v>
      </c>
      <c r="C242" s="295">
        <v>80015</v>
      </c>
      <c r="D242" s="306">
        <v>79970</v>
      </c>
      <c r="E242" s="306">
        <v>45</v>
      </c>
      <c r="F242" s="139">
        <v>1</v>
      </c>
      <c r="G242" s="137">
        <v>99200</v>
      </c>
      <c r="H242" s="137">
        <v>99154</v>
      </c>
      <c r="I242" s="138">
        <v>46</v>
      </c>
      <c r="J242" s="139">
        <v>0.99953629032258062</v>
      </c>
    </row>
    <row r="243" spans="1:10" x14ac:dyDescent="0.35">
      <c r="A243" s="148" t="s">
        <v>573</v>
      </c>
      <c r="B243" s="149" t="s">
        <v>574</v>
      </c>
      <c r="C243" s="295">
        <v>156775</v>
      </c>
      <c r="D243" s="306">
        <v>142800</v>
      </c>
      <c r="E243" s="306">
        <v>13975</v>
      </c>
      <c r="F243" s="139">
        <v>0.91</v>
      </c>
      <c r="G243" s="137">
        <v>56670</v>
      </c>
      <c r="H243" s="137">
        <v>56494</v>
      </c>
      <c r="I243" s="138">
        <v>176</v>
      </c>
      <c r="J243" s="139">
        <v>0.99689430033527437</v>
      </c>
    </row>
    <row r="244" spans="1:10" x14ac:dyDescent="0.35">
      <c r="A244" s="148" t="s">
        <v>575</v>
      </c>
      <c r="B244" s="149" t="s">
        <v>576</v>
      </c>
      <c r="C244" s="297">
        <v>12050</v>
      </c>
      <c r="D244" s="306">
        <v>10945</v>
      </c>
      <c r="E244" s="306">
        <v>1105</v>
      </c>
      <c r="F244" s="139">
        <v>0.91</v>
      </c>
      <c r="G244" s="137">
        <v>19734</v>
      </c>
      <c r="H244" s="137">
        <v>18352</v>
      </c>
      <c r="I244" s="138">
        <v>1382</v>
      </c>
      <c r="J244" s="139">
        <v>0.92996858214249523</v>
      </c>
    </row>
    <row r="245" spans="1:10" x14ac:dyDescent="0.35">
      <c r="A245" s="287" t="s">
        <v>577</v>
      </c>
      <c r="B245" s="288" t="s">
        <v>578</v>
      </c>
      <c r="C245" s="307">
        <v>204245</v>
      </c>
      <c r="D245" s="305">
        <v>0</v>
      </c>
      <c r="E245" s="305">
        <v>0</v>
      </c>
      <c r="F245" s="294">
        <v>0</v>
      </c>
      <c r="G245" s="289">
        <v>260637</v>
      </c>
      <c r="H245" s="289">
        <v>0</v>
      </c>
      <c r="I245" s="290">
        <v>0</v>
      </c>
      <c r="J245" s="291">
        <v>0</v>
      </c>
    </row>
    <row r="246" spans="1:10" x14ac:dyDescent="0.35">
      <c r="A246" s="148" t="s">
        <v>284</v>
      </c>
      <c r="B246" s="149" t="s">
        <v>283</v>
      </c>
      <c r="C246" s="298">
        <v>345375</v>
      </c>
      <c r="D246" s="303">
        <v>198480</v>
      </c>
      <c r="E246" s="304">
        <v>146900</v>
      </c>
      <c r="F246" s="177">
        <v>0.56999999999999995</v>
      </c>
      <c r="G246" s="137">
        <v>347002</v>
      </c>
      <c r="H246" s="137">
        <v>201682</v>
      </c>
      <c r="I246" s="138">
        <v>145320</v>
      </c>
      <c r="J246" s="139">
        <v>0.5812127883989141</v>
      </c>
    </row>
    <row r="247" spans="1:10" x14ac:dyDescent="0.35">
      <c r="A247" s="148" t="s">
        <v>579</v>
      </c>
      <c r="B247" s="149" t="s">
        <v>580</v>
      </c>
      <c r="C247" s="295">
        <v>91640</v>
      </c>
      <c r="D247" s="135">
        <v>88570</v>
      </c>
      <c r="E247" s="136">
        <v>3070</v>
      </c>
      <c r="F247" s="177">
        <v>0.97</v>
      </c>
      <c r="G247" s="137">
        <v>101064</v>
      </c>
      <c r="H247" s="137">
        <v>98033</v>
      </c>
      <c r="I247" s="138">
        <v>3031</v>
      </c>
      <c r="J247" s="139">
        <v>0.97000910314256317</v>
      </c>
    </row>
    <row r="248" spans="1:10" x14ac:dyDescent="0.35">
      <c r="A248" s="148" t="s">
        <v>581</v>
      </c>
      <c r="B248" s="149" t="s">
        <v>582</v>
      </c>
      <c r="C248" s="295">
        <v>84860</v>
      </c>
      <c r="D248" s="135">
        <v>84585</v>
      </c>
      <c r="E248" s="136">
        <v>275</v>
      </c>
      <c r="F248" s="177">
        <v>1</v>
      </c>
      <c r="G248" s="137">
        <v>94621</v>
      </c>
      <c r="H248" s="137">
        <v>94277</v>
      </c>
      <c r="I248" s="138">
        <v>344</v>
      </c>
      <c r="J248" s="139">
        <v>0.9963644434110821</v>
      </c>
    </row>
    <row r="249" spans="1:10" x14ac:dyDescent="0.35">
      <c r="A249" s="148" t="s">
        <v>630</v>
      </c>
      <c r="B249" s="149" t="s">
        <v>631</v>
      </c>
      <c r="C249" s="295" t="s">
        <v>651</v>
      </c>
      <c r="D249" s="135" t="s">
        <v>651</v>
      </c>
      <c r="E249" s="136" t="s">
        <v>651</v>
      </c>
      <c r="F249" s="177" t="s">
        <v>651</v>
      </c>
      <c r="G249" s="137">
        <v>0</v>
      </c>
      <c r="H249" s="137">
        <v>0</v>
      </c>
      <c r="I249" s="138">
        <v>0</v>
      </c>
      <c r="J249" s="139">
        <v>0</v>
      </c>
    </row>
    <row r="250" spans="1:10" x14ac:dyDescent="0.35">
      <c r="A250" s="148" t="s">
        <v>632</v>
      </c>
      <c r="B250" s="149" t="s">
        <v>633</v>
      </c>
      <c r="C250" s="295">
        <v>26085</v>
      </c>
      <c r="D250" s="135">
        <v>24610</v>
      </c>
      <c r="E250" s="136">
        <v>1475</v>
      </c>
      <c r="F250" s="177">
        <v>0.94</v>
      </c>
      <c r="G250" s="137">
        <v>0</v>
      </c>
      <c r="H250" s="137">
        <v>0</v>
      </c>
      <c r="I250" s="138">
        <v>0</v>
      </c>
      <c r="J250" s="139">
        <v>0</v>
      </c>
    </row>
    <row r="251" spans="1:10" x14ac:dyDescent="0.35">
      <c r="A251" s="148" t="s">
        <v>634</v>
      </c>
      <c r="B251" s="149" t="s">
        <v>635</v>
      </c>
      <c r="C251" s="295">
        <v>7690</v>
      </c>
      <c r="D251" s="135">
        <v>7035</v>
      </c>
      <c r="E251" s="136">
        <v>650</v>
      </c>
      <c r="F251" s="177">
        <v>0.92</v>
      </c>
      <c r="G251" s="137">
        <v>0</v>
      </c>
      <c r="H251" s="137">
        <v>0</v>
      </c>
      <c r="I251" s="138">
        <v>0</v>
      </c>
      <c r="J251" s="139">
        <v>0</v>
      </c>
    </row>
    <row r="252" spans="1:10" x14ac:dyDescent="0.35">
      <c r="A252" s="148" t="s">
        <v>583</v>
      </c>
      <c r="B252" s="149" t="s">
        <v>584</v>
      </c>
      <c r="C252" s="295">
        <v>25085</v>
      </c>
      <c r="D252" s="135">
        <v>23215</v>
      </c>
      <c r="E252" s="136">
        <v>1870</v>
      </c>
      <c r="F252" s="177">
        <v>0.93</v>
      </c>
      <c r="G252" s="137">
        <v>0</v>
      </c>
      <c r="H252" s="137">
        <v>0</v>
      </c>
      <c r="I252" s="138">
        <v>0</v>
      </c>
      <c r="J252" s="139">
        <v>0</v>
      </c>
    </row>
    <row r="253" spans="1:10" x14ac:dyDescent="0.35">
      <c r="A253" s="148" t="s">
        <v>585</v>
      </c>
      <c r="B253" s="149" t="s">
        <v>586</v>
      </c>
      <c r="C253" s="295">
        <v>0</v>
      </c>
      <c r="D253" s="135">
        <v>0</v>
      </c>
      <c r="E253" s="136">
        <v>0</v>
      </c>
      <c r="F253" s="177">
        <v>0</v>
      </c>
      <c r="G253" s="137">
        <v>0</v>
      </c>
      <c r="H253" s="137">
        <v>0</v>
      </c>
      <c r="I253" s="138">
        <v>0</v>
      </c>
      <c r="J253" s="139">
        <v>0</v>
      </c>
    </row>
    <row r="254" spans="1:10" x14ac:dyDescent="0.35">
      <c r="A254" s="148" t="s">
        <v>587</v>
      </c>
      <c r="B254" s="149" t="s">
        <v>588</v>
      </c>
      <c r="C254" s="295">
        <v>0</v>
      </c>
      <c r="D254" s="135">
        <v>0</v>
      </c>
      <c r="E254" s="136">
        <v>0</v>
      </c>
      <c r="F254" s="177">
        <v>0</v>
      </c>
      <c r="G254" s="137">
        <v>99048</v>
      </c>
      <c r="H254" s="137">
        <v>93804</v>
      </c>
      <c r="I254" s="138">
        <v>5244</v>
      </c>
      <c r="J254" s="139">
        <v>0.94705597286164289</v>
      </c>
    </row>
    <row r="255" spans="1:10" x14ac:dyDescent="0.35">
      <c r="A255" s="148" t="s">
        <v>589</v>
      </c>
      <c r="B255" s="149" t="s">
        <v>590</v>
      </c>
      <c r="C255" s="295">
        <v>0</v>
      </c>
      <c r="D255" s="135">
        <v>0</v>
      </c>
      <c r="E255" s="136">
        <v>0</v>
      </c>
      <c r="F255" s="177">
        <v>0</v>
      </c>
      <c r="G255" s="137">
        <v>29302</v>
      </c>
      <c r="H255" s="137">
        <v>29302</v>
      </c>
      <c r="I255" s="138">
        <v>0</v>
      </c>
      <c r="J255" s="139">
        <v>1</v>
      </c>
    </row>
    <row r="256" spans="1:10" x14ac:dyDescent="0.35">
      <c r="A256" s="148" t="s">
        <v>591</v>
      </c>
      <c r="B256" s="149" t="s">
        <v>592</v>
      </c>
      <c r="C256" s="295">
        <v>0</v>
      </c>
      <c r="D256" s="135">
        <v>0</v>
      </c>
      <c r="E256" s="136">
        <v>0</v>
      </c>
      <c r="F256" s="177">
        <v>0</v>
      </c>
      <c r="G256" s="137">
        <v>22842</v>
      </c>
      <c r="H256" s="137">
        <v>22648</v>
      </c>
      <c r="I256" s="138">
        <v>194</v>
      </c>
      <c r="J256" s="139">
        <v>0.99150687330356357</v>
      </c>
    </row>
    <row r="257" spans="1:10" x14ac:dyDescent="0.35">
      <c r="A257" s="148" t="s">
        <v>593</v>
      </c>
      <c r="B257" s="149" t="s">
        <v>594</v>
      </c>
      <c r="C257" s="295">
        <v>0</v>
      </c>
      <c r="D257" s="135">
        <v>0</v>
      </c>
      <c r="E257" s="136">
        <v>0</v>
      </c>
      <c r="F257" s="177">
        <v>0</v>
      </c>
      <c r="G257" s="137">
        <v>88066</v>
      </c>
      <c r="H257" s="137">
        <v>88066</v>
      </c>
      <c r="I257" s="138">
        <v>0</v>
      </c>
      <c r="J257" s="139">
        <v>1</v>
      </c>
    </row>
    <row r="258" spans="1:10" x14ac:dyDescent="0.35">
      <c r="A258" s="148" t="s">
        <v>595</v>
      </c>
      <c r="B258" s="149" t="s">
        <v>596</v>
      </c>
      <c r="C258" s="295">
        <v>0</v>
      </c>
      <c r="D258" s="135">
        <v>0</v>
      </c>
      <c r="E258" s="136">
        <v>0</v>
      </c>
      <c r="F258" s="177">
        <v>0</v>
      </c>
      <c r="G258" s="137">
        <v>18798</v>
      </c>
      <c r="H258" s="137">
        <v>18768</v>
      </c>
      <c r="I258" s="138">
        <v>30</v>
      </c>
      <c r="J258" s="139">
        <v>0.99840408554101501</v>
      </c>
    </row>
    <row r="259" spans="1:10" x14ac:dyDescent="0.35">
      <c r="A259" s="148" t="s">
        <v>597</v>
      </c>
      <c r="B259" s="149" t="s">
        <v>598</v>
      </c>
      <c r="C259" s="295">
        <v>0</v>
      </c>
      <c r="D259" s="135">
        <v>0</v>
      </c>
      <c r="E259" s="136">
        <v>0</v>
      </c>
      <c r="F259" s="177">
        <v>0</v>
      </c>
      <c r="G259" s="137">
        <v>0</v>
      </c>
      <c r="H259" s="137">
        <v>0</v>
      </c>
      <c r="I259" s="138">
        <v>0</v>
      </c>
      <c r="J259" s="139">
        <v>0</v>
      </c>
    </row>
    <row r="260" spans="1:10" x14ac:dyDescent="0.35">
      <c r="A260" s="148" t="s">
        <v>599</v>
      </c>
      <c r="B260" s="149" t="s">
        <v>600</v>
      </c>
      <c r="C260" s="295">
        <v>0</v>
      </c>
      <c r="D260" s="135">
        <v>0</v>
      </c>
      <c r="E260" s="136">
        <v>0</v>
      </c>
      <c r="F260" s="177">
        <v>0</v>
      </c>
      <c r="G260" s="137">
        <v>0</v>
      </c>
      <c r="H260" s="137">
        <v>0</v>
      </c>
      <c r="I260" s="138">
        <v>0</v>
      </c>
      <c r="J260" s="139">
        <v>0</v>
      </c>
    </row>
    <row r="261" spans="1:10" x14ac:dyDescent="0.35">
      <c r="A261" s="148" t="s">
        <v>601</v>
      </c>
      <c r="B261" s="149" t="s">
        <v>602</v>
      </c>
      <c r="C261" s="295">
        <v>0</v>
      </c>
      <c r="D261" s="135">
        <v>0</v>
      </c>
      <c r="E261" s="136">
        <v>0</v>
      </c>
      <c r="F261" s="177">
        <v>0</v>
      </c>
      <c r="G261" s="137">
        <v>22603</v>
      </c>
      <c r="H261" s="137">
        <v>22603</v>
      </c>
      <c r="I261" s="138">
        <v>0</v>
      </c>
      <c r="J261" s="139">
        <v>1</v>
      </c>
    </row>
    <row r="262" spans="1:10" x14ac:dyDescent="0.35">
      <c r="A262" s="148" t="s">
        <v>603</v>
      </c>
      <c r="B262" s="149" t="s">
        <v>604</v>
      </c>
      <c r="C262" s="295">
        <v>0</v>
      </c>
      <c r="D262" s="135">
        <v>0</v>
      </c>
      <c r="E262" s="136">
        <v>0</v>
      </c>
      <c r="F262" s="177">
        <v>0</v>
      </c>
      <c r="G262" s="137">
        <v>18465</v>
      </c>
      <c r="H262" s="137">
        <v>18465</v>
      </c>
      <c r="I262" s="138">
        <v>0</v>
      </c>
      <c r="J262" s="139">
        <v>1</v>
      </c>
    </row>
    <row r="263" spans="1:10" x14ac:dyDescent="0.35">
      <c r="A263" s="148" t="s">
        <v>605</v>
      </c>
      <c r="B263" s="149" t="s">
        <v>606</v>
      </c>
      <c r="C263" s="295">
        <v>0</v>
      </c>
      <c r="D263" s="135">
        <v>0</v>
      </c>
      <c r="E263" s="136">
        <v>0</v>
      </c>
      <c r="F263" s="177">
        <v>0</v>
      </c>
      <c r="G263" s="137">
        <v>99962</v>
      </c>
      <c r="H263" s="137">
        <v>98146</v>
      </c>
      <c r="I263" s="138">
        <v>1816</v>
      </c>
      <c r="J263" s="139">
        <v>0.98183309657669915</v>
      </c>
    </row>
    <row r="264" spans="1:10" x14ac:dyDescent="0.35">
      <c r="A264" s="148" t="s">
        <v>607</v>
      </c>
      <c r="B264" s="149" t="s">
        <v>608</v>
      </c>
      <c r="C264" s="295">
        <v>0</v>
      </c>
      <c r="D264" s="135">
        <v>0</v>
      </c>
      <c r="E264" s="136">
        <v>0</v>
      </c>
      <c r="F264" s="177">
        <v>0</v>
      </c>
      <c r="G264" s="137">
        <v>35855</v>
      </c>
      <c r="H264" s="137">
        <v>35492</v>
      </c>
      <c r="I264" s="138">
        <v>363</v>
      </c>
      <c r="J264" s="139">
        <v>0.98987588899735046</v>
      </c>
    </row>
    <row r="265" spans="1:10" ht="15" thickBot="1" x14ac:dyDescent="0.4">
      <c r="A265" s="168" t="s">
        <v>609</v>
      </c>
      <c r="B265" s="169" t="s">
        <v>481</v>
      </c>
      <c r="C265" s="300">
        <v>12480</v>
      </c>
      <c r="D265" s="170">
        <v>11215</v>
      </c>
      <c r="E265" s="171">
        <v>1265</v>
      </c>
      <c r="F265" s="178">
        <v>0.9</v>
      </c>
      <c r="G265" s="172">
        <v>0</v>
      </c>
      <c r="H265" s="172">
        <v>0</v>
      </c>
      <c r="I265" s="173">
        <v>0</v>
      </c>
      <c r="J265" s="174">
        <v>0</v>
      </c>
    </row>
  </sheetData>
  <mergeCells count="13">
    <mergeCell ref="G17:J17"/>
    <mergeCell ref="A7:H7"/>
    <mergeCell ref="A1:D1"/>
    <mergeCell ref="A4:E4"/>
    <mergeCell ref="A5:I5"/>
    <mergeCell ref="A14:E14"/>
    <mergeCell ref="C17:F17"/>
    <mergeCell ref="A15:E15"/>
    <mergeCell ref="A3:J3"/>
    <mergeCell ref="A6:H6"/>
    <mergeCell ref="A9:H9"/>
    <mergeCell ref="A10:H10"/>
    <mergeCell ref="A11:H11"/>
  </mergeCells>
  <hyperlinks>
    <hyperlink ref="A11" r:id="rId1" display="https://www.england.nhs.uk/statistics/statistical-work-areas/ae-waiting-times-and-activity/statistical-work-areasae-waiting-times-and-activityae-attendances-and-emergency-admissions-2016-17/" xr:uid="{A09ADADC-D938-41A3-8D3A-991A738DBB30}"/>
    <hyperlink ref="A11:H11" r:id="rId2" display="https://www.england.nhs.uk/statistics/statistical-work-areas/ae-waiting-times-and-activity/ae-attendances-and-emergency-admissions-2022-23/" xr:uid="{5A35D1FD-C283-417E-9019-C39036FCA8EA}"/>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Title Page</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Andrew Berry</cp:lastModifiedBy>
  <dcterms:created xsi:type="dcterms:W3CDTF">2021-08-13T12:40:42Z</dcterms:created>
  <dcterms:modified xsi:type="dcterms:W3CDTF">2023-09-21T08:07:14Z</dcterms:modified>
</cp:coreProperties>
</file>