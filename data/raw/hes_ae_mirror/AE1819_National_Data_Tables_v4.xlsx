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filterPrivacy="1" codeName="ThisWorkbook" defaultThemeVersion="124226"/>
  <xr:revisionPtr revIDLastSave="0" documentId="13_ncr:1_{CA940E78-1BA1-46C7-9645-0A803864400A}" xr6:coauthVersionLast="45" xr6:coauthVersionMax="45" xr10:uidLastSave="{00000000-0000-0000-0000-000000000000}"/>
  <bookViews>
    <workbookView xWindow="-120" yWindow="-120" windowWidth="29040" windowHeight="15840" tabRatio="818" xr2:uid="{00000000-000D-0000-FFFF-FFFF00000000}"/>
  </bookViews>
  <sheets>
    <sheet name="Title sheet" sheetId="111" r:id="rId1"/>
    <sheet name="Contents" sheetId="71" r:id="rId2"/>
    <sheet name="Table 1" sheetId="42" r:id="rId3"/>
    <sheet name="Table 2" sheetId="43" r:id="rId4"/>
    <sheet name="Table 3" sheetId="44" r:id="rId5"/>
    <sheet name="Table 4" sheetId="45" r:id="rId6"/>
    <sheet name="Table 5" sheetId="46" r:id="rId7"/>
    <sheet name="Table 6" sheetId="47" r:id="rId8"/>
    <sheet name="Table 7" sheetId="73" r:id="rId9"/>
    <sheet name="Table 8" sheetId="48" r:id="rId10"/>
    <sheet name="Table 9" sheetId="49" r:id="rId11"/>
    <sheet name="Table 10" sheetId="50" r:id="rId12"/>
    <sheet name="Table 11" sheetId="51" r:id="rId13"/>
    <sheet name="Table 12" sheetId="52" r:id="rId14"/>
    <sheet name="Table 13" sheetId="110" r:id="rId15"/>
    <sheet name="Table 14" sheetId="195" r:id="rId16"/>
    <sheet name="Table 15" sheetId="194" r:id="rId17"/>
    <sheet name="Table 16" sheetId="53" r:id="rId18"/>
    <sheet name="Table 17" sheetId="54" r:id="rId19"/>
    <sheet name="Table 18" sheetId="55" r:id="rId20"/>
    <sheet name="Table 19" sheetId="56" r:id="rId21"/>
    <sheet name="Table 20" sheetId="57" r:id="rId22"/>
    <sheet name="Table 21" sheetId="79" r:id="rId23"/>
    <sheet name="Table 22" sheetId="58" r:id="rId24"/>
    <sheet name="Table 23" sheetId="103" r:id="rId25"/>
    <sheet name="Table 24" sheetId="109" r:id="rId26"/>
    <sheet name="Table 25" sheetId="200" r:id="rId27"/>
    <sheet name="Table 26" sheetId="201" r:id="rId28"/>
    <sheet name="Table 27" sheetId="196" r:id="rId29"/>
  </sheets>
  <definedNames>
    <definedName name="_xlnm._FilterDatabase" localSheetId="11" hidden="1">'Table 10'!$A$7:$E$7</definedName>
    <definedName name="_xlnm._FilterDatabase" localSheetId="23" hidden="1">'Table 22'!$A$7:$H$273</definedName>
    <definedName name="_xlnm._FilterDatabase" localSheetId="28" hidden="1">'Table 27'!$A$7:$BA$7</definedName>
    <definedName name="_xlnm.Print_Area" localSheetId="1">Contents!$A$1:$I$70</definedName>
    <definedName name="_xlnm.Print_Area" localSheetId="2">'Table 1'!$A$1:$I$23</definedName>
    <definedName name="_xlnm.Print_Area" localSheetId="11">'Table 10'!$A$1:$F$26</definedName>
    <definedName name="_xlnm.Print_Area" localSheetId="12">'Table 11'!$A$1:$F$17</definedName>
    <definedName name="_xlnm.Print_Area" localSheetId="13">'Table 12'!$A$1:$F$37</definedName>
    <definedName name="_xlnm.Print_Area" localSheetId="14">'Table 13'!$A$1:$K$39</definedName>
    <definedName name="_xlnm.Print_Area" localSheetId="15">'Table 14'!$A$1:$F$39</definedName>
    <definedName name="_xlnm.Print_Area" localSheetId="16">'Table 15'!$A$1:$H$19</definedName>
    <definedName name="_xlnm.Print_Area" localSheetId="17">'Table 16'!$A$1:$F$23</definedName>
    <definedName name="_xlnm.Print_Area" localSheetId="18">'Table 17'!$A$1:$I$43</definedName>
    <definedName name="_xlnm.Print_Area" localSheetId="19">'Table 18'!$A$1:$I$57</definedName>
    <definedName name="_xlnm.Print_Area" localSheetId="20">'Table 19'!$A$1:$I$75</definedName>
    <definedName name="_xlnm.Print_Area" localSheetId="3">'Table 2'!$A$1:$F$34</definedName>
    <definedName name="_xlnm.Print_Area" localSheetId="21">'Table 20'!$A$1:$F$29</definedName>
    <definedName name="_xlnm.Print_Area" localSheetId="22">'Table 21'!$A$1:$H$37</definedName>
    <definedName name="_xlnm.Print_Area" localSheetId="23">'Table 22'!$A$1:$J$283</definedName>
    <definedName name="_xlnm.Print_Area" localSheetId="24">'Table 23'!$A$1:$K$41</definedName>
    <definedName name="_xlnm.Print_Area" localSheetId="25">'Table 24'!$A$1:$T$181</definedName>
    <definedName name="_xlnm.Print_Area" localSheetId="28">'Table 27'!$A$1:$AX$230</definedName>
    <definedName name="_xlnm.Print_Area" localSheetId="4">'Table 3'!$A$1:$F$27</definedName>
    <definedName name="_xlnm.Print_Area" localSheetId="5">'Table 4'!$A$1:$F$21</definedName>
    <definedName name="_xlnm.Print_Area" localSheetId="6">'Table 5'!$A$1:$F$17</definedName>
    <definedName name="_xlnm.Print_Area" localSheetId="7">'Table 6'!$A$1:$F$39</definedName>
    <definedName name="_xlnm.Print_Area" localSheetId="8">'Table 7'!$A$1:$R$39</definedName>
    <definedName name="_xlnm.Print_Area" localSheetId="9">'Table 8'!$A$1:$F$26</definedName>
    <definedName name="_xlnm.Print_Area" localSheetId="10">'Table 9'!$A$1:$F$21</definedName>
    <definedName name="_xlnm.Print_Area" localSheetId="0">'Title sheet'!$A$1:$I$25</definedName>
    <definedName name="_xlnm.Print_Titles" localSheetId="28">'Table 27'!$A:$B,'Table 27'!$5:$6</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5" i="201" l="1"/>
  <c r="B18" i="200"/>
</calcChain>
</file>

<file path=xl/sharedStrings.xml><?xml version="1.0" encoding="utf-8"?>
<sst xmlns="http://schemas.openxmlformats.org/spreadsheetml/2006/main" count="4004" uniqueCount="1323">
  <si>
    <t>Attendance by Category</t>
  </si>
  <si>
    <t>Attendance by Assessment, Diagnosis and Treatment</t>
  </si>
  <si>
    <t>Duration and Disposal</t>
  </si>
  <si>
    <t>A&amp;E Department Type</t>
  </si>
  <si>
    <t>HES</t>
  </si>
  <si>
    <t>Type 1 - Consultant led A&amp;E</t>
  </si>
  <si>
    <t>Type 2 - Single specialty A&amp;E</t>
  </si>
  <si>
    <t>Type 3 - Minor Injury/Walk in units</t>
  </si>
  <si>
    <t>Unknown</t>
  </si>
  <si>
    <t>Total (Excluding planned follow-up)¹</t>
  </si>
  <si>
    <t>Responsible statistician:</t>
  </si>
  <si>
    <t>A&amp;E key fields</t>
  </si>
  <si>
    <t>Number of valid records</t>
  </si>
  <si>
    <t>% of valid records</t>
  </si>
  <si>
    <t>Total number of records</t>
  </si>
  <si>
    <t>A&amp;E Arrival Mode</t>
  </si>
  <si>
    <t>A&amp;E Department Type (from April 2007)</t>
  </si>
  <si>
    <t>A&amp;E Attendance Category</t>
  </si>
  <si>
    <t>A&amp;E Attendance Disposal</t>
  </si>
  <si>
    <t>A&amp;E Incident Location Type</t>
  </si>
  <si>
    <t>A&amp;E Patient Group</t>
  </si>
  <si>
    <t>Source of Referral for A&amp;E</t>
  </si>
  <si>
    <t>Arrival Date</t>
  </si>
  <si>
    <t>Arrival Time</t>
  </si>
  <si>
    <t>A&amp;E Initial Assessment Time</t>
  </si>
  <si>
    <t>A&amp;E Attendance Conclusion Time</t>
  </si>
  <si>
    <t>A&amp;E Departure Time</t>
  </si>
  <si>
    <t>1: An A&amp;E diagnosis is a six-character code made up of diagnosis condition (n2), sub-analysis (n1), anatomical area (n2) and anatomical side (an1).</t>
  </si>
  <si>
    <t>2: An A&amp;E investigation is a six-character code made up of investigation (n2) and local sub-analysis (up to an4).</t>
  </si>
  <si>
    <t>3: An A&amp;E treatment is a six-character code made up of treatment (n2), sub-analysis (n1), local use (up to an3).</t>
  </si>
  <si>
    <t>HES*</t>
  </si>
  <si>
    <t>All Providers</t>
  </si>
  <si>
    <t>NHS Trust</t>
  </si>
  <si>
    <t>Other</t>
  </si>
  <si>
    <t>Private</t>
  </si>
  <si>
    <t>All attendances</t>
  </si>
  <si>
    <t>* HES figures exclude planned follow up attendances</t>
  </si>
  <si>
    <t>Attendance category</t>
  </si>
  <si>
    <t>Number of A&amp;E attendances</t>
  </si>
  <si>
    <t>% of total attendances</t>
  </si>
  <si>
    <t>First Accident and Emergency attendance</t>
  </si>
  <si>
    <t>Follow-up Accident and Emergency attendance - planned</t>
  </si>
  <si>
    <t>Follow-up Accident and Emergency attendance - unplanned</t>
  </si>
  <si>
    <t>Not Known</t>
  </si>
  <si>
    <t>Total (all attendances)</t>
  </si>
  <si>
    <t>Gender</t>
  </si>
  <si>
    <t>Male</t>
  </si>
  <si>
    <t>Female</t>
  </si>
  <si>
    <t>Total</t>
  </si>
  <si>
    <t>Age group</t>
  </si>
  <si>
    <t>0</t>
  </si>
  <si>
    <t>1-4</t>
  </si>
  <si>
    <t>5-9</t>
  </si>
  <si>
    <t>10-14</t>
  </si>
  <si>
    <t>15</t>
  </si>
  <si>
    <t>16</t>
  </si>
  <si>
    <t>17</t>
  </si>
  <si>
    <t>18</t>
  </si>
  <si>
    <t>19</t>
  </si>
  <si>
    <t>20-24</t>
  </si>
  <si>
    <t>25-29</t>
  </si>
  <si>
    <t>30-34</t>
  </si>
  <si>
    <t>35-39</t>
  </si>
  <si>
    <t>40-44</t>
  </si>
  <si>
    <t>45-49</t>
  </si>
  <si>
    <t>50-54</t>
  </si>
  <si>
    <t>55-59</t>
  </si>
  <si>
    <t>60-64</t>
  </si>
  <si>
    <t>65-69</t>
  </si>
  <si>
    <t>70-74</t>
  </si>
  <si>
    <t>75-79</t>
  </si>
  <si>
    <t>80-84</t>
  </si>
  <si>
    <t>85-89</t>
  </si>
  <si>
    <t>90+</t>
  </si>
  <si>
    <t>Month </t>
  </si>
  <si>
    <t>April</t>
  </si>
  <si>
    <t>May</t>
  </si>
  <si>
    <t>June</t>
  </si>
  <si>
    <t>July</t>
  </si>
  <si>
    <t>August</t>
  </si>
  <si>
    <t>September</t>
  </si>
  <si>
    <t>October</t>
  </si>
  <si>
    <t>November</t>
  </si>
  <si>
    <t>December</t>
  </si>
  <si>
    <t>January</t>
  </si>
  <si>
    <t>February</t>
  </si>
  <si>
    <t>March</t>
  </si>
  <si>
    <t>Day</t>
  </si>
  <si>
    <t>Monday</t>
  </si>
  <si>
    <t>Tuesday</t>
  </si>
  <si>
    <t>Wednesday</t>
  </si>
  <si>
    <t>Thursday</t>
  </si>
  <si>
    <t>Friday</t>
  </si>
  <si>
    <t>Saturday</t>
  </si>
  <si>
    <t>Sunday</t>
  </si>
  <si>
    <t>Referral method</t>
  </si>
  <si>
    <t>Self referral</t>
  </si>
  <si>
    <t>Emergency services</t>
  </si>
  <si>
    <t>General medical practitioner</t>
  </si>
  <si>
    <t>Health care provider: same or other</t>
  </si>
  <si>
    <t>Not known</t>
  </si>
  <si>
    <t>Work</t>
  </si>
  <si>
    <t>Police</t>
  </si>
  <si>
    <t>Educational establishment</t>
  </si>
  <si>
    <t>Local authority social services</t>
  </si>
  <si>
    <t>General dental practitioner</t>
  </si>
  <si>
    <t>Community dental service</t>
  </si>
  <si>
    <t>Arrival method</t>
  </si>
  <si>
    <t>Brought in by ambulance (including helicopter / Air Ambulance)</t>
  </si>
  <si>
    <t>Arrival hour</t>
  </si>
  <si>
    <t>Number of A&amp;E attendances that arrived by ambulance</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</si>
  <si>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</si>
  <si>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</si>
  <si>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</si>
  <si>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</si>
  <si>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</si>
  <si>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</si>
  <si>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</si>
  <si>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</si>
  <si>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</si>
  <si>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</si>
  <si>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</si>
  <si>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</si>
  <si>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</si>
  <si>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</si>
  <si>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</si>
  <si>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</si>
  <si>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</si>
  <si>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</si>
  <si>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</si>
  <si>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</si>
  <si>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</si>
  <si>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</si>
  <si>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</si>
  <si>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</si>
  <si>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Patient group</t>
  </si>
  <si>
    <t>Other accident</t>
  </si>
  <si>
    <t>Sports injury</t>
  </si>
  <si>
    <t>Road traffic accident</t>
  </si>
  <si>
    <t>Assault</t>
  </si>
  <si>
    <t>Deliberate self-harm</t>
  </si>
  <si>
    <t>Firework injury</t>
  </si>
  <si>
    <t>Brought in dead</t>
  </si>
  <si>
    <t>First A&amp;E investigation</t>
  </si>
  <si>
    <t>Percentages (excluding unknowns and unmatched)</t>
  </si>
  <si>
    <t>Arterial/capillary blood gas</t>
  </si>
  <si>
    <t>Bacteriology</t>
  </si>
  <si>
    <t>Biochemistry</t>
  </si>
  <si>
    <t>Blood culture</t>
  </si>
  <si>
    <t>Cardiac enzymes</t>
  </si>
  <si>
    <t>Clotting studies</t>
  </si>
  <si>
    <t>Computerised Tomography - Retired 2006-04-01</t>
  </si>
  <si>
    <t>Computerised Tomography (excludes genitourinary contrast examination/tomography)</t>
  </si>
  <si>
    <t>Cross match blood/group and save serum for later cross match</t>
  </si>
  <si>
    <t>Dental investigation</t>
  </si>
  <si>
    <t>Electrocardiogram</t>
  </si>
  <si>
    <t>Genitourinary contrast examination/tomography</t>
  </si>
  <si>
    <t>Haematology</t>
  </si>
  <si>
    <t>Histology</t>
  </si>
  <si>
    <t>Immunology</t>
  </si>
  <si>
    <t>Magnetic Resonance Imaging</t>
  </si>
  <si>
    <t>None</t>
  </si>
  <si>
    <t>Pregnancy test</t>
  </si>
  <si>
    <t>Refraction, orthoptic tests and computerised visual fields</t>
  </si>
  <si>
    <t>Serology</t>
  </si>
  <si>
    <t>Toxicology</t>
  </si>
  <si>
    <t>Ultrasound</t>
  </si>
  <si>
    <t>Urinalysis</t>
  </si>
  <si>
    <t>X-ray plain film</t>
  </si>
  <si>
    <t>Total Valid records</t>
  </si>
  <si>
    <t>Null/Blank</t>
  </si>
  <si>
    <t>Unmatched</t>
  </si>
  <si>
    <t>Total Invalid records</t>
  </si>
  <si>
    <t>First A&amp;E diagnosis</t>
  </si>
  <si>
    <t>Allergy (inc anaphylaxis)</t>
  </si>
  <si>
    <t>Bites/stings</t>
  </si>
  <si>
    <t>Burns and scalds</t>
  </si>
  <si>
    <t>Cardiac conditions</t>
  </si>
  <si>
    <t>Central nervous system conditions (exc stroke)</t>
  </si>
  <si>
    <t>Cerebro-vascular conditions</t>
  </si>
  <si>
    <t>Contusion/abrasion</t>
  </si>
  <si>
    <t>Dermatological conditions</t>
  </si>
  <si>
    <t>Diabetes and other endocrinological conditions</t>
  </si>
  <si>
    <t>Diagnosis not classifiable</t>
  </si>
  <si>
    <t>Dislocation/fracture/joint injury/amputation</t>
  </si>
  <si>
    <t>Electric shock</t>
  </si>
  <si>
    <t>ENT conditions</t>
  </si>
  <si>
    <t>Facio-maxillary conditions</t>
  </si>
  <si>
    <t>Foreign body</t>
  </si>
  <si>
    <t>Gastrointestinal conditions</t>
  </si>
  <si>
    <t>Gynaecological conditions</t>
  </si>
  <si>
    <t>Haematological conditions</t>
  </si>
  <si>
    <t>Head injury</t>
  </si>
  <si>
    <t>Infectious disease</t>
  </si>
  <si>
    <t>Laceration</t>
  </si>
  <si>
    <t>Local infection</t>
  </si>
  <si>
    <t>Muscle/tendon injury</t>
  </si>
  <si>
    <t>Near drowning</t>
  </si>
  <si>
    <t>Nerve injury</t>
  </si>
  <si>
    <t>Nothing abnormal detected</t>
  </si>
  <si>
    <t>Obstetric conditions</t>
  </si>
  <si>
    <t>Ophthalmological  conditions</t>
  </si>
  <si>
    <t>Other vascular conditions</t>
  </si>
  <si>
    <t>Poisoning (inc overdose)</t>
  </si>
  <si>
    <t>Psychiatric conditions</t>
  </si>
  <si>
    <t>Respiratory conditions</t>
  </si>
  <si>
    <t>Septicaemia</t>
  </si>
  <si>
    <t>Social problems (inc chronic alcoholism and homelessness)</t>
  </si>
  <si>
    <t>Soft tissue inflammation</t>
  </si>
  <si>
    <t>Sprain/ligament injury</t>
  </si>
  <si>
    <t>Urological conditions (inc cystitis)</t>
  </si>
  <si>
    <t>Vascular injury</t>
  </si>
  <si>
    <t>Visceral injury</t>
  </si>
  <si>
    <t>First A&amp;E treatment</t>
  </si>
  <si>
    <t>Active rewarming of the hypothermic patient</t>
  </si>
  <si>
    <t>Anaesthesia</t>
  </si>
  <si>
    <t>Arterial line</t>
  </si>
  <si>
    <t>Bandage/Support</t>
  </si>
  <si>
    <t>Blood product transfusion</t>
  </si>
  <si>
    <t>Burns review</t>
  </si>
  <si>
    <t>Central line</t>
  </si>
  <si>
    <t>Chest drain</t>
  </si>
  <si>
    <t>Cooling - control body temperature</t>
  </si>
  <si>
    <t>Defibrillation / pacing</t>
  </si>
  <si>
    <t>Dental Treatment</t>
  </si>
  <si>
    <t>Dressing</t>
  </si>
  <si>
    <t>Dressing/wound review</t>
  </si>
  <si>
    <t>Epistaxis control</t>
  </si>
  <si>
    <t>Eye</t>
  </si>
  <si>
    <t>Fracture review</t>
  </si>
  <si>
    <t>Guidance/advice only</t>
  </si>
  <si>
    <t>Incision and drainage</t>
  </si>
  <si>
    <t>Infusion fluids</t>
  </si>
  <si>
    <t>Intravenous cannula</t>
  </si>
  <si>
    <t>Joint aspiration</t>
  </si>
  <si>
    <t>Lavage/emesis/charcoal/eye irrigation</t>
  </si>
  <si>
    <t>Loan of walking aid (crutches)</t>
  </si>
  <si>
    <t>Lumbar puncture</t>
  </si>
  <si>
    <t>Manipulation</t>
  </si>
  <si>
    <t>Medication administered</t>
  </si>
  <si>
    <t>Minor plastic procedure/splint skin graft</t>
  </si>
  <si>
    <t>Minor surgery</t>
  </si>
  <si>
    <t>Nasal airway</t>
  </si>
  <si>
    <t>Nebulise/spacer</t>
  </si>
  <si>
    <t>None (consider guidance/advice option)</t>
  </si>
  <si>
    <t>Observation/electrocardiogram pulse oximetry/head injury/trends</t>
  </si>
  <si>
    <t>Occupational therapy</t>
  </si>
  <si>
    <t>Oral airway</t>
  </si>
  <si>
    <t>Other (consider alternatives)</t>
  </si>
  <si>
    <t>Other parenteral drugs</t>
  </si>
  <si>
    <t>Parenteral thrombolysis</t>
  </si>
  <si>
    <t>Pericardiocentesis</t>
  </si>
  <si>
    <t>Physiotherapy</t>
  </si>
  <si>
    <t>Plaster of Paris</t>
  </si>
  <si>
    <t>Prescription (retired 2006)</t>
  </si>
  <si>
    <t>Prescription/medicines prepared to take away</t>
  </si>
  <si>
    <t>Recall/x-ray review</t>
  </si>
  <si>
    <t>Recording vital signs</t>
  </si>
  <si>
    <t>Removal foreign body</t>
  </si>
  <si>
    <t>Resuscitation/cardiopulmonary resuscitation</t>
  </si>
  <si>
    <t>Sling/colar cuff/broad arm sling</t>
  </si>
  <si>
    <t>Social worker intervention</t>
  </si>
  <si>
    <t>Splint</t>
  </si>
  <si>
    <t>Supplemental Oxygen</t>
  </si>
  <si>
    <t>Sutures</t>
  </si>
  <si>
    <t>Tetanus</t>
  </si>
  <si>
    <t>Urinary catherter/suprapubic</t>
  </si>
  <si>
    <t>Wound cleaning</t>
  </si>
  <si>
    <t>Wound closure (exc sutures)</t>
  </si>
  <si>
    <t>Disposal Method</t>
  </si>
  <si>
    <t>Referred to fracture clinic</t>
  </si>
  <si>
    <t>Referred to other outpatient clinic</t>
  </si>
  <si>
    <t>Referred to A&amp;E clinic</t>
  </si>
  <si>
    <t>Referred to other healthcare professional</t>
  </si>
  <si>
    <t>Left department before being treated</t>
  </si>
  <si>
    <t>Transferred to other healthcare provider</t>
  </si>
  <si>
    <t>Left department having refused treatment</t>
  </si>
  <si>
    <t>Died in department</t>
  </si>
  <si>
    <t>Provider description</t>
  </si>
  <si>
    <t>Code</t>
  </si>
  <si>
    <t>Total Attendances </t>
  </si>
  <si>
    <t>Number of attendances with a duration of less than 4 hrs in A&amp;E</t>
  </si>
  <si>
    <t>ENG</t>
  </si>
  <si>
    <t>RTV</t>
  </si>
  <si>
    <t>REM</t>
  </si>
  <si>
    <t>RCF</t>
  </si>
  <si>
    <t>RBS</t>
  </si>
  <si>
    <t>RTK</t>
  </si>
  <si>
    <t>NQT10</t>
  </si>
  <si>
    <t>RF4</t>
  </si>
  <si>
    <t>RFF</t>
  </si>
  <si>
    <t>R1H</t>
  </si>
  <si>
    <t>RDD</t>
  </si>
  <si>
    <t>NLO03</t>
  </si>
  <si>
    <t>RC1</t>
  </si>
  <si>
    <t>RWX</t>
  </si>
  <si>
    <t>RQ3</t>
  </si>
  <si>
    <t>RXL</t>
  </si>
  <si>
    <t>RMC</t>
  </si>
  <si>
    <t>RAE</t>
  </si>
  <si>
    <t>NNF09</t>
  </si>
  <si>
    <t>RY2</t>
  </si>
  <si>
    <t>NNF16</t>
  </si>
  <si>
    <t>RXH</t>
  </si>
  <si>
    <t>RXQ</t>
  </si>
  <si>
    <t>RJF</t>
  </si>
  <si>
    <t>RWY</t>
  </si>
  <si>
    <t>RGT</t>
  </si>
  <si>
    <t>RYX</t>
  </si>
  <si>
    <t>RQM</t>
  </si>
  <si>
    <t>RFS</t>
  </si>
  <si>
    <t>RLN</t>
  </si>
  <si>
    <t>NQ108</t>
  </si>
  <si>
    <t>RDE</t>
  </si>
  <si>
    <t>RJR</t>
  </si>
  <si>
    <t>RXP</t>
  </si>
  <si>
    <t>RJ6</t>
  </si>
  <si>
    <t>RNN</t>
  </si>
  <si>
    <t>RTG</t>
  </si>
  <si>
    <t>RY8</t>
  </si>
  <si>
    <t>RP5</t>
  </si>
  <si>
    <t>RBD</t>
  </si>
  <si>
    <t>RWH</t>
  </si>
  <si>
    <t>RJN</t>
  </si>
  <si>
    <t>RVV</t>
  </si>
  <si>
    <t>RXR</t>
  </si>
  <si>
    <t>RXC</t>
  </si>
  <si>
    <t>RDU</t>
  </si>
  <si>
    <t>NQ106</t>
  </si>
  <si>
    <t>RLT</t>
  </si>
  <si>
    <t>R1J</t>
  </si>
  <si>
    <t>RTE</t>
  </si>
  <si>
    <t>RN3</t>
  </si>
  <si>
    <t>RCD</t>
  </si>
  <si>
    <t>NDA57</t>
  </si>
  <si>
    <t>RY4</t>
  </si>
  <si>
    <t>RQX</t>
  </si>
  <si>
    <t>RY9</t>
  </si>
  <si>
    <t>RWA</t>
  </si>
  <si>
    <t>RYJ</t>
  </si>
  <si>
    <t>RGQ</t>
  </si>
  <si>
    <t>RGP</t>
  </si>
  <si>
    <t>RYY</t>
  </si>
  <si>
    <t>RNQ</t>
  </si>
  <si>
    <t>RJZ</t>
  </si>
  <si>
    <t>RAX</t>
  </si>
  <si>
    <t>RXN</t>
  </si>
  <si>
    <t>RR8</t>
  </si>
  <si>
    <t>RJ2</t>
  </si>
  <si>
    <t>RY5</t>
  </si>
  <si>
    <t>REP</t>
  </si>
  <si>
    <t>R1K</t>
  </si>
  <si>
    <t>RC9</t>
  </si>
  <si>
    <t>RWF</t>
  </si>
  <si>
    <t>RPA</t>
  </si>
  <si>
    <t>RBT</t>
  </si>
  <si>
    <t>RQ8</t>
  </si>
  <si>
    <t>RD8</t>
  </si>
  <si>
    <t>RP6</t>
  </si>
  <si>
    <t>RM1</t>
  </si>
  <si>
    <t>RNL</t>
  </si>
  <si>
    <t>RAT</t>
  </si>
  <si>
    <t>RAP</t>
  </si>
  <si>
    <t>NLT01</t>
  </si>
  <si>
    <t>RVW</t>
  </si>
  <si>
    <t>RNS</t>
  </si>
  <si>
    <t>RBZ</t>
  </si>
  <si>
    <t>RTF</t>
  </si>
  <si>
    <t>RX1</t>
  </si>
  <si>
    <t>RNU</t>
  </si>
  <si>
    <t>RTH</t>
  </si>
  <si>
    <t>RW6</t>
  </si>
  <si>
    <t>RGN</t>
  </si>
  <si>
    <t>RK9</t>
  </si>
  <si>
    <t>RD3</t>
  </si>
  <si>
    <t>RHU</t>
  </si>
  <si>
    <t>RPC</t>
  </si>
  <si>
    <t>RHW</t>
  </si>
  <si>
    <t>RH8</t>
  </si>
  <si>
    <t>RAL</t>
  </si>
  <si>
    <t>RQ6</t>
  </si>
  <si>
    <t>RA2</t>
  </si>
  <si>
    <t>RD1</t>
  </si>
  <si>
    <t>RM3</t>
  </si>
  <si>
    <t>RNZ</t>
  </si>
  <si>
    <t>NR318</t>
  </si>
  <si>
    <t>RCU</t>
  </si>
  <si>
    <t>RHQ</t>
  </si>
  <si>
    <t>RK5</t>
  </si>
  <si>
    <t>RXW</t>
  </si>
  <si>
    <t>R1D</t>
  </si>
  <si>
    <t>RH5</t>
  </si>
  <si>
    <t>RA9</t>
  </si>
  <si>
    <t>RTR</t>
  </si>
  <si>
    <t>RE9</t>
  </si>
  <si>
    <t>RJC</t>
  </si>
  <si>
    <t>NTP11</t>
  </si>
  <si>
    <t>RAJ</t>
  </si>
  <si>
    <t>RW1</t>
  </si>
  <si>
    <t>RVY</t>
  </si>
  <si>
    <t>RJ7</t>
  </si>
  <si>
    <t>RBN</t>
  </si>
  <si>
    <t>NTPAD</t>
  </si>
  <si>
    <t>RWJ</t>
  </si>
  <si>
    <t>RTP</t>
  </si>
  <si>
    <t>RDR</t>
  </si>
  <si>
    <t>RMP</t>
  </si>
  <si>
    <t>RBA</t>
  </si>
  <si>
    <t>AAH01</t>
  </si>
  <si>
    <t>RNA</t>
  </si>
  <si>
    <t>RAS</t>
  </si>
  <si>
    <t>RTD</t>
  </si>
  <si>
    <t>RQW</t>
  </si>
  <si>
    <t>RCX</t>
  </si>
  <si>
    <t>RFR</t>
  </si>
  <si>
    <t>RDZ</t>
  </si>
  <si>
    <t>RL4</t>
  </si>
  <si>
    <t>RKE</t>
  </si>
  <si>
    <t>RWD</t>
  </si>
  <si>
    <t>RRV</t>
  </si>
  <si>
    <t>RHM</t>
  </si>
  <si>
    <t>RA7</t>
  </si>
  <si>
    <t>RKB</t>
  </si>
  <si>
    <t>RWE</t>
  </si>
  <si>
    <t>RTX</t>
  </si>
  <si>
    <t>RJE</t>
  </si>
  <si>
    <t>RBK</t>
  </si>
  <si>
    <t>RWW</t>
  </si>
  <si>
    <t>RWG</t>
  </si>
  <si>
    <t>RGR</t>
  </si>
  <si>
    <t>RA3</t>
  </si>
  <si>
    <t>RBL</t>
  </si>
  <si>
    <t>RRF</t>
  </si>
  <si>
    <t>RLQ</t>
  </si>
  <si>
    <t>NLX24</t>
  </si>
  <si>
    <t>RA4</t>
  </si>
  <si>
    <t>RCB</t>
  </si>
  <si>
    <t>Not Specified</t>
  </si>
  <si>
    <t>NJS05</t>
  </si>
  <si>
    <t>RY7</t>
  </si>
  <si>
    <t>All data tables include information from Major A&amp;E departments, minor injuries units and walk in centres unless otherwise stated.</t>
  </si>
  <si>
    <t>Contact via enquiries@NHSDigital.nhs.uk or 0300 303 5678</t>
  </si>
  <si>
    <t>Primary A&amp;E Diagnosis - 2 Character Level¹</t>
  </si>
  <si>
    <t>First A&amp;E Investigation - 2 Character Level²</t>
  </si>
  <si>
    <t>First A&amp;E Treatment - 2 Character Level³</t>
  </si>
  <si>
    <t>Other NHS</t>
  </si>
  <si>
    <t xml:space="preserve"> </t>
  </si>
  <si>
    <t>% of total attendances - less than 4 hrs in A&amp;E</t>
  </si>
  <si>
    <t>RN7-X</t>
  </si>
  <si>
    <t>RVR-X</t>
  </si>
  <si>
    <t>RR7-X</t>
  </si>
  <si>
    <t>RJ1-X</t>
  </si>
  <si>
    <t>RN5-X</t>
  </si>
  <si>
    <t>NEH06</t>
  </si>
  <si>
    <t>RV9-X</t>
  </si>
  <si>
    <t>R1F-X</t>
  </si>
  <si>
    <t>NLO11</t>
  </si>
  <si>
    <t>NLO09</t>
  </si>
  <si>
    <t>RXF-X</t>
  </si>
  <si>
    <t>RVJ-X</t>
  </si>
  <si>
    <t>RJL-X</t>
  </si>
  <si>
    <t>NLO10</t>
  </si>
  <si>
    <t>NLO12</t>
  </si>
  <si>
    <t>8JA04</t>
  </si>
  <si>
    <t>REF-X</t>
  </si>
  <si>
    <t>RXK-X</t>
  </si>
  <si>
    <t>RYF</t>
  </si>
  <si>
    <t>RRK-X</t>
  </si>
  <si>
    <t>RYR-X</t>
  </si>
  <si>
    <t>RWP-X</t>
  </si>
  <si>
    <t>Return to Contents</t>
  </si>
  <si>
    <t>Hour of arrival</t>
  </si>
  <si>
    <t>Duration in department</t>
  </si>
  <si>
    <t>00:00 - 00:10</t>
  </si>
  <si>
    <t>00:11 - 00:20</t>
  </si>
  <si>
    <t>00:21 - 00:30</t>
  </si>
  <si>
    <t>00:31 - 00:40</t>
  </si>
  <si>
    <t>00:41 - 00:50</t>
  </si>
  <si>
    <t>00:51 - 01:00</t>
  </si>
  <si>
    <t>01:01 - 01:10</t>
  </si>
  <si>
    <t>01:11 - 01:20</t>
  </si>
  <si>
    <t>01:21 - 01:30</t>
  </si>
  <si>
    <t>01:31-  01:40</t>
  </si>
  <si>
    <t>01:41 - 01:50</t>
  </si>
  <si>
    <t>01:51 - 02:00</t>
  </si>
  <si>
    <t>02:01 - 02:10</t>
  </si>
  <si>
    <t>02:11 - 02:20</t>
  </si>
  <si>
    <t>02:21 - 02:30</t>
  </si>
  <si>
    <t>02:31 - 02:40</t>
  </si>
  <si>
    <t>02:41 - 02:50</t>
  </si>
  <si>
    <t>02:51 - 03:00</t>
  </si>
  <si>
    <t>03:01 - 03:10</t>
  </si>
  <si>
    <t>03:11 - 03:20</t>
  </si>
  <si>
    <t>03:21 - 03:30</t>
  </si>
  <si>
    <t>03:31 - 03:40</t>
  </si>
  <si>
    <t>03:41 - 03:50</t>
  </si>
  <si>
    <t>03:51 - 04:00</t>
  </si>
  <si>
    <t>04:01 or above</t>
  </si>
  <si>
    <t>Admitted / became a lodged patient</t>
  </si>
  <si>
    <t>Discharged - GP follow up</t>
  </si>
  <si>
    <t>Discharged - no follow up</t>
  </si>
  <si>
    <t>Referred</t>
  </si>
  <si>
    <t>Other (Inc. not known)</t>
  </si>
  <si>
    <t>Number of A&amp;E Attendances</t>
  </si>
  <si>
    <t>Percentage</t>
  </si>
  <si>
    <t>Ambulance</t>
  </si>
  <si>
    <t>Admitted</t>
  </si>
  <si>
    <t>Others (inc. not known)</t>
  </si>
  <si>
    <t>To Initial Assessment</t>
  </si>
  <si>
    <t>To Treatment</t>
  </si>
  <si>
    <t>To Departure</t>
  </si>
  <si>
    <t>Road accident</t>
  </si>
  <si>
    <t>Self harm</t>
  </si>
  <si>
    <t>Duration in department
(hh:mm)</t>
  </si>
  <si>
    <t>Attendances</t>
  </si>
  <si>
    <t>Discharged - No Follow Up</t>
  </si>
  <si>
    <t>Discharged - GP</t>
  </si>
  <si>
    <t>Mean Duration (mins)</t>
  </si>
  <si>
    <t>Median Duration (mins)</t>
  </si>
  <si>
    <t>Published by NHS Digital part of the Government Statistical Service</t>
  </si>
  <si>
    <t>NHS Digital is the trading name of the Health and Social Care Information Centre</t>
  </si>
  <si>
    <t>Contact details</t>
  </si>
  <si>
    <t>Author: Secondary Care Analysis, NHS Digital</t>
  </si>
  <si>
    <t>Public enquiries: Telephone: 0300 303 5678</t>
  </si>
  <si>
    <t>Email: enquiries@nhsdigital.nhs.uk</t>
  </si>
  <si>
    <t>Press enquiries should be made to: Media Relations Manager: telephone 0300 303 3888</t>
  </si>
  <si>
    <t>The tables should be referenced alongside the Annual Summary Report.</t>
  </si>
  <si>
    <t>Introduction</t>
  </si>
  <si>
    <t>Excel tables and charts</t>
  </si>
  <si>
    <t>AD915</t>
  </si>
  <si>
    <t>MSitAE</t>
  </si>
  <si>
    <t>DATA COVERAGE</t>
  </si>
  <si>
    <t>Left department before being seen for treatment
(Data quality)</t>
  </si>
  <si>
    <t>Left department before being seen for treatment
(Performance)</t>
  </si>
  <si>
    <t>Re-attendance
(Data quality)</t>
  </si>
  <si>
    <t>Re-attendance
(Performance)</t>
  </si>
  <si>
    <t>Timeliness 
(Data quality)</t>
  </si>
  <si>
    <t>Time to initial assessment [emergency ambulance cases only]
(Data quality)</t>
  </si>
  <si>
    <t>Time to initial assessment [emergency ambulance cases only]
(Performance; minutes) [see footnote 6]</t>
  </si>
  <si>
    <t>Time to Treatment
(Data quality)</t>
  </si>
  <si>
    <t>Time to Treatment
(Performance; minutes)</t>
  </si>
  <si>
    <t>Total Time in A&amp;E (minutes)
[Admitted patients only]</t>
  </si>
  <si>
    <t>Total Time in A&amp;E (minutes)
[Non-admitted patients only]</t>
  </si>
  <si>
    <t>Total Time in A&amp;E
(Data quality)
[All patients]</t>
  </si>
  <si>
    <t>Total Time in A&amp;E
(Performance; minutes)
[All patients]</t>
  </si>
  <si>
    <t>Organisation Code</t>
  </si>
  <si>
    <t>Organisation Name</t>
  </si>
  <si>
    <t> Total number of attendances in A&amp;E HES 
(excluding planned follow-up attendances and attendances where the attendance category was unknown) </t>
  </si>
  <si>
    <t>Total number of attendances in A&amp;E HES 
(excluding planned follow-up attendances and attendances where the attendance category was unknown)</t>
  </si>
  <si>
    <t>Attendances with an unknown attendance disposal category</t>
  </si>
  <si>
    <t>% of attendances with unknown attendance disposal categories</t>
  </si>
  <si>
    <t>% of attendances with an attendance disposal category of "Other"</t>
  </si>
  <si>
    <t>Total number of attendances in A&amp;E HES 
(excluding planned follow-up attendances, attendances where the attendance category was unknown, and attendances where the attendance disposal category was unknown)</t>
  </si>
  <si>
    <t>Number of attendances with an attendance disposal of "Left Department before being seen for treatment"</t>
  </si>
  <si>
    <t>Left department before being seen for treatment</t>
  </si>
  <si>
    <t>Total number of applicable attendances for this indicator (1st A&amp;E attendance, unplanned follow up attendance and unknown attendance)</t>
  </si>
  <si>
    <t> Attendances with unknown attendance category </t>
  </si>
  <si>
    <t>% of attendances with an unknown attendance category</t>
  </si>
  <si>
    <t>Number of re-attendances within 7 days of a previous attendance at A&amp;E</t>
  </si>
  <si>
    <t>Re-attendance rate</t>
  </si>
  <si>
    <t>% attendances with an arrival time of exactly midnight (00:00)</t>
  </si>
  <si>
    <t>Total number of attendances in A&amp;E HES that were brought in by ambulance
(excluding planned follow-up attendances and attendances where the attendance category was unknown)</t>
  </si>
  <si>
    <t>Attendances with an unknown duration to initial assessment</t>
  </si>
  <si>
    <t>% of attendances with unknown duration to assessment times</t>
  </si>
  <si>
    <t>Did all attendances have a duration to assessment of 0 minutes?</t>
  </si>
  <si>
    <t>% of attendances with an initial assessment time of exactly midnight (00:00) [see footnote 8]</t>
  </si>
  <si>
    <t>Median</t>
  </si>
  <si>
    <t>95th Percentile [see footnote 4]</t>
  </si>
  <si>
    <t>Longest wait [see footnotes 5]</t>
  </si>
  <si>
    <t>Total number of attendances in A&amp;E HES 
(excluding planned follow-up attendances,  attendances where the attendance category was unknown, and attendances where the attendance disposal category was: Left Before Treatment, Left Refusing Treatment, or Unknown)</t>
  </si>
  <si>
    <t>Attendances with unknown duration to treatment</t>
  </si>
  <si>
    <t>% of attendances with unknown duration to treatment times</t>
  </si>
  <si>
    <t>Did more than 25% of attendances have a duration to treatment of 0 minutes?</t>
  </si>
  <si>
    <t>% attendances with a treatment time of exactly midnight (00:00)</t>
  </si>
  <si>
    <r>
      <t xml:space="preserve">Longest wait
</t>
    </r>
    <r>
      <rPr>
        <sz val="10"/>
        <rFont val="Arial"/>
        <family val="2"/>
      </rPr>
      <t xml:space="preserve"> [see footnote 5]</t>
    </r>
  </si>
  <si>
    <t>Attendances with unknown duration to departure</t>
  </si>
  <si>
    <t>% of attendances with unknown duration to departure times</t>
  </si>
  <si>
    <t>Did more than 25% of attendances have a duration to departure of 0 minutes?</t>
  </si>
  <si>
    <t>% attendances with a departure time of exactly midnight (00:00) [see footnote 8]</t>
  </si>
  <si>
    <t>ENGLAND</t>
  </si>
  <si>
    <t xml:space="preserve"> Number of attendances from A&amp;E Situation Reports (MSitAE) [see footnote 1] </t>
  </si>
  <si>
    <t>A&amp;E HES attendances as % of MSitAE attendances [see footnote 2]</t>
  </si>
  <si>
    <t>Assessment of coverage of A&amp;E HES data, compared to MSitAE data</t>
  </si>
  <si>
    <t>Data Completeness and comparison with A&amp;E MSitAE</t>
  </si>
  <si>
    <t>1: Comparable with MSitAE</t>
  </si>
  <si>
    <t>*The count of providers in the above table is a count of the number of distinct provider codes from each data set. Where providers have submitted to each data set at a different level of aggregation, this will be reflected in the provider count. For example Peninsula Health - NLL makes a single submission to MSitAE under code NLL, but submits data to HES under 12 distinct site codes. In previous years, these data have been represented as counts of distinct three character codes, however, the inclusion of GP practice codes has made this methodology unsustainable for the future.</t>
  </si>
  <si>
    <r>
      <rPr>
        <b/>
        <sz val="10"/>
        <rFont val="Arial"/>
        <family val="2"/>
      </rPr>
      <t>Footnotes:</t>
    </r>
    <r>
      <rPr>
        <sz val="10"/>
        <rFont val="Arial"/>
        <family val="2"/>
      </rPr>
      <t xml:space="preserve">
1. MSitAE data is no longer reported on a weekly basis. It is now reported on a monthly basis therefore scaling is no longer required. 
2. Note that this column only presents data for organisations which submitted data to both HES and MSitAE. Therefore the England total presented here will be lower than that on published MSitAE.
3. Although data are reported to A&amp;E HES, all attendances had an unknown attendance category.</t>
    </r>
  </si>
  <si>
    <t>This is a joint publication between NHS Digital and NHS England</t>
  </si>
  <si>
    <t>Age Group</t>
  </si>
  <si>
    <t>Disposal method</t>
  </si>
  <si>
    <t>Activity in English NHS Hospitals and English NHS commissioned activity in the independent sector. </t>
  </si>
  <si>
    <t xml:space="preserve">Activity in English NHS Hospitals and English NHS commissioned activity in the independent sector.      
</t>
  </si>
  <si>
    <t>Clinical Quality Indicators</t>
  </si>
  <si>
    <t>Patient Group</t>
  </si>
  <si>
    <t>Table 1</t>
  </si>
  <si>
    <t>Table 2</t>
  </si>
  <si>
    <t>Table 3</t>
  </si>
  <si>
    <t>Table 4</t>
  </si>
  <si>
    <t>Table 5</t>
  </si>
  <si>
    <t>Table 6</t>
  </si>
  <si>
    <t>Table 7</t>
  </si>
  <si>
    <t>Table 8</t>
  </si>
  <si>
    <t>Table 10</t>
  </si>
  <si>
    <t>Table 11</t>
  </si>
  <si>
    <t>Table 12</t>
  </si>
  <si>
    <t>Table 9</t>
  </si>
  <si>
    <t>Table 13</t>
  </si>
  <si>
    <t>Table 14</t>
  </si>
  <si>
    <t>Table 15</t>
  </si>
  <si>
    <t>Table 16</t>
  </si>
  <si>
    <t>Table 17</t>
  </si>
  <si>
    <t>Table 18</t>
  </si>
  <si>
    <t>Table 19</t>
  </si>
  <si>
    <t>Table 20</t>
  </si>
  <si>
    <t>Table 22</t>
  </si>
  <si>
    <t>Table 21</t>
  </si>
  <si>
    <t>Table 23</t>
  </si>
  <si>
    <t>Table 24</t>
  </si>
  <si>
    <t>Table 25</t>
  </si>
  <si>
    <t>Continuous positive airways pressure/nasal intermittent positive pressure ventilation/bag valve mask</t>
  </si>
  <si>
    <t>Intubation &amp; Endotracheal tubes/laryngeal mask airways/rapid sequence induction</t>
  </si>
  <si>
    <t>2017-18</t>
  </si>
  <si>
    <t>AD904</t>
  </si>
  <si>
    <t>AD906</t>
  </si>
  <si>
    <t>NLO05</t>
  </si>
  <si>
    <t>NLO06</t>
  </si>
  <si>
    <t>NLO07</t>
  </si>
  <si>
    <t>NLO08</t>
  </si>
  <si>
    <t>NLO13</t>
  </si>
  <si>
    <t>NLO21</t>
  </si>
  <si>
    <t>NLO24</t>
  </si>
  <si>
    <t>NLO26</t>
  </si>
  <si>
    <t>NNF18</t>
  </si>
  <si>
    <t>NNF70</t>
  </si>
  <si>
    <t>NNF76</t>
  </si>
  <si>
    <t>NNF94</t>
  </si>
  <si>
    <t>NNF99</t>
  </si>
  <si>
    <t>NQT4K</t>
  </si>
  <si>
    <t>NQT5F</t>
  </si>
  <si>
    <t>NQT5G</t>
  </si>
  <si>
    <t>NQT5H</t>
  </si>
  <si>
    <t>NQTE1</t>
  </si>
  <si>
    <t>NTP60</t>
  </si>
  <si>
    <t>NTPH1</t>
  </si>
  <si>
    <t>NTV0B</t>
  </si>
  <si>
    <t>NTV0W</t>
  </si>
  <si>
    <t>R0A</t>
  </si>
  <si>
    <t>NL7</t>
  </si>
  <si>
    <t>8J094</t>
  </si>
  <si>
    <t>AD913</t>
  </si>
  <si>
    <t>E84069</t>
  </si>
  <si>
    <t>M85813</t>
  </si>
  <si>
    <t>Y02584</t>
  </si>
  <si>
    <t>Y04538</t>
  </si>
  <si>
    <t>Y02692</t>
  </si>
  <si>
    <t>Y02676</t>
  </si>
  <si>
    <t>NLW</t>
  </si>
  <si>
    <t>NLT02</t>
  </si>
  <si>
    <t>Y03571</t>
  </si>
  <si>
    <t>NNJ</t>
  </si>
  <si>
    <t>Y00751</t>
  </si>
  <si>
    <t>Y02816</t>
  </si>
  <si>
    <t>Y02696</t>
  </si>
  <si>
    <t>Y03007</t>
  </si>
  <si>
    <t>DD401</t>
  </si>
  <si>
    <t>NDJ</t>
  </si>
  <si>
    <t>Y03082</t>
  </si>
  <si>
    <t>Y03051</t>
  </si>
  <si>
    <t>C82038</t>
  </si>
  <si>
    <t>Y01231</t>
  </si>
  <si>
    <t>Y01069</t>
  </si>
  <si>
    <t>C82009</t>
  </si>
  <si>
    <t>Y02532</t>
  </si>
  <si>
    <t>Y03645</t>
  </si>
  <si>
    <t>NLO01</t>
  </si>
  <si>
    <t>NMH01</t>
  </si>
  <si>
    <t>NR3</t>
  </si>
  <si>
    <t>C82010</t>
  </si>
  <si>
    <t>L83087</t>
  </si>
  <si>
    <t>Y02973</t>
  </si>
  <si>
    <t>Y02572</t>
  </si>
  <si>
    <t>Y02533</t>
  </si>
  <si>
    <t>RT2</t>
  </si>
  <si>
    <t>Y02428</t>
  </si>
  <si>
    <t>AC008</t>
  </si>
  <si>
    <t>Y02666</t>
  </si>
  <si>
    <t>AXT02</t>
  </si>
  <si>
    <t>C83023</t>
  </si>
  <si>
    <t>Y02615</t>
  </si>
  <si>
    <t>Y03047</t>
  </si>
  <si>
    <t>Y02961</t>
  </si>
  <si>
    <t>AAH</t>
  </si>
  <si>
    <t>F84747</t>
  </si>
  <si>
    <t>Y03094</t>
  </si>
  <si>
    <t>Y03218</t>
  </si>
  <si>
    <t>E84068</t>
  </si>
  <si>
    <t>Y02147</t>
  </si>
  <si>
    <t>ATQ02</t>
  </si>
  <si>
    <t>G82071</t>
  </si>
  <si>
    <t>AJN</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</si>
  <si>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</si>
  <si>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Admitted to hospital bed / became a lodged patient of the same health care provider</t>
  </si>
  <si>
    <t>Discharged – follow-up treatment to be provided by general practitioner</t>
  </si>
  <si>
    <t>Discharged – did not require any follow-up treatment</t>
  </si>
  <si>
    <t>Others</t>
  </si>
  <si>
    <t>ONE MEDICAL GROUP LIMITED</t>
  </si>
  <si>
    <t>No Data</t>
  </si>
  <si>
    <t>TETBURY HOSPITAL TRUST</t>
  </si>
  <si>
    <t>Yes</t>
  </si>
  <si>
    <t>UCC AT HILLINGDON HOSPITAL</t>
  </si>
  <si>
    <t>UCC - NORTHWICK PARK HOSPITAL</t>
  </si>
  <si>
    <t>EALING HOSPITAL UCC</t>
  </si>
  <si>
    <t>A&amp;E HES attendances are within 10% of SitReps</t>
  </si>
  <si>
    <t>HAVERSTOCK HEALTHCARE(CHESHUNT COM HOSP)</t>
  </si>
  <si>
    <t>BATH &amp; NORTH EAST SOMERSET DUC</t>
  </si>
  <si>
    <t>HOUGHTON URGENT CARE CENTRE</t>
  </si>
  <si>
    <t>BUNNY HILL URGENT CARE CENTRE</t>
  </si>
  <si>
    <t>WASHINGTON URGENT CARE CENTRE</t>
  </si>
  <si>
    <t>SCARBOROUGH URGENT CARE CENTRE</t>
  </si>
  <si>
    <t>MELTON MOWBRAY URGENT CARE CENTRE</t>
  </si>
  <si>
    <t>OADBY &amp; WIGSTON URGENT CARE CENTRE</t>
  </si>
  <si>
    <t>A&amp;E HES attendances are within 20% of SitReps</t>
  </si>
  <si>
    <t>MARKET HARBOROUGH URGENT CARE CENTRE</t>
  </si>
  <si>
    <t>OAKHAM URGENT CARE CENTRE</t>
  </si>
  <si>
    <t>MALTON URGENT CARE CENTRE</t>
  </si>
  <si>
    <t>ST MARY'S URGENT CARE CENTRE</t>
  </si>
  <si>
    <t>YORK HOSPITAL URGENT CARE CENTRE</t>
  </si>
  <si>
    <t>ROYAL STOKE UNIVERSITY HOSPITAL UCC</t>
  </si>
  <si>
    <t>NORTH SOMERSET COMMUNITY PTRSHIP CIC HQ</t>
  </si>
  <si>
    <t>YATE WEST GATE CENTRE</t>
  </si>
  <si>
    <t>BRANSHOLME HEALTH CENTRE</t>
  </si>
  <si>
    <t>BRIDLINGTON HOSPITAL</t>
  </si>
  <si>
    <t>WITHERNSEA HOSPITAL</t>
  </si>
  <si>
    <t>ALFRED BEAN HOSPITAL</t>
  </si>
  <si>
    <t>THE WILBERFORCE HEALTH CENTRE</t>
  </si>
  <si>
    <t>A&amp;E HES attendances are less than 80% or more than 120% of SitRep attendances</t>
  </si>
  <si>
    <t>EAST RIDING COMMUNITY HOSPITAL</t>
  </si>
  <si>
    <t>HORNSEA COTTAGE HOSPITAL</t>
  </si>
  <si>
    <t>FRYATT HOSPITAL</t>
  </si>
  <si>
    <t>CLACTON HOSPITAL</t>
  </si>
  <si>
    <t>ASSURA READING LLP</t>
  </si>
  <si>
    <t>LYME REGIS MEDICAL CENTRE</t>
  </si>
  <si>
    <t>SKELMERSDALE WALK IN CENTRE</t>
  </si>
  <si>
    <t>URGENT CARE CENTRE</t>
  </si>
  <si>
    <t>PAULTON MEMORIAL HOSPITAL</t>
  </si>
  <si>
    <t>COVENTRY NHS HEALTHCARE &amp; WALK IN CENTRE</t>
  </si>
  <si>
    <t>SEATON HOUSE</t>
  </si>
  <si>
    <t>SOUTHAMPTON NHS TREATMENT CENTRE</t>
  </si>
  <si>
    <t>BRENT URGENT CARE CENTRE</t>
  </si>
  <si>
    <t>ST MARY'S NHS TREATMENT CENTRE</t>
  </si>
  <si>
    <t>SHEPTON MALLET NHS TREATMENT CENTRE</t>
  </si>
  <si>
    <t>ASHFORD WALK-IN-CENTRE</t>
  </si>
  <si>
    <t>WOKING WALK IN CENTRE</t>
  </si>
  <si>
    <t>MANCHESTER UNIVERSITY NHS FT</t>
  </si>
  <si>
    <t>SHROPSHIRE COMMUNITY HEALTH NHS TRUST</t>
  </si>
  <si>
    <t>ISLE OF WIGHT NHS TRUST</t>
  </si>
  <si>
    <t>BARTS HEALTH NHS TRUST</t>
  </si>
  <si>
    <t>GLOUCESTERSHIRE CARE SERVICES NHS TRUST</t>
  </si>
  <si>
    <t>LONDON NW UNIVERSITY HC NHS TRUST</t>
  </si>
  <si>
    <t>ROYAL SURREY COUNTY HOSPITAL NHS FT</t>
  </si>
  <si>
    <t>WESTON AREA HEALTH NHS TRUST</t>
  </si>
  <si>
    <t>YEOVIL DISTRICT HOSPITAL NHS FOUND TR</t>
  </si>
  <si>
    <t>UNIVERSITY HOSPITALS BRISTOL NHS FT</t>
  </si>
  <si>
    <t>TORBAY AND SOUTH DEVON NHS FT</t>
  </si>
  <si>
    <t>BRADFORD TEACHING HOSPS NHS FOUND TRUST</t>
  </si>
  <si>
    <t>SOUTHEND UNIVERSITY H'PITAL NHS FOUN TR</t>
  </si>
  <si>
    <t>ROYAL FREE LONDON NHS FOUNDATION TRUST</t>
  </si>
  <si>
    <t>NORTH MIDDLESEX UNIVERSITY HOSP NHS TR</t>
  </si>
  <si>
    <t>THE HILLINGDON HOSPITALS NHS FT</t>
  </si>
  <si>
    <t>NORTH EAST LONDON NHS FOUNDATION TRUST</t>
  </si>
  <si>
    <t>KINGSTON HOSPITAL NHS FOUNDATION TRUST</t>
  </si>
  <si>
    <t>TAUNTON AND SOMERSET NHS FOUNDATION TR</t>
  </si>
  <si>
    <t>DORSET COUNTY HOSPITAL NHS FOUNDATION TR</t>
  </si>
  <si>
    <t>WALSALL HEALTHCARE NHS TRUST</t>
  </si>
  <si>
    <t>WIRRAL UNIVERSITY TEACHING HOSP NHS FT</t>
  </si>
  <si>
    <t>ALDER HEY CHILDREN'S NHS FT</t>
  </si>
  <si>
    <t>MID CHESHIRE HOSPITALS NHS FT</t>
  </si>
  <si>
    <t>NORTHERN DEVON HEALTHCARE NHS TRUST</t>
  </si>
  <si>
    <t>BEDFORD HOSPITAL NHS TRUST</t>
  </si>
  <si>
    <t>LUTON &amp; DUNSTABLE UNIVERSITY HOSP NHS FT</t>
  </si>
  <si>
    <t>YORK TEACHING HOSPITAL NHS FT</t>
  </si>
  <si>
    <t>HARROGATE AND DISTRICT NHS FOUND TRUST</t>
  </si>
  <si>
    <t>AIREDALE NHS FOUNDATION TRUST</t>
  </si>
  <si>
    <t>SHEFFIELD CHILDRENS NHS FOUNDATION TRUST</t>
  </si>
  <si>
    <t>THE QUEEN ELIZ HOSP, KING'S LYNN, NHS FT</t>
  </si>
  <si>
    <t>ROYAL UNITED HOSPITALS BATH NHS FT</t>
  </si>
  <si>
    <t>POOLE HOSPITAL NHS FOUNDATION TRUST</t>
  </si>
  <si>
    <t>MILTON KEYNES UNI HOSPITAL NHS FDN TRUST</t>
  </si>
  <si>
    <t>BASILDON &amp; THURROCK UNI HOSP NHS FDTN TR</t>
  </si>
  <si>
    <t>SUSSEX COMMUNITY NHS FOUNDATION TRUST</t>
  </si>
  <si>
    <t>FRIMLEY HEALTH NHS FOUNDATION TRUST</t>
  </si>
  <si>
    <t>THE RYL BNMTH &amp; CHRISTCHURCH NHS FOUN TR</t>
  </si>
  <si>
    <t>SOUTH TYNESIDE NHS FOUNDATION TRUST</t>
  </si>
  <si>
    <t>ROYAL CORNWALL HOSPITALS NHS TRUST</t>
  </si>
  <si>
    <t>AINTREE UNIV HOSP NHS FOUNATION TRUST</t>
  </si>
  <si>
    <t>LIVERPOOL WOMEN'S NHS FOUNDATION TRUST</t>
  </si>
  <si>
    <t>BARKING, HAVERING &amp; REDBRIDGE U H NHS T</t>
  </si>
  <si>
    <t>BARNSLEY HOSPITAL NHS FOUNDATION TRUST</t>
  </si>
  <si>
    <t>THE ROTHERHAM NHS FOUNDATION TRUST</t>
  </si>
  <si>
    <t>CHESTERFIELD ROYAL HOSPITAL NHS FOUND TR</t>
  </si>
  <si>
    <t>NORTH WEST ANGLIA NHS FOUNDATION TRUST</t>
  </si>
  <si>
    <t>JAMES PAGET UNIV HOSPS NHS FOUND TRUST</t>
  </si>
  <si>
    <t>WEST SUFFOLK NHS FOUNDATION TRUST</t>
  </si>
  <si>
    <t>CAMBRIDGE UNIV HOSPITALS NHS FOUND TRUST</t>
  </si>
  <si>
    <t>SOMERSET PARTNERSHIP NHS FT</t>
  </si>
  <si>
    <t>ROYAL DEVON &amp; EXETER NHS FOUND TRUST</t>
  </si>
  <si>
    <t>UNIVERSITY HOSPITAL SOUTHAMPTON NHS FT</t>
  </si>
  <si>
    <t>SHEFFIELD TEACHING HOSP NHS FOUND TRUST</t>
  </si>
  <si>
    <t>PORTSMOUTH HOSPITALS NHS TRUST</t>
  </si>
  <si>
    <t>ROYAL BERKSHIRE NHS FOUNDATION TRUST</t>
  </si>
  <si>
    <t>GUY'S AND ST THOMAS' NHS FOUND TRUST</t>
  </si>
  <si>
    <t>LEWISHAM AND GREENWICH NHS TRUST</t>
  </si>
  <si>
    <t>CROYDON HEALTH SERVICES NHS TRUST</t>
  </si>
  <si>
    <t>ST GEORGE'S UNIVERSITY HOSPITALS NHS FT</t>
  </si>
  <si>
    <t>SOUTH WARWICKSHIRE NHS FOUNDATION TRUST</t>
  </si>
  <si>
    <t>UNIV HOSP NORTH MIDLANDS NHS TRUST</t>
  </si>
  <si>
    <t>N LINCOLNSHIRE &amp; GOOLE NHS FOUND T</t>
  </si>
  <si>
    <t>EAST CHESHIRE NHS TRUST</t>
  </si>
  <si>
    <t>COUNTESS OF CHESTER HOSP NHS FOUND TRUST</t>
  </si>
  <si>
    <t>KING'S COLLEGE HOSPITAL NHS FOUND TRUST</t>
  </si>
  <si>
    <t>SHERWOOD FOREST HOSPITALS NHS FOUND TR</t>
  </si>
  <si>
    <t>UNIVERSITY HOSPITALS PLYMOUTH NHS TRUST</t>
  </si>
  <si>
    <t>UNIV HOSPS COVENTRY &amp; WARWICKSHIRE NHSTR</t>
  </si>
  <si>
    <t>WHITTINGTON HEALTH NHS TRUST</t>
  </si>
  <si>
    <t>THE ROYAL WOLVERHAMPTON NHS TRUST</t>
  </si>
  <si>
    <t>CITY HOSPITALS SUNDERLAND NHS FOUND TR</t>
  </si>
  <si>
    <t>WYE VALLEY NHS TRUST</t>
  </si>
  <si>
    <t>GEORGE ELIOT HOSPITAL NHS TRUST</t>
  </si>
  <si>
    <t>NORFOLK AND NORWICH UNI HOSP NHS FT</t>
  </si>
  <si>
    <t>SALFORD ROYAL NHS FOUNDATION TRUST</t>
  </si>
  <si>
    <t>BOLTON NHS FOUNDATION TRUST</t>
  </si>
  <si>
    <t>TAMESIDE &amp; GLOSSOP INTEGRATED CRE NHS FT</t>
  </si>
  <si>
    <t>GREAT WESTERN HOSPITALS NHS FT</t>
  </si>
  <si>
    <t>HAMPSHIRE HOSPITALS NHS FOUNDATION TRUST</t>
  </si>
  <si>
    <t>DARTFORD AND GRAVESHAM NHS TRUST</t>
  </si>
  <si>
    <t>THE DUDLEY GROUP NHS FOUNDATION TRUST</t>
  </si>
  <si>
    <t>NORTH CUMBRIA UNI' HOSPITALS NHS TRUST</t>
  </si>
  <si>
    <t>CUMBRIA PARTNERSHIP NHS FOUNDATION TRUST</t>
  </si>
  <si>
    <t>KETTERING GENERAL HOSPITAL NHS FT</t>
  </si>
  <si>
    <t>NORTHAMPTON GENERAL HOSPITAL NHS TRUST</t>
  </si>
  <si>
    <t>OXFORD HEALTH NHS FOUNDATION TRUST</t>
  </si>
  <si>
    <t>SALISBURY NHS FOUNDATION TRUST</t>
  </si>
  <si>
    <t>DONCASTER &amp; BASSETLAW TCHG HOSP NHS FT</t>
  </si>
  <si>
    <t>MOORFIELDS EYE HOSPITAL NHS FOUND TRUST</t>
  </si>
  <si>
    <t>MEDWAY NHS FOUNDATION TRUST</t>
  </si>
  <si>
    <t>QUEEN VICTORIA HOSPITAL NHS FOUND TR</t>
  </si>
  <si>
    <t>BIRMINGHAM WOMEN'S AND CHILDREN'S NHS FT</t>
  </si>
  <si>
    <t>ROYAL LIVERPOOL BROADGREEN UNIV HOSP TR</t>
  </si>
  <si>
    <t>MID ESSEX HOSPITAL SERVICES NHS TRUST</t>
  </si>
  <si>
    <t>CHELSEA &amp; WESTMINSTER HOSP NHS FOUND TR</t>
  </si>
  <si>
    <t>PRINCESS ALEXANDRA HOSPITAL NHS TRUST</t>
  </si>
  <si>
    <t>HOMERTON UNIV HOSPITAL NHS FOUND TRUST</t>
  </si>
  <si>
    <t>GATESHEAD HEALTH NHS FOUNDATION TRUST</t>
  </si>
  <si>
    <t>LEEDS TEACHING HOSPITALS NHS TRUST</t>
  </si>
  <si>
    <t>WRIGHTINGTON, WIGAN AND LEIGH NHS FT</t>
  </si>
  <si>
    <t>UNIV HOSPITAL BIRMINGHAM NHS FOUND TRUST</t>
  </si>
  <si>
    <t>UNIV COLLEGE LONDON HOSPS NHS FOUND TR</t>
  </si>
  <si>
    <t>NEWCASTLE UPON TYNE H'PITALS NHS FOUN TR</t>
  </si>
  <si>
    <t>GLOUCESTERSHIRE HOSPITALS NHS FOUND TR</t>
  </si>
  <si>
    <t>NORTHUMBRIA HEALTHCARE NHS FOUND TRUST</t>
  </si>
  <si>
    <t>OXFORD UNIVERSITY HOSPITALS NHS FT</t>
  </si>
  <si>
    <t>ASHFORD AND ST PETER'S HOSPITALS NHS FT</t>
  </si>
  <si>
    <t>SURREY AND SUSSEX HEALTHCARE NHS TRUST</t>
  </si>
  <si>
    <t>SOUTH TEES HOSPITALS NHS F T</t>
  </si>
  <si>
    <t>NORTH WEST BOROUGHS HEALTHCARE NHS FT</t>
  </si>
  <si>
    <t>UNIVERSITY HOSPS OF MORECAMBE BAY NHS FT</t>
  </si>
  <si>
    <t>HUMBER TEACHING NHS FOUNDATION TRUST</t>
  </si>
  <si>
    <t>NORTH BRISTOL NHS TRUST</t>
  </si>
  <si>
    <t>EPSOM AND ST HELIER UNI HOSPS NHS TRUST</t>
  </si>
  <si>
    <t>EAST KENT HOSPITALS UNI' NHS F TRUST</t>
  </si>
  <si>
    <t>NORTH TEES AND HARTLEPOOL NHS FOUND TR</t>
  </si>
  <si>
    <t>SOUTHPORT AND ORMSKIRK HOSPITAL NHS TR</t>
  </si>
  <si>
    <t>SOUTHERN HEALTH NHS FOUNDATION TRUST</t>
  </si>
  <si>
    <t>PENNINE ACUTE HOSPITALS NHS TRUST</t>
  </si>
  <si>
    <t>UNITED LINCOLNSHIRE HOSPITALS NHS TRUST</t>
  </si>
  <si>
    <t>UNIVERSITY HOSPITALS OF LEICESTER NHS TR</t>
  </si>
  <si>
    <t>MAIDSTONE AND TUNBRIDGE WELLS NHS TRUST</t>
  </si>
  <si>
    <t>WEST HERTFORDSHIRE HOSPITALS NHS TRUST</t>
  </si>
  <si>
    <t>EAST AND NORTH HERTFORDSHIRE NHS TRUST</t>
  </si>
  <si>
    <t>STOCKPORT NHS FOUNDATION TRUST</t>
  </si>
  <si>
    <t>WORCESTERSHIRE ACUTE HOSPITALS NHS TRUST</t>
  </si>
  <si>
    <t>WARRINGTON AND HALTON HOSPITALS NHS FT</t>
  </si>
  <si>
    <t>BERKSHIRE HEALTHCARE NHS FOUNDATION TR</t>
  </si>
  <si>
    <t>CALDERDALE AND HUDDERSFIELD NHS FOUD TR</t>
  </si>
  <si>
    <t>NOTTINGHAM UNIVERSITY HOSPS NHS TRUST</t>
  </si>
  <si>
    <t>EAST SUSSEX HEALTHCARE NHS TRUST</t>
  </si>
  <si>
    <t>MID YORKSHIRE HOSPITALS NHS TRUST</t>
  </si>
  <si>
    <t>BRIGHTON AND SUSSEX UNIV HOSPS NHS TRUST</t>
  </si>
  <si>
    <t>SANDWELL &amp; WEST BIRMINGHAM HOSPS NHS TR</t>
  </si>
  <si>
    <t>BLACKPOOL TEACHING HOSPITALS NHS FT</t>
  </si>
  <si>
    <t>LANCASHIRE TEACHING HOSPS NHS FOUND TR</t>
  </si>
  <si>
    <t>CO DURHAM &amp; DARLINGTON NHS FOUND TR</t>
  </si>
  <si>
    <t>BUCKINGHAMSHIRE HEALTHCARE NHS TRUST</t>
  </si>
  <si>
    <t>EAST LANCASHIRE HOSPITALS NHS TRUST</t>
  </si>
  <si>
    <t>SHREWSBURY &amp; TELFORD HOSPITAL NHS TRUST</t>
  </si>
  <si>
    <t>BRIDGEWATER COMMUNITY HEALTH NHS FT</t>
  </si>
  <si>
    <t>HERTFORDSHIRE COMMUNITY NHS TRUST</t>
  </si>
  <si>
    <t>LINCOLNSHIRE COMM HEALTH SERVICES NHS T</t>
  </si>
  <si>
    <t>WIRRAL COMMUNITY NHS FOUNDATION TRUST</t>
  </si>
  <si>
    <t>DERBYSHIRE COMMUNITY HEALTH SERVICES NHS</t>
  </si>
  <si>
    <t>HOUNSLOW &amp; RICHMOND COMMUNITY HEALTHCARE</t>
  </si>
  <si>
    <t>SOUTH WESTERN AMBULANCE SERVICE NHS FT</t>
  </si>
  <si>
    <t>IMPERIAL COLLEGE HEALTHCARE NHS TRUST</t>
  </si>
  <si>
    <t>WESTERN SUSSEX HOSPITALS NHS FT</t>
  </si>
  <si>
    <t>CENTRAL LONDON COMMUNITY HEALTHCARE NHS</t>
  </si>
  <si>
    <t>KENT COMMUNITY HEALTH NHS FT</t>
  </si>
  <si>
    <t>*</t>
  </si>
  <si>
    <t>~</t>
  </si>
  <si>
    <t>-</t>
  </si>
  <si>
    <t>NULL</t>
  </si>
  <si>
    <t>Least deprived 10%</t>
  </si>
  <si>
    <t>Less deprived 10-20%</t>
  </si>
  <si>
    <t>Less deprived 20-30%</t>
  </si>
  <si>
    <t>Less deprived 30-40%</t>
  </si>
  <si>
    <t>Less deprived 40-50%</t>
  </si>
  <si>
    <t>More deprived 10-20%</t>
  </si>
  <si>
    <t>More deprived 20-30%</t>
  </si>
  <si>
    <t>More deprived 30-40%</t>
  </si>
  <si>
    <t>More deprived 40-50%</t>
  </si>
  <si>
    <t>Most deprived 10%</t>
  </si>
  <si>
    <t>Not stated</t>
  </si>
  <si>
    <t>Any other ethnic group</t>
  </si>
  <si>
    <t>Chinese (other ethnic group)</t>
  </si>
  <si>
    <t>Any other Black background</t>
  </si>
  <si>
    <t>African (Black or Black British)</t>
  </si>
  <si>
    <t>Caribbean (Black or Black British)</t>
  </si>
  <si>
    <t>Any other Asian background</t>
  </si>
  <si>
    <t>Bangladeshi (Asian or Asian British)</t>
  </si>
  <si>
    <t>Pakistani (Asian or Asian British)</t>
  </si>
  <si>
    <t>Indian (Asian or Asian British)</t>
  </si>
  <si>
    <t>Any other Mixed background</t>
  </si>
  <si>
    <t>White and Asian (Mixed)</t>
  </si>
  <si>
    <t>White and Black African (Mixed)</t>
  </si>
  <si>
    <t>White and Black Caribbean (Mixed)</t>
  </si>
  <si>
    <t>Any other White background</t>
  </si>
  <si>
    <t>Irish (White)</t>
  </si>
  <si>
    <t>British (White)</t>
  </si>
  <si>
    <t>Table 27</t>
  </si>
  <si>
    <t>Table 26</t>
  </si>
  <si>
    <t>English Indices of Deprivation</t>
  </si>
  <si>
    <t>4.The 95th percentile is particularly sensitive to poor data quality and definitional issues, which is why some unusually high values may be observed.
5.The longest wait is particularly sensitive to poor data quality and definitional issues, which is why some unusually high values may be observed. Due to the way these data have been calculated, the                  
  maximum reported wait is 23 hours and 59 minutes (1,439 minutes)
- Different indicators may use different denominators. For example, the time to initial assessment is only presented for cases brought to A&amp;E by emergency ambulance (including air ambulance), and the
  time to departure for admitted
  patients is only presented for organisations that admit patients. For this reason some cells in the table above may be left intentionally blank
- The time to initial assessment is only reported for attendances brought in to A&amp;E by emergency ambulance or air ambulance
- The time to treatment indicator excludes attendances where the attendance disposal was: Left Before Treatment, Left Refusing Treatment, or unknown.</t>
  </si>
  <si>
    <r>
      <t xml:space="preserve">6.Where initial assessment is recorded as happening before arrival, time to initial assessment is set to zero minutes.
7.There are known data issues with shortfalls of records for certain organisations. Further data quality information is available at
   </t>
    </r>
    <r>
      <rPr>
        <u/>
        <sz val="10"/>
        <color rgb="FF0000FF"/>
        <rFont val="Arial"/>
        <family val="2"/>
      </rPr>
      <t>https://digital.nhs.uk/data-and-information/data-tools-and-services/data-services/hospital-episode-statistics.</t>
    </r>
    <r>
      <rPr>
        <sz val="10"/>
        <rFont val="Arial"/>
        <family val="2"/>
      </rPr>
      <t xml:space="preserve">
8.The denominator for these measures includes attendances where the time is coded as MISS (missing).
9.Re-attendance rate - please note that since this measure is presented at 3-character provider level (for NHS organisations), transfers between hospitals within a provider will be counted as a 
   re-attendance unless they are recorded as planned attendances. Also note that duplicate records inflate the re-attendance rate, please refer to the data quality note for information about duplicate  
   records.
   Users should consider A&amp;E type and case mix when making comparisons between organisations.
10.The 'UK Comparative Waiting Times Group' has published a summary of the similarities and differences in methodologies between England, Scotland, Wales and Northern Ireland:
</t>
    </r>
    <r>
      <rPr>
        <sz val="10"/>
        <color rgb="FF0000FF"/>
        <rFont val="Arial"/>
        <family val="2"/>
      </rPr>
      <t xml:space="preserve">     </t>
    </r>
    <r>
      <rPr>
        <u/>
        <sz val="10"/>
        <color rgb="FF0000FF"/>
        <rFont val="Arial"/>
        <family val="2"/>
      </rPr>
      <t>https://gss.civilservice.gov.uk/guidances/health/health-waiting-time-statistics/</t>
    </r>
  </si>
  <si>
    <t>Attendance by IMD and Ethnicity</t>
  </si>
  <si>
    <t>This file provides some high level analyses of both HES and MSitAE data relating to A&amp;E attendances in NHS hospitals, minor injury units and walk-in centres. This document provides data tables to support and to provide additional analysis. The annual publication covers the financial year ending March 2018 as well as earlier time periods.</t>
  </si>
  <si>
    <t>Ethnicity Description</t>
  </si>
  <si>
    <t>Copyright © 2019, NHS Digital. All Rights Reserved.</t>
  </si>
  <si>
    <t xml:space="preserve">Hospital Accident and Emergency Activity - 2018-19
</t>
  </si>
  <si>
    <t>Accident and Emergency Annual Report 2018-19: Table of contents</t>
  </si>
  <si>
    <t>Number of Valid Records by A&amp;E Key Field, 2015-16 and 2018-19</t>
  </si>
  <si>
    <t>A&amp;E Attendances by Gender and Age Group, where Arrival Mode is Ambulance, 2018-19</t>
  </si>
  <si>
    <t>A&amp;E Attendances by Age Group by Arrival Method, 2018-19</t>
  </si>
  <si>
    <t>A&amp;E Attendances by Arrival Method and Disposal Method, 2018-19 (HES)</t>
  </si>
  <si>
    <t>A&amp;E Attendances by Duration in Department and Method of Discharge, 2018-19</t>
  </si>
  <si>
    <t>Number of A&amp;E Attendances, Recorded in A&amp;E HES (Excluding Planned Follow-up Attendances) and MSitAE by each Provider, 2018-19</t>
  </si>
  <si>
    <t>Attendance Disposal Method, by 10 Minute Time Intervals, 2018-19 (Exc. Planned Attendances)</t>
  </si>
  <si>
    <t>Accident &amp; Emergency Clinical Quality Indicators, England, 2018-19</t>
  </si>
  <si>
    <t>2018-19</t>
  </si>
  <si>
    <t>https://www.england.nhs.uk/statistics/statistical-work-areas/ae-waiting-times-and-activity/ae-attendances-and-emergency-admissions-2018-19/</t>
  </si>
  <si>
    <t>Table 13: A&amp;E Attendances by Gender and Age Group, where Arrival Mode is Ambulance, 2018-19 (HES)</t>
  </si>
  <si>
    <t>Table 14: A&amp;E Attendances by Age Group by Arrival Method, 2018-19 (HES)</t>
  </si>
  <si>
    <t>Table 15: A&amp;E Attendances by Arrival Method and Disposal Method, 2018-19 (HES)</t>
  </si>
  <si>
    <t>Table 21: A&amp;E Attendances by Duration in Department and Method of Discharge, 2018-19 (HES)</t>
  </si>
  <si>
    <t>Table 22: Number of A&amp;E Attendances, Recorded in A&amp;E HES (Excluding Planned Follow-up Attendances) and MSitAE by each Provider, 2018-19 (HES) and (MSitAE)</t>
  </si>
  <si>
    <t>Table 23: Attendance Disposal Method, by 10 Minute Time Intervals, 2018-19 (Exc. Planned Attendances) (HES)</t>
  </si>
  <si>
    <t>Attendances recorded by type in A&amp;E HES and A&amp;E MSitAE, 2017-18 and 2018-19</t>
  </si>
  <si>
    <t>Comparison of 2017-18 and 2018-19 Unplanned A&amp;E Attendances in A&amp;E HES against those reported in MSitAE, broken down by the Organisation Type</t>
  </si>
  <si>
    <t>A&amp;E Attendances by Attendance Category, 2017-18 and 2018-19</t>
  </si>
  <si>
    <t>A&amp;E Attendances by Gender, 2017-18 and 2018-19</t>
  </si>
  <si>
    <t>A&amp;E Attendances by Age Group, 2017-18 and 2018-19</t>
  </si>
  <si>
    <t>A&amp;E Attendances by Gender and Age Group, 2017-18 and 2018-19</t>
  </si>
  <si>
    <t>A&amp;E Attendances by Month, 2017-18 and 2018-19</t>
  </si>
  <si>
    <t>A&amp;E Attendances by Day, 2017-18 and 2018-19</t>
  </si>
  <si>
    <t>A&amp;E Attendances by Referral Method, 2017-18 and 2018-19</t>
  </si>
  <si>
    <t>A&amp;E Attendances by arrival Method, 2017-18 and 2018-19</t>
  </si>
  <si>
    <t>A&amp;E Attendances by Hour of Arrival, where Arrived by Ambulance (inc. Helicopter/Air Ambulance), 2017-18 and 2018-19</t>
  </si>
  <si>
    <t>A&amp;E Attendances by Patient Group, 2017-18 and 2018-19</t>
  </si>
  <si>
    <t>Number of A&amp;E Attendances, First A&amp;E investigation '2 character description field' 2017-18 and 2018-19</t>
  </si>
  <si>
    <t>Number of A&amp;E Attendances, A&amp;E Primary Diagnosis '2 character description field' 2017-18 and 2018-19</t>
  </si>
  <si>
    <t>Number of A&amp;E Attendances, First A&amp;E Treatment '2 character description field' 2017-18 and 2018-19</t>
  </si>
  <si>
    <t>Total Number of Attendances in A&amp;E HES by Attendance Disposal Method, 2017-18 and 2018-19</t>
  </si>
  <si>
    <t>A&amp;E Attendances by Day and Hour of Arrival (and Percentage), 2017-18 and 2018-19</t>
  </si>
  <si>
    <t>A&amp;E Attendances by Index of Multiple Deprivation Decile Output for England 2017-18 and 2018-19</t>
  </si>
  <si>
    <t>A&amp;E Attendances by Ethnicity for England 2017-18 and 2018-19</t>
  </si>
  <si>
    <t>Table 2: Number of Valid Records by A&amp;E Key Field, 
2017-18 and 2018-19 (HES)</t>
  </si>
  <si>
    <t>Table 3: Comparison of 2017-18 and 2018-19 Unplanned A&amp;E Attendances in A&amp;E HES against those reported in MSitAE, broken down by the Organisation Type (HES) and (MSitAE)</t>
  </si>
  <si>
    <t>·During the period covered (2017-18 and 2018-19) not all NHS trusts have provided data submissions to A&amp;E HES and data quality can be poor for some fields. </t>
  </si>
  <si>
    <t>Table 4: A&amp;E Attendances by Attendance Category, 2017-18 and 2018-19 (HES)</t>
  </si>
  <si>
    <t>Table 5: A&amp;E Attendances by Gender, 2017-18 and 2018-19 (HES)</t>
  </si>
  <si>
    <t>Table 6: A&amp;E Attendances by Age Group, 2017-18 and 2018-19 (HES)</t>
  </si>
  <si>
    <t>Table 7: A&amp;E Attendances by Gender and Age Group, 2017-18 and 2018-19 (HES)</t>
  </si>
  <si>
    <t>Table 8: A&amp;E Attendances by Month, 2017-18 and 2018-19 (HES)</t>
  </si>
  <si>
    <t>Table 9: A&amp;E Attendances by Day, 2017-18 and 2018-19 (HES)</t>
  </si>
  <si>
    <t>Table 10: A&amp;E Attendances by Referral Method, 2017-18 and 2018-19 (HES)</t>
  </si>
  <si>
    <t>Table 11: A&amp;E Attendances by arrival Method, 2017-18 and 2018-19 (HES)</t>
  </si>
  <si>
    <t>Table 12: A&amp;E Attendances by Hour of Arrival, where Arrived by Ambulance (inc. Helicopter/Air Ambulance), 2017-18 and 2018-19 (HES)</t>
  </si>
  <si>
    <t>Table 16: A&amp;E Attendances by Patient Group, 2017-18 and 2018-19 (HES)</t>
  </si>
  <si>
    <t>Table 17: Number of A&amp;E Attendances, First A&amp;E investigation '2 character description field' 2017-18 and 2018-19 (HES)</t>
  </si>
  <si>
    <t>Table 18: Number of A&amp;E Attendances, A&amp;E Primary Diagnosis '2 character description field' 2017-18 and 2018-19 (HES)</t>
  </si>
  <si>
    <t>Table 19: Number of A&amp;E Attendances, First A&amp;E Treatment '2 character description field' 2017-18 and 2018-19 (HES)</t>
  </si>
  <si>
    <t>Table 20: Total Number of Attendances in A&amp;E HES by Attendance Disposal Method, 2017-18 and 2018-19 (HES)</t>
  </si>
  <si>
    <t>Table 24: A&amp;E Attendances by Day and Hour of Arrival (and Percentage), 2017-18 and 2018-19 (HES)</t>
  </si>
  <si>
    <t>Copyright © 2019, NHS Digital All Rights Reserved.</t>
  </si>
  <si>
    <t>Table 1: Attendances Recorded by Type in A&amp;E HES and A&amp;E MSitAE, 
2017-18 and 2018-19 (HES) and (MSitAE)</t>
  </si>
  <si>
    <t>RN7</t>
  </si>
  <si>
    <t>DHU LLR HOME VISITING OOH UNIT</t>
  </si>
  <si>
    <t>NNJ08</t>
  </si>
  <si>
    <t>RVR</t>
  </si>
  <si>
    <t>RR7</t>
  </si>
  <si>
    <t>GOOLE &amp; DISTRICT HOSPITAL</t>
  </si>
  <si>
    <t>NNFA7</t>
  </si>
  <si>
    <t>RJ1</t>
  </si>
  <si>
    <t>RN5</t>
  </si>
  <si>
    <t>RR1</t>
  </si>
  <si>
    <t>RV9</t>
  </si>
  <si>
    <t>R1F</t>
  </si>
  <si>
    <t>LAKESIDE +</t>
  </si>
  <si>
    <t>AH701</t>
  </si>
  <si>
    <t>MERSEY CARE NHS FOUNDATION TRUST</t>
  </si>
  <si>
    <t>RW4</t>
  </si>
  <si>
    <t>RXF</t>
  </si>
  <si>
    <t>RVJ</t>
  </si>
  <si>
    <t>RJL</t>
  </si>
  <si>
    <t>REF</t>
  </si>
  <si>
    <t>RXK</t>
  </si>
  <si>
    <t>TROWBRIDGE COMMUNITY HOSPITAL</t>
  </si>
  <si>
    <t>AXG0T</t>
  </si>
  <si>
    <t>RRK</t>
  </si>
  <si>
    <t>UTC - CENTRAL MIDDLESEX HOSPITAL</t>
  </si>
  <si>
    <t>AD918</t>
  </si>
  <si>
    <t>RYR</t>
  </si>
  <si>
    <t>WILTSHIRE HEALTH &amp; CARE (CHIPPENHAM)</t>
  </si>
  <si>
    <t>AXG01</t>
  </si>
  <si>
    <t>AXG</t>
  </si>
  <si>
    <t>RWP</t>
  </si>
  <si>
    <t>Responsible Statistician: Michael Barnes, Secondary Care Analysis Section Head</t>
  </si>
  <si>
    <t>Michael Barnes, Secondary Care Analysis Section Head</t>
  </si>
  <si>
    <t>Publication date: 12th September 2019</t>
  </si>
  <si>
    <t/>
  </si>
  <si>
    <t>EAST SUFFOLK AND NORTH ESSEX NHS FT</t>
  </si>
  <si>
    <t>HULL UNIVERSITY TEACHING HOSPITALS NHS T</t>
  </si>
  <si>
    <t>ST HELENS AND KNOWSLEY TEACH HOSP NHS TR</t>
  </si>
  <si>
    <t>UNIVERSITY HOSPITALS OF DERBY &amp; BURTON</t>
  </si>
  <si>
    <t>Activity in English NHS Hospitals and English NHS commissioned activity in the independent sector. 
Due to the implementation of ECDS changes have occurred in the composition of data used in these tables from those trusts that have submitting the ECDS. Certain activity can no longer be mapped to categories within this table or are now mapped to different categories than may have historically been reported to. Users therefore should be aware of this when undertaking any time series comparisons. A separate data quality analysis file is provided as part of this statistical release which further investigates this issue.</t>
  </si>
  <si>
    <t>Table 25: A&amp;E Attendances by Index of Multiple Deprivation Decile Output for England 2017-18 and 2018-19 (HES)</t>
  </si>
  <si>
    <t>Table 26: A&amp;E Attendances by Ethicity for England 2017-18 and 2018-19 (HES)</t>
  </si>
  <si>
    <t>Table 27: Accident &amp; Emergency Clinical Quality Indicators, England, 2018-19 (HES) and (MSitAE)</t>
  </si>
  <si>
    <t>Link to publication:</t>
  </si>
  <si>
    <t>https://digital.nhs.uk/data-and-information/publications/statistical/hospital-accident--emergency-activity/2018-19</t>
  </si>
  <si>
    <t>Copyright © 2019</t>
  </si>
  <si>
    <t>Planned A&amp;E attendances are excluded.</t>
  </si>
  <si>
    <t>Includes activity for planned and unplanned A&amp;E attendances.</t>
  </si>
  <si>
    <t>HES Disclosure Control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t>
  </si>
  <si>
    <r>
      <t xml:space="preserve">Key:
</t>
    </r>
    <r>
      <rPr>
        <sz val="10"/>
        <rFont val="Arial"/>
        <family val="2"/>
      </rPr>
      <t>- All attendances have an unknown value for this indicator (e.g. an unknown disposal category, an unknown attendance category, an unknown duration to initial assessment / treatment / departure)					
~ High proportion of attendances have a duration to initial assessment / treatment / departure of exactly 0 minutes
* "Disclosure Control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t>
    </r>
  </si>
  <si>
    <t>Alfred Bean Hospital</t>
  </si>
  <si>
    <t>Ashford Walk-In-Centre</t>
  </si>
  <si>
    <t>Assura Reading Llp</t>
  </si>
  <si>
    <t>Assura Vertis Urgent Care Centres (Birmingham)</t>
  </si>
  <si>
    <t>Badger Ltd (8J094)</t>
  </si>
  <si>
    <t>Bath &amp; North East Somerset Doctors Urgent Care [Bduc]</t>
  </si>
  <si>
    <t>Beckenham Beacon Ucc</t>
  </si>
  <si>
    <t>Belmont Health Centre (E84069)</t>
  </si>
  <si>
    <t>Birmingham Wic</t>
  </si>
  <si>
    <t>Bracknell Urgent Care Centre Wic</t>
  </si>
  <si>
    <t>Bransholme Health Centre</t>
  </si>
  <si>
    <t>Brent Gp Access Unit Harness-Wembley</t>
  </si>
  <si>
    <t>Brent Urgent Care Centre - Central Middlesex Hospital</t>
  </si>
  <si>
    <t>Bridlington Hospital</t>
  </si>
  <si>
    <t>Brighton Station Health Centre</t>
  </si>
  <si>
    <t>Bristol Community Health</t>
  </si>
  <si>
    <t>Bunny Hill Urgent Care Centre</t>
  </si>
  <si>
    <t>Clacton Hospital</t>
  </si>
  <si>
    <t>Clevedon Hospital</t>
  </si>
  <si>
    <t>Corby Urgent Care Centre</t>
  </si>
  <si>
    <t>Derbyshire Health United Ltd</t>
  </si>
  <si>
    <t>Dhu Llr Home Visiting Ooh Unit</t>
  </si>
  <si>
    <t>Ealing Hospital Ucc</t>
  </si>
  <si>
    <t>East Berks Primary Care Ooh(Wam)</t>
  </si>
  <si>
    <t>East Riding Community Hospital</t>
  </si>
  <si>
    <t>Eastbourne Station Health Centre</t>
  </si>
  <si>
    <t>Edmonton Gp Walk In Centre</t>
  </si>
  <si>
    <t>Erdington Gp Health &amp; Wellbeing Wic (Y03007)</t>
  </si>
  <si>
    <t>Exmouth Minor Injury Unit</t>
  </si>
  <si>
    <t>First Community Health And Care Cic</t>
  </si>
  <si>
    <t>Fryatt Hospital</t>
  </si>
  <si>
    <t>Goole &amp; District Hospital</t>
  </si>
  <si>
    <t>Harold Wood Wic</t>
  </si>
  <si>
    <t>Haslemere Minor Injuries Unit</t>
  </si>
  <si>
    <t>Hastings Med P &amp; Walkin</t>
  </si>
  <si>
    <t>Haverstock Healthcare (Cheshunt Community Hospital)</t>
  </si>
  <si>
    <t>Hornsea Cottage Hospital</t>
  </si>
  <si>
    <t>Houghton Urgent Care Centre</t>
  </si>
  <si>
    <t>Kings Park Surgery</t>
  </si>
  <si>
    <t>Lakeside +</t>
  </si>
  <si>
    <t>Latham House Medical Practice</t>
  </si>
  <si>
    <t>Lcd-Leeds-Ooh</t>
  </si>
  <si>
    <t>Local Care Direct Ooh (Y01069)</t>
  </si>
  <si>
    <t>Loughborough Urgent Care Centre</t>
  </si>
  <si>
    <t>Lyme Regis Medical Centre</t>
  </si>
  <si>
    <t>Malton Urgent Care Centre</t>
  </si>
  <si>
    <t>Market Harborough Med.Ctr</t>
  </si>
  <si>
    <t>Market Harborough Urgent Care Centre</t>
  </si>
  <si>
    <t>Melton Mowbray Urgent Care Centre</t>
  </si>
  <si>
    <t>Miriam Minor Emergency</t>
  </si>
  <si>
    <t>Moreton Health Minor Injury</t>
  </si>
  <si>
    <t>North Somerset Community Partnership Cic Hq</t>
  </si>
  <si>
    <t>Northern Doctors Urgent Care (Nduc)</t>
  </si>
  <si>
    <t>Norwich Practices Ltd (Castle Mall)</t>
  </si>
  <si>
    <t>Nottingham Citycare Partnership</t>
  </si>
  <si>
    <t>Oadby &amp; Wigston Urgent Care Centre</t>
  </si>
  <si>
    <t>Oakham Medical Practice</t>
  </si>
  <si>
    <t>Oakham Urgent Care Centre</t>
  </si>
  <si>
    <t>Okehampton Medical Centre</t>
  </si>
  <si>
    <t>One Medical Group Limited</t>
  </si>
  <si>
    <t>Park Community Practice</t>
  </si>
  <si>
    <t>Parkfield (H) Minor Emergency</t>
  </si>
  <si>
    <t>Paulton Memorial Hospital</t>
  </si>
  <si>
    <t>Putnoe Medical Centre Walk In Centre</t>
  </si>
  <si>
    <t>Rossendale Minor Injuries Unit (Ac008)</t>
  </si>
  <si>
    <t>Royal Stoke University Hospital Urgent Care Centre</t>
  </si>
  <si>
    <t>Salisbury Walk-In Hc</t>
  </si>
  <si>
    <t>Scarborough Urgent Care Centre</t>
  </si>
  <si>
    <t>Seaton House</t>
  </si>
  <si>
    <t>Shakespeare Walk-In Centre (Axt02)</t>
  </si>
  <si>
    <t>Skelmersdale Walk In Centre</t>
  </si>
  <si>
    <t>Sleaford Medical Group (C83023)</t>
  </si>
  <si>
    <t>South Birmingham Gp Walk In Centre</t>
  </si>
  <si>
    <t>St Andrews Walk-In Centre</t>
  </si>
  <si>
    <t>Summerfield Gp Surg &amp; Urgent Care Centre</t>
  </si>
  <si>
    <t>Tetbury Hospital Trust Ltd</t>
  </si>
  <si>
    <t>The Barkantine Practice</t>
  </si>
  <si>
    <t>The Junction Hc - Unregistered Patients</t>
  </si>
  <si>
    <t>The Pinn Unregistered</t>
  </si>
  <si>
    <t>The Ridgeway Surgery (E84068)</t>
  </si>
  <si>
    <t>The Wilberforce Health Centre</t>
  </si>
  <si>
    <t>Trowbridge Community Hospital</t>
  </si>
  <si>
    <t>Ucc - Northwick Park Hospital</t>
  </si>
  <si>
    <t>Ucc At Hillingdon Hospital</t>
  </si>
  <si>
    <t>Urgent Care Centre</t>
  </si>
  <si>
    <t>Urgent Care Centre (Qms)</t>
  </si>
  <si>
    <t>Utc - Central Middlesex Hospital</t>
  </si>
  <si>
    <t>Walk In Centre (Y02584)</t>
  </si>
  <si>
    <t>Walsall Urgent Care Centre (Community Site) (Atq02)</t>
  </si>
  <si>
    <t>Washington Urgent Care Centre</t>
  </si>
  <si>
    <t>Whitstable Medical Practice (G82071)</t>
  </si>
  <si>
    <t>Wiltshire Health &amp; Care (Chippenham)</t>
  </si>
  <si>
    <t>Wiltshire Health &amp; Care Llp</t>
  </si>
  <si>
    <t>Withernsea Hospital</t>
  </si>
  <si>
    <t>Woking Walk In Centre</t>
  </si>
  <si>
    <t>Workington Health Limited</t>
  </si>
  <si>
    <t>Yate West Gate Centre</t>
  </si>
  <si>
    <t>York Hospital Urgent Care Centre</t>
  </si>
  <si>
    <t>St Mary's Urgent Care Centre</t>
  </si>
  <si>
    <t>Aintree University Hospital NHS Foundation Trust</t>
  </si>
  <si>
    <t>Airedale NHS Foundation Trust</t>
  </si>
  <si>
    <t>Alder Hey Children's NHS Foundation Trust</t>
  </si>
  <si>
    <t>Ashford And St Peter's Hospitals NHS Foundation Trust</t>
  </si>
  <si>
    <t>Barking, Havering And Redbridge University Hospitals NHS Trust</t>
  </si>
  <si>
    <t>Barnsley Hospital NHS Foundation Trust</t>
  </si>
  <si>
    <t>Barts Health NHS Trust</t>
  </si>
  <si>
    <t>Basildon And Thurrock University Hospitals NHS Foundation Trust</t>
  </si>
  <si>
    <t>Bedford Hospital NHS Trust</t>
  </si>
  <si>
    <t>Berkshire Healthcare NHS Foundation Trust</t>
  </si>
  <si>
    <t>Birmingham Women's And Children's NHS Foundation Trust</t>
  </si>
  <si>
    <t>Blackpool Teaching Hospitals NHS Foundation Trust</t>
  </si>
  <si>
    <t>Bolton NHS Foundation Trust</t>
  </si>
  <si>
    <t>Bradford Teaching Hospitals NHS Foundation Trust</t>
  </si>
  <si>
    <t>Bridgewater Community Healthcare NHS Foundation Trust</t>
  </si>
  <si>
    <t>Brighton And Sussex University Hospitals NHS Trust</t>
  </si>
  <si>
    <t>Buckinghamshire Healthcare NHS Trust</t>
  </si>
  <si>
    <t>Burton Hospitals NHS Foundation Trust</t>
  </si>
  <si>
    <t>Calderdale And Huddersfield NHS Foundation Trust</t>
  </si>
  <si>
    <t>Cambridge University Hospitals NHS Foundation Trust</t>
  </si>
  <si>
    <t>Central London Community Healthcare NHS Trust</t>
  </si>
  <si>
    <t>Chelsea And Westminster Hospital NHS Foundation Trust</t>
  </si>
  <si>
    <t>Chesterfield Royal Hospital NHS Foundation Trust</t>
  </si>
  <si>
    <t>City Hospitals Sunderland NHS Foundation Trust</t>
  </si>
  <si>
    <t>Colchester Hospital University NHS Foundation Trust</t>
  </si>
  <si>
    <t>Countess Of Chester Hospital NHS Foundation Trust</t>
  </si>
  <si>
    <t>County Durham And Darlington NHS Foundation Trust</t>
  </si>
  <si>
    <t>Coventry NHS Healthcare &amp; Walk In Centre</t>
  </si>
  <si>
    <t>Croydon Health Services NHS Trust</t>
  </si>
  <si>
    <t>Cumbria Partnership NHS Foundation Trust</t>
  </si>
  <si>
    <t>Dartford And Gravesham NHS Trust</t>
  </si>
  <si>
    <t>Derby Teaching Hospitals NHS Foundation Trust</t>
  </si>
  <si>
    <t>Derbyshire Community Health Services NHS Foundation Trust</t>
  </si>
  <si>
    <t>Doncaster And Bassetlaw Teaching Hospitals NHS Foundation Trust</t>
  </si>
  <si>
    <t>Dorset County Hospital NHS Foundation Trust</t>
  </si>
  <si>
    <t>East And North Hertfordshire NHS Trust</t>
  </si>
  <si>
    <t>East Cheshire NHS Trust</t>
  </si>
  <si>
    <t>East Kent Hospitals University NHS Foundation Trust</t>
  </si>
  <si>
    <t>East Lancashire Hospitals NHS Trust</t>
  </si>
  <si>
    <t>East Sussex Healthcare NHS Trust</t>
  </si>
  <si>
    <t>Epsom And St Helier University Hospitals NHS Trust</t>
  </si>
  <si>
    <t>Frimley Health NHS Foundation Trust</t>
  </si>
  <si>
    <t>Gateshead Health NHS Foundation Trust</t>
  </si>
  <si>
    <t>George Eliot Hospital NHS Trust</t>
  </si>
  <si>
    <t>Gloucestershire Care Services NHS Trust</t>
  </si>
  <si>
    <t>Gloucestershire Hospitals NHS Foundation Trust</t>
  </si>
  <si>
    <t>Great Western Hospitals NHS Foundation Trust</t>
  </si>
  <si>
    <t>Guy's And St Thomas' NHS Foundation Trust</t>
  </si>
  <si>
    <t>Hampshire Hospitals NHS Foundation Trust</t>
  </si>
  <si>
    <t>Harrogate And District NHS Foundation Trust</t>
  </si>
  <si>
    <t>Heart Of England NHS Foundation Trust</t>
  </si>
  <si>
    <t>Hertfordshire Community NHS Trust</t>
  </si>
  <si>
    <t>Homerton University Hospital NHS Foundation Trust</t>
  </si>
  <si>
    <t>Hounslow And Richmond Community Healthcare NHS Trust</t>
  </si>
  <si>
    <t>Hull And East Yorkshire Hospitals NHS Trust</t>
  </si>
  <si>
    <t>Humber Teaching NHS Foundation Trust</t>
  </si>
  <si>
    <t>Imperial College Healthcare NHS Trust</t>
  </si>
  <si>
    <t>Ipswich Hospital NHS Trust</t>
  </si>
  <si>
    <t>Isle Of Wight NHS Trust</t>
  </si>
  <si>
    <t>James Paget University Hospitals NHS Foundation Trust</t>
  </si>
  <si>
    <t>Kent Community Health NHS Foundation Trust</t>
  </si>
  <si>
    <t>Kettering General Hospital NHS Foundation Trust</t>
  </si>
  <si>
    <t>King's College Hospital NHS Foundation Trust</t>
  </si>
  <si>
    <t>Kingston Hospital NHS Foundation Trust</t>
  </si>
  <si>
    <t>Lancashire Teaching Hospitals NHS Foundation Trust</t>
  </si>
  <si>
    <t>Leeds Teaching Hospitals NHS Trust</t>
  </si>
  <si>
    <t>Lewisham And Greenwich NHS Trust</t>
  </si>
  <si>
    <t>Lincolnshire Community Health Services NHS Trust</t>
  </si>
  <si>
    <t>Liverpool Women's NHS Foundation Trust</t>
  </si>
  <si>
    <t>London North West University Healthcare NHS Trust</t>
  </si>
  <si>
    <t>Luton And Dunstable University Hospital NHS Foundation Trust</t>
  </si>
  <si>
    <t>Maidstone And Tunbridge Wells NHS Trust</t>
  </si>
  <si>
    <t>Manchester University NHS Foundation Trust</t>
  </si>
  <si>
    <t>Medway NHS Foundation Trust</t>
  </si>
  <si>
    <t>Mersey Care NHS Foundation Trust</t>
  </si>
  <si>
    <t>Mid Cheshire Hospitals NHS Foundation Trust</t>
  </si>
  <si>
    <t>Mid Essex Hospital Services NHS Trust</t>
  </si>
  <si>
    <t>Mid Yorkshire Hospitals NHS Trust</t>
  </si>
  <si>
    <t>Milton Keynes University Hospital NHS Foundation Trust</t>
  </si>
  <si>
    <t>Moorfields Eye Hospital NHS Foundation Trust</t>
  </si>
  <si>
    <t>Norfolk And Norwich University Hospitals NHS Foundation Trust</t>
  </si>
  <si>
    <t>North Bristol NHS Trust</t>
  </si>
  <si>
    <t>North Cumbria University Hospitals NHS Trust</t>
  </si>
  <si>
    <t>North East London NHS Foundation Trust</t>
  </si>
  <si>
    <t>North Middlesex University Hospital NHS Trust</t>
  </si>
  <si>
    <t>North Tees And Hartlepool NHS Foundation Trust</t>
  </si>
  <si>
    <t>North West Anglia NHS Foundation Trust</t>
  </si>
  <si>
    <t>North West Boroughs Healthcare NHS Foundation Trust</t>
  </si>
  <si>
    <t>Northampton General Hospital NHS Trust</t>
  </si>
  <si>
    <t>Northern Devon Healthcare NHS Trust</t>
  </si>
  <si>
    <t>Northern Lincolnshire And Goole NHS Foundation Trust</t>
  </si>
  <si>
    <t>Northumbria Healthcare NHS Foundation Trust</t>
  </si>
  <si>
    <t>Nottingham University Hospitals NHS Trust</t>
  </si>
  <si>
    <t>Oxford Health NHS Foundation Trust</t>
  </si>
  <si>
    <t>Oxford University Hospitals NHS Foundation Trust</t>
  </si>
  <si>
    <t>Pennine Acute Hospitals NHS Trust</t>
  </si>
  <si>
    <t>Pennine Care NHS Foundation Trust</t>
  </si>
  <si>
    <t>Poole Hospital NHS Foundation Trust</t>
  </si>
  <si>
    <t>Portsmouth Hospitals NHS Trust</t>
  </si>
  <si>
    <t>Queen Victoria Hospital NHS Foundation Trust</t>
  </si>
  <si>
    <t>Royal Berkshire NHS Foundation Trust</t>
  </si>
  <si>
    <t>Royal Cornwall Hospitals NHS Trust</t>
  </si>
  <si>
    <t>Royal Devon And Exeter NHS Foundation Trust</t>
  </si>
  <si>
    <t>Royal Free London NHS Foundation Trust</t>
  </si>
  <si>
    <t>Royal Liverpool And Broadgreen University Hospitals NHS Trust</t>
  </si>
  <si>
    <t>Royal Surrey County Hospital NHS Foundation Trust</t>
  </si>
  <si>
    <t>Royal United Hospitals Bath NHS Foundation Trust</t>
  </si>
  <si>
    <t>Salford Royal NHS Foundation Trust</t>
  </si>
  <si>
    <t>Salisbury NHS Foundation Trust</t>
  </si>
  <si>
    <t>Sandwell And West Birmingham Hospitals NHS Trust</t>
  </si>
  <si>
    <t>Sheffield Children's NHS Foundation Trust</t>
  </si>
  <si>
    <t>Sheffield Teaching Hospitals NHS Foundation Trust</t>
  </si>
  <si>
    <t>Shepton Mallet NHS Treatment Centre</t>
  </si>
  <si>
    <t>Sherwood Forest Hospitals NHS Foundation Trust</t>
  </si>
  <si>
    <t>Shrewsbury And Telford Hospital NHS Trust</t>
  </si>
  <si>
    <t>Shropshire Community Health NHS Trust</t>
  </si>
  <si>
    <t>Somerset Partnership NHS Foundation Trust</t>
  </si>
  <si>
    <t>South Tees Hospitals NHS Foundation Trust</t>
  </si>
  <si>
    <t>South Tyneside NHS Foundation Trust</t>
  </si>
  <si>
    <t>South Warwickshire NHS Foundation Trust</t>
  </si>
  <si>
    <t>South Western Ambulance Service NHS Foundation Trust</t>
  </si>
  <si>
    <t>Southampton NHS Treatment Centre</t>
  </si>
  <si>
    <t>Southend University Hospital NHS Foundation Trust</t>
  </si>
  <si>
    <t>Southern Health NHS Foundation Trust</t>
  </si>
  <si>
    <t>Southport And Ormskirk Hospital NHS Trust</t>
  </si>
  <si>
    <t>St George's University Hospitals NHS Foundation Trust</t>
  </si>
  <si>
    <t>St Helens And Knowsley Hospital Services NHS Trust</t>
  </si>
  <si>
    <t>St Mary's NHS Treatment Centre</t>
  </si>
  <si>
    <t>Stockport NHS Foundation Trust</t>
  </si>
  <si>
    <t>Surrey And Sussex Healthcare NHS Trust</t>
  </si>
  <si>
    <t>Sussex Community NHS Foundation Trust</t>
  </si>
  <si>
    <t>Tameside And Glossop Integrated Care NHS Foundation Trust</t>
  </si>
  <si>
    <t>Taunton And Somerset NHS Foundation Trust</t>
  </si>
  <si>
    <t>The Dudley Group NHS Foundation Trust</t>
  </si>
  <si>
    <t>The Hillingdon Hospitals NHS Foundation Trust</t>
  </si>
  <si>
    <t>The Newcastle Upon Tyne Hospitals NHS Foundation Trust</t>
  </si>
  <si>
    <t>The Princess Alexandra Hospital NHS Trust</t>
  </si>
  <si>
    <t>The Queen Elizabeth Hospital, King's Lynn, NHS Foundation Trust</t>
  </si>
  <si>
    <t>The Rotherham NHS Foundation Trust</t>
  </si>
  <si>
    <t>The Royal Bournemouth And Christchurch Hospitals NHS Foundation Trust</t>
  </si>
  <si>
    <t>The Royal Wolverhampton NHS Trust</t>
  </si>
  <si>
    <t>Torbay And South Devon NHS Foundation Trust</t>
  </si>
  <si>
    <t>United Lincolnshire Hospitals NHS Trust</t>
  </si>
  <si>
    <t>University College London Hospitals NHS Foundation Trust</t>
  </si>
  <si>
    <t>University Hospital Southampton NHS Foundation Trust</t>
  </si>
  <si>
    <t>University Hospitals Birmingham NHS Foundation Trust</t>
  </si>
  <si>
    <t>University Hospitals Bristol NHS Foundation Trust</t>
  </si>
  <si>
    <t>University Hospitals Coventry And Warwickshire NHS Trust</t>
  </si>
  <si>
    <t>University Hospitals Of Leicester NHS Trust</t>
  </si>
  <si>
    <t>University Hospitals Of Morecambe Bay NHS Foundation Trust</t>
  </si>
  <si>
    <t>University Hospitals Of North Midlands NHS Trust</t>
  </si>
  <si>
    <t>University Hospitals Plymouth NHS Trust</t>
  </si>
  <si>
    <t>Walsall Healthcare NHS Trust</t>
  </si>
  <si>
    <t>Warrington And Halton Hospitals NHS Foundation Trust</t>
  </si>
  <si>
    <t>West Hertfordshire Hospitals NHS Trust</t>
  </si>
  <si>
    <t>West Suffolk NHS Foundation Trust</t>
  </si>
  <si>
    <t>Western Sussex Hospitals NHS Foundation Trust</t>
  </si>
  <si>
    <t>Weston Area Health NHS Trust</t>
  </si>
  <si>
    <t>Whittington Health NHS Trust</t>
  </si>
  <si>
    <t>Wirral Community NHS Foundation Trust</t>
  </si>
  <si>
    <t>Wirral University Teaching Hospital NHS Foundation Trust</t>
  </si>
  <si>
    <t>Worcestershire Acute Hospitals NHS Trust</t>
  </si>
  <si>
    <t>Wrightington, Wigan And Leigh NHS Foundation Trust</t>
  </si>
  <si>
    <t>Wye Valley NHS Trust</t>
  </si>
  <si>
    <t>Yeovil District Hospital NHS Foundation Trust</t>
  </si>
  <si>
    <t>York Teaching Hospital NHS Foundation Trust</t>
  </si>
  <si>
    <t>A&amp;E Time Seen for Treatment</t>
  </si>
  <si>
    <t xml:space="preserve">This is a joint publication between NHS Digital and NHS England and NHS Improvement providing a collective and coherent release between the two organisations.  This enables a wider set of breakdowns and measures in the detailed reports.  
The data sources for this publication are:
• Hospital Episode Statistics (HES)
• A&amp;E Attendances and Emergency Admissions Monthly Situation Reports (MSitAE) 
</t>
  </si>
  <si>
    <t>MSitAE data published by NHS England and NHS Improvement:</t>
  </si>
  <si>
    <t>This report contains Accident &amp; Emergency Quality Indicators by provider.
The data used in this report are final A&amp;E Hospital Episode Statistics (extracted from the 2018-19 A&amp;E Annual Refresh HES Data).
This report covers activity in English NHS Hospitals and English NHS commissioned activity in the independent sector. 
NHS England and NHS Improvement A&amp;E Situation Reports ('MSitAE') are the official source of A&amp;E data, available at http://www.england.nhs.uk/statistics/ae-waiting-times-and-activity/</t>
  </si>
  <si>
    <t>MSitAE data published by NHS England and NHS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</si>
</sst>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10409]#,##0;\-#,##0"/>
    <numFmt numFmtId="166" formatCode="[$-10409]#,##0;\(#,##0\)"/>
    <numFmt numFmtId="167" formatCode="[$-10409]0.0%"/>
    <numFmt numFmtId="168" formatCode="0.0%"/>
    <numFmt numFmtId="169" formatCode="_(* #,##0_);_(* \(#,##0\);_(* &quot;-&quot;??_);_(@_)"/>
    <numFmt numFmtId="170" formatCode="[$-10409]#,##0.0%"/>
    <numFmt numFmtId="171" formatCode="0.0000%"/>
    <numFmt numFmtId="174" formatCode="0.0000"/>
  </numFmts>
  <fonts count="63" x14ac:knownFonts="1">
    <font>
      <sz val="10"/>
      <name val="Arial"/>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0"/>
      <name val="Arial"/>
      <family val="2"/>
    </font>
    <font>
      <sz val="10"/>
      <color indexed="8"/>
      <name val="Arial"/>
      <family val="2"/>
    </font>
    <font>
      <b/>
      <sz val="10"/>
      <color indexed="8"/>
      <name val="Arial"/>
      <family val="2"/>
    </font>
    <font>
      <i/>
      <sz val="10"/>
      <color indexed="8"/>
      <name val="Arial"/>
      <family val="2"/>
    </font>
    <font>
      <b/>
      <i/>
      <sz val="10"/>
      <color indexed="8"/>
      <name val="Arial"/>
      <family val="2"/>
    </font>
    <font>
      <sz val="10"/>
      <name val="Arial"/>
      <family val="2"/>
    </font>
    <font>
      <i/>
      <sz val="10"/>
      <color indexed="8"/>
      <name val="Arial"/>
      <family val="2"/>
    </font>
    <font>
      <sz val="10"/>
      <color indexed="8"/>
      <name val="Arial"/>
      <family val="2"/>
    </font>
    <font>
      <sz val="10"/>
      <name val="Arial"/>
      <family val="2"/>
    </font>
    <font>
      <i/>
      <sz val="10"/>
      <name val="Arial"/>
      <family val="2"/>
    </font>
    <font>
      <b/>
      <sz val="10"/>
      <name val="Arial"/>
      <family val="2"/>
    </font>
    <font>
      <b/>
      <sz val="10"/>
      <color indexed="8"/>
      <name val="Arial"/>
      <family val="2"/>
    </font>
    <font>
      <u/>
      <sz val="10"/>
      <color indexed="12"/>
      <name val="Arial"/>
      <family val="2"/>
    </font>
    <font>
      <sz val="11"/>
      <color theme="1"/>
      <name val="Calibri"/>
      <family val="2"/>
      <scheme val="minor"/>
    </font>
    <font>
      <u/>
      <sz val="10"/>
      <color theme="10"/>
      <name val="Arial"/>
      <family val="2"/>
    </font>
    <font>
      <u/>
      <sz val="10"/>
      <color theme="10"/>
      <name val="Arial"/>
      <family val="2"/>
    </font>
    <font>
      <b/>
      <sz val="18"/>
      <color rgb="FF005EB8"/>
      <name val="Arial"/>
      <family val="2"/>
    </font>
    <font>
      <sz val="10"/>
      <color indexed="11"/>
      <name val="Arial"/>
      <family val="2"/>
    </font>
    <font>
      <b/>
      <i/>
      <sz val="10"/>
      <name val="Arial"/>
      <family val="2"/>
    </font>
    <font>
      <sz val="10"/>
      <color rgb="FFFF0000"/>
      <name val="Arial"/>
      <family val="2"/>
    </font>
    <font>
      <sz val="11"/>
      <color theme="1"/>
      <name val="Arial"/>
      <family val="2"/>
    </font>
    <font>
      <b/>
      <sz val="11.95"/>
      <color indexed="8"/>
      <name val="Arial"/>
      <family val="2"/>
    </font>
    <font>
      <b/>
      <sz val="10"/>
      <color indexed="11"/>
      <name val="Arial"/>
      <family val="2"/>
    </font>
    <font>
      <b/>
      <sz val="20"/>
      <color theme="1" tint="0.34998626667073579"/>
      <name val="Arial"/>
      <family val="2"/>
    </font>
    <font>
      <u/>
      <sz val="11"/>
      <color theme="10"/>
      <name val="Calibri"/>
      <family val="2"/>
    </font>
    <font>
      <u/>
      <sz val="12"/>
      <color rgb="FF004488"/>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3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2"/>
      <color indexed="8"/>
      <name val="Arial"/>
      <family val="2"/>
    </font>
    <font>
      <b/>
      <sz val="11"/>
      <color rgb="FF3F3F3F"/>
      <name val="Calibri"/>
      <family val="2"/>
      <scheme val="minor"/>
    </font>
    <font>
      <sz val="11"/>
      <color theme="1"/>
      <name val="Calibri"/>
      <family val="2"/>
    </font>
    <font>
      <b/>
      <sz val="11"/>
      <color theme="1"/>
      <name val="Calibri"/>
      <family val="2"/>
      <scheme val="minor"/>
    </font>
    <font>
      <sz val="11"/>
      <color rgb="FFFF0000"/>
      <name val="Calibri"/>
      <family val="2"/>
      <scheme val="minor"/>
    </font>
    <font>
      <b/>
      <sz val="18"/>
      <color theme="3"/>
      <name val="Cambria"/>
      <family val="2"/>
      <scheme val="major"/>
    </font>
    <font>
      <sz val="8"/>
      <name val="Arial"/>
      <family val="2"/>
    </font>
    <font>
      <b/>
      <sz val="20"/>
      <name val="Arial"/>
      <family val="2"/>
    </font>
    <font>
      <b/>
      <sz val="11.95"/>
      <name val="Arial"/>
      <family val="2"/>
    </font>
    <font>
      <b/>
      <sz val="18"/>
      <name val="Arial"/>
      <family val="2"/>
    </font>
    <font>
      <b/>
      <sz val="14"/>
      <name val="Arial"/>
      <family val="2"/>
    </font>
    <font>
      <b/>
      <sz val="27"/>
      <color rgb="FF005EB8"/>
      <name val="Arial"/>
      <family val="2"/>
    </font>
    <font>
      <u/>
      <sz val="10"/>
      <color rgb="FF005EB8"/>
      <name val="Arial"/>
      <family val="2"/>
    </font>
    <font>
      <sz val="10"/>
      <color rgb="FF0000FF"/>
      <name val="Arial"/>
      <family val="2"/>
    </font>
    <font>
      <u/>
      <sz val="10"/>
      <color rgb="FF0000FF"/>
      <name val="Arial"/>
      <family val="2"/>
    </font>
    <font>
      <b/>
      <sz val="8"/>
      <name val="Arial"/>
      <family val="2"/>
    </font>
  </fonts>
  <fills count="37">
    <fill>
      <patternFill patternType="none"/>
    </fill>
    <fill>
      <patternFill patternType="gray125"/>
    </fill>
    <fill>
      <patternFill patternType="solid">
        <fgColor indexed="9"/>
        <bgColor indexed="0"/>
      </patternFill>
    </fill>
    <fill>
      <patternFill patternType="solid">
        <fgColor theme="0"/>
        <bgColor indexed="64"/>
      </patternFill>
    </fill>
    <fill>
      <patternFill patternType="solid">
        <fgColor theme="0"/>
        <bgColor indexed="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patternFill>
    </fill>
  </fills>
  <borders count="164">
    <border>
      <left/>
      <right/>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dotted">
        <color indexed="8"/>
      </bottom>
      <diagonal/>
    </border>
    <border>
      <left style="medium">
        <color indexed="8"/>
      </left>
      <right style="medium">
        <color indexed="8"/>
      </right>
      <top style="dotted">
        <color indexed="8"/>
      </top>
      <bottom style="dotted">
        <color indexed="8"/>
      </bottom>
      <diagonal/>
    </border>
    <border>
      <left style="medium">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thin">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right/>
      <top style="medium">
        <color indexed="8"/>
      </top>
      <bottom/>
      <diagonal/>
    </border>
    <border>
      <left style="dotted">
        <color indexed="8"/>
      </left>
      <right style="dotted">
        <color indexed="8"/>
      </right>
      <top style="dotted">
        <color indexed="8"/>
      </top>
      <bottom style="dotted">
        <color indexed="8"/>
      </bottom>
      <diagonal/>
    </border>
    <border>
      <left style="thin">
        <color indexed="8"/>
      </left>
      <right style="dotted">
        <color indexed="8"/>
      </right>
      <top style="thin">
        <color indexed="8"/>
      </top>
      <bottom style="dotted">
        <color indexed="8"/>
      </bottom>
      <diagonal/>
    </border>
    <border>
      <left style="medium">
        <color indexed="8"/>
      </left>
      <right style="medium">
        <color indexed="8"/>
      </right>
      <top style="dotted">
        <color indexed="8"/>
      </top>
      <bottom style="medium">
        <color indexed="8"/>
      </bottom>
      <diagonal/>
    </border>
    <border>
      <left style="thin">
        <color indexed="8"/>
      </left>
      <right style="dotted">
        <color indexed="8"/>
      </right>
      <top style="dotted">
        <color indexed="8"/>
      </top>
      <bottom style="thin">
        <color indexed="8"/>
      </bottom>
      <diagonal/>
    </border>
    <border>
      <left style="dotted">
        <color indexed="8"/>
      </left>
      <right style="dotted">
        <color indexed="8"/>
      </right>
      <top style="medium">
        <color indexed="8"/>
      </top>
      <bottom style="medium">
        <color indexed="8"/>
      </bottom>
      <diagonal/>
    </border>
    <border>
      <left style="thin">
        <color indexed="9"/>
      </left>
      <right style="thin">
        <color indexed="9"/>
      </right>
      <top/>
      <bottom style="thin">
        <color indexed="9"/>
      </bottom>
      <diagonal/>
    </border>
    <border>
      <left style="medium">
        <color indexed="64"/>
      </left>
      <right/>
      <top/>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dotted">
        <color indexed="8"/>
      </top>
      <bottom style="thin">
        <color indexed="8"/>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style="medium">
        <color indexed="64"/>
      </top>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top style="medium">
        <color indexed="64"/>
      </top>
      <bottom style="medium">
        <color indexed="64"/>
      </bottom>
      <diagonal/>
    </border>
    <border>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dotted">
        <color indexed="64"/>
      </bottom>
      <diagonal/>
    </border>
    <border>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8"/>
      </left>
      <right style="dotted">
        <color indexed="8"/>
      </right>
      <top style="medium">
        <color indexed="8"/>
      </top>
      <bottom style="dotted">
        <color indexed="8"/>
      </bottom>
      <diagonal/>
    </border>
    <border>
      <left style="dotted">
        <color indexed="8"/>
      </left>
      <right style="medium">
        <color indexed="8"/>
      </right>
      <top style="medium">
        <color indexed="8"/>
      </top>
      <bottom style="dotted">
        <color indexed="8"/>
      </bottom>
      <diagonal/>
    </border>
    <border>
      <left style="dotted">
        <color indexed="8"/>
      </left>
      <right style="dotted">
        <color indexed="8"/>
      </right>
      <top style="medium">
        <color indexed="8"/>
      </top>
      <bottom style="dotted">
        <color indexed="8"/>
      </bottom>
      <diagonal/>
    </border>
    <border>
      <left style="medium">
        <color indexed="8"/>
      </left>
      <right style="dotted">
        <color indexed="8"/>
      </right>
      <top/>
      <bottom/>
      <diagonal/>
    </border>
    <border>
      <left style="medium">
        <color indexed="8"/>
      </left>
      <right style="dotted">
        <color indexed="8"/>
      </right>
      <top/>
      <bottom style="dotted">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64"/>
      </left>
      <right style="medium">
        <color indexed="64"/>
      </right>
      <top style="medium">
        <color indexed="64"/>
      </top>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style="medium">
        <color indexed="64"/>
      </right>
      <top style="medium">
        <color indexed="64"/>
      </top>
      <bottom style="medium">
        <color indexed="8"/>
      </bottom>
      <diagonal/>
    </border>
    <border>
      <left style="medium">
        <color indexed="8"/>
      </left>
      <right/>
      <top/>
      <bottom style="dotted">
        <color indexed="8"/>
      </bottom>
      <diagonal/>
    </border>
    <border>
      <left style="medium">
        <color indexed="64"/>
      </left>
      <right style="hair">
        <color indexed="64"/>
      </right>
      <top/>
      <bottom style="dotted">
        <color indexed="8"/>
      </bottom>
      <diagonal/>
    </border>
    <border>
      <left style="hair">
        <color indexed="64"/>
      </left>
      <right/>
      <top/>
      <bottom style="dotted">
        <color indexed="8"/>
      </bottom>
      <diagonal/>
    </border>
    <border>
      <left style="medium">
        <color indexed="64"/>
      </left>
      <right style="medium">
        <color indexed="64"/>
      </right>
      <top style="dotted">
        <color indexed="8"/>
      </top>
      <bottom style="dotted">
        <color indexed="8"/>
      </bottom>
      <diagonal/>
    </border>
    <border>
      <left/>
      <right style="dotted">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8"/>
      </left>
      <right/>
      <top style="dotted">
        <color indexed="8"/>
      </top>
      <bottom style="dotted">
        <color indexed="8"/>
      </bottom>
      <diagonal/>
    </border>
    <border>
      <left style="medium">
        <color indexed="64"/>
      </left>
      <right style="hair">
        <color indexed="64"/>
      </right>
      <top style="dotted">
        <color indexed="8"/>
      </top>
      <bottom style="dotted">
        <color indexed="8"/>
      </bottom>
      <diagonal/>
    </border>
    <border>
      <left style="hair">
        <color indexed="64"/>
      </left>
      <right/>
      <top style="dotted">
        <color indexed="8"/>
      </top>
      <bottom style="dotted">
        <color indexed="8"/>
      </bottom>
      <diagonal/>
    </border>
    <border>
      <left style="medium">
        <color indexed="64"/>
      </left>
      <right style="hair">
        <color indexed="64"/>
      </right>
      <top style="dotted">
        <color indexed="8"/>
      </top>
      <bottom style="medium">
        <color indexed="64"/>
      </bottom>
      <diagonal/>
    </border>
    <border>
      <left style="hair">
        <color indexed="64"/>
      </left>
      <right/>
      <top style="dotted">
        <color indexed="8"/>
      </top>
      <bottom style="medium">
        <color indexed="64"/>
      </bottom>
      <diagonal/>
    </border>
    <border>
      <left/>
      <right style="medium">
        <color indexed="8"/>
      </right>
      <top/>
      <bottom/>
      <diagonal/>
    </border>
    <border>
      <left/>
      <right style="dotted">
        <color indexed="8"/>
      </right>
      <top style="medium">
        <color indexed="8"/>
      </top>
      <bottom style="medium">
        <color indexed="8"/>
      </bottom>
      <diagonal/>
    </border>
    <border>
      <left style="dotted">
        <color indexed="8"/>
      </left>
      <right style="medium">
        <color indexed="8"/>
      </right>
      <top/>
      <bottom style="dotted">
        <color indexed="8"/>
      </bottom>
      <diagonal/>
    </border>
    <border>
      <left style="medium">
        <color indexed="8"/>
      </left>
      <right style="dotted">
        <color indexed="64"/>
      </right>
      <top style="medium">
        <color indexed="8"/>
      </top>
      <bottom style="medium">
        <color indexed="8"/>
      </bottom>
      <diagonal/>
    </border>
    <border>
      <left/>
      <right style="dotted">
        <color indexed="64"/>
      </right>
      <top style="medium">
        <color indexed="8"/>
      </top>
      <bottom style="medium">
        <color indexed="8"/>
      </bottom>
      <diagonal/>
    </border>
    <border>
      <left style="medium">
        <color indexed="8"/>
      </left>
      <right style="dotted">
        <color indexed="64"/>
      </right>
      <top style="medium">
        <color indexed="8"/>
      </top>
      <bottom style="dotted">
        <color indexed="8"/>
      </bottom>
      <diagonal/>
    </border>
    <border>
      <left style="medium">
        <color indexed="8"/>
      </left>
      <right style="dotted">
        <color indexed="64"/>
      </right>
      <top style="dotted">
        <color indexed="8"/>
      </top>
      <bottom style="dotted">
        <color indexed="8"/>
      </bottom>
      <diagonal/>
    </border>
    <border>
      <left style="medium">
        <color indexed="8"/>
      </left>
      <right style="dotted">
        <color indexed="64"/>
      </right>
      <top style="dotted">
        <color indexed="8"/>
      </top>
      <bottom style="medium">
        <color indexed="8"/>
      </bottom>
      <diagonal/>
    </border>
    <border>
      <left style="dotted">
        <color indexed="64"/>
      </left>
      <right style="dotted">
        <color indexed="64"/>
      </right>
      <top style="medium">
        <color indexed="8"/>
      </top>
      <bottom style="medium">
        <color indexed="8"/>
      </bottom>
      <diagonal/>
    </border>
    <border>
      <left style="dotted">
        <color indexed="64"/>
      </left>
      <right style="dotted">
        <color indexed="64"/>
      </right>
      <top style="medium">
        <color indexed="8"/>
      </top>
      <bottom style="dotted">
        <color indexed="8"/>
      </bottom>
      <diagonal/>
    </border>
    <border>
      <left style="dotted">
        <color indexed="64"/>
      </left>
      <right style="dotted">
        <color indexed="64"/>
      </right>
      <top style="dotted">
        <color indexed="8"/>
      </top>
      <bottom style="dotted">
        <color indexed="8"/>
      </bottom>
      <diagonal/>
    </border>
    <border>
      <left style="dotted">
        <color indexed="64"/>
      </left>
      <right style="dotted">
        <color indexed="64"/>
      </right>
      <top style="dotted">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style="medium">
        <color indexed="8"/>
      </bottom>
      <diagonal/>
    </border>
    <border>
      <left/>
      <right/>
      <top/>
      <bottom style="medium">
        <color indexed="8"/>
      </bottom>
      <diagonal/>
    </border>
    <border>
      <left style="dotted">
        <color indexed="8"/>
      </left>
      <right style="dotted">
        <color indexed="8"/>
      </right>
      <top style="dotted">
        <color indexed="8"/>
      </top>
      <bottom/>
      <diagonal/>
    </border>
    <border>
      <left style="medium">
        <color indexed="64"/>
      </left>
      <right style="hair">
        <color indexed="64"/>
      </right>
      <top/>
      <bottom/>
      <diagonal/>
    </border>
    <border>
      <left style="hair">
        <color indexed="64"/>
      </left>
      <right/>
      <top/>
      <bottom/>
      <diagonal/>
    </border>
    <border>
      <left style="medium">
        <color indexed="64"/>
      </left>
      <right style="medium">
        <color indexed="64"/>
      </right>
      <top style="dotted">
        <color indexed="8"/>
      </top>
      <bottom style="medium">
        <color indexed="8"/>
      </bottom>
      <diagonal/>
    </border>
    <border>
      <left style="medium">
        <color indexed="8"/>
      </left>
      <right/>
      <top style="thin">
        <color indexed="8"/>
      </top>
      <bottom style="dotted">
        <color indexed="8"/>
      </bottom>
      <diagonal/>
    </border>
    <border>
      <left style="medium">
        <color indexed="8"/>
      </left>
      <right/>
      <top style="dotted">
        <color indexed="8"/>
      </top>
      <bottom style="medium">
        <color indexed="8"/>
      </bottom>
      <diagonal/>
    </border>
    <border>
      <left style="medium">
        <color indexed="8"/>
      </left>
      <right style="dotted">
        <color indexed="8"/>
      </right>
      <top style="medium">
        <color indexed="8"/>
      </top>
      <bottom/>
      <diagonal/>
    </border>
    <border>
      <left style="dotted">
        <color indexed="8"/>
      </left>
      <right style="medium">
        <color indexed="8"/>
      </right>
      <top style="medium">
        <color indexed="8"/>
      </top>
      <bottom/>
      <diagonal/>
    </border>
    <border>
      <left style="medium">
        <color indexed="64"/>
      </left>
      <right style="dotted">
        <color indexed="8"/>
      </right>
      <top style="medium">
        <color indexed="64"/>
      </top>
      <bottom style="dotted">
        <color indexed="8"/>
      </bottom>
      <diagonal/>
    </border>
    <border>
      <left style="dotted">
        <color indexed="8"/>
      </left>
      <right style="medium">
        <color indexed="64"/>
      </right>
      <top style="medium">
        <color indexed="64"/>
      </top>
      <bottom style="dotted">
        <color indexed="8"/>
      </bottom>
      <diagonal/>
    </border>
    <border>
      <left style="medium">
        <color indexed="64"/>
      </left>
      <right style="dotted">
        <color indexed="8"/>
      </right>
      <top style="dotted">
        <color indexed="8"/>
      </top>
      <bottom style="dotted">
        <color indexed="8"/>
      </bottom>
      <diagonal/>
    </border>
    <border>
      <left style="medium">
        <color indexed="64"/>
      </left>
      <right style="dotted">
        <color indexed="64"/>
      </right>
      <top style="dotted">
        <color indexed="8"/>
      </top>
      <bottom style="dotted">
        <color indexed="8"/>
      </bottom>
      <diagonal/>
    </border>
    <border>
      <left style="medium">
        <color indexed="64"/>
      </left>
      <right style="dotted">
        <color indexed="64"/>
      </right>
      <top style="dotted">
        <color indexed="8"/>
      </top>
      <bottom style="medium">
        <color indexed="64"/>
      </bottom>
      <diagonal/>
    </border>
    <border>
      <left style="dotted">
        <color indexed="8"/>
      </left>
      <right style="medium">
        <color indexed="64"/>
      </right>
      <top style="dotted">
        <color indexed="8"/>
      </top>
      <bottom style="medium">
        <color indexed="64"/>
      </bottom>
      <diagonal/>
    </border>
    <border>
      <left style="dotted">
        <color indexed="8"/>
      </left>
      <right style="medium">
        <color indexed="8"/>
      </right>
      <top style="dotted">
        <color indexed="8"/>
      </top>
      <bottom/>
      <diagonal/>
    </border>
    <border>
      <left style="dotted">
        <color indexed="8"/>
      </left>
      <right style="dotted">
        <color indexed="8"/>
      </right>
      <top/>
      <bottom style="dotted">
        <color indexed="8"/>
      </bottom>
      <diagonal/>
    </border>
    <border>
      <left style="dotted">
        <color indexed="8"/>
      </left>
      <right style="dotted">
        <color indexed="8"/>
      </right>
      <top style="medium">
        <color indexed="64"/>
      </top>
      <bottom style="medium">
        <color indexed="64"/>
      </bottom>
      <diagonal/>
    </border>
    <border>
      <left style="medium">
        <color indexed="8"/>
      </left>
      <right style="dotted">
        <color indexed="8"/>
      </right>
      <top style="medium">
        <color indexed="64"/>
      </top>
      <bottom style="medium">
        <color indexed="64"/>
      </bottom>
      <diagonal/>
    </border>
    <border>
      <left style="dotted">
        <color indexed="8"/>
      </left>
      <right style="medium">
        <color indexed="64"/>
      </right>
      <top style="medium">
        <color indexed="64"/>
      </top>
      <bottom style="medium">
        <color indexed="64"/>
      </bottom>
      <diagonal/>
    </border>
    <border>
      <left style="dotted">
        <color indexed="8"/>
      </left>
      <right style="dotted">
        <color indexed="8"/>
      </right>
      <top style="medium">
        <color indexed="8"/>
      </top>
      <bottom/>
      <diagonal/>
    </border>
    <border>
      <left style="dotted">
        <color indexed="8"/>
      </left>
      <right style="dotted">
        <color indexed="8"/>
      </right>
      <top style="medium">
        <color indexed="64"/>
      </top>
      <bottom style="dotted">
        <color indexed="8"/>
      </bottom>
      <diagonal/>
    </border>
    <border>
      <left style="medium">
        <color indexed="64"/>
      </left>
      <right style="dotted">
        <color indexed="8"/>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tted">
        <color indexed="8"/>
      </left>
      <right style="dotted">
        <color indexed="64"/>
      </right>
      <top style="dotted">
        <color indexed="8"/>
      </top>
      <bottom style="dotted">
        <color indexed="8"/>
      </bottom>
      <diagonal/>
    </border>
    <border>
      <left style="dotted">
        <color indexed="8"/>
      </left>
      <right style="dotted">
        <color indexed="64"/>
      </right>
      <top style="medium">
        <color indexed="8"/>
      </top>
      <bottom style="dotted">
        <color indexed="8"/>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style="dotted">
        <color indexed="8"/>
      </top>
      <bottom style="dotted">
        <color indexed="8"/>
      </bottom>
      <diagonal/>
    </border>
    <border>
      <left/>
      <right/>
      <top style="medium">
        <color indexed="64"/>
      </top>
      <bottom style="medium">
        <color indexed="8"/>
      </bottom>
      <diagonal/>
    </border>
    <border>
      <left/>
      <right/>
      <top style="dotted">
        <color indexed="8"/>
      </top>
      <bottom style="dotted">
        <color indexed="8"/>
      </bottom>
      <diagonal/>
    </border>
    <border>
      <left style="thin">
        <color indexed="22"/>
      </left>
      <right style="thin">
        <color indexed="22"/>
      </right>
      <top style="thin">
        <color indexed="22"/>
      </top>
      <bottom style="thin">
        <color indexed="22"/>
      </bottom>
      <diagonal/>
    </border>
    <border>
      <left/>
      <right style="medium">
        <color indexed="8"/>
      </right>
      <top style="dotted">
        <color indexed="8"/>
      </top>
      <bottom style="dotted">
        <color indexed="8"/>
      </bottom>
      <diagonal/>
    </border>
    <border>
      <left/>
      <right style="dotted">
        <color indexed="64"/>
      </right>
      <top style="medium">
        <color indexed="64"/>
      </top>
      <bottom style="dotted">
        <color indexed="64"/>
      </bottom>
      <diagonal/>
    </border>
    <border>
      <left style="medium">
        <color indexed="64"/>
      </left>
      <right style="dotted">
        <color indexed="64"/>
      </right>
      <top style="medium">
        <color indexed="64"/>
      </top>
      <bottom style="medium">
        <color indexed="64"/>
      </bottom>
      <diagonal/>
    </border>
    <border>
      <left style="dotted">
        <color indexed="64"/>
      </left>
      <right style="thin">
        <color indexed="64"/>
      </right>
      <top style="medium">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medium">
        <color indexed="64"/>
      </bottom>
      <diagonal/>
    </border>
    <border>
      <left style="medium">
        <color indexed="8"/>
      </left>
      <right style="medium">
        <color indexed="8"/>
      </right>
      <top/>
      <bottom style="dotted">
        <color indexed="8"/>
      </bottom>
      <diagonal/>
    </border>
    <border>
      <left/>
      <right/>
      <top/>
      <bottom style="medium">
        <color auto="1"/>
      </bottom>
      <diagonal/>
    </border>
    <border>
      <left style="medium">
        <color indexed="8"/>
      </left>
      <right/>
      <top style="dotted">
        <color indexed="8"/>
      </top>
      <bottom style="medium">
        <color indexed="64"/>
      </bottom>
      <diagonal/>
    </border>
    <border>
      <left/>
      <right style="dotted">
        <color indexed="8"/>
      </right>
      <top style="dotted">
        <color indexed="8"/>
      </top>
      <bottom style="medium">
        <color indexed="64"/>
      </bottom>
      <diagonal/>
    </border>
    <border>
      <left style="dotted">
        <color indexed="8"/>
      </left>
      <right/>
      <top style="medium">
        <color indexed="64"/>
      </top>
      <bottom style="dotted">
        <color indexed="8"/>
      </bottom>
      <diagonal/>
    </border>
    <border>
      <left/>
      <right style="dotted">
        <color indexed="8"/>
      </right>
      <top style="medium">
        <color indexed="64"/>
      </top>
      <bottom style="dotted">
        <color indexed="8"/>
      </bottom>
      <diagonal/>
    </border>
    <border>
      <left style="medium">
        <color indexed="64"/>
      </left>
      <right style="dotted">
        <color indexed="8"/>
      </right>
      <top style="dotted">
        <color indexed="8"/>
      </top>
      <bottom/>
      <diagonal/>
    </border>
    <border>
      <left style="medium">
        <color indexed="64"/>
      </left>
      <right style="medium">
        <color indexed="64"/>
      </right>
      <top style="medium">
        <color indexed="64"/>
      </top>
      <bottom style="dotted">
        <color indexed="8"/>
      </bottom>
      <diagonal/>
    </border>
    <border>
      <left style="medium">
        <color indexed="64"/>
      </left>
      <right style="medium">
        <color indexed="64"/>
      </right>
      <top style="dotted">
        <color indexed="8"/>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8"/>
      </right>
      <top style="dotted">
        <color indexed="8"/>
      </top>
      <bottom style="medium">
        <color indexed="8"/>
      </bottom>
      <diagonal/>
    </border>
    <border>
      <left style="dotted">
        <color indexed="8"/>
      </left>
      <right style="medium">
        <color indexed="8"/>
      </right>
      <top style="dotted">
        <color indexed="8"/>
      </top>
      <bottom style="medium">
        <color indexed="64"/>
      </bottom>
      <diagonal/>
    </border>
    <border>
      <left style="medium">
        <color indexed="64"/>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8"/>
      </left>
      <right/>
      <top style="medium">
        <color indexed="64"/>
      </top>
      <bottom style="medium">
        <color indexed="8"/>
      </bottom>
      <diagonal/>
    </border>
    <border>
      <left/>
      <right style="medium">
        <color indexed="8"/>
      </right>
      <top style="medium">
        <color indexed="8"/>
      </top>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dotted">
        <color indexed="8"/>
      </top>
      <bottom style="medium">
        <color indexed="64"/>
      </bottom>
      <diagonal/>
    </border>
    <border>
      <left/>
      <right style="medium">
        <color indexed="8"/>
      </right>
      <top style="medium">
        <color indexed="8"/>
      </top>
      <bottom style="dotted">
        <color indexed="8"/>
      </bottom>
      <diagonal/>
    </border>
    <border>
      <left style="medium">
        <color indexed="8"/>
      </left>
      <right style="dashed">
        <color indexed="8"/>
      </right>
      <top style="medium">
        <color indexed="8"/>
      </top>
      <bottom style="dotted">
        <color indexed="8"/>
      </bottom>
      <diagonal/>
    </border>
    <border>
      <left style="medium">
        <color indexed="8"/>
      </left>
      <right style="dashed">
        <color indexed="8"/>
      </right>
      <top style="dotted">
        <color indexed="8"/>
      </top>
      <bottom style="dotted">
        <color indexed="8"/>
      </bottom>
      <diagonal/>
    </border>
    <border>
      <left style="medium">
        <color indexed="8"/>
      </left>
      <right style="dash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s>
  <cellStyleXfs count="202">
    <xf numFmtId="0" fontId="0" fillId="0" borderId="0"/>
    <xf numFmtId="164" fontId="8" fillId="0" borderId="0" applyFont="0" applyFill="0" applyBorder="0" applyAlignment="0" applyProtection="0"/>
    <xf numFmtId="164" fontId="13" fillId="0" borderId="0" applyFont="0" applyFill="0" applyBorder="0" applyAlignment="0" applyProtection="0"/>
    <xf numFmtId="0" fontId="22" fillId="0" borderId="0" applyNumberFormat="0" applyFill="0" applyBorder="0" applyAlignment="0" applyProtection="0"/>
    <xf numFmtId="0" fontId="16" fillId="0" borderId="0"/>
    <xf numFmtId="0" fontId="13" fillId="0" borderId="0"/>
    <xf numFmtId="0" fontId="21" fillId="0" borderId="0"/>
    <xf numFmtId="9" fontId="8" fillId="0" borderId="0" applyFont="0" applyFill="0" applyBorder="0" applyAlignment="0" applyProtection="0"/>
    <xf numFmtId="9" fontId="16" fillId="0" borderId="0" applyFont="0" applyFill="0" applyBorder="0" applyAlignment="0" applyProtection="0"/>
    <xf numFmtId="0" fontId="23" fillId="0" borderId="0" applyNumberFormat="0" applyFill="0" applyBorder="0" applyAlignment="0" applyProtection="0"/>
    <xf numFmtId="164" fontId="16" fillId="0" borderId="0" applyFont="0" applyFill="0" applyBorder="0" applyAlignment="0" applyProtection="0"/>
    <xf numFmtId="0" fontId="28" fillId="0" borderId="0"/>
    <xf numFmtId="43" fontId="16"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43" fontId="16" fillId="0" borderId="0" applyFont="0" applyFill="0" applyBorder="0" applyAlignment="0" applyProtection="0"/>
    <xf numFmtId="164" fontId="16" fillId="0" borderId="0" applyFont="0" applyFill="0" applyBorder="0" applyAlignment="0" applyProtection="0"/>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3" fillId="0" borderId="0" applyNumberFormat="0" applyFill="0" applyBorder="0" applyAlignment="0" applyProtection="0"/>
    <xf numFmtId="0" fontId="20" fillId="0" borderId="0" applyNumberFormat="0" applyFill="0" applyBorder="0" applyAlignment="0" applyProtection="0">
      <alignment vertical="top"/>
      <protection locked="0"/>
    </xf>
    <xf numFmtId="0" fontId="23" fillId="0" borderId="0" applyNumberFormat="0" applyFill="0" applyBorder="0" applyAlignment="0" applyProtection="0"/>
    <xf numFmtId="0" fontId="16" fillId="0" borderId="0"/>
    <xf numFmtId="0" fontId="16" fillId="0" borderId="0"/>
    <xf numFmtId="0" fontId="7" fillId="0" borderId="0"/>
    <xf numFmtId="0" fontId="16" fillId="0" borderId="0"/>
    <xf numFmtId="0" fontId="16" fillId="0" borderId="0"/>
    <xf numFmtId="0" fontId="7" fillId="0" borderId="0"/>
    <xf numFmtId="0" fontId="7" fillId="0" borderId="0"/>
    <xf numFmtId="0" fontId="16" fillId="0" borderId="0"/>
    <xf numFmtId="0" fontId="7" fillId="0" borderId="0"/>
    <xf numFmtId="0" fontId="7" fillId="0" borderId="0"/>
    <xf numFmtId="0" fontId="16" fillId="0" borderId="0"/>
    <xf numFmtId="9" fontId="1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1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8" fillId="0" borderId="0"/>
    <xf numFmtId="0" fontId="7" fillId="0" borderId="0"/>
    <xf numFmtId="0" fontId="7" fillId="0" borderId="0"/>
    <xf numFmtId="0" fontId="7" fillId="0" borderId="0"/>
    <xf numFmtId="0" fontId="8" fillId="0" borderId="0"/>
    <xf numFmtId="0" fontId="7" fillId="0" borderId="0"/>
    <xf numFmtId="0" fontId="32" fillId="0" borderId="0" applyNumberFormat="0" applyFill="0" applyBorder="0" applyAlignment="0" applyProtection="0"/>
    <xf numFmtId="0" fontId="22" fillId="0" borderId="0" applyNumberFormat="0" applyFill="0" applyBorder="0" applyAlignment="0" applyProtection="0"/>
    <xf numFmtId="0" fontId="33" fillId="0" borderId="0" applyNumberFormat="0" applyFill="0" applyBorder="0" applyAlignment="0" applyProtection="0"/>
    <xf numFmtId="0" fontId="7" fillId="13" borderId="0" applyNumberFormat="0" applyBorder="0" applyAlignment="0" applyProtection="0"/>
    <xf numFmtId="0" fontId="7" fillId="17"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22" borderId="0" applyNumberFormat="0" applyBorder="0" applyAlignment="0" applyProtection="0"/>
    <xf numFmtId="0" fontId="7" fillId="26" borderId="0" applyNumberFormat="0" applyBorder="0" applyAlignment="0" applyProtection="0"/>
    <xf numFmtId="0" fontId="7" fillId="30" borderId="0" applyNumberFormat="0" applyBorder="0" applyAlignment="0" applyProtection="0"/>
    <xf numFmtId="0" fontId="7" fillId="34" borderId="0" applyNumberFormat="0" applyBorder="0" applyAlignment="0" applyProtection="0"/>
    <xf numFmtId="0" fontId="34" fillId="15" borderId="0" applyNumberFormat="0" applyBorder="0" applyAlignment="0" applyProtection="0"/>
    <xf numFmtId="0" fontId="34" fillId="19" borderId="0" applyNumberFormat="0" applyBorder="0" applyAlignment="0" applyProtection="0"/>
    <xf numFmtId="0" fontId="34" fillId="23" borderId="0" applyNumberFormat="0" applyBorder="0" applyAlignment="0" applyProtection="0"/>
    <xf numFmtId="0" fontId="34" fillId="27" borderId="0" applyNumberFormat="0" applyBorder="0" applyAlignment="0" applyProtection="0"/>
    <xf numFmtId="0" fontId="34" fillId="31" borderId="0" applyNumberFormat="0" applyBorder="0" applyAlignment="0" applyProtection="0"/>
    <xf numFmtId="0" fontId="34" fillId="35" borderId="0" applyNumberFormat="0" applyBorder="0" applyAlignment="0" applyProtection="0"/>
    <xf numFmtId="0" fontId="34" fillId="12" borderId="0" applyNumberFormat="0" applyBorder="0" applyAlignment="0" applyProtection="0"/>
    <xf numFmtId="0" fontId="34" fillId="16" borderId="0" applyNumberFormat="0" applyBorder="0" applyAlignment="0" applyProtection="0"/>
    <xf numFmtId="0" fontId="34" fillId="20" borderId="0" applyNumberFormat="0" applyBorder="0" applyAlignment="0" applyProtection="0"/>
    <xf numFmtId="0" fontId="34" fillId="24" borderId="0" applyNumberFormat="0" applyBorder="0" applyAlignment="0" applyProtection="0"/>
    <xf numFmtId="0" fontId="34" fillId="28" borderId="0" applyNumberFormat="0" applyBorder="0" applyAlignment="0" applyProtection="0"/>
    <xf numFmtId="0" fontId="34" fillId="32" borderId="0" applyNumberFormat="0" applyBorder="0" applyAlignment="0" applyProtection="0"/>
    <xf numFmtId="0" fontId="35" fillId="6" borderId="0" applyNumberFormat="0" applyBorder="0" applyAlignment="0" applyProtection="0"/>
    <xf numFmtId="0" fontId="36" fillId="9" borderId="115" applyNumberFormat="0" applyAlignment="0" applyProtection="0"/>
    <xf numFmtId="0" fontId="37" fillId="10" borderId="118"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38" fillId="0" borderId="0" applyNumberFormat="0" applyFill="0" applyBorder="0" applyAlignment="0" applyProtection="0"/>
    <xf numFmtId="0" fontId="39" fillId="5" borderId="0" applyNumberFormat="0" applyBorder="0" applyAlignment="0" applyProtection="0"/>
    <xf numFmtId="0" fontId="40" fillId="0" borderId="112" applyNumberFormat="0" applyFill="0" applyAlignment="0" applyProtection="0"/>
    <xf numFmtId="0" fontId="41" fillId="0" borderId="113" applyNumberFormat="0" applyFill="0" applyAlignment="0" applyProtection="0"/>
    <xf numFmtId="0" fontId="42" fillId="0" borderId="114" applyNumberFormat="0" applyFill="0" applyAlignment="0" applyProtection="0"/>
    <xf numFmtId="0" fontId="42" fillId="0" borderId="0" applyNumberFormat="0" applyFill="0" applyBorder="0" applyAlignment="0" applyProtection="0"/>
    <xf numFmtId="0" fontId="43" fillId="0" borderId="0" applyNumberFormat="0" applyFill="0" applyBorder="0" applyAlignment="0" applyProtection="0">
      <alignment vertical="top"/>
      <protection locked="0"/>
    </xf>
    <xf numFmtId="0" fontId="44" fillId="8" borderId="115" applyNumberFormat="0" applyAlignment="0" applyProtection="0"/>
    <xf numFmtId="0" fontId="45" fillId="0" borderId="117" applyNumberFormat="0" applyFill="0" applyAlignment="0" applyProtection="0"/>
    <xf numFmtId="0" fontId="46" fillId="7" borderId="0" applyNumberFormat="0" applyBorder="0" applyAlignment="0" applyProtection="0"/>
    <xf numFmtId="0" fontId="5" fillId="0" borderId="0"/>
    <xf numFmtId="0" fontId="8" fillId="0" borderId="0"/>
    <xf numFmtId="0" fontId="7" fillId="11" borderId="119" applyNumberFormat="0" applyFont="0" applyAlignment="0" applyProtection="0"/>
    <xf numFmtId="0" fontId="47" fillId="11" borderId="119" applyNumberFormat="0" applyFont="0" applyAlignment="0" applyProtection="0"/>
    <xf numFmtId="0" fontId="47" fillId="36" borderId="127" applyNumberFormat="0" applyFont="0" applyAlignment="0" applyProtection="0"/>
    <xf numFmtId="0" fontId="48" fillId="9" borderId="116" applyNumberFormat="0" applyAlignment="0" applyProtection="0"/>
    <xf numFmtId="9" fontId="8"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49" fillId="0" borderId="0" applyFont="0" applyFill="0" applyBorder="0" applyAlignment="0" applyProtection="0"/>
    <xf numFmtId="0" fontId="50" fillId="0" borderId="120" applyNumberFormat="0" applyFill="0" applyAlignment="0" applyProtection="0"/>
    <xf numFmtId="0" fontId="51" fillId="0" borderId="0" applyNumberFormat="0" applyFill="0" applyBorder="0" applyAlignment="0" applyProtection="0"/>
    <xf numFmtId="0" fontId="8" fillId="0" borderId="0"/>
    <xf numFmtId="164" fontId="8" fillId="0" borderId="0" applyFont="0" applyFill="0" applyBorder="0" applyAlignment="0" applyProtection="0"/>
    <xf numFmtId="164" fontId="8" fillId="0" borderId="0" applyFont="0" applyFill="0" applyBorder="0" applyAlignment="0" applyProtection="0"/>
    <xf numFmtId="0" fontId="7" fillId="0" borderId="0"/>
    <xf numFmtId="164" fontId="8" fillId="0" borderId="0" applyFont="0" applyFill="0" applyBorder="0" applyAlignment="0" applyProtection="0"/>
    <xf numFmtId="0" fontId="5" fillId="0" borderId="0"/>
    <xf numFmtId="164" fontId="8"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2" fillId="0" borderId="0" applyNumberFormat="0" applyFill="0" applyBorder="0" applyAlignment="0" applyProtection="0"/>
    <xf numFmtId="0" fontId="22" fillId="0" borderId="0" applyNumberFormat="0" applyFill="0" applyBorder="0" applyAlignment="0" applyProtection="0"/>
    <xf numFmtId="0" fontId="8" fillId="0" borderId="0"/>
    <xf numFmtId="0" fontId="8" fillId="0" borderId="0"/>
    <xf numFmtId="0" fontId="7" fillId="0" borderId="0"/>
    <xf numFmtId="0" fontId="7" fillId="0" borderId="0"/>
    <xf numFmtId="9" fontId="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8"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0" fontId="52" fillId="0" borderId="0" applyNumberForma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3" fillId="0" borderId="0"/>
    <xf numFmtId="164" fontId="8" fillId="0" borderId="0" applyFon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8" fillId="0" borderId="0"/>
    <xf numFmtId="0" fontId="1" fillId="0" borderId="0"/>
    <xf numFmtId="0" fontId="1" fillId="0" borderId="0"/>
    <xf numFmtId="9" fontId="1" fillId="0" borderId="0" applyFont="0" applyFill="0" applyBorder="0" applyAlignment="0" applyProtection="0"/>
  </cellStyleXfs>
  <cellXfs count="682">
    <xf numFmtId="0" fontId="0" fillId="0" borderId="0" xfId="0"/>
    <xf numFmtId="0" fontId="18" fillId="0" borderId="5" xfId="0" applyFont="1" applyBorder="1" applyAlignment="1" applyProtection="1">
      <alignment horizontal="center" vertical="center" wrapText="1" readingOrder="1"/>
      <protection locked="0"/>
    </xf>
    <xf numFmtId="0" fontId="18" fillId="0" borderId="1" xfId="4" applyFont="1" applyBorder="1" applyAlignment="1" applyProtection="1">
      <alignment vertical="center" wrapText="1" readingOrder="1"/>
      <protection locked="0"/>
    </xf>
    <xf numFmtId="0" fontId="18" fillId="0" borderId="4" xfId="4" applyFont="1" applyBorder="1" applyAlignment="1" applyProtection="1">
      <alignment horizontal="center" vertical="center" wrapText="1" readingOrder="1"/>
      <protection locked="0"/>
    </xf>
    <xf numFmtId="0" fontId="18" fillId="0" borderId="5" xfId="4" applyFont="1" applyBorder="1" applyAlignment="1" applyProtection="1">
      <alignment horizontal="center" vertical="center" wrapText="1" readingOrder="1"/>
      <protection locked="0"/>
    </xf>
    <xf numFmtId="0" fontId="18" fillId="0" borderId="1" xfId="4" applyFont="1" applyBorder="1" applyAlignment="1" applyProtection="1">
      <alignment vertical="top" wrapText="1" readingOrder="1"/>
      <protection locked="0"/>
    </xf>
    <xf numFmtId="0" fontId="25" fillId="0" borderId="0" xfId="4" applyFont="1" applyAlignment="1" applyProtection="1">
      <alignment vertical="top" wrapText="1" readingOrder="1"/>
      <protection locked="0"/>
    </xf>
    <xf numFmtId="0" fontId="18" fillId="0" borderId="1" xfId="0" applyFont="1" applyBorder="1" applyAlignment="1" applyProtection="1">
      <alignment vertical="center" wrapText="1" readingOrder="1"/>
      <protection locked="0"/>
    </xf>
    <xf numFmtId="0" fontId="18" fillId="0" borderId="4" xfId="0" applyFont="1" applyBorder="1" applyAlignment="1" applyProtection="1">
      <alignment horizontal="center" vertical="center" wrapText="1" readingOrder="1"/>
      <protection locked="0"/>
    </xf>
    <xf numFmtId="0" fontId="18" fillId="0" borderId="13" xfId="4" applyFont="1" applyBorder="1" applyAlignment="1" applyProtection="1">
      <alignment horizontal="center" vertical="center" wrapText="1" readingOrder="1"/>
      <protection locked="0"/>
    </xf>
    <xf numFmtId="0" fontId="18" fillId="0" borderId="1" xfId="4" applyFont="1" applyBorder="1" applyAlignment="1" applyProtection="1">
      <alignment horizontal="center" vertical="center" wrapText="1" readingOrder="1"/>
      <protection locked="0"/>
    </xf>
    <xf numFmtId="0" fontId="27" fillId="0" borderId="0" xfId="0" applyFont="1" applyAlignment="1"/>
    <xf numFmtId="0" fontId="27" fillId="0" borderId="0" xfId="0" applyFont="1"/>
    <xf numFmtId="0" fontId="18" fillId="0" borderId="5" xfId="57" applyFont="1" applyBorder="1" applyAlignment="1" applyProtection="1">
      <alignment horizontal="center" vertical="center" wrapText="1" readingOrder="1"/>
      <protection locked="0"/>
    </xf>
    <xf numFmtId="0" fontId="16" fillId="3" borderId="0" xfId="57" applyFill="1"/>
    <xf numFmtId="0" fontId="0" fillId="3" borderId="0" xfId="0" applyFill="1"/>
    <xf numFmtId="0" fontId="23" fillId="3" borderId="0" xfId="9" applyFill="1"/>
    <xf numFmtId="0" fontId="10" fillId="0" borderId="0" xfId="0" applyFont="1" applyBorder="1" applyAlignment="1" applyProtection="1">
      <alignment vertical="top" wrapText="1" readingOrder="1"/>
      <protection locked="0"/>
    </xf>
    <xf numFmtId="165" fontId="10" fillId="0" borderId="0" xfId="0" applyNumberFormat="1" applyFont="1" applyBorder="1" applyAlignment="1" applyProtection="1">
      <alignment vertical="top" wrapText="1" readingOrder="1"/>
      <protection locked="0"/>
    </xf>
    <xf numFmtId="169" fontId="10" fillId="0" borderId="0" xfId="1" applyNumberFormat="1" applyFont="1" applyBorder="1" applyAlignment="1" applyProtection="1">
      <alignment vertical="top" wrapText="1" readingOrder="1"/>
      <protection locked="0"/>
    </xf>
    <xf numFmtId="9" fontId="10" fillId="0" borderId="0" xfId="7" applyFont="1" applyBorder="1" applyAlignment="1" applyProtection="1">
      <alignment vertical="top" wrapText="1" readingOrder="1"/>
      <protection locked="0"/>
    </xf>
    <xf numFmtId="0" fontId="18" fillId="0" borderId="78" xfId="0" applyFont="1" applyBorder="1" applyAlignment="1" applyProtection="1">
      <alignment horizontal="center" vertical="center" wrapText="1" readingOrder="1"/>
      <protection locked="0"/>
    </xf>
    <xf numFmtId="0" fontId="18" fillId="0" borderId="82" xfId="0" applyFont="1" applyBorder="1" applyAlignment="1" applyProtection="1">
      <alignment horizontal="center" vertical="center" wrapText="1" readingOrder="1"/>
      <protection locked="0"/>
    </xf>
    <xf numFmtId="0" fontId="16" fillId="3" borderId="21" xfId="57" applyFill="1" applyBorder="1"/>
    <xf numFmtId="0" fontId="30" fillId="3" borderId="0" xfId="57" applyFont="1" applyFill="1" applyAlignment="1" applyProtection="1">
      <alignment horizontal="center" vertical="center" wrapText="1" readingOrder="1"/>
      <protection locked="0"/>
    </xf>
    <xf numFmtId="0" fontId="30" fillId="3" borderId="74" xfId="57" applyFont="1" applyFill="1" applyBorder="1" applyAlignment="1" applyProtection="1">
      <alignment horizontal="center" vertical="center" wrapText="1" readingOrder="1"/>
      <protection locked="0"/>
    </xf>
    <xf numFmtId="0" fontId="18" fillId="3" borderId="43" xfId="57" applyFont="1" applyFill="1" applyBorder="1" applyAlignment="1" applyProtection="1">
      <alignment horizontal="center" vertical="center" wrapText="1" readingOrder="1"/>
      <protection locked="0"/>
    </xf>
    <xf numFmtId="0" fontId="18" fillId="3" borderId="75" xfId="57" applyFont="1" applyFill="1" applyBorder="1" applyAlignment="1" applyProtection="1">
      <alignment horizontal="center" vertical="center" wrapText="1" readingOrder="1"/>
      <protection locked="0"/>
    </xf>
    <xf numFmtId="0" fontId="18" fillId="3" borderId="13" xfId="57" applyFont="1" applyFill="1" applyBorder="1" applyAlignment="1" applyProtection="1">
      <alignment horizontal="center" vertical="center" wrapText="1" readingOrder="1"/>
      <protection locked="0"/>
    </xf>
    <xf numFmtId="0" fontId="18" fillId="3" borderId="5" xfId="57" applyFont="1" applyFill="1" applyBorder="1" applyAlignment="1" applyProtection="1">
      <alignment horizontal="center" vertical="center" wrapText="1" readingOrder="1"/>
      <protection locked="0"/>
    </xf>
    <xf numFmtId="0" fontId="19" fillId="3" borderId="8" xfId="57" applyFont="1" applyFill="1" applyBorder="1" applyAlignment="1" applyProtection="1">
      <alignment vertical="top" wrapText="1" readingOrder="1"/>
      <protection locked="0"/>
    </xf>
    <xf numFmtId="0" fontId="16" fillId="3" borderId="0" xfId="57" applyFill="1" applyBorder="1"/>
    <xf numFmtId="0" fontId="18" fillId="3" borderId="4" xfId="57" applyFont="1" applyFill="1" applyBorder="1" applyAlignment="1" applyProtection="1">
      <alignment horizontal="center" vertical="center" wrapText="1" readingOrder="1"/>
      <protection locked="0"/>
    </xf>
    <xf numFmtId="0" fontId="26" fillId="3" borderId="5" xfId="57" applyFont="1" applyFill="1" applyBorder="1" applyAlignment="1" applyProtection="1">
      <alignment horizontal="center" vertical="center" wrapText="1" readingOrder="1"/>
      <protection locked="0"/>
    </xf>
    <xf numFmtId="0" fontId="10" fillId="3" borderId="22" xfId="4" applyFont="1" applyFill="1" applyBorder="1" applyAlignment="1" applyProtection="1">
      <alignment horizontal="left" vertical="center" wrapText="1" readingOrder="1"/>
      <protection locked="0"/>
    </xf>
    <xf numFmtId="0" fontId="9" fillId="3" borderId="3" xfId="57" applyFont="1" applyFill="1" applyBorder="1" applyAlignment="1" applyProtection="1">
      <alignment vertical="top" wrapText="1" readingOrder="1"/>
      <protection locked="0"/>
    </xf>
    <xf numFmtId="0" fontId="8" fillId="0" borderId="3" xfId="4" applyFont="1" applyBorder="1" applyAlignment="1" applyProtection="1">
      <alignment vertical="top" wrapText="1" readingOrder="1"/>
      <protection locked="0"/>
    </xf>
    <xf numFmtId="0" fontId="8" fillId="0" borderId="8" xfId="4" applyFont="1" applyBorder="1" applyAlignment="1" applyProtection="1">
      <alignment vertical="top" wrapText="1" readingOrder="1"/>
      <protection locked="0"/>
    </xf>
    <xf numFmtId="0" fontId="9" fillId="3" borderId="69" xfId="57" applyFont="1" applyFill="1" applyBorder="1" applyAlignment="1" applyProtection="1">
      <alignment vertical="top" wrapText="1" readingOrder="1"/>
      <protection locked="0"/>
    </xf>
    <xf numFmtId="0" fontId="9" fillId="3" borderId="63" xfId="57" applyFont="1" applyFill="1" applyBorder="1" applyAlignment="1" applyProtection="1">
      <alignment vertical="top" wrapText="1" readingOrder="1"/>
      <protection locked="0"/>
    </xf>
    <xf numFmtId="0" fontId="18" fillId="0" borderId="0" xfId="0" applyFont="1"/>
    <xf numFmtId="0" fontId="18" fillId="0" borderId="0" xfId="0" applyFont="1" applyAlignment="1">
      <alignment horizontal="left"/>
    </xf>
    <xf numFmtId="0" fontId="9" fillId="0" borderId="14" xfId="0" applyFont="1" applyBorder="1" applyAlignment="1" applyProtection="1">
      <alignment vertical="top" wrapText="1" readingOrder="1"/>
      <protection locked="0"/>
    </xf>
    <xf numFmtId="0" fontId="22" fillId="0" borderId="0" xfId="9" applyFont="1" applyAlignment="1" applyProtection="1">
      <alignment vertical="top" wrapText="1" readingOrder="1"/>
      <protection locked="0"/>
    </xf>
    <xf numFmtId="0" fontId="22" fillId="0" borderId="0" xfId="9" applyFont="1" applyAlignment="1" applyProtection="1">
      <alignment vertical="top" readingOrder="1"/>
      <protection locked="0"/>
    </xf>
    <xf numFmtId="0" fontId="18" fillId="0" borderId="95" xfId="4" applyFont="1" applyBorder="1" applyAlignment="1" applyProtection="1">
      <alignment horizontal="center" vertical="center" wrapText="1" readingOrder="1"/>
      <protection locked="0"/>
    </xf>
    <xf numFmtId="0" fontId="18" fillId="0" borderId="96" xfId="4" applyFont="1" applyBorder="1" applyAlignment="1" applyProtection="1">
      <alignment horizontal="center" vertical="center" wrapText="1" readingOrder="1"/>
      <protection locked="0"/>
    </xf>
    <xf numFmtId="0" fontId="18" fillId="0" borderId="87" xfId="4" applyFont="1" applyBorder="1" applyAlignment="1" applyProtection="1">
      <alignment vertical="top" wrapText="1" readingOrder="1"/>
      <protection locked="0"/>
    </xf>
    <xf numFmtId="0" fontId="8" fillId="3" borderId="0" xfId="57" applyFont="1" applyFill="1"/>
    <xf numFmtId="0" fontId="8" fillId="3" borderId="0" xfId="0" applyFont="1" applyFill="1"/>
    <xf numFmtId="0" fontId="18" fillId="3" borderId="108" xfId="57" applyFont="1" applyFill="1" applyBorder="1" applyAlignment="1" applyProtection="1">
      <alignment horizontal="center" vertical="center" wrapText="1" readingOrder="1"/>
      <protection locked="0"/>
    </xf>
    <xf numFmtId="0" fontId="18" fillId="3" borderId="96" xfId="57" applyFont="1" applyFill="1" applyBorder="1" applyAlignment="1" applyProtection="1">
      <alignment horizontal="center" vertical="center" wrapText="1" readingOrder="1"/>
      <protection locked="0"/>
    </xf>
    <xf numFmtId="0" fontId="19" fillId="3" borderId="0" xfId="57" applyFont="1" applyFill="1" applyBorder="1" applyAlignment="1" applyProtection="1">
      <alignment vertical="top" wrapText="1" readingOrder="1"/>
      <protection locked="0"/>
    </xf>
    <xf numFmtId="168" fontId="8" fillId="3" borderId="0" xfId="7" applyNumberFormat="1" applyFont="1" applyFill="1"/>
    <xf numFmtId="0" fontId="10" fillId="0" borderId="123" xfId="62" applyFont="1" applyBorder="1" applyAlignment="1" applyProtection="1">
      <alignment vertical="top" wrapText="1" readingOrder="1"/>
      <protection locked="0"/>
    </xf>
    <xf numFmtId="0" fontId="10" fillId="0" borderId="125" xfId="62" applyFont="1" applyBorder="1" applyAlignment="1" applyProtection="1">
      <alignment vertical="top" wrapText="1" readingOrder="1"/>
      <protection locked="0"/>
    </xf>
    <xf numFmtId="168" fontId="14" fillId="3" borderId="29" xfId="7" applyNumberFormat="1" applyFont="1" applyFill="1" applyBorder="1" applyAlignment="1" applyProtection="1">
      <alignment horizontal="right" vertical="top" wrapText="1" readingOrder="1"/>
      <protection locked="0"/>
    </xf>
    <xf numFmtId="168" fontId="17" fillId="0" borderId="7" xfId="7" applyNumberFormat="1" applyFont="1" applyBorder="1" applyAlignment="1" applyProtection="1">
      <alignment horizontal="right" vertical="top" wrapText="1" readingOrder="1"/>
      <protection locked="0"/>
    </xf>
    <xf numFmtId="168" fontId="26" fillId="0" borderId="7" xfId="7" applyNumberFormat="1" applyFont="1" applyBorder="1" applyAlignment="1" applyProtection="1">
      <alignment horizontal="right" vertical="top" wrapText="1" readingOrder="1"/>
      <protection locked="0"/>
    </xf>
    <xf numFmtId="168" fontId="17" fillId="0" borderId="122" xfId="7" applyNumberFormat="1" applyFont="1" applyBorder="1" applyAlignment="1" applyProtection="1">
      <alignment horizontal="right" vertical="top" wrapText="1" readingOrder="1"/>
      <protection locked="0"/>
    </xf>
    <xf numFmtId="168" fontId="17" fillId="0" borderId="128" xfId="7" applyNumberFormat="1" applyFont="1" applyBorder="1" applyAlignment="1" applyProtection="1">
      <alignment horizontal="right" vertical="top" wrapText="1" readingOrder="1"/>
      <protection locked="0"/>
    </xf>
    <xf numFmtId="168" fontId="17" fillId="0" borderId="121" xfId="7" applyNumberFormat="1" applyFont="1" applyBorder="1" applyAlignment="1" applyProtection="1">
      <alignment horizontal="right" vertical="top" wrapText="1" readingOrder="1"/>
      <protection locked="0"/>
    </xf>
    <xf numFmtId="168" fontId="17" fillId="2" borderId="7" xfId="7" applyNumberFormat="1" applyFont="1" applyFill="1" applyBorder="1" applyAlignment="1" applyProtection="1">
      <alignment horizontal="right" vertical="top" wrapText="1" readingOrder="1"/>
      <protection locked="0"/>
    </xf>
    <xf numFmtId="168" fontId="17" fillId="2" borderId="103" xfId="7" applyNumberFormat="1" applyFont="1" applyFill="1" applyBorder="1" applyAlignment="1" applyProtection="1">
      <alignment horizontal="right" vertical="top" wrapText="1" readingOrder="1"/>
      <protection locked="0"/>
    </xf>
    <xf numFmtId="168" fontId="26" fillId="2" borderId="107" xfId="7" applyNumberFormat="1" applyFont="1" applyFill="1" applyBorder="1" applyAlignment="1" applyProtection="1">
      <alignment horizontal="right" vertical="top" wrapText="1" readingOrder="1"/>
      <protection locked="0"/>
    </xf>
    <xf numFmtId="168" fontId="17" fillId="2" borderId="76" xfId="7" applyNumberFormat="1" applyFont="1" applyFill="1" applyBorder="1" applyAlignment="1" applyProtection="1">
      <alignment horizontal="right" vertical="top" wrapText="1" readingOrder="1"/>
      <protection locked="0"/>
    </xf>
    <xf numFmtId="168" fontId="26" fillId="0" borderId="13" xfId="7" applyNumberFormat="1" applyFont="1" applyBorder="1" applyAlignment="1" applyProtection="1">
      <alignment horizontal="right" vertical="top" wrapText="1" readingOrder="1"/>
      <protection locked="0"/>
    </xf>
    <xf numFmtId="168" fontId="26" fillId="0" borderId="5" xfId="7" applyNumberFormat="1" applyFont="1" applyBorder="1" applyAlignment="1" applyProtection="1">
      <alignment horizontal="right" vertical="top" wrapText="1" readingOrder="1"/>
      <protection locked="0"/>
    </xf>
    <xf numFmtId="168" fontId="17" fillId="0" borderId="9" xfId="7" applyNumberFormat="1" applyFont="1" applyBorder="1" applyAlignment="1" applyProtection="1">
      <alignment horizontal="right" vertical="top" wrapText="1" readingOrder="1"/>
      <protection locked="0"/>
    </xf>
    <xf numFmtId="168" fontId="26" fillId="2" borderId="5" xfId="7" applyNumberFormat="1" applyFont="1" applyFill="1" applyBorder="1" applyAlignment="1" applyProtection="1">
      <alignment horizontal="right" vertical="top" wrapText="1" readingOrder="1"/>
      <protection locked="0"/>
    </xf>
    <xf numFmtId="169" fontId="10" fillId="0" borderId="4" xfId="1" applyNumberFormat="1" applyFont="1" applyBorder="1" applyAlignment="1" applyProtection="1">
      <alignment horizontal="right" vertical="top" wrapText="1" readingOrder="1"/>
      <protection locked="0"/>
    </xf>
    <xf numFmtId="0" fontId="10" fillId="2" borderId="5" xfId="4" applyFont="1" applyFill="1" applyBorder="1" applyAlignment="1" applyProtection="1">
      <alignment horizontal="right" vertical="top" wrapText="1" readingOrder="1"/>
      <protection locked="0"/>
    </xf>
    <xf numFmtId="168" fontId="14" fillId="3" borderId="38" xfId="7" applyNumberFormat="1" applyFont="1" applyFill="1" applyBorder="1" applyAlignment="1" applyProtection="1">
      <alignment horizontal="right" vertical="top" wrapText="1" readingOrder="1"/>
      <protection locked="0"/>
    </xf>
    <xf numFmtId="168" fontId="14" fillId="3" borderId="24" xfId="7" applyNumberFormat="1" applyFont="1" applyFill="1" applyBorder="1" applyAlignment="1" applyProtection="1">
      <alignment horizontal="right" vertical="top" wrapText="1" readingOrder="1"/>
      <protection locked="0"/>
    </xf>
    <xf numFmtId="168" fontId="14" fillId="3" borderId="25" xfId="7" applyNumberFormat="1" applyFont="1" applyFill="1" applyBorder="1" applyAlignment="1" applyProtection="1">
      <alignment horizontal="right" vertical="top" wrapText="1" readingOrder="1"/>
      <protection locked="0"/>
    </xf>
    <xf numFmtId="168" fontId="14" fillId="3" borderId="39" xfId="7" applyNumberFormat="1" applyFont="1" applyFill="1" applyBorder="1" applyAlignment="1" applyProtection="1">
      <alignment horizontal="right" vertical="top" wrapText="1" readingOrder="1"/>
      <protection locked="0"/>
    </xf>
    <xf numFmtId="168" fontId="14" fillId="3" borderId="28" xfId="7" applyNumberFormat="1" applyFont="1" applyFill="1" applyBorder="1" applyAlignment="1" applyProtection="1">
      <alignment horizontal="right" vertical="top" wrapText="1" readingOrder="1"/>
      <protection locked="0"/>
    </xf>
    <xf numFmtId="168" fontId="14" fillId="3" borderId="40" xfId="7" applyNumberFormat="1" applyFont="1" applyFill="1" applyBorder="1" applyAlignment="1" applyProtection="1">
      <alignment horizontal="right" vertical="top" wrapText="1" readingOrder="1"/>
      <protection locked="0"/>
    </xf>
    <xf numFmtId="168" fontId="14" fillId="3" borderId="32" xfId="7" applyNumberFormat="1" applyFont="1" applyFill="1" applyBorder="1" applyAlignment="1" applyProtection="1">
      <alignment horizontal="right" vertical="top" wrapText="1" readingOrder="1"/>
      <protection locked="0"/>
    </xf>
    <xf numFmtId="168" fontId="14" fillId="3" borderId="33" xfId="7" applyNumberFormat="1" applyFont="1" applyFill="1" applyBorder="1" applyAlignment="1" applyProtection="1">
      <alignment horizontal="right" vertical="top" wrapText="1" readingOrder="1"/>
      <protection locked="0"/>
    </xf>
    <xf numFmtId="168" fontId="11" fillId="0" borderId="9" xfId="7" applyNumberFormat="1" applyFont="1" applyBorder="1" applyAlignment="1" applyProtection="1">
      <alignment horizontal="right" vertical="top" wrapText="1" readingOrder="1"/>
      <protection locked="0"/>
    </xf>
    <xf numFmtId="168" fontId="11" fillId="0" borderId="7" xfId="7" applyNumberFormat="1" applyFont="1" applyBorder="1" applyAlignment="1" applyProtection="1">
      <alignment horizontal="right" vertical="top" wrapText="1" readingOrder="1"/>
      <protection locked="0"/>
    </xf>
    <xf numFmtId="168" fontId="14" fillId="3" borderId="7" xfId="7" applyNumberFormat="1" applyFont="1" applyFill="1" applyBorder="1" applyAlignment="1" applyProtection="1">
      <alignment horizontal="right" vertical="top" wrapText="1" readingOrder="1"/>
      <protection locked="0"/>
    </xf>
    <xf numFmtId="169" fontId="9" fillId="0" borderId="6" xfId="1" applyNumberFormat="1" applyFont="1" applyBorder="1" applyAlignment="1" applyProtection="1">
      <alignment horizontal="right" vertical="top" wrapText="1" readingOrder="1"/>
      <protection locked="0"/>
    </xf>
    <xf numFmtId="0" fontId="8" fillId="0" borderId="126" xfId="0" applyFont="1" applyBorder="1"/>
    <xf numFmtId="0" fontId="8" fillId="3" borderId="0" xfId="4" applyFont="1" applyFill="1"/>
    <xf numFmtId="169" fontId="8" fillId="3" borderId="0" xfId="1" applyNumberFormat="1" applyFont="1" applyFill="1"/>
    <xf numFmtId="0" fontId="10" fillId="0" borderId="77" xfId="0" applyFont="1" applyBorder="1" applyAlignment="1" applyProtection="1">
      <alignment horizontal="center" vertical="center" wrapText="1" readingOrder="1"/>
      <protection locked="0"/>
    </xf>
    <xf numFmtId="0" fontId="2" fillId="3" borderId="0" xfId="193" applyFill="1"/>
    <xf numFmtId="0" fontId="2" fillId="3" borderId="0" xfId="196" applyFill="1" applyBorder="1"/>
    <xf numFmtId="166" fontId="2" fillId="3" borderId="0" xfId="196" applyNumberFormat="1" applyFill="1"/>
    <xf numFmtId="168" fontId="0" fillId="3" borderId="0" xfId="197" applyNumberFormat="1" applyFont="1" applyFill="1"/>
    <xf numFmtId="0" fontId="8" fillId="0" borderId="124" xfId="0" applyFont="1" applyFill="1" applyBorder="1"/>
    <xf numFmtId="0" fontId="8" fillId="3" borderId="0" xfId="61" applyFont="1" applyFill="1" applyBorder="1"/>
    <xf numFmtId="0" fontId="8" fillId="3" borderId="0" xfId="61" applyFont="1" applyFill="1" applyBorder="1" applyAlignment="1">
      <alignment horizontal="center"/>
    </xf>
    <xf numFmtId="0" fontId="55" fillId="3" borderId="0" xfId="61" applyFont="1" applyFill="1" applyBorder="1" applyAlignment="1" applyProtection="1">
      <alignment horizontal="center" vertical="top" wrapText="1" readingOrder="1"/>
      <protection locked="0"/>
    </xf>
    <xf numFmtId="0" fontId="55" fillId="3" borderId="0" xfId="61" applyFont="1" applyFill="1" applyBorder="1" applyAlignment="1" applyProtection="1">
      <alignment horizontal="right" vertical="top" wrapText="1" readingOrder="1"/>
      <protection locked="0"/>
    </xf>
    <xf numFmtId="0" fontId="54" fillId="3" borderId="0" xfId="61" applyFont="1" applyFill="1" applyBorder="1" applyAlignment="1" applyProtection="1">
      <alignment vertical="top" wrapText="1" readingOrder="1"/>
      <protection locked="0"/>
    </xf>
    <xf numFmtId="166" fontId="53" fillId="3" borderId="0" xfId="61" applyNumberFormat="1" applyFont="1" applyFill="1" applyBorder="1" applyAlignment="1" applyProtection="1">
      <alignment horizontal="right" vertical="top" wrapText="1" readingOrder="1"/>
      <protection locked="0"/>
    </xf>
    <xf numFmtId="167" fontId="53" fillId="3" borderId="0" xfId="61" applyNumberFormat="1" applyFont="1" applyFill="1" applyBorder="1" applyAlignment="1" applyProtection="1">
      <alignment horizontal="right" vertical="top" wrapText="1" readingOrder="1"/>
      <protection locked="0"/>
    </xf>
    <xf numFmtId="170" fontId="53" fillId="3" borderId="0" xfId="61" applyNumberFormat="1" applyFont="1" applyFill="1" applyBorder="1" applyAlignment="1" applyProtection="1">
      <alignment horizontal="right" vertical="top" wrapText="1" readingOrder="1"/>
      <protection locked="0"/>
    </xf>
    <xf numFmtId="0" fontId="53" fillId="3" borderId="0" xfId="61" applyFont="1" applyFill="1" applyBorder="1" applyAlignment="1" applyProtection="1">
      <alignment horizontal="right" vertical="top" wrapText="1" readingOrder="1"/>
      <protection locked="0"/>
    </xf>
    <xf numFmtId="0" fontId="53" fillId="3" borderId="0" xfId="61" applyFont="1" applyFill="1" applyBorder="1" applyAlignment="1" applyProtection="1">
      <alignment vertical="top" wrapText="1" readingOrder="1"/>
      <protection locked="0"/>
    </xf>
    <xf numFmtId="0" fontId="8" fillId="3" borderId="21" xfId="61" applyFont="1" applyFill="1" applyBorder="1"/>
    <xf numFmtId="0" fontId="8" fillId="0" borderId="0" xfId="0" applyFont="1" applyAlignment="1">
      <alignment horizontal="left"/>
    </xf>
    <xf numFmtId="0" fontId="9" fillId="0" borderId="0" xfId="0" applyFont="1" applyAlignment="1" applyProtection="1">
      <alignment vertical="top" wrapText="1" readingOrder="1"/>
      <protection locked="0"/>
    </xf>
    <xf numFmtId="0" fontId="9" fillId="0" borderId="0" xfId="4" applyFont="1" applyAlignment="1" applyProtection="1">
      <alignment vertical="top" wrapText="1" readingOrder="1"/>
      <protection locked="0"/>
    </xf>
    <xf numFmtId="0" fontId="17" fillId="0" borderId="0" xfId="4" applyFont="1" applyAlignment="1" applyProtection="1">
      <alignment vertical="top" wrapText="1" readingOrder="1"/>
      <protection locked="0"/>
    </xf>
    <xf numFmtId="0" fontId="18" fillId="0" borderId="0" xfId="4" applyFont="1" applyAlignment="1" applyProtection="1">
      <alignment vertical="top" wrapText="1" readingOrder="1"/>
      <protection locked="0"/>
    </xf>
    <xf numFmtId="0" fontId="8" fillId="0" borderId="0" xfId="4" applyFont="1"/>
    <xf numFmtId="0" fontId="8" fillId="0" borderId="0" xfId="4" applyFont="1" applyAlignment="1" applyProtection="1">
      <alignment vertical="top" wrapText="1" readingOrder="1"/>
      <protection locked="0"/>
    </xf>
    <xf numFmtId="0" fontId="18" fillId="0" borderId="21" xfId="4" applyFont="1" applyBorder="1" applyAlignment="1" applyProtection="1">
      <alignment vertical="top" wrapText="1" readingOrder="1"/>
      <protection locked="0"/>
    </xf>
    <xf numFmtId="0" fontId="22" fillId="0" borderId="0" xfId="3"/>
    <xf numFmtId="0" fontId="17" fillId="0" borderId="0" xfId="4" applyFont="1" applyAlignment="1" applyProtection="1">
      <alignment horizontal="left" vertical="top" wrapText="1" readingOrder="1"/>
      <protection locked="0"/>
    </xf>
    <xf numFmtId="0" fontId="9" fillId="3" borderId="0" xfId="4" applyFont="1" applyFill="1" applyAlignment="1" applyProtection="1">
      <alignment vertical="top" wrapText="1" readingOrder="1"/>
      <protection locked="0"/>
    </xf>
    <xf numFmtId="0" fontId="9" fillId="3" borderId="0" xfId="57" applyFont="1" applyFill="1" applyAlignment="1" applyProtection="1">
      <alignment vertical="top" wrapText="1" readingOrder="1"/>
      <protection locked="0"/>
    </xf>
    <xf numFmtId="0" fontId="1" fillId="3" borderId="0" xfId="193" applyFont="1" applyFill="1"/>
    <xf numFmtId="0" fontId="8" fillId="0" borderId="0" xfId="0" applyFont="1" applyAlignment="1"/>
    <xf numFmtId="0" fontId="8" fillId="0" borderId="0" xfId="0" applyFont="1"/>
    <xf numFmtId="0" fontId="22" fillId="0" borderId="0" xfId="3" applyFont="1" applyAlignment="1" applyProtection="1">
      <alignment vertical="top" wrapText="1" readingOrder="1"/>
      <protection locked="0"/>
    </xf>
    <xf numFmtId="0" fontId="22" fillId="0" borderId="0" xfId="3" applyFont="1"/>
    <xf numFmtId="0" fontId="9" fillId="0" borderId="0" xfId="0" applyFont="1" applyAlignment="1" applyProtection="1">
      <alignment vertical="top" readingOrder="1"/>
      <protection locked="0"/>
    </xf>
    <xf numFmtId="0" fontId="1" fillId="3" borderId="0" xfId="193" applyNumberFormat="1" applyFont="1" applyFill="1"/>
    <xf numFmtId="0" fontId="8" fillId="0" borderId="15" xfId="0" applyFont="1" applyBorder="1"/>
    <xf numFmtId="0" fontId="8" fillId="0" borderId="0" xfId="0" applyFont="1" applyBorder="1"/>
    <xf numFmtId="0" fontId="8" fillId="0" borderId="0" xfId="4" applyFont="1" applyAlignment="1"/>
    <xf numFmtId="0" fontId="8" fillId="0" borderId="0" xfId="4" applyFont="1" applyBorder="1"/>
    <xf numFmtId="0" fontId="10" fillId="0" borderId="0" xfId="4" applyFont="1" applyAlignment="1" applyProtection="1">
      <alignment horizontal="center" vertical="center" wrapText="1" readingOrder="1"/>
      <protection locked="0"/>
    </xf>
    <xf numFmtId="0" fontId="10" fillId="0" borderId="1" xfId="4" applyFont="1" applyBorder="1" applyAlignment="1" applyProtection="1">
      <alignment horizontal="left" vertical="center" wrapText="1" readingOrder="1"/>
      <protection locked="0"/>
    </xf>
    <xf numFmtId="0" fontId="10" fillId="0" borderId="4" xfId="4" applyFont="1" applyBorder="1" applyAlignment="1" applyProtection="1">
      <alignment horizontal="center" vertical="center" wrapText="1" readingOrder="1"/>
      <protection locked="0"/>
    </xf>
    <xf numFmtId="0" fontId="10" fillId="0" borderId="5" xfId="4" applyFont="1" applyBorder="1" applyAlignment="1" applyProtection="1">
      <alignment horizontal="center" vertical="center" wrapText="1" readingOrder="1"/>
      <protection locked="0"/>
    </xf>
    <xf numFmtId="0" fontId="9" fillId="0" borderId="3" xfId="4" applyFont="1" applyBorder="1" applyAlignment="1" applyProtection="1">
      <alignment vertical="top" wrapText="1" readingOrder="1"/>
      <protection locked="0"/>
    </xf>
    <xf numFmtId="0" fontId="10" fillId="0" borderId="1" xfId="4" applyFont="1" applyBorder="1" applyAlignment="1" applyProtection="1">
      <alignment vertical="top" wrapText="1" readingOrder="1"/>
      <protection locked="0"/>
    </xf>
    <xf numFmtId="0" fontId="10" fillId="0" borderId="1" xfId="4" applyFont="1" applyBorder="1" applyAlignment="1" applyProtection="1">
      <alignment vertical="center" wrapText="1" readingOrder="1"/>
      <protection locked="0"/>
    </xf>
    <xf numFmtId="0" fontId="10" fillId="0" borderId="0" xfId="0" applyFont="1" applyBorder="1" applyAlignment="1" applyProtection="1">
      <alignment horizontal="center" vertical="center" wrapText="1" readingOrder="1"/>
      <protection locked="0"/>
    </xf>
    <xf numFmtId="166" fontId="9" fillId="0" borderId="0" xfId="0" applyNumberFormat="1" applyFont="1" applyBorder="1" applyAlignment="1" applyProtection="1">
      <alignment vertical="top" wrapText="1" readingOrder="1"/>
      <protection locked="0"/>
    </xf>
    <xf numFmtId="167" fontId="11" fillId="0" borderId="0" xfId="0" applyNumberFormat="1" applyFont="1" applyBorder="1" applyAlignment="1" applyProtection="1">
      <alignment vertical="top" wrapText="1" readingOrder="1"/>
      <protection locked="0"/>
    </xf>
    <xf numFmtId="166" fontId="10" fillId="0" borderId="0" xfId="0" applyNumberFormat="1" applyFont="1" applyBorder="1" applyAlignment="1" applyProtection="1">
      <alignment vertical="top" wrapText="1" readingOrder="1"/>
      <protection locked="0"/>
    </xf>
    <xf numFmtId="0" fontId="10" fillId="2" borderId="0" xfId="0" applyFont="1" applyFill="1" applyBorder="1" applyAlignment="1" applyProtection="1">
      <alignment vertical="top" wrapText="1" readingOrder="1"/>
      <protection locked="0"/>
    </xf>
    <xf numFmtId="166" fontId="8" fillId="0" borderId="0" xfId="4" applyNumberFormat="1" applyFont="1"/>
    <xf numFmtId="0" fontId="10" fillId="0" borderId="8" xfId="0" applyFont="1" applyBorder="1" applyAlignment="1" applyProtection="1">
      <alignment vertical="top" wrapText="1" readingOrder="1"/>
      <protection locked="0"/>
    </xf>
    <xf numFmtId="3" fontId="8" fillId="0" borderId="0" xfId="4" applyNumberFormat="1" applyFont="1"/>
    <xf numFmtId="168" fontId="11" fillId="0" borderId="89" xfId="7" applyNumberFormat="1" applyFont="1" applyBorder="1" applyAlignment="1" applyProtection="1">
      <alignment horizontal="right" vertical="top" wrapText="1" readingOrder="1"/>
      <protection locked="0"/>
    </xf>
    <xf numFmtId="168" fontId="11" fillId="0" borderId="103" xfId="7" applyNumberFormat="1" applyFont="1" applyBorder="1" applyAlignment="1" applyProtection="1">
      <alignment horizontal="right" vertical="top" wrapText="1" readingOrder="1"/>
      <protection locked="0"/>
    </xf>
    <xf numFmtId="168" fontId="11" fillId="0" borderId="104" xfId="7" applyNumberFormat="1" applyFont="1" applyBorder="1" applyAlignment="1" applyProtection="1">
      <alignment horizontal="right" vertical="top" wrapText="1" readingOrder="1"/>
      <protection locked="0"/>
    </xf>
    <xf numFmtId="0" fontId="10" fillId="0" borderId="3" xfId="4" applyFont="1" applyBorder="1" applyAlignment="1" applyProtection="1">
      <alignment vertical="top" wrapText="1" readingOrder="1"/>
      <protection locked="0"/>
    </xf>
    <xf numFmtId="0" fontId="9" fillId="0" borderId="1" xfId="4" applyFont="1" applyBorder="1" applyAlignment="1" applyProtection="1">
      <alignment vertical="top" wrapText="1" readingOrder="1"/>
      <protection locked="0"/>
    </xf>
    <xf numFmtId="0" fontId="8" fillId="0" borderId="0" xfId="4" applyNumberFormat="1" applyFont="1"/>
    <xf numFmtId="0" fontId="8" fillId="0" borderId="0" xfId="4" applyNumberFormat="1" applyFont="1" applyFill="1"/>
    <xf numFmtId="169" fontId="8" fillId="0" borderId="0" xfId="1" applyNumberFormat="1" applyFont="1"/>
    <xf numFmtId="0" fontId="9" fillId="0" borderId="8" xfId="4" applyFont="1" applyBorder="1" applyAlignment="1" applyProtection="1">
      <alignment vertical="top" wrapText="1" readingOrder="1"/>
      <protection locked="0"/>
    </xf>
    <xf numFmtId="0" fontId="8" fillId="0" borderId="21" xfId="4" applyFont="1" applyBorder="1"/>
    <xf numFmtId="0" fontId="8" fillId="0" borderId="19" xfId="4" applyFont="1" applyBorder="1" applyAlignment="1">
      <alignment horizontal="left"/>
    </xf>
    <xf numFmtId="0" fontId="8" fillId="0" borderId="0" xfId="4" applyFont="1" applyAlignment="1">
      <alignment horizontal="left"/>
    </xf>
    <xf numFmtId="0" fontId="22" fillId="0" borderId="0" xfId="3" applyFont="1" applyBorder="1"/>
    <xf numFmtId="0" fontId="10" fillId="3" borderId="1" xfId="4" applyFont="1" applyFill="1" applyBorder="1" applyAlignment="1" applyProtection="1">
      <alignment vertical="top" wrapText="1" readingOrder="1"/>
      <protection locked="0"/>
    </xf>
    <xf numFmtId="0" fontId="10" fillId="3" borderId="108" xfId="4" applyFont="1" applyFill="1" applyBorder="1" applyAlignment="1" applyProtection="1">
      <alignment horizontal="center" vertical="top" wrapText="1" readingOrder="1"/>
      <protection locked="0"/>
    </xf>
    <xf numFmtId="0" fontId="10" fillId="3" borderId="96" xfId="4" applyFont="1" applyFill="1" applyBorder="1" applyAlignment="1" applyProtection="1">
      <alignment horizontal="center" vertical="top" wrapText="1" readingOrder="1"/>
      <protection locked="0"/>
    </xf>
    <xf numFmtId="168" fontId="11" fillId="3" borderId="97" xfId="7" applyNumberFormat="1" applyFont="1" applyFill="1" applyBorder="1" applyAlignment="1" applyProtection="1">
      <alignment horizontal="right" vertical="top" wrapText="1" readingOrder="1"/>
      <protection locked="0"/>
    </xf>
    <xf numFmtId="168" fontId="11" fillId="3" borderId="109" xfId="7" applyNumberFormat="1" applyFont="1" applyFill="1" applyBorder="1" applyAlignment="1" applyProtection="1">
      <alignment horizontal="right" vertical="top" wrapText="1" readingOrder="1"/>
      <protection locked="0"/>
    </xf>
    <xf numFmtId="168" fontId="11" fillId="3" borderId="98" xfId="7" applyNumberFormat="1" applyFont="1" applyFill="1" applyBorder="1" applyAlignment="1" applyProtection="1">
      <alignment horizontal="right" vertical="top" wrapText="1" readingOrder="1"/>
      <protection locked="0"/>
    </xf>
    <xf numFmtId="168" fontId="11" fillId="3" borderId="99" xfId="7" applyNumberFormat="1" applyFont="1" applyFill="1" applyBorder="1" applyAlignment="1" applyProtection="1">
      <alignment horizontal="right" vertical="top" wrapText="1" readingOrder="1"/>
      <protection locked="0"/>
    </xf>
    <xf numFmtId="168" fontId="11" fillId="3" borderId="9" xfId="7" applyNumberFormat="1" applyFont="1" applyFill="1" applyBorder="1" applyAlignment="1" applyProtection="1">
      <alignment horizontal="right" vertical="top" wrapText="1" readingOrder="1"/>
      <protection locked="0"/>
    </xf>
    <xf numFmtId="168" fontId="11" fillId="3" borderId="68" xfId="7" applyNumberFormat="1" applyFont="1" applyFill="1" applyBorder="1" applyAlignment="1" applyProtection="1">
      <alignment horizontal="right" vertical="top" wrapText="1" readingOrder="1"/>
      <protection locked="0"/>
    </xf>
    <xf numFmtId="168" fontId="11" fillId="3" borderId="110" xfId="7" applyNumberFormat="1" applyFont="1" applyFill="1" applyBorder="1" applyAlignment="1" applyProtection="1">
      <alignment horizontal="right" vertical="top" wrapText="1" readingOrder="1"/>
      <protection locked="0"/>
    </xf>
    <xf numFmtId="168" fontId="11" fillId="3" borderId="111" xfId="7" applyNumberFormat="1" applyFont="1" applyFill="1" applyBorder="1" applyAlignment="1" applyProtection="1">
      <alignment horizontal="right" vertical="top" wrapText="1" readingOrder="1"/>
      <protection locked="0"/>
    </xf>
    <xf numFmtId="168" fontId="11" fillId="3" borderId="102" xfId="7" applyNumberFormat="1" applyFont="1" applyFill="1" applyBorder="1" applyAlignment="1" applyProtection="1">
      <alignment horizontal="right" vertical="top" wrapText="1" readingOrder="1"/>
      <protection locked="0"/>
    </xf>
    <xf numFmtId="0" fontId="9" fillId="3" borderId="8" xfId="4" applyFont="1" applyFill="1" applyBorder="1" applyAlignment="1" applyProtection="1">
      <alignment vertical="top" wrapText="1" readingOrder="1"/>
      <protection locked="0"/>
    </xf>
    <xf numFmtId="0" fontId="8" fillId="3" borderId="21" xfId="4" applyFont="1" applyFill="1" applyBorder="1"/>
    <xf numFmtId="0" fontId="8" fillId="3" borderId="19" xfId="4" applyFont="1" applyFill="1" applyBorder="1"/>
    <xf numFmtId="0" fontId="8" fillId="3" borderId="0" xfId="4" applyFont="1" applyFill="1" applyBorder="1"/>
    <xf numFmtId="0" fontId="22" fillId="3" borderId="0" xfId="3" applyFont="1" applyFill="1" applyBorder="1"/>
    <xf numFmtId="0" fontId="1" fillId="3" borderId="0" xfId="58" applyFont="1" applyFill="1"/>
    <xf numFmtId="166" fontId="1" fillId="3" borderId="0" xfId="58" applyNumberFormat="1" applyFont="1" applyFill="1"/>
    <xf numFmtId="168" fontId="8" fillId="3" borderId="0" xfId="59" applyNumberFormat="1" applyFont="1" applyFill="1"/>
    <xf numFmtId="0" fontId="1" fillId="3" borderId="0" xfId="58" applyFont="1" applyFill="1" applyBorder="1"/>
    <xf numFmtId="0" fontId="22" fillId="3" borderId="0" xfId="9" applyFont="1" applyFill="1"/>
    <xf numFmtId="0" fontId="10" fillId="3" borderId="35" xfId="4" applyFont="1" applyFill="1" applyBorder="1" applyAlignment="1" applyProtection="1">
      <alignment horizontal="center" vertical="center" wrapText="1" readingOrder="1"/>
      <protection locked="0"/>
    </xf>
    <xf numFmtId="0" fontId="10" fillId="3" borderId="36" xfId="4" applyFont="1" applyFill="1" applyBorder="1" applyAlignment="1" applyProtection="1">
      <alignment horizontal="center" vertical="center" wrapText="1" readingOrder="1"/>
      <protection locked="0"/>
    </xf>
    <xf numFmtId="0" fontId="10" fillId="3" borderId="37" xfId="4" applyFont="1" applyFill="1" applyBorder="1" applyAlignment="1" applyProtection="1">
      <alignment horizontal="center" vertical="center" wrapText="1" readingOrder="1"/>
      <protection locked="0"/>
    </xf>
    <xf numFmtId="0" fontId="9" fillId="3" borderId="0" xfId="4" applyFont="1" applyFill="1" applyBorder="1" applyAlignment="1" applyProtection="1">
      <alignment vertical="top" wrapText="1" readingOrder="1"/>
      <protection locked="0"/>
    </xf>
    <xf numFmtId="166" fontId="9" fillId="3" borderId="0" xfId="4" applyNumberFormat="1" applyFont="1" applyFill="1" applyBorder="1" applyAlignment="1" applyProtection="1">
      <alignment vertical="top" wrapText="1" readingOrder="1"/>
      <protection locked="0"/>
    </xf>
    <xf numFmtId="0" fontId="10" fillId="3" borderId="1" xfId="57" applyFont="1" applyFill="1" applyBorder="1" applyAlignment="1" applyProtection="1">
      <alignment vertical="top" wrapText="1" readingOrder="1"/>
      <protection locked="0"/>
    </xf>
    <xf numFmtId="0" fontId="9" fillId="3" borderId="3" xfId="57" applyNumberFormat="1" applyFont="1" applyFill="1" applyBorder="1" applyAlignment="1" applyProtection="1">
      <alignment horizontal="left" vertical="top" wrapText="1" readingOrder="1"/>
      <protection locked="0"/>
    </xf>
    <xf numFmtId="0" fontId="9" fillId="3" borderId="3" xfId="57" applyFont="1" applyFill="1" applyBorder="1" applyAlignment="1" applyProtection="1">
      <alignment horizontal="left" vertical="top" wrapText="1" readingOrder="1"/>
      <protection locked="0"/>
    </xf>
    <xf numFmtId="0" fontId="10" fillId="4" borderId="5" xfId="57" applyFont="1" applyFill="1" applyBorder="1" applyAlignment="1" applyProtection="1">
      <alignment horizontal="right" vertical="top" wrapText="1" readingOrder="1"/>
      <protection locked="0"/>
    </xf>
    <xf numFmtId="0" fontId="8" fillId="3" borderId="19" xfId="57" applyFont="1" applyFill="1" applyBorder="1"/>
    <xf numFmtId="0" fontId="10" fillId="3" borderId="59" xfId="57" applyFont="1" applyFill="1" applyBorder="1" applyAlignment="1" applyProtection="1">
      <alignment horizontal="center" vertical="center" wrapText="1" readingOrder="1"/>
      <protection locked="0"/>
    </xf>
    <xf numFmtId="0" fontId="10" fillId="3" borderId="60" xfId="57" applyFont="1" applyFill="1" applyBorder="1" applyAlignment="1" applyProtection="1">
      <alignment horizontal="center" vertical="center" wrapText="1" readingOrder="1"/>
      <protection locked="0"/>
    </xf>
    <xf numFmtId="0" fontId="10" fillId="3" borderId="61" xfId="57" applyFont="1" applyFill="1" applyBorder="1" applyAlignment="1" applyProtection="1">
      <alignment horizontal="center" vertical="center" wrapText="1" readingOrder="1"/>
      <protection locked="0"/>
    </xf>
    <xf numFmtId="0" fontId="10" fillId="3" borderId="62" xfId="57" applyFont="1" applyFill="1" applyBorder="1" applyAlignment="1" applyProtection="1">
      <alignment horizontal="center" vertical="center" wrapText="1" readingOrder="1"/>
      <protection locked="0"/>
    </xf>
    <xf numFmtId="0" fontId="9" fillId="3" borderId="8" xfId="57" applyFont="1" applyFill="1" applyBorder="1" applyAlignment="1" applyProtection="1">
      <alignment vertical="top" wrapText="1" readingOrder="1"/>
      <protection locked="0"/>
    </xf>
    <xf numFmtId="0" fontId="9" fillId="3" borderId="0" xfId="57" applyFont="1" applyFill="1" applyBorder="1" applyAlignment="1" applyProtection="1">
      <alignment vertical="top" wrapText="1" readingOrder="1"/>
      <protection locked="0"/>
    </xf>
    <xf numFmtId="0" fontId="10" fillId="0" borderId="1" xfId="0" applyFont="1" applyBorder="1" applyAlignment="1" applyProtection="1">
      <alignment vertical="center" wrapText="1" readingOrder="1"/>
      <protection locked="0"/>
    </xf>
    <xf numFmtId="0" fontId="10" fillId="0" borderId="17" xfId="0" applyFont="1" applyBorder="1" applyAlignment="1" applyProtection="1">
      <alignment horizontal="center" vertical="center" wrapText="1" readingOrder="1"/>
      <protection locked="0"/>
    </xf>
    <xf numFmtId="0" fontId="9" fillId="0" borderId="2" xfId="0" applyFont="1" applyBorder="1" applyAlignment="1" applyProtection="1">
      <alignment vertical="center" wrapText="1" readingOrder="1"/>
      <protection locked="0"/>
    </xf>
    <xf numFmtId="168" fontId="17" fillId="0" borderId="7" xfId="7" applyNumberFormat="1" applyFont="1" applyBorder="1" applyAlignment="1" applyProtection="1">
      <alignment horizontal="right" vertical="center" wrapText="1" readingOrder="1"/>
      <protection locked="0"/>
    </xf>
    <xf numFmtId="0" fontId="9" fillId="0" borderId="3" xfId="0" applyFont="1" applyBorder="1" applyAlignment="1" applyProtection="1">
      <alignment vertical="center" wrapText="1" readingOrder="1"/>
      <protection locked="0"/>
    </xf>
    <xf numFmtId="0" fontId="9" fillId="0" borderId="18" xfId="0" applyFont="1" applyBorder="1" applyAlignment="1" applyProtection="1">
      <alignment vertical="center" wrapText="1" readingOrder="1"/>
      <protection locked="0"/>
    </xf>
    <xf numFmtId="168" fontId="10" fillId="0" borderId="16" xfId="7" applyNumberFormat="1" applyFont="1" applyBorder="1" applyAlignment="1" applyProtection="1">
      <alignment horizontal="right" vertical="center" wrapText="1" readingOrder="1"/>
      <protection locked="0"/>
    </xf>
    <xf numFmtId="0" fontId="8" fillId="0" borderId="0" xfId="4" applyFont="1" applyAlignment="1" applyProtection="1">
      <alignment vertical="center" wrapText="1" readingOrder="1"/>
      <protection locked="0"/>
    </xf>
    <xf numFmtId="3" fontId="18" fillId="0" borderId="97" xfId="1" applyNumberFormat="1" applyFont="1" applyBorder="1" applyAlignment="1" applyProtection="1">
      <alignment horizontal="right" vertical="center" wrapText="1" readingOrder="1"/>
      <protection locked="0"/>
    </xf>
    <xf numFmtId="3" fontId="8" fillId="0" borderId="99" xfId="1" applyNumberFormat="1" applyFont="1" applyBorder="1" applyAlignment="1" applyProtection="1">
      <alignment horizontal="right" vertical="center" wrapText="1" readingOrder="1"/>
      <protection locked="0"/>
    </xf>
    <xf numFmtId="3" fontId="8" fillId="0" borderId="100" xfId="1" applyNumberFormat="1" applyFont="1" applyBorder="1" applyAlignment="1" applyProtection="1">
      <alignment horizontal="right" vertical="center" wrapText="1" readingOrder="1"/>
      <protection locked="0"/>
    </xf>
    <xf numFmtId="3" fontId="8" fillId="0" borderId="101" xfId="1" applyNumberFormat="1" applyFont="1" applyBorder="1" applyAlignment="1" applyProtection="1">
      <alignment horizontal="right" vertical="center" wrapText="1" readingOrder="1"/>
      <protection locked="0"/>
    </xf>
    <xf numFmtId="0" fontId="18" fillId="0" borderId="93" xfId="4" applyFont="1" applyBorder="1" applyAlignment="1" applyProtection="1">
      <alignment horizontal="left" vertical="center" wrapText="1" readingOrder="1"/>
      <protection locked="0"/>
    </xf>
    <xf numFmtId="0" fontId="8" fillId="0" borderId="69" xfId="4" applyFont="1" applyBorder="1" applyAlignment="1" applyProtection="1">
      <alignment horizontal="left" vertical="center" wrapText="1" readingOrder="1"/>
      <protection locked="0"/>
    </xf>
    <xf numFmtId="0" fontId="8" fillId="0" borderId="94" xfId="4" applyFont="1" applyBorder="1" applyAlignment="1" applyProtection="1">
      <alignment horizontal="left" vertical="center" wrapText="1" readingOrder="1"/>
      <protection locked="0"/>
    </xf>
    <xf numFmtId="0" fontId="18" fillId="0" borderId="1" xfId="4" applyFont="1" applyBorder="1" applyAlignment="1" applyProtection="1">
      <alignment horizontal="left" vertical="center" wrapText="1" readingOrder="1"/>
      <protection locked="0"/>
    </xf>
    <xf numFmtId="0" fontId="8" fillId="0" borderId="3" xfId="4" applyFont="1" applyBorder="1" applyAlignment="1" applyProtection="1">
      <alignment horizontal="left" vertical="center" wrapText="1" readingOrder="1"/>
      <protection locked="0"/>
    </xf>
    <xf numFmtId="3" fontId="8" fillId="0" borderId="128" xfId="1" applyNumberFormat="1" applyFont="1" applyBorder="1" applyAlignment="1" applyProtection="1">
      <alignment horizontal="right" vertical="center" wrapText="1" readingOrder="1"/>
      <protection locked="0"/>
    </xf>
    <xf numFmtId="0" fontId="9" fillId="0" borderId="3" xfId="4" applyFont="1" applyBorder="1" applyAlignment="1" applyProtection="1">
      <alignment vertical="center" wrapText="1" readingOrder="1"/>
      <protection locked="0"/>
    </xf>
    <xf numFmtId="168" fontId="11" fillId="0" borderId="7" xfId="7" applyNumberFormat="1" applyFont="1" applyBorder="1" applyAlignment="1" applyProtection="1">
      <alignment horizontal="right" vertical="center" wrapText="1" readingOrder="1"/>
      <protection locked="0"/>
    </xf>
    <xf numFmtId="168" fontId="12" fillId="0" borderId="5" xfId="7" applyNumberFormat="1" applyFont="1" applyBorder="1" applyAlignment="1" applyProtection="1">
      <alignment horizontal="right" vertical="center" wrapText="1" readingOrder="1"/>
      <protection locked="0"/>
    </xf>
    <xf numFmtId="0" fontId="10" fillId="2" borderId="5" xfId="4" applyFont="1" applyFill="1" applyBorder="1" applyAlignment="1" applyProtection="1">
      <alignment horizontal="right" vertical="center" wrapText="1" readingOrder="1"/>
      <protection locked="0"/>
    </xf>
    <xf numFmtId="0" fontId="9" fillId="0" borderId="3" xfId="4" applyFont="1" applyBorder="1" applyAlignment="1" applyProtection="1">
      <alignment horizontal="left" vertical="center" wrapText="1" readingOrder="1"/>
      <protection locked="0"/>
    </xf>
    <xf numFmtId="3" fontId="9" fillId="0" borderId="9" xfId="1" applyNumberFormat="1" applyFont="1" applyBorder="1" applyAlignment="1" applyProtection="1">
      <alignment horizontal="right" vertical="center" wrapText="1" readingOrder="1"/>
      <protection locked="0"/>
    </xf>
    <xf numFmtId="3" fontId="10" fillId="0" borderId="4" xfId="1" applyNumberFormat="1" applyFont="1" applyBorder="1" applyAlignment="1" applyProtection="1">
      <alignment horizontal="right" vertical="center" wrapText="1" readingOrder="1"/>
      <protection locked="0"/>
    </xf>
    <xf numFmtId="0" fontId="9" fillId="0" borderId="0" xfId="4" applyFont="1" applyAlignment="1" applyProtection="1">
      <alignment vertical="center" wrapText="1" readingOrder="1"/>
      <protection locked="0"/>
    </xf>
    <xf numFmtId="0" fontId="9" fillId="0" borderId="2" xfId="4" applyFont="1" applyBorder="1" applyAlignment="1" applyProtection="1">
      <alignment vertical="center" wrapText="1" readingOrder="1"/>
      <protection locked="0"/>
    </xf>
    <xf numFmtId="0" fontId="9" fillId="0" borderId="11" xfId="4" applyFont="1" applyBorder="1" applyAlignment="1" applyProtection="1">
      <alignment vertical="center" wrapText="1" readingOrder="1"/>
      <protection locked="0"/>
    </xf>
    <xf numFmtId="0" fontId="8" fillId="0" borderId="0" xfId="4" applyFont="1" applyAlignment="1">
      <alignment vertical="center"/>
    </xf>
    <xf numFmtId="3" fontId="9" fillId="0" borderId="10" xfId="1" applyNumberFormat="1" applyFont="1" applyBorder="1" applyAlignment="1" applyProtection="1">
      <alignment horizontal="right" vertical="center" wrapText="1" readingOrder="1"/>
      <protection locked="0"/>
    </xf>
    <xf numFmtId="3" fontId="9" fillId="0" borderId="6" xfId="1" applyNumberFormat="1" applyFont="1" applyBorder="1" applyAlignment="1" applyProtection="1">
      <alignment horizontal="right" vertical="center" wrapText="1" readingOrder="1"/>
      <protection locked="0"/>
    </xf>
    <xf numFmtId="3" fontId="9" fillId="0" borderId="12" xfId="1" applyNumberFormat="1" applyFont="1" applyBorder="1" applyAlignment="1" applyProtection="1">
      <alignment horizontal="right" vertical="center" wrapText="1" readingOrder="1"/>
      <protection locked="0"/>
    </xf>
    <xf numFmtId="3" fontId="10" fillId="0" borderId="4" xfId="1" applyNumberFormat="1" applyFont="1" applyBorder="1" applyAlignment="1" applyProtection="1">
      <alignment horizontal="right" vertical="top" wrapText="1" readingOrder="1"/>
      <protection locked="0"/>
    </xf>
    <xf numFmtId="0" fontId="9" fillId="0" borderId="3" xfId="4" applyNumberFormat="1" applyFont="1" applyBorder="1" applyAlignment="1" applyProtection="1">
      <alignment horizontal="left" vertical="center" wrapText="1" readingOrder="1"/>
      <protection locked="0"/>
    </xf>
    <xf numFmtId="3" fontId="9" fillId="0" borderId="6" xfId="1" applyNumberFormat="1" applyFont="1" applyBorder="1" applyAlignment="1" applyProtection="1">
      <alignment horizontal="right" vertical="center" readingOrder="1"/>
      <protection locked="0"/>
    </xf>
    <xf numFmtId="3" fontId="8" fillId="0" borderId="6" xfId="1" applyNumberFormat="1" applyFont="1" applyBorder="1" applyAlignment="1" applyProtection="1">
      <alignment horizontal="right" vertical="center" readingOrder="1"/>
      <protection locked="0"/>
    </xf>
    <xf numFmtId="3" fontId="10" fillId="0" borderId="4" xfId="1" applyNumberFormat="1" applyFont="1" applyBorder="1" applyAlignment="1" applyProtection="1">
      <alignment horizontal="right" vertical="center" readingOrder="1"/>
      <protection locked="0"/>
    </xf>
    <xf numFmtId="168" fontId="10" fillId="2" borderId="5" xfId="7" applyNumberFormat="1" applyFont="1" applyFill="1" applyBorder="1" applyAlignment="1" applyProtection="1">
      <alignment horizontal="right" vertical="center" wrapText="1" readingOrder="1"/>
      <protection locked="0"/>
    </xf>
    <xf numFmtId="0" fontId="9" fillId="0" borderId="0" xfId="4" applyFont="1" applyAlignment="1" applyProtection="1">
      <alignment vertical="center" readingOrder="1"/>
      <protection locked="0"/>
    </xf>
    <xf numFmtId="0" fontId="9" fillId="0" borderId="3" xfId="4" applyFont="1" applyBorder="1" applyAlignment="1" applyProtection="1">
      <alignment vertical="center" readingOrder="1"/>
      <protection locked="0"/>
    </xf>
    <xf numFmtId="168" fontId="17" fillId="0" borderId="7" xfId="7" applyNumberFormat="1" applyFont="1" applyBorder="1" applyAlignment="1" applyProtection="1">
      <alignment horizontal="right" vertical="center" readingOrder="1"/>
      <protection locked="0"/>
    </xf>
    <xf numFmtId="0" fontId="10" fillId="0" borderId="1" xfId="4" applyFont="1" applyBorder="1" applyAlignment="1" applyProtection="1">
      <alignment vertical="center" readingOrder="1"/>
      <protection locked="0"/>
    </xf>
    <xf numFmtId="168" fontId="10" fillId="2" borderId="5" xfId="7" applyNumberFormat="1" applyFont="1" applyFill="1" applyBorder="1" applyAlignment="1" applyProtection="1">
      <alignment horizontal="right" vertical="center" readingOrder="1"/>
      <protection locked="0"/>
    </xf>
    <xf numFmtId="0" fontId="10" fillId="2" borderId="5" xfId="4" applyFont="1" applyFill="1" applyBorder="1" applyAlignment="1" applyProtection="1">
      <alignment horizontal="right" vertical="center" readingOrder="1"/>
      <protection locked="0"/>
    </xf>
    <xf numFmtId="0" fontId="9" fillId="0" borderId="0" xfId="0" applyFont="1" applyAlignment="1" applyProtection="1">
      <alignment vertical="center" wrapText="1" readingOrder="1"/>
      <protection locked="0"/>
    </xf>
    <xf numFmtId="0" fontId="9" fillId="0" borderId="3" xfId="0" applyFont="1" applyBorder="1" applyAlignment="1" applyProtection="1">
      <alignment horizontal="left" vertical="center" wrapText="1" readingOrder="1"/>
      <protection locked="0"/>
    </xf>
    <xf numFmtId="3" fontId="9" fillId="0" borderId="9" xfId="1" applyNumberFormat="1" applyFont="1" applyBorder="1" applyAlignment="1" applyProtection="1">
      <alignment horizontal="right" vertical="top" wrapText="1" readingOrder="1"/>
      <protection locked="0"/>
    </xf>
    <xf numFmtId="3" fontId="18" fillId="0" borderId="4" xfId="1" applyNumberFormat="1" applyFont="1" applyBorder="1" applyAlignment="1" applyProtection="1">
      <alignment horizontal="right" vertical="top" wrapText="1" readingOrder="1"/>
      <protection locked="0"/>
    </xf>
    <xf numFmtId="3" fontId="8" fillId="0" borderId="9" xfId="1" applyNumberFormat="1" applyFont="1" applyBorder="1" applyAlignment="1" applyProtection="1">
      <alignment horizontal="right" vertical="top" wrapText="1" readingOrder="1"/>
      <protection locked="0"/>
    </xf>
    <xf numFmtId="3" fontId="8" fillId="0" borderId="104" xfId="1" applyNumberFormat="1" applyFont="1" applyBorder="1" applyAlignment="1" applyProtection="1">
      <alignment horizontal="right" vertical="top" wrapText="1" readingOrder="1"/>
      <protection locked="0"/>
    </xf>
    <xf numFmtId="3" fontId="8" fillId="0" borderId="89" xfId="1" applyNumberFormat="1" applyFont="1" applyBorder="1" applyAlignment="1" applyProtection="1">
      <alignment horizontal="right" vertical="top" wrapText="1" readingOrder="1"/>
      <protection locked="0"/>
    </xf>
    <xf numFmtId="3" fontId="18" fillId="0" borderId="106" xfId="1" applyNumberFormat="1" applyFont="1" applyBorder="1" applyAlignment="1" applyProtection="1">
      <alignment horizontal="right" vertical="top" wrapText="1" readingOrder="1"/>
      <protection locked="0"/>
    </xf>
    <xf numFmtId="3" fontId="10" fillId="0" borderId="9" xfId="1" applyNumberFormat="1" applyFont="1" applyBorder="1" applyAlignment="1" applyProtection="1">
      <alignment horizontal="right" vertical="top" wrapText="1" readingOrder="1"/>
      <protection locked="0"/>
    </xf>
    <xf numFmtId="3" fontId="9" fillId="3" borderId="9" xfId="1" applyNumberFormat="1" applyFont="1" applyFill="1" applyBorder="1" applyAlignment="1" applyProtection="1">
      <alignment horizontal="right" vertical="top" wrapText="1" readingOrder="1"/>
      <protection locked="0"/>
    </xf>
    <xf numFmtId="3" fontId="9" fillId="3" borderId="45" xfId="1" applyNumberFormat="1" applyFont="1" applyFill="1" applyBorder="1" applyAlignment="1" applyProtection="1">
      <alignment horizontal="right" vertical="center" readingOrder="1"/>
      <protection locked="0"/>
    </xf>
    <xf numFmtId="3" fontId="9" fillId="3" borderId="46" xfId="1" applyNumberFormat="1" applyFont="1" applyFill="1" applyBorder="1" applyAlignment="1" applyProtection="1">
      <alignment horizontal="right" vertical="center" readingOrder="1"/>
      <protection locked="0"/>
    </xf>
    <xf numFmtId="3" fontId="9" fillId="3" borderId="47" xfId="1" applyNumberFormat="1" applyFont="1" applyFill="1" applyBorder="1" applyAlignment="1" applyProtection="1">
      <alignment horizontal="right" vertical="center" readingOrder="1"/>
      <protection locked="0"/>
    </xf>
    <xf numFmtId="3" fontId="9" fillId="3" borderId="27" xfId="1" applyNumberFormat="1" applyFont="1" applyFill="1" applyBorder="1" applyAlignment="1" applyProtection="1">
      <alignment horizontal="right" vertical="center" readingOrder="1"/>
      <protection locked="0"/>
    </xf>
    <xf numFmtId="3" fontId="9" fillId="3" borderId="28" xfId="1" applyNumberFormat="1" applyFont="1" applyFill="1" applyBorder="1" applyAlignment="1" applyProtection="1">
      <alignment horizontal="right" vertical="center" readingOrder="1"/>
      <protection locked="0"/>
    </xf>
    <xf numFmtId="3" fontId="9" fillId="3" borderId="29" xfId="1" applyNumberFormat="1" applyFont="1" applyFill="1" applyBorder="1" applyAlignment="1" applyProtection="1">
      <alignment horizontal="right" vertical="center" readingOrder="1"/>
      <protection locked="0"/>
    </xf>
    <xf numFmtId="3" fontId="9" fillId="3" borderId="31" xfId="1" applyNumberFormat="1" applyFont="1" applyFill="1" applyBorder="1" applyAlignment="1" applyProtection="1">
      <alignment horizontal="right" vertical="center" readingOrder="1"/>
      <protection locked="0"/>
    </xf>
    <xf numFmtId="3" fontId="9" fillId="3" borderId="32" xfId="1" applyNumberFormat="1" applyFont="1" applyFill="1" applyBorder="1" applyAlignment="1" applyProtection="1">
      <alignment horizontal="right" vertical="center" readingOrder="1"/>
      <protection locked="0"/>
    </xf>
    <xf numFmtId="3" fontId="9" fillId="3" borderId="33" xfId="1" applyNumberFormat="1" applyFont="1" applyFill="1" applyBorder="1" applyAlignment="1" applyProtection="1">
      <alignment horizontal="right" vertical="center" readingOrder="1"/>
      <protection locked="0"/>
    </xf>
    <xf numFmtId="0" fontId="9" fillId="3" borderId="44" xfId="4" applyFont="1" applyFill="1" applyBorder="1" applyAlignment="1" applyProtection="1">
      <alignment horizontal="left" vertical="center" readingOrder="1"/>
      <protection locked="0"/>
    </xf>
    <xf numFmtId="0" fontId="9" fillId="3" borderId="26" xfId="4" applyFont="1" applyFill="1" applyBorder="1" applyAlignment="1" applyProtection="1">
      <alignment horizontal="left" vertical="center" readingOrder="1"/>
      <protection locked="0"/>
    </xf>
    <xf numFmtId="0" fontId="9" fillId="3" borderId="30" xfId="4" applyFont="1" applyFill="1" applyBorder="1" applyAlignment="1" applyProtection="1">
      <alignment horizontal="left" vertical="center" readingOrder="1"/>
      <protection locked="0"/>
    </xf>
    <xf numFmtId="3" fontId="9" fillId="3" borderId="9" xfId="1" applyNumberFormat="1" applyFont="1" applyFill="1" applyBorder="1" applyAlignment="1" applyProtection="1">
      <alignment horizontal="right" vertical="center" readingOrder="1"/>
      <protection locked="0"/>
    </xf>
    <xf numFmtId="3" fontId="9" fillId="3" borderId="6" xfId="1" applyNumberFormat="1" applyFont="1" applyFill="1" applyBorder="1" applyAlignment="1" applyProtection="1">
      <alignment horizontal="right" vertical="top" wrapText="1" readingOrder="1"/>
      <protection locked="0"/>
    </xf>
    <xf numFmtId="3" fontId="10" fillId="3" borderId="4" xfId="1" applyNumberFormat="1" applyFont="1" applyFill="1" applyBorder="1" applyAlignment="1" applyProtection="1">
      <alignment horizontal="right" vertical="top" wrapText="1" readingOrder="1"/>
      <protection locked="0"/>
    </xf>
    <xf numFmtId="168" fontId="11" fillId="3" borderId="7" xfId="57" applyNumberFormat="1" applyFont="1" applyFill="1" applyBorder="1" applyAlignment="1" applyProtection="1">
      <alignment horizontal="right" vertical="top" wrapText="1" readingOrder="1"/>
      <protection locked="0"/>
    </xf>
    <xf numFmtId="3" fontId="9" fillId="3" borderId="64" xfId="1" applyNumberFormat="1" applyFont="1" applyFill="1" applyBorder="1" applyAlignment="1" applyProtection="1">
      <alignment horizontal="right" vertical="top" wrapText="1" readingOrder="1"/>
      <protection locked="0"/>
    </xf>
    <xf numFmtId="3" fontId="9" fillId="3" borderId="65" xfId="1" applyNumberFormat="1" applyFont="1" applyFill="1" applyBorder="1" applyAlignment="1" applyProtection="1">
      <alignment horizontal="right" vertical="top" wrapText="1" readingOrder="1"/>
      <protection locked="0"/>
    </xf>
    <xf numFmtId="3" fontId="9" fillId="3" borderId="66" xfId="1" applyNumberFormat="1" applyFont="1" applyFill="1" applyBorder="1" applyAlignment="1" applyProtection="1">
      <alignment horizontal="right" vertical="top" wrapText="1" readingOrder="1"/>
      <protection locked="0"/>
    </xf>
    <xf numFmtId="3" fontId="9" fillId="3" borderId="67" xfId="1" applyNumberFormat="1" applyFont="1" applyFill="1" applyBorder="1" applyAlignment="1" applyProtection="1">
      <alignment horizontal="right" vertical="top" wrapText="1" readingOrder="1"/>
      <protection locked="0"/>
    </xf>
    <xf numFmtId="3" fontId="9" fillId="3" borderId="68" xfId="1" applyNumberFormat="1" applyFont="1" applyFill="1" applyBorder="1" applyAlignment="1" applyProtection="1">
      <alignment horizontal="right" vertical="top" wrapText="1" readingOrder="1"/>
      <protection locked="0"/>
    </xf>
    <xf numFmtId="3" fontId="9" fillId="3" borderId="70" xfId="1" applyNumberFormat="1" applyFont="1" applyFill="1" applyBorder="1" applyAlignment="1" applyProtection="1">
      <alignment horizontal="right" vertical="top" wrapText="1" readingOrder="1"/>
      <protection locked="0"/>
    </xf>
    <xf numFmtId="3" fontId="9" fillId="3" borderId="71" xfId="1" applyNumberFormat="1" applyFont="1" applyFill="1" applyBorder="1" applyAlignment="1" applyProtection="1">
      <alignment horizontal="right" vertical="top" wrapText="1" readingOrder="1"/>
      <protection locked="0"/>
    </xf>
    <xf numFmtId="3" fontId="9" fillId="3" borderId="90" xfId="1" applyNumberFormat="1" applyFont="1" applyFill="1" applyBorder="1" applyAlignment="1" applyProtection="1">
      <alignment horizontal="right" vertical="top" wrapText="1" readingOrder="1"/>
      <protection locked="0"/>
    </xf>
    <xf numFmtId="3" fontId="9" fillId="3" borderId="91" xfId="1" applyNumberFormat="1" applyFont="1" applyFill="1" applyBorder="1" applyAlignment="1" applyProtection="1">
      <alignment horizontal="right" vertical="top" wrapText="1" readingOrder="1"/>
      <protection locked="0"/>
    </xf>
    <xf numFmtId="3" fontId="9" fillId="3" borderId="0" xfId="57" applyNumberFormat="1" applyFont="1" applyFill="1" applyBorder="1" applyAlignment="1" applyProtection="1">
      <alignment horizontal="right" vertical="top" wrapText="1" readingOrder="1"/>
      <protection locked="0"/>
    </xf>
    <xf numFmtId="3" fontId="9" fillId="3" borderId="72" xfId="1" applyNumberFormat="1" applyFont="1" applyFill="1" applyBorder="1" applyAlignment="1" applyProtection="1">
      <alignment horizontal="right" vertical="top" wrapText="1" readingOrder="1"/>
      <protection locked="0"/>
    </xf>
    <xf numFmtId="3" fontId="9" fillId="3" borderId="73" xfId="1" applyNumberFormat="1" applyFont="1" applyFill="1" applyBorder="1" applyAlignment="1" applyProtection="1">
      <alignment horizontal="right" vertical="top" wrapText="1" readingOrder="1"/>
      <protection locked="0"/>
    </xf>
    <xf numFmtId="3" fontId="9" fillId="3" borderId="92" xfId="1" applyNumberFormat="1" applyFont="1" applyFill="1" applyBorder="1" applyAlignment="1" applyProtection="1">
      <alignment horizontal="right" vertical="top" wrapText="1" readingOrder="1"/>
      <protection locked="0"/>
    </xf>
    <xf numFmtId="3" fontId="15" fillId="3" borderId="50" xfId="1" applyNumberFormat="1" applyFont="1" applyFill="1" applyBorder="1" applyAlignment="1" applyProtection="1">
      <alignment horizontal="right" vertical="top" wrapText="1" readingOrder="1"/>
      <protection locked="0"/>
    </xf>
    <xf numFmtId="3" fontId="15" fillId="3" borderId="49" xfId="1" applyNumberFormat="1" applyFont="1" applyFill="1" applyBorder="1" applyAlignment="1" applyProtection="1">
      <alignment horizontal="right" vertical="top" wrapText="1" readingOrder="1"/>
      <protection locked="0"/>
    </xf>
    <xf numFmtId="3" fontId="15" fillId="3" borderId="9" xfId="1" applyNumberFormat="1" applyFont="1" applyFill="1" applyBorder="1" applyAlignment="1" applyProtection="1">
      <alignment horizontal="right" vertical="top" wrapText="1" readingOrder="1"/>
      <protection locked="0"/>
    </xf>
    <xf numFmtId="3" fontId="15" fillId="3" borderId="7" xfId="1" applyNumberFormat="1" applyFont="1" applyFill="1" applyBorder="1" applyAlignment="1" applyProtection="1">
      <alignment horizontal="right" vertical="top" wrapText="1" readingOrder="1"/>
      <protection locked="0"/>
    </xf>
    <xf numFmtId="0" fontId="57" fillId="3" borderId="38" xfId="61" applyFont="1" applyFill="1" applyBorder="1" applyAlignment="1" applyProtection="1">
      <alignment horizontal="center" vertical="top" wrapText="1" readingOrder="1"/>
      <protection locked="0"/>
    </xf>
    <xf numFmtId="0" fontId="53" fillId="3" borderId="39" xfId="61" applyFont="1" applyFill="1" applyBorder="1" applyAlignment="1" applyProtection="1">
      <alignment vertical="top" wrapText="1" readingOrder="1"/>
      <protection locked="0"/>
    </xf>
    <xf numFmtId="0" fontId="53" fillId="3" borderId="28" xfId="61" applyFont="1" applyFill="1" applyBorder="1" applyAlignment="1" applyProtection="1">
      <alignment horizontal="right" vertical="top" wrapText="1" readingOrder="1"/>
      <protection locked="0"/>
    </xf>
    <xf numFmtId="166" fontId="53" fillId="3" borderId="28" xfId="61" applyNumberFormat="1" applyFont="1" applyFill="1" applyBorder="1" applyAlignment="1" applyProtection="1">
      <alignment horizontal="right" vertical="top" wrapText="1" readingOrder="1"/>
      <protection locked="0"/>
    </xf>
    <xf numFmtId="167" fontId="53" fillId="3" borderId="28" xfId="61" applyNumberFormat="1" applyFont="1" applyFill="1" applyBorder="1" applyAlignment="1" applyProtection="1">
      <alignment horizontal="right" vertical="top" wrapText="1" readingOrder="1"/>
      <protection locked="0"/>
    </xf>
    <xf numFmtId="170" fontId="53" fillId="3" borderId="28" xfId="61" applyNumberFormat="1" applyFont="1" applyFill="1" applyBorder="1" applyAlignment="1" applyProtection="1">
      <alignment horizontal="right" vertical="top" wrapText="1" readingOrder="1"/>
      <protection locked="0"/>
    </xf>
    <xf numFmtId="166" fontId="53" fillId="3" borderId="29" xfId="61" applyNumberFormat="1" applyFont="1" applyFill="1" applyBorder="1" applyAlignment="1" applyProtection="1">
      <alignment horizontal="right" vertical="top" wrapText="1" readingOrder="1"/>
      <protection locked="0"/>
    </xf>
    <xf numFmtId="0" fontId="53" fillId="3" borderId="40" xfId="61" applyFont="1" applyFill="1" applyBorder="1" applyAlignment="1" applyProtection="1">
      <alignment vertical="top" wrapText="1" readingOrder="1"/>
      <protection locked="0"/>
    </xf>
    <xf numFmtId="166" fontId="53" fillId="3" borderId="32" xfId="61" applyNumberFormat="1" applyFont="1" applyFill="1" applyBorder="1" applyAlignment="1" applyProtection="1">
      <alignment horizontal="right" vertical="top" wrapText="1" readingOrder="1"/>
      <protection locked="0"/>
    </xf>
    <xf numFmtId="167" fontId="53" fillId="3" borderId="32" xfId="61" applyNumberFormat="1" applyFont="1" applyFill="1" applyBorder="1" applyAlignment="1" applyProtection="1">
      <alignment horizontal="right" vertical="top" wrapText="1" readingOrder="1"/>
      <protection locked="0"/>
    </xf>
    <xf numFmtId="0" fontId="53" fillId="3" borderId="32" xfId="61" applyFont="1" applyFill="1" applyBorder="1" applyAlignment="1" applyProtection="1">
      <alignment horizontal="right" vertical="top" wrapText="1" readingOrder="1"/>
      <protection locked="0"/>
    </xf>
    <xf numFmtId="170" fontId="53" fillId="3" borderId="32" xfId="61" applyNumberFormat="1" applyFont="1" applyFill="1" applyBorder="1" applyAlignment="1" applyProtection="1">
      <alignment horizontal="right" vertical="top" wrapText="1" readingOrder="1"/>
      <protection locked="0"/>
    </xf>
    <xf numFmtId="166" fontId="53" fillId="3" borderId="33" xfId="61" applyNumberFormat="1" applyFont="1" applyFill="1" applyBorder="1" applyAlignment="1" applyProtection="1">
      <alignment horizontal="right" vertical="top" wrapText="1" readingOrder="1"/>
      <protection locked="0"/>
    </xf>
    <xf numFmtId="166" fontId="53" fillId="3" borderId="27" xfId="61" applyNumberFormat="1" applyFont="1" applyFill="1" applyBorder="1" applyAlignment="1" applyProtection="1">
      <alignment horizontal="right" vertical="top" wrapText="1" readingOrder="1"/>
      <protection locked="0"/>
    </xf>
    <xf numFmtId="166" fontId="53" fillId="3" borderId="31" xfId="61" applyNumberFormat="1" applyFont="1" applyFill="1" applyBorder="1" applyAlignment="1" applyProtection="1">
      <alignment horizontal="right" vertical="top" wrapText="1" readingOrder="1"/>
      <protection locked="0"/>
    </xf>
    <xf numFmtId="0" fontId="57" fillId="3" borderId="131" xfId="61" applyFont="1" applyFill="1" applyBorder="1" applyAlignment="1" applyProtection="1">
      <alignment horizontal="center" vertical="top" wrapText="1" readingOrder="1"/>
      <protection locked="0"/>
    </xf>
    <xf numFmtId="0" fontId="53" fillId="3" borderId="132" xfId="61" applyFont="1" applyFill="1" applyBorder="1" applyAlignment="1" applyProtection="1">
      <alignment vertical="top" wrapText="1" readingOrder="1"/>
      <protection locked="0"/>
    </xf>
    <xf numFmtId="0" fontId="53" fillId="3" borderId="133" xfId="61" applyFont="1" applyFill="1" applyBorder="1" applyAlignment="1" applyProtection="1">
      <alignment vertical="top" wrapText="1" readingOrder="1"/>
      <protection locked="0"/>
    </xf>
    <xf numFmtId="0" fontId="53" fillId="3" borderId="132" xfId="61" applyFont="1" applyFill="1" applyBorder="1" applyAlignment="1" applyProtection="1">
      <alignment horizontal="right" vertical="top" wrapText="1" readingOrder="1"/>
      <protection locked="0"/>
    </xf>
    <xf numFmtId="0" fontId="53" fillId="3" borderId="133" xfId="61" applyFont="1" applyFill="1" applyBorder="1" applyAlignment="1" applyProtection="1">
      <alignment horizontal="right" vertical="top" wrapText="1" readingOrder="1"/>
      <protection locked="0"/>
    </xf>
    <xf numFmtId="170" fontId="53" fillId="3" borderId="132" xfId="61" applyNumberFormat="1" applyFont="1" applyFill="1" applyBorder="1" applyAlignment="1" applyProtection="1">
      <alignment horizontal="right" vertical="top" wrapText="1" readingOrder="1"/>
      <protection locked="0"/>
    </xf>
    <xf numFmtId="170" fontId="53" fillId="3" borderId="133" xfId="61" applyNumberFormat="1" applyFont="1" applyFill="1" applyBorder="1" applyAlignment="1" applyProtection="1">
      <alignment horizontal="right" vertical="top" wrapText="1" readingOrder="1"/>
      <protection locked="0"/>
    </xf>
    <xf numFmtId="167" fontId="53" fillId="3" borderId="134" xfId="61" applyNumberFormat="1" applyFont="1" applyFill="1" applyBorder="1" applyAlignment="1" applyProtection="1">
      <alignment horizontal="right" vertical="top" wrapText="1" readingOrder="1"/>
      <protection locked="0"/>
    </xf>
    <xf numFmtId="167" fontId="53" fillId="3" borderId="132" xfId="61" applyNumberFormat="1" applyFont="1" applyFill="1" applyBorder="1" applyAlignment="1" applyProtection="1">
      <alignment horizontal="right" vertical="top" wrapText="1" readingOrder="1"/>
      <protection locked="0"/>
    </xf>
    <xf numFmtId="167" fontId="53" fillId="3" borderId="133" xfId="61" applyNumberFormat="1" applyFont="1" applyFill="1" applyBorder="1" applyAlignment="1" applyProtection="1">
      <alignment horizontal="right" vertical="top" wrapText="1" readingOrder="1"/>
      <protection locked="0"/>
    </xf>
    <xf numFmtId="0" fontId="55" fillId="3" borderId="135" xfId="61" applyFont="1" applyFill="1" applyBorder="1" applyAlignment="1" applyProtection="1">
      <alignment horizontal="center" vertical="top" wrapText="1" readingOrder="1"/>
      <protection locked="0"/>
    </xf>
    <xf numFmtId="167" fontId="53" fillId="3" borderId="136" xfId="61" applyNumberFormat="1" applyFont="1" applyFill="1" applyBorder="1" applyAlignment="1" applyProtection="1">
      <alignment horizontal="right" vertical="top" wrapText="1" readingOrder="1"/>
      <protection locked="0"/>
    </xf>
    <xf numFmtId="166" fontId="53" fillId="3" borderId="132" xfId="61" applyNumberFormat="1" applyFont="1" applyFill="1" applyBorder="1" applyAlignment="1" applyProtection="1">
      <alignment horizontal="right" vertical="top" wrapText="1" readingOrder="1"/>
      <protection locked="0"/>
    </xf>
    <xf numFmtId="166" fontId="53" fillId="3" borderId="133" xfId="61" applyNumberFormat="1" applyFont="1" applyFill="1" applyBorder="1" applyAlignment="1" applyProtection="1">
      <alignment horizontal="right" vertical="top" wrapText="1" readingOrder="1"/>
      <protection locked="0"/>
    </xf>
    <xf numFmtId="0" fontId="15" fillId="3" borderId="76" xfId="57" applyFont="1" applyFill="1" applyBorder="1" applyAlignment="1" applyProtection="1">
      <alignment horizontal="center" vertical="top" wrapText="1" readingOrder="1"/>
      <protection locked="0"/>
    </xf>
    <xf numFmtId="0" fontId="15" fillId="3" borderId="7" xfId="57" applyFont="1" applyFill="1" applyBorder="1" applyAlignment="1" applyProtection="1">
      <alignment horizontal="center" vertical="top" wrapText="1" readingOrder="1"/>
      <protection locked="0"/>
    </xf>
    <xf numFmtId="0" fontId="15" fillId="3" borderId="49" xfId="57" applyFont="1" applyFill="1" applyBorder="1" applyAlignment="1" applyProtection="1">
      <alignment horizontal="center" vertical="top" wrapText="1" readingOrder="1"/>
      <protection locked="0"/>
    </xf>
    <xf numFmtId="0" fontId="24" fillId="3" borderId="0" xfId="70" applyFont="1" applyFill="1" applyAlignment="1" applyProtection="1">
      <alignment vertical="top" wrapText="1" readingOrder="1"/>
      <protection locked="0"/>
    </xf>
    <xf numFmtId="168" fontId="10" fillId="2" borderId="5" xfId="4" applyNumberFormat="1" applyFont="1" applyFill="1" applyBorder="1" applyAlignment="1" applyProtection="1">
      <alignment horizontal="right" vertical="top" wrapText="1" readingOrder="1"/>
      <protection locked="0"/>
    </xf>
    <xf numFmtId="0" fontId="1" fillId="3" borderId="0" xfId="193" applyFont="1" applyFill="1" applyBorder="1"/>
    <xf numFmtId="0" fontId="8" fillId="0" borderId="0" xfId="0" applyFont="1"/>
    <xf numFmtId="0" fontId="8" fillId="0" borderId="0" xfId="0" applyFont="1" applyAlignment="1"/>
    <xf numFmtId="0" fontId="9" fillId="0" borderId="0" xfId="0" applyFont="1" applyAlignment="1" applyProtection="1">
      <alignment vertical="top" wrapText="1" readingOrder="1"/>
      <protection locked="0"/>
    </xf>
    <xf numFmtId="0" fontId="8" fillId="0" borderId="0" xfId="4" applyFont="1"/>
    <xf numFmtId="0" fontId="22" fillId="0" borderId="0" xfId="3" applyAlignment="1" applyProtection="1">
      <alignment vertical="top" wrapText="1" readingOrder="1"/>
      <protection locked="0"/>
    </xf>
    <xf numFmtId="0" fontId="22" fillId="0" borderId="0" xfId="3"/>
    <xf numFmtId="0" fontId="8" fillId="3" borderId="0" xfId="4" applyFont="1" applyFill="1"/>
    <xf numFmtId="0" fontId="8" fillId="3" borderId="0" xfId="57" applyFont="1" applyFill="1"/>
    <xf numFmtId="0" fontId="16" fillId="3" borderId="21" xfId="57" applyFill="1" applyBorder="1"/>
    <xf numFmtId="0" fontId="27" fillId="0" borderId="0" xfId="0" applyFont="1" applyAlignment="1">
      <alignment horizontal="left"/>
    </xf>
    <xf numFmtId="0" fontId="0" fillId="3" borderId="21" xfId="0" applyFill="1" applyBorder="1"/>
    <xf numFmtId="0" fontId="9" fillId="3" borderId="137" xfId="57" applyNumberFormat="1" applyFont="1" applyFill="1" applyBorder="1" applyAlignment="1" applyProtection="1">
      <alignment horizontal="left" vertical="top" wrapText="1" readingOrder="1"/>
      <protection locked="0"/>
    </xf>
    <xf numFmtId="0" fontId="9" fillId="3" borderId="137" xfId="57" applyFont="1" applyFill="1" applyBorder="1" applyAlignment="1" applyProtection="1">
      <alignment vertical="top" wrapText="1" readingOrder="1"/>
      <protection locked="0"/>
    </xf>
    <xf numFmtId="0" fontId="24" fillId="0" borderId="0" xfId="4" applyFont="1" applyAlignment="1"/>
    <xf numFmtId="0" fontId="24" fillId="3" borderId="0" xfId="57" applyFont="1" applyFill="1" applyAlignment="1"/>
    <xf numFmtId="0" fontId="22" fillId="0" borderId="0" xfId="3" applyAlignment="1"/>
    <xf numFmtId="0" fontId="22" fillId="0" borderId="0" xfId="3" applyAlignment="1" applyProtection="1">
      <alignment vertical="top" readingOrder="1"/>
      <protection locked="0"/>
    </xf>
    <xf numFmtId="0" fontId="24" fillId="0" borderId="0" xfId="4" applyFont="1" applyAlignment="1" applyProtection="1">
      <alignment vertical="top" wrapText="1" readingOrder="1"/>
      <protection locked="0"/>
    </xf>
    <xf numFmtId="0" fontId="22" fillId="3" borderId="0" xfId="9" applyFont="1" applyFill="1" applyBorder="1" applyAlignment="1" applyProtection="1">
      <alignment vertical="top" wrapText="1" readingOrder="1"/>
      <protection locked="0"/>
    </xf>
    <xf numFmtId="0" fontId="8" fillId="3" borderId="0" xfId="57" applyFont="1" applyFill="1" applyBorder="1"/>
    <xf numFmtId="0" fontId="8" fillId="3" borderId="0" xfId="0" applyFont="1" applyFill="1" applyBorder="1"/>
    <xf numFmtId="0" fontId="18" fillId="3" borderId="0" xfId="57" applyFont="1" applyFill="1" applyBorder="1" applyAlignment="1" applyProtection="1">
      <alignment vertical="top" wrapText="1" readingOrder="1"/>
      <protection locked="0"/>
    </xf>
    <xf numFmtId="0" fontId="8" fillId="3" borderId="0" xfId="57" applyFont="1" applyFill="1" applyBorder="1" applyAlignment="1" applyProtection="1">
      <alignment vertical="top" wrapText="1" readingOrder="1"/>
      <protection locked="0"/>
    </xf>
    <xf numFmtId="0" fontId="8" fillId="3" borderId="0" xfId="57" applyFont="1" applyFill="1" applyAlignment="1"/>
    <xf numFmtId="0" fontId="8" fillId="3" borderId="21" xfId="4" applyFont="1" applyFill="1" applyBorder="1"/>
    <xf numFmtId="0" fontId="9" fillId="3" borderId="139" xfId="57" applyFont="1" applyFill="1" applyBorder="1" applyAlignment="1" applyProtection="1">
      <alignment vertical="top" wrapText="1" readingOrder="1"/>
      <protection locked="0"/>
    </xf>
    <xf numFmtId="3" fontId="9" fillId="3" borderId="140" xfId="1" applyNumberFormat="1" applyFont="1" applyFill="1" applyBorder="1" applyAlignment="1" applyProtection="1">
      <alignment horizontal="right" vertical="top" wrapText="1" readingOrder="1"/>
      <protection locked="0"/>
    </xf>
    <xf numFmtId="3" fontId="9" fillId="3" borderId="111" xfId="1" applyNumberFormat="1" applyFont="1" applyFill="1" applyBorder="1" applyAlignment="1" applyProtection="1">
      <alignment horizontal="right" vertical="top" wrapText="1" readingOrder="1"/>
      <protection locked="0"/>
    </xf>
    <xf numFmtId="3" fontId="9" fillId="3" borderId="102" xfId="1" applyNumberFormat="1" applyFont="1" applyFill="1" applyBorder="1" applyAlignment="1" applyProtection="1">
      <alignment horizontal="right" vertical="top" wrapText="1" readingOrder="1"/>
      <protection locked="0"/>
    </xf>
    <xf numFmtId="0" fontId="53" fillId="3" borderId="31" xfId="61" applyFont="1" applyFill="1" applyBorder="1" applyAlignment="1" applyProtection="1">
      <alignment horizontal="right" vertical="top" wrapText="1" readingOrder="1"/>
      <protection locked="0"/>
    </xf>
    <xf numFmtId="0" fontId="53" fillId="3" borderId="136" xfId="61" applyFont="1" applyFill="1" applyBorder="1" applyAlignment="1" applyProtection="1">
      <alignment horizontal="right" vertical="top" wrapText="1" readingOrder="1"/>
      <protection locked="0"/>
    </xf>
    <xf numFmtId="0" fontId="53" fillId="3" borderId="33" xfId="61" applyFont="1" applyFill="1" applyBorder="1" applyAlignment="1" applyProtection="1">
      <alignment horizontal="right" vertical="top" wrapText="1" readingOrder="1"/>
      <protection locked="0"/>
    </xf>
    <xf numFmtId="0" fontId="8" fillId="3" borderId="19" xfId="61" applyFont="1" applyFill="1" applyBorder="1"/>
    <xf numFmtId="0" fontId="8" fillId="3" borderId="138" xfId="61" applyFont="1" applyFill="1" applyBorder="1"/>
    <xf numFmtId="0" fontId="8" fillId="0" borderId="0" xfId="0" applyFont="1"/>
    <xf numFmtId="0" fontId="24" fillId="0" borderId="0" xfId="4" applyFont="1" applyAlignment="1" applyProtection="1">
      <alignment vertical="top" wrapText="1" readingOrder="1"/>
      <protection locked="0"/>
    </xf>
    <xf numFmtId="0" fontId="8" fillId="3" borderId="0" xfId="61" applyFont="1" applyFill="1" applyBorder="1" applyAlignment="1" applyProtection="1">
      <alignment vertical="top" wrapText="1"/>
      <protection locked="0"/>
    </xf>
    <xf numFmtId="0" fontId="8" fillId="3" borderId="0" xfId="61" applyFont="1" applyFill="1" applyBorder="1" applyAlignment="1" applyProtection="1">
      <alignment vertical="top" wrapText="1" readingOrder="1"/>
      <protection locked="0"/>
    </xf>
    <xf numFmtId="0" fontId="17" fillId="0" borderId="141" xfId="4" applyFont="1" applyBorder="1" applyAlignment="1" applyProtection="1">
      <alignment horizontal="right" vertical="center" wrapText="1" readingOrder="1"/>
      <protection locked="0"/>
    </xf>
    <xf numFmtId="0" fontId="17" fillId="0" borderId="98" xfId="4" applyFont="1" applyBorder="1" applyAlignment="1" applyProtection="1">
      <alignment horizontal="right" vertical="center" wrapText="1" readingOrder="1"/>
      <protection locked="0"/>
    </xf>
    <xf numFmtId="168" fontId="17" fillId="0" borderId="68" xfId="7" applyNumberFormat="1" applyFont="1" applyBorder="1" applyAlignment="1" applyProtection="1">
      <alignment horizontal="right" vertical="center" wrapText="1" readingOrder="1"/>
      <protection locked="0"/>
    </xf>
    <xf numFmtId="168" fontId="11" fillId="3" borderId="142" xfId="7" applyNumberFormat="1" applyFont="1" applyFill="1" applyBorder="1" applyAlignment="1" applyProtection="1">
      <alignment horizontal="right" vertical="top" wrapText="1" readingOrder="1"/>
      <protection locked="0"/>
    </xf>
    <xf numFmtId="168" fontId="11" fillId="3" borderId="67" xfId="7" applyNumberFormat="1" applyFont="1" applyFill="1" applyBorder="1" applyAlignment="1" applyProtection="1">
      <alignment horizontal="right" vertical="top" wrapText="1" readingOrder="1"/>
      <protection locked="0"/>
    </xf>
    <xf numFmtId="168" fontId="11" fillId="3" borderId="140" xfId="7" applyNumberFormat="1" applyFont="1" applyFill="1" applyBorder="1" applyAlignment="1" applyProtection="1">
      <alignment horizontal="right" vertical="top" wrapText="1" readingOrder="1"/>
      <protection locked="0"/>
    </xf>
    <xf numFmtId="3" fontId="9" fillId="3" borderId="97" xfId="1" applyNumberFormat="1" applyFont="1" applyFill="1" applyBorder="1" applyAlignment="1" applyProtection="1">
      <alignment horizontal="right" vertical="top" wrapText="1" readingOrder="1"/>
      <protection locked="0"/>
    </xf>
    <xf numFmtId="3" fontId="9" fillId="3" borderId="109" xfId="1" applyNumberFormat="1" applyFont="1" applyFill="1" applyBorder="1" applyAlignment="1" applyProtection="1">
      <alignment horizontal="right" vertical="top" wrapText="1" readingOrder="1"/>
      <protection locked="0"/>
    </xf>
    <xf numFmtId="3" fontId="9" fillId="3" borderId="98" xfId="1" applyNumberFormat="1" applyFont="1" applyFill="1" applyBorder="1" applyAlignment="1" applyProtection="1">
      <alignment horizontal="right" vertical="top" wrapText="1" readingOrder="1"/>
      <protection locked="0"/>
    </xf>
    <xf numFmtId="3" fontId="9" fillId="3" borderId="99" xfId="1" applyNumberFormat="1" applyFont="1" applyFill="1" applyBorder="1" applyAlignment="1" applyProtection="1">
      <alignment horizontal="right" vertical="top" wrapText="1" readingOrder="1"/>
      <protection locked="0"/>
    </xf>
    <xf numFmtId="3" fontId="9" fillId="3" borderId="110" xfId="1" applyNumberFormat="1" applyFont="1" applyFill="1" applyBorder="1" applyAlignment="1" applyProtection="1">
      <alignment horizontal="right" vertical="top" wrapText="1" readingOrder="1"/>
      <protection locked="0"/>
    </xf>
    <xf numFmtId="0" fontId="10" fillId="3" borderId="87" xfId="57" applyFont="1" applyFill="1" applyBorder="1" applyAlignment="1" applyProtection="1">
      <alignment vertical="top" wrapText="1" readingOrder="1"/>
      <protection locked="0"/>
    </xf>
    <xf numFmtId="3" fontId="9" fillId="3" borderId="89" xfId="1" applyNumberFormat="1" applyFont="1" applyFill="1" applyBorder="1" applyAlignment="1" applyProtection="1">
      <alignment horizontal="right" vertical="center" readingOrder="1"/>
      <protection locked="0"/>
    </xf>
    <xf numFmtId="168" fontId="11" fillId="3" borderId="28" xfId="7" applyNumberFormat="1" applyFont="1" applyFill="1" applyBorder="1" applyAlignment="1" applyProtection="1">
      <alignment horizontal="right" vertical="top" wrapText="1" readingOrder="1"/>
      <protection locked="0"/>
    </xf>
    <xf numFmtId="3" fontId="10" fillId="3" borderId="130" xfId="1" applyNumberFormat="1" applyFont="1" applyFill="1" applyBorder="1" applyAlignment="1" applyProtection="1">
      <alignment horizontal="right" vertical="center" readingOrder="1"/>
      <protection locked="0"/>
    </xf>
    <xf numFmtId="0" fontId="18" fillId="3" borderId="95" xfId="57" applyFont="1" applyFill="1" applyBorder="1" applyAlignment="1" applyProtection="1">
      <alignment horizontal="center" vertical="center" wrapText="1" readingOrder="1"/>
      <protection locked="0"/>
    </xf>
    <xf numFmtId="3" fontId="9" fillId="3" borderId="97" xfId="1" applyNumberFormat="1" applyFont="1" applyFill="1" applyBorder="1" applyAlignment="1" applyProtection="1">
      <alignment horizontal="right" vertical="center" readingOrder="1"/>
      <protection locked="0"/>
    </xf>
    <xf numFmtId="3" fontId="9" fillId="3" borderId="109" xfId="1" applyNumberFormat="1" applyFont="1" applyFill="1" applyBorder="1" applyAlignment="1" applyProtection="1">
      <alignment horizontal="right" vertical="center" readingOrder="1"/>
      <protection locked="0"/>
    </xf>
    <xf numFmtId="3" fontId="9" fillId="3" borderId="99" xfId="1" applyNumberFormat="1" applyFont="1" applyFill="1" applyBorder="1" applyAlignment="1" applyProtection="1">
      <alignment horizontal="right" vertical="center" readingOrder="1"/>
      <protection locked="0"/>
    </xf>
    <xf numFmtId="3" fontId="9" fillId="3" borderId="143" xfId="1" applyNumberFormat="1" applyFont="1" applyFill="1" applyBorder="1" applyAlignment="1" applyProtection="1">
      <alignment horizontal="right" vertical="center" readingOrder="1"/>
      <protection locked="0"/>
    </xf>
    <xf numFmtId="0" fontId="26" fillId="3" borderId="95" xfId="57" applyFont="1" applyFill="1" applyBorder="1" applyAlignment="1" applyProtection="1">
      <alignment horizontal="center" vertical="center" wrapText="1" readingOrder="1"/>
      <protection locked="0"/>
    </xf>
    <xf numFmtId="0" fontId="26" fillId="3" borderId="108" xfId="57" applyFont="1" applyFill="1" applyBorder="1" applyAlignment="1" applyProtection="1">
      <alignment horizontal="center" vertical="center" wrapText="1" readingOrder="1"/>
      <protection locked="0"/>
    </xf>
    <xf numFmtId="0" fontId="26" fillId="3" borderId="96" xfId="57" applyFont="1" applyFill="1" applyBorder="1" applyAlignment="1" applyProtection="1">
      <alignment horizontal="center" vertical="center" wrapText="1" readingOrder="1"/>
      <protection locked="0"/>
    </xf>
    <xf numFmtId="168" fontId="11" fillId="3" borderId="38" xfId="7" applyNumberFormat="1" applyFont="1" applyFill="1" applyBorder="1" applyAlignment="1" applyProtection="1">
      <alignment horizontal="right" vertical="top" wrapText="1" readingOrder="1"/>
      <protection locked="0"/>
    </xf>
    <xf numFmtId="168" fontId="11" fillId="3" borderId="24" xfId="7" applyNumberFormat="1" applyFont="1" applyFill="1" applyBorder="1" applyAlignment="1" applyProtection="1">
      <alignment horizontal="right" vertical="top" wrapText="1" readingOrder="1"/>
      <protection locked="0"/>
    </xf>
    <xf numFmtId="168" fontId="11" fillId="3" borderId="25" xfId="7" applyNumberFormat="1" applyFont="1" applyFill="1" applyBorder="1" applyAlignment="1" applyProtection="1">
      <alignment horizontal="right" vertical="top" wrapText="1" readingOrder="1"/>
      <protection locked="0"/>
    </xf>
    <xf numFmtId="168" fontId="11" fillId="3" borderId="39" xfId="7" applyNumberFormat="1" applyFont="1" applyFill="1" applyBorder="1" applyAlignment="1" applyProtection="1">
      <alignment horizontal="right" vertical="top" wrapText="1" readingOrder="1"/>
      <protection locked="0"/>
    </xf>
    <xf numFmtId="168" fontId="11" fillId="3" borderId="29" xfId="7" applyNumberFormat="1" applyFont="1" applyFill="1" applyBorder="1" applyAlignment="1" applyProtection="1">
      <alignment horizontal="right" vertical="top" wrapText="1" readingOrder="1"/>
      <protection locked="0"/>
    </xf>
    <xf numFmtId="168" fontId="11" fillId="3" borderId="40" xfId="7" applyNumberFormat="1" applyFont="1" applyFill="1" applyBorder="1" applyAlignment="1" applyProtection="1">
      <alignment horizontal="right" vertical="top" wrapText="1" readingOrder="1"/>
      <protection locked="0"/>
    </xf>
    <xf numFmtId="168" fontId="11" fillId="3" borderId="32" xfId="7" applyNumberFormat="1" applyFont="1" applyFill="1" applyBorder="1" applyAlignment="1" applyProtection="1">
      <alignment horizontal="right" vertical="top" wrapText="1" readingOrder="1"/>
      <protection locked="0"/>
    </xf>
    <xf numFmtId="168" fontId="11" fillId="3" borderId="33" xfId="7" applyNumberFormat="1" applyFont="1" applyFill="1" applyBorder="1" applyAlignment="1" applyProtection="1">
      <alignment horizontal="right" vertical="top" wrapText="1" readingOrder="1"/>
      <protection locked="0"/>
    </xf>
    <xf numFmtId="0" fontId="8" fillId="0" borderId="0" xfId="4" applyFont="1"/>
    <xf numFmtId="169" fontId="8" fillId="0" borderId="0" xfId="1" applyNumberFormat="1" applyFont="1" applyAlignment="1"/>
    <xf numFmtId="169" fontId="1" fillId="3" borderId="0" xfId="1" applyNumberFormat="1" applyFont="1" applyFill="1"/>
    <xf numFmtId="0" fontId="8" fillId="0" borderId="0" xfId="1" applyNumberFormat="1" applyFont="1"/>
    <xf numFmtId="3" fontId="9" fillId="3" borderId="145" xfId="1" applyNumberFormat="1" applyFont="1" applyFill="1" applyBorder="1" applyAlignment="1" applyProtection="1">
      <alignment horizontal="right" vertical="top" wrapText="1" readingOrder="1"/>
      <protection locked="0"/>
    </xf>
    <xf numFmtId="3" fontId="9" fillId="3" borderId="144" xfId="1" applyNumberFormat="1" applyFont="1" applyFill="1" applyBorder="1" applyAlignment="1" applyProtection="1">
      <alignment horizontal="right" vertical="top" wrapText="1" readingOrder="1"/>
      <protection locked="0"/>
    </xf>
    <xf numFmtId="0" fontId="0" fillId="3" borderId="0" xfId="0" applyNumberFormat="1" applyFill="1"/>
    <xf numFmtId="0" fontId="8" fillId="0" borderId="0" xfId="4" applyFont="1"/>
    <xf numFmtId="0" fontId="22" fillId="0" borderId="0" xfId="3" applyAlignment="1">
      <alignment horizontal="left"/>
    </xf>
    <xf numFmtId="0" fontId="8" fillId="3" borderId="0" xfId="57" applyNumberFormat="1" applyFont="1" applyFill="1"/>
    <xf numFmtId="0" fontId="8" fillId="3" borderId="0" xfId="0" applyNumberFormat="1" applyFont="1" applyFill="1"/>
    <xf numFmtId="0" fontId="8" fillId="3" borderId="0" xfId="7" applyNumberFormat="1" applyFont="1" applyFill="1"/>
    <xf numFmtId="0" fontId="8" fillId="3" borderId="0" xfId="61" applyFill="1"/>
    <xf numFmtId="0" fontId="8" fillId="3" borderId="0" xfId="70" applyFont="1" applyFill="1"/>
    <xf numFmtId="0" fontId="22" fillId="3" borderId="0" xfId="3" applyFont="1" applyFill="1"/>
    <xf numFmtId="0" fontId="18" fillId="3" borderId="22" xfId="61" applyFont="1" applyFill="1" applyBorder="1"/>
    <xf numFmtId="0" fontId="8" fillId="3" borderId="146" xfId="61" applyFill="1" applyBorder="1"/>
    <xf numFmtId="0" fontId="8" fillId="3" borderId="147" xfId="61" applyFill="1" applyBorder="1"/>
    <xf numFmtId="0" fontId="8" fillId="3" borderId="0" xfId="61" applyFont="1" applyFill="1"/>
    <xf numFmtId="0" fontId="8" fillId="3" borderId="148" xfId="61" applyFill="1" applyBorder="1"/>
    <xf numFmtId="0" fontId="18" fillId="3" borderId="149" xfId="61" applyFont="1" applyFill="1" applyBorder="1" applyAlignment="1">
      <alignment horizontal="center" vertical="center"/>
    </xf>
    <xf numFmtId="0" fontId="18" fillId="3" borderId="22" xfId="61" applyFont="1" applyFill="1" applyBorder="1" applyAlignment="1">
      <alignment horizontal="center" vertical="center"/>
    </xf>
    <xf numFmtId="0" fontId="18" fillId="3" borderId="43" xfId="61" applyFont="1" applyFill="1" applyBorder="1" applyAlignment="1">
      <alignment horizontal="center" vertical="center"/>
    </xf>
    <xf numFmtId="0" fontId="29" fillId="0" borderId="0" xfId="0" applyFont="1" applyAlignment="1" applyProtection="1">
      <alignment vertical="top" wrapText="1" readingOrder="1"/>
      <protection locked="0"/>
    </xf>
    <xf numFmtId="0" fontId="8" fillId="0" borderId="0" xfId="0" applyFont="1"/>
    <xf numFmtId="0" fontId="8" fillId="0" borderId="0" xfId="61" applyFill="1"/>
    <xf numFmtId="0" fontId="8" fillId="0" borderId="0" xfId="0" applyFont="1" applyFill="1"/>
    <xf numFmtId="0" fontId="22" fillId="0" borderId="0" xfId="3"/>
    <xf numFmtId="3" fontId="18" fillId="3" borderId="22" xfId="61" applyNumberFormat="1" applyFont="1" applyFill="1" applyBorder="1"/>
    <xf numFmtId="3" fontId="8" fillId="3" borderId="148" xfId="61" applyNumberFormat="1" applyFill="1" applyBorder="1"/>
    <xf numFmtId="3" fontId="8" fillId="3" borderId="147" xfId="61" applyNumberFormat="1" applyFill="1" applyBorder="1"/>
    <xf numFmtId="3" fontId="8" fillId="3" borderId="146" xfId="61" applyNumberFormat="1" applyFill="1" applyBorder="1"/>
    <xf numFmtId="0" fontId="18" fillId="3" borderId="150" xfId="61" applyFont="1" applyFill="1" applyBorder="1" applyAlignment="1">
      <alignment horizontal="center" vertical="center"/>
    </xf>
    <xf numFmtId="0" fontId="8" fillId="0" borderId="0" xfId="0" applyFont="1"/>
    <xf numFmtId="0" fontId="8" fillId="0" borderId="0" xfId="4" applyFont="1"/>
    <xf numFmtId="0" fontId="8" fillId="3" borderId="0" xfId="57" applyFont="1" applyFill="1"/>
    <xf numFmtId="0" fontId="8" fillId="0" borderId="0" xfId="0" applyFont="1"/>
    <xf numFmtId="168" fontId="8" fillId="0" borderId="0" xfId="7" applyNumberFormat="1" applyFont="1"/>
    <xf numFmtId="3" fontId="9" fillId="0" borderId="79" xfId="1" applyNumberFormat="1" applyFont="1" applyFill="1" applyBorder="1" applyAlignment="1" applyProtection="1">
      <alignment horizontal="right" vertical="center" wrapText="1" readingOrder="1"/>
      <protection locked="0"/>
    </xf>
    <xf numFmtId="3" fontId="9" fillId="0" borderId="83" xfId="1" applyNumberFormat="1" applyFont="1" applyFill="1" applyBorder="1" applyAlignment="1" applyProtection="1">
      <alignment horizontal="right" vertical="center" wrapText="1" readingOrder="1"/>
      <protection locked="0"/>
    </xf>
    <xf numFmtId="168" fontId="17" fillId="0" borderId="7" xfId="7" applyNumberFormat="1" applyFont="1" applyFill="1" applyBorder="1" applyAlignment="1" applyProtection="1">
      <alignment horizontal="right" vertical="center" wrapText="1" readingOrder="1"/>
      <protection locked="0"/>
    </xf>
    <xf numFmtId="3" fontId="9" fillId="0" borderId="80" xfId="1" applyNumberFormat="1" applyFont="1" applyFill="1" applyBorder="1" applyAlignment="1" applyProtection="1">
      <alignment horizontal="right" vertical="center" wrapText="1" readingOrder="1"/>
      <protection locked="0"/>
    </xf>
    <xf numFmtId="3" fontId="9" fillId="0" borderId="84" xfId="1" applyNumberFormat="1" applyFont="1" applyFill="1" applyBorder="1" applyAlignment="1" applyProtection="1">
      <alignment horizontal="right" vertical="center" wrapText="1" readingOrder="1"/>
      <protection locked="0"/>
    </xf>
    <xf numFmtId="3" fontId="9" fillId="0" borderId="81" xfId="1" applyNumberFormat="1" applyFont="1" applyFill="1" applyBorder="1" applyAlignment="1" applyProtection="1">
      <alignment horizontal="right" vertical="center" wrapText="1" readingOrder="1"/>
      <protection locked="0"/>
    </xf>
    <xf numFmtId="3" fontId="9" fillId="0" borderId="85" xfId="1" applyNumberFormat="1" applyFont="1" applyFill="1" applyBorder="1" applyAlignment="1" applyProtection="1">
      <alignment horizontal="right" vertical="center" wrapText="1" readingOrder="1"/>
      <protection locked="0"/>
    </xf>
    <xf numFmtId="3" fontId="10" fillId="0" borderId="77" xfId="1" applyNumberFormat="1" applyFont="1" applyFill="1" applyBorder="1" applyAlignment="1" applyProtection="1">
      <alignment horizontal="right" vertical="center" wrapText="1" readingOrder="1"/>
      <protection locked="0"/>
    </xf>
    <xf numFmtId="3" fontId="10" fillId="0" borderId="82" xfId="1" applyNumberFormat="1" applyFont="1" applyFill="1" applyBorder="1" applyAlignment="1" applyProtection="1">
      <alignment horizontal="right" vertical="center" wrapText="1" readingOrder="1"/>
      <protection locked="0"/>
    </xf>
    <xf numFmtId="168" fontId="10" fillId="0" borderId="16" xfId="7" applyNumberFormat="1" applyFont="1" applyFill="1" applyBorder="1" applyAlignment="1" applyProtection="1">
      <alignment horizontal="right" vertical="center" wrapText="1" readingOrder="1"/>
      <protection locked="0"/>
    </xf>
    <xf numFmtId="9" fontId="8" fillId="3" borderId="0" xfId="7" applyFont="1" applyFill="1"/>
    <xf numFmtId="171" fontId="8" fillId="3" borderId="0" xfId="7" applyNumberFormat="1" applyFont="1" applyFill="1"/>
    <xf numFmtId="11" fontId="8" fillId="0" borderId="0" xfId="4" applyNumberFormat="1" applyFont="1"/>
    <xf numFmtId="168" fontId="9" fillId="0" borderId="9" xfId="7" applyNumberFormat="1" applyFont="1" applyBorder="1" applyAlignment="1" applyProtection="1">
      <alignment horizontal="right" vertical="top" wrapText="1" readingOrder="1"/>
      <protection locked="0"/>
    </xf>
    <xf numFmtId="0" fontId="8" fillId="0" borderId="0" xfId="70"/>
    <xf numFmtId="0" fontId="24" fillId="0" borderId="0" xfId="0" applyFont="1" applyAlignment="1" applyProtection="1">
      <alignment vertical="top" wrapText="1" readingOrder="1"/>
      <protection locked="0"/>
    </xf>
    <xf numFmtId="0" fontId="8" fillId="0" borderId="0" xfId="4" applyFont="1"/>
    <xf numFmtId="168" fontId="17" fillId="0" borderId="102" xfId="7" applyNumberFormat="1" applyFont="1" applyBorder="1" applyAlignment="1" applyProtection="1">
      <alignment horizontal="right" vertical="center" wrapText="1" readingOrder="1"/>
      <protection locked="0"/>
    </xf>
    <xf numFmtId="3" fontId="8" fillId="0" borderId="151" xfId="1" applyNumberFormat="1" applyFont="1" applyBorder="1" applyAlignment="1" applyProtection="1">
      <alignment horizontal="right" vertical="center" wrapText="1" readingOrder="1"/>
      <protection locked="0"/>
    </xf>
    <xf numFmtId="168" fontId="12" fillId="3" borderId="130" xfId="7" applyNumberFormat="1" applyFont="1" applyFill="1" applyBorder="1" applyAlignment="1" applyProtection="1">
      <alignment horizontal="right" vertical="top" wrapText="1" readingOrder="1"/>
      <protection locked="0"/>
    </xf>
    <xf numFmtId="168" fontId="9" fillId="0" borderId="49" xfId="7" applyNumberFormat="1" applyFont="1" applyBorder="1" applyAlignment="1" applyProtection="1">
      <alignment horizontal="right" vertical="top" wrapText="1" readingOrder="1"/>
      <protection locked="0"/>
    </xf>
    <xf numFmtId="168" fontId="9" fillId="0" borderId="7" xfId="7" applyNumberFormat="1" applyFont="1" applyBorder="1" applyAlignment="1" applyProtection="1">
      <alignment horizontal="right" vertical="top" wrapText="1" readingOrder="1"/>
      <protection locked="0"/>
    </xf>
    <xf numFmtId="168" fontId="9" fillId="0" borderId="152" xfId="7" applyNumberFormat="1" applyFont="1" applyBorder="1" applyAlignment="1" applyProtection="1">
      <alignment horizontal="right" vertical="top" wrapText="1" readingOrder="1"/>
      <protection locked="0"/>
    </xf>
    <xf numFmtId="0" fontId="8" fillId="0" borderId="0" xfId="0" applyFont="1" applyFill="1" applyAlignment="1">
      <alignment horizontal="left"/>
    </xf>
    <xf numFmtId="3" fontId="9" fillId="3" borderId="6" xfId="1" applyNumberFormat="1" applyFont="1" applyFill="1" applyBorder="1" applyAlignment="1" applyProtection="1">
      <alignment horizontal="right" vertical="center" readingOrder="1"/>
      <protection locked="0"/>
    </xf>
    <xf numFmtId="168" fontId="17" fillId="3" borderId="7" xfId="7" applyNumberFormat="1" applyFont="1" applyFill="1" applyBorder="1" applyAlignment="1" applyProtection="1">
      <alignment horizontal="right" vertical="center" readingOrder="1"/>
      <protection locked="0"/>
    </xf>
    <xf numFmtId="0" fontId="0" fillId="0" borderId="0" xfId="0" applyFill="1"/>
    <xf numFmtId="0" fontId="62" fillId="3" borderId="38" xfId="61" applyFont="1" applyFill="1" applyBorder="1" applyAlignment="1" applyProtection="1">
      <alignment vertical="top" wrapText="1" readingOrder="1"/>
      <protection locked="0"/>
    </xf>
    <xf numFmtId="0" fontId="62" fillId="3" borderId="131" xfId="61" applyFont="1" applyFill="1" applyBorder="1" applyAlignment="1" applyProtection="1">
      <alignment vertical="top" wrapText="1" readingOrder="1"/>
      <protection locked="0"/>
    </xf>
    <xf numFmtId="166" fontId="62" fillId="3" borderId="129" xfId="61" applyNumberFormat="1" applyFont="1" applyFill="1" applyBorder="1" applyAlignment="1" applyProtection="1">
      <alignment horizontal="right" vertical="top" wrapText="1" readingOrder="1"/>
      <protection locked="0"/>
    </xf>
    <xf numFmtId="166" fontId="62" fillId="3" borderId="24" xfId="61" applyNumberFormat="1" applyFont="1" applyFill="1" applyBorder="1" applyAlignment="1" applyProtection="1">
      <alignment horizontal="right" vertical="top" wrapText="1" readingOrder="1"/>
      <protection locked="0"/>
    </xf>
    <xf numFmtId="167" fontId="62" fillId="3" borderId="24" xfId="61" applyNumberFormat="1" applyFont="1" applyFill="1" applyBorder="1" applyAlignment="1" applyProtection="1">
      <alignment horizontal="right" vertical="top" wrapText="1" readingOrder="1"/>
      <protection locked="0"/>
    </xf>
    <xf numFmtId="0" fontId="62" fillId="3" borderId="131" xfId="61" applyFont="1" applyFill="1" applyBorder="1" applyAlignment="1" applyProtection="1">
      <alignment horizontal="right" vertical="top" wrapText="1" readingOrder="1"/>
      <protection locked="0"/>
    </xf>
    <xf numFmtId="170" fontId="62" fillId="3" borderId="24" xfId="61" applyNumberFormat="1" applyFont="1" applyFill="1" applyBorder="1" applyAlignment="1" applyProtection="1">
      <alignment horizontal="right" vertical="top" wrapText="1" readingOrder="1"/>
      <protection locked="0"/>
    </xf>
    <xf numFmtId="170" fontId="62" fillId="3" borderId="131" xfId="61" applyNumberFormat="1" applyFont="1" applyFill="1" applyBorder="1" applyAlignment="1" applyProtection="1">
      <alignment horizontal="right" vertical="top" wrapText="1" readingOrder="1"/>
      <protection locked="0"/>
    </xf>
    <xf numFmtId="167" fontId="62" fillId="3" borderId="131" xfId="61" applyNumberFormat="1" applyFont="1" applyFill="1" applyBorder="1" applyAlignment="1" applyProtection="1">
      <alignment horizontal="right" vertical="top" wrapText="1" readingOrder="1"/>
      <protection locked="0"/>
    </xf>
    <xf numFmtId="167" fontId="62" fillId="3" borderId="135" xfId="61" applyNumberFormat="1" applyFont="1" applyFill="1" applyBorder="1" applyAlignment="1" applyProtection="1">
      <alignment horizontal="right" vertical="top" wrapText="1" readingOrder="1"/>
      <protection locked="0"/>
    </xf>
    <xf numFmtId="0" fontId="62" fillId="3" borderId="24" xfId="61" applyFont="1" applyFill="1" applyBorder="1" applyAlignment="1" applyProtection="1">
      <alignment horizontal="right" vertical="top" wrapText="1" readingOrder="1"/>
      <protection locked="0"/>
    </xf>
    <xf numFmtId="166" fontId="62" fillId="3" borderId="131" xfId="61" applyNumberFormat="1" applyFont="1" applyFill="1" applyBorder="1" applyAlignment="1" applyProtection="1">
      <alignment horizontal="right" vertical="top" wrapText="1" readingOrder="1"/>
      <protection locked="0"/>
    </xf>
    <xf numFmtId="166" fontId="62" fillId="3" borderId="25" xfId="61" applyNumberFormat="1" applyFont="1" applyFill="1" applyBorder="1" applyAlignment="1" applyProtection="1">
      <alignment horizontal="right" vertical="top" wrapText="1" readingOrder="1"/>
      <protection locked="0"/>
    </xf>
    <xf numFmtId="0" fontId="18" fillId="3" borderId="0" xfId="61" applyFont="1" applyFill="1" applyBorder="1"/>
    <xf numFmtId="0" fontId="18" fillId="3" borderId="0" xfId="0" applyFont="1" applyFill="1"/>
    <xf numFmtId="0" fontId="8" fillId="0" borderId="0" xfId="61" applyFont="1" applyFill="1" applyBorder="1"/>
    <xf numFmtId="0" fontId="8" fillId="0" borderId="19" xfId="0" applyFont="1" applyFill="1" applyBorder="1" applyAlignment="1">
      <alignment horizontal="left"/>
    </xf>
    <xf numFmtId="0" fontId="1" fillId="3" borderId="19" xfId="58" applyFont="1" applyFill="1" applyBorder="1"/>
    <xf numFmtId="0" fontId="0" fillId="3" borderId="19" xfId="0" applyNumberFormat="1" applyFill="1" applyBorder="1"/>
    <xf numFmtId="0" fontId="8" fillId="0" borderId="0" xfId="4" applyFont="1"/>
    <xf numFmtId="0" fontId="9" fillId="3" borderId="69" xfId="4" applyFont="1" applyFill="1" applyBorder="1" applyAlignment="1" applyProtection="1">
      <alignment vertical="top" wrapText="1" readingOrder="1"/>
      <protection locked="0"/>
    </xf>
    <xf numFmtId="3" fontId="10" fillId="0" borderId="153" xfId="185" applyNumberFormat="1" applyFont="1" applyFill="1" applyBorder="1" applyAlignment="1" applyProtection="1">
      <alignment horizontal="right" vertical="top" wrapText="1" readingOrder="1"/>
      <protection locked="0"/>
    </xf>
    <xf numFmtId="3" fontId="9" fillId="0" borderId="69" xfId="1" applyNumberFormat="1" applyFont="1" applyFill="1" applyBorder="1" applyAlignment="1" applyProtection="1">
      <alignment horizontal="right" vertical="top" wrapText="1" readingOrder="1"/>
      <protection locked="0"/>
    </xf>
    <xf numFmtId="3" fontId="10" fillId="0" borderId="155" xfId="1" applyNumberFormat="1" applyFont="1" applyBorder="1" applyAlignment="1" applyProtection="1">
      <alignment horizontal="right" vertical="top" wrapText="1" readingOrder="1"/>
      <protection locked="0"/>
    </xf>
    <xf numFmtId="3" fontId="9" fillId="0" borderId="69" xfId="1" applyNumberFormat="1" applyFont="1" applyBorder="1" applyAlignment="1" applyProtection="1">
      <alignment horizontal="right" vertical="top" wrapText="1" readingOrder="1"/>
      <protection locked="0"/>
    </xf>
    <xf numFmtId="0" fontId="8" fillId="0" borderId="0" xfId="0" applyFont="1"/>
    <xf numFmtId="0" fontId="22" fillId="0" borderId="0" xfId="3" applyAlignment="1" applyProtection="1">
      <alignment horizontal="left" vertical="top" wrapText="1" readingOrder="1"/>
      <protection locked="0"/>
    </xf>
    <xf numFmtId="0" fontId="8" fillId="0" borderId="0" xfId="4" applyFont="1"/>
    <xf numFmtId="0" fontId="9" fillId="0" borderId="0" xfId="4" applyFont="1" applyAlignment="1" applyProtection="1">
      <alignment horizontal="left" vertical="top" wrapText="1" readingOrder="1"/>
      <protection locked="0"/>
    </xf>
    <xf numFmtId="0" fontId="9" fillId="0" borderId="0" xfId="4" applyFont="1" applyAlignment="1" applyProtection="1">
      <alignment vertical="top" wrapText="1" readingOrder="1"/>
      <protection locked="0"/>
    </xf>
    <xf numFmtId="0" fontId="8" fillId="3" borderId="0" xfId="4" applyFont="1" applyFill="1"/>
    <xf numFmtId="0" fontId="8" fillId="3" borderId="0" xfId="57" applyFont="1" applyFill="1"/>
    <xf numFmtId="0" fontId="9" fillId="3" borderId="0" xfId="57" applyFont="1" applyFill="1" applyAlignment="1" applyProtection="1">
      <alignment horizontal="left" vertical="top" wrapText="1" readingOrder="1"/>
      <protection locked="0"/>
    </xf>
    <xf numFmtId="0" fontId="9" fillId="3" borderId="0" xfId="4" applyFont="1" applyFill="1" applyAlignment="1" applyProtection="1">
      <alignment horizontal="left" vertical="top" wrapText="1" readingOrder="1"/>
      <protection locked="0"/>
    </xf>
    <xf numFmtId="0" fontId="16" fillId="3" borderId="0" xfId="57" applyFill="1"/>
    <xf numFmtId="0" fontId="0" fillId="0" borderId="0" xfId="0" applyFill="1" applyAlignment="1"/>
    <xf numFmtId="0" fontId="9" fillId="3" borderId="0" xfId="70" applyFont="1" applyFill="1" applyAlignment="1" applyProtection="1">
      <alignment horizontal="left" vertical="top" wrapText="1" readingOrder="1"/>
      <protection locked="0"/>
    </xf>
    <xf numFmtId="0" fontId="18" fillId="0" borderId="87" xfId="4" applyFont="1" applyBorder="1" applyAlignment="1" applyProtection="1">
      <alignment horizontal="center" vertical="center" wrapText="1" readingOrder="1"/>
      <protection locked="0"/>
    </xf>
    <xf numFmtId="3" fontId="18" fillId="0" borderId="87" xfId="1" applyNumberFormat="1" applyFont="1" applyBorder="1" applyAlignment="1" applyProtection="1">
      <alignment horizontal="right" vertical="center" wrapText="1" readingOrder="1"/>
      <protection locked="0"/>
    </xf>
    <xf numFmtId="3" fontId="8" fillId="0" borderId="69" xfId="1" applyNumberFormat="1" applyFont="1" applyBorder="1" applyAlignment="1" applyProtection="1">
      <alignment horizontal="right" vertical="center" wrapText="1" readingOrder="1"/>
      <protection locked="0"/>
    </xf>
    <xf numFmtId="3" fontId="8" fillId="0" borderId="94" xfId="1" applyNumberFormat="1" applyFont="1" applyBorder="1" applyAlignment="1" applyProtection="1">
      <alignment horizontal="right" vertical="center" wrapText="1" readingOrder="1"/>
      <protection locked="0"/>
    </xf>
    <xf numFmtId="0" fontId="8" fillId="0" borderId="0" xfId="4" applyFont="1" applyBorder="1" applyAlignment="1" applyProtection="1">
      <alignment vertical="top" wrapText="1" readingOrder="1"/>
      <protection locked="0"/>
    </xf>
    <xf numFmtId="0" fontId="18" fillId="0" borderId="59" xfId="4" applyFont="1" applyBorder="1" applyAlignment="1" applyProtection="1">
      <alignment horizontal="center" vertical="center" wrapText="1" readingOrder="1"/>
      <protection locked="0"/>
    </xf>
    <xf numFmtId="3" fontId="18" fillId="0" borderId="157" xfId="1" applyNumberFormat="1" applyFont="1" applyBorder="1" applyAlignment="1" applyProtection="1">
      <alignment horizontal="right" vertical="center" wrapText="1" readingOrder="1"/>
      <protection locked="0"/>
    </xf>
    <xf numFmtId="3" fontId="8" fillId="0" borderId="66" xfId="1" applyNumberFormat="1" applyFont="1" applyBorder="1" applyAlignment="1" applyProtection="1">
      <alignment horizontal="right" vertical="center" wrapText="1" readingOrder="1"/>
      <protection locked="0"/>
    </xf>
    <xf numFmtId="3" fontId="8" fillId="0" borderId="158" xfId="1" applyNumberFormat="1" applyFont="1" applyBorder="1" applyAlignment="1" applyProtection="1">
      <alignment horizontal="right" vertical="center" wrapText="1" readingOrder="1"/>
      <protection locked="0"/>
    </xf>
    <xf numFmtId="0" fontId="18" fillId="0" borderId="17" xfId="4" applyFont="1" applyBorder="1" applyAlignment="1" applyProtection="1">
      <alignment horizontal="center" vertical="center" wrapText="1" readingOrder="1"/>
      <protection locked="0"/>
    </xf>
    <xf numFmtId="3" fontId="18" fillId="0" borderId="17" xfId="1" applyNumberFormat="1" applyFont="1" applyBorder="1" applyAlignment="1" applyProtection="1">
      <alignment horizontal="right" vertical="center" wrapText="1" readingOrder="1"/>
      <protection locked="0"/>
    </xf>
    <xf numFmtId="3" fontId="10" fillId="3" borderId="36" xfId="1" applyNumberFormat="1" applyFont="1" applyFill="1" applyBorder="1" applyAlignment="1" applyProtection="1">
      <alignment horizontal="right" vertical="center" readingOrder="1"/>
      <protection locked="0"/>
    </xf>
    <xf numFmtId="3" fontId="10" fillId="3" borderId="37" xfId="1" applyNumberFormat="1" applyFont="1" applyFill="1" applyBorder="1" applyAlignment="1" applyProtection="1">
      <alignment horizontal="right" vertical="center" readingOrder="1"/>
      <protection locked="0"/>
    </xf>
    <xf numFmtId="168" fontId="12" fillId="3" borderId="36" xfId="7" applyNumberFormat="1" applyFont="1" applyFill="1" applyBorder="1" applyAlignment="1" applyProtection="1">
      <alignment horizontal="right" vertical="top" wrapText="1" readingOrder="1"/>
      <protection locked="0"/>
    </xf>
    <xf numFmtId="9" fontId="10" fillId="3" borderId="37" xfId="7" applyFont="1" applyFill="1" applyBorder="1" applyAlignment="1" applyProtection="1">
      <alignment horizontal="right" vertical="center" readingOrder="1"/>
      <protection locked="0"/>
    </xf>
    <xf numFmtId="168" fontId="9" fillId="0" borderId="159" xfId="7" applyNumberFormat="1" applyFont="1" applyBorder="1" applyAlignment="1" applyProtection="1">
      <alignment horizontal="right" vertical="top" wrapText="1" readingOrder="1"/>
      <protection locked="0"/>
    </xf>
    <xf numFmtId="168" fontId="9" fillId="0" borderId="128" xfId="7" applyNumberFormat="1" applyFont="1" applyBorder="1" applyAlignment="1" applyProtection="1">
      <alignment horizontal="right" vertical="top" wrapText="1" readingOrder="1"/>
      <protection locked="0"/>
    </xf>
    <xf numFmtId="168" fontId="9" fillId="0" borderId="151" xfId="7" applyNumberFormat="1" applyFont="1" applyBorder="1" applyAlignment="1" applyProtection="1">
      <alignment horizontal="right" vertical="top" wrapText="1" readingOrder="1"/>
      <protection locked="0"/>
    </xf>
    <xf numFmtId="169" fontId="9" fillId="0" borderId="160" xfId="1" applyNumberFormat="1" applyFont="1" applyBorder="1" applyAlignment="1" applyProtection="1">
      <alignment horizontal="right" vertical="top" wrapText="1" readingOrder="1"/>
      <protection locked="0"/>
    </xf>
    <xf numFmtId="169" fontId="9" fillId="0" borderId="161" xfId="1" applyNumberFormat="1" applyFont="1" applyBorder="1" applyAlignment="1" applyProtection="1">
      <alignment horizontal="right" vertical="top" wrapText="1" readingOrder="1"/>
      <protection locked="0"/>
    </xf>
    <xf numFmtId="169" fontId="9" fillId="0" borderId="162" xfId="1" applyNumberFormat="1" applyFont="1" applyBorder="1" applyAlignment="1" applyProtection="1">
      <alignment horizontal="right" vertical="top" wrapText="1" readingOrder="1"/>
      <protection locked="0"/>
    </xf>
    <xf numFmtId="168" fontId="12" fillId="0" borderId="105" xfId="7" applyNumberFormat="1" applyFont="1" applyBorder="1" applyAlignment="1" applyProtection="1">
      <alignment horizontal="right" vertical="top" wrapText="1" readingOrder="1"/>
      <protection locked="0"/>
    </xf>
    <xf numFmtId="168" fontId="12" fillId="0" borderId="107" xfId="7" applyNumberFormat="1" applyFont="1" applyBorder="1" applyAlignment="1" applyProtection="1">
      <alignment horizontal="right" vertical="top" wrapText="1" readingOrder="1"/>
      <protection locked="0"/>
    </xf>
    <xf numFmtId="9" fontId="10" fillId="0" borderId="60" xfId="7" applyNumberFormat="1" applyFont="1" applyBorder="1" applyAlignment="1" applyProtection="1">
      <alignment horizontal="right" vertical="top" wrapText="1" readingOrder="1"/>
      <protection locked="0"/>
    </xf>
    <xf numFmtId="9" fontId="9" fillId="0" borderId="67" xfId="7" applyNumberFormat="1" applyFont="1" applyBorder="1" applyAlignment="1" applyProtection="1">
      <alignment horizontal="right" vertical="top" wrapText="1" readingOrder="1"/>
      <protection locked="0"/>
    </xf>
    <xf numFmtId="3" fontId="10" fillId="0" borderId="13" xfId="1" applyNumberFormat="1" applyFont="1" applyBorder="1" applyAlignment="1" applyProtection="1">
      <alignment horizontal="right" vertical="top" wrapText="1" readingOrder="1"/>
      <protection locked="0"/>
    </xf>
    <xf numFmtId="3" fontId="9" fillId="0" borderId="163" xfId="1" applyNumberFormat="1" applyFont="1" applyBorder="1" applyAlignment="1" applyProtection="1">
      <alignment horizontal="right" vertical="top" wrapText="1" readingOrder="1"/>
      <protection locked="0"/>
    </xf>
    <xf numFmtId="3" fontId="10" fillId="0" borderId="13" xfId="185" applyNumberFormat="1" applyFont="1" applyFill="1" applyBorder="1" applyAlignment="1" applyProtection="1">
      <alignment horizontal="right" vertical="top" wrapText="1" readingOrder="1"/>
      <protection locked="0"/>
    </xf>
    <xf numFmtId="3" fontId="9" fillId="0" borderId="9" xfId="1" applyNumberFormat="1" applyFont="1" applyFill="1" applyBorder="1" applyAlignment="1" applyProtection="1">
      <alignment horizontal="right" vertical="top" wrapText="1" readingOrder="1"/>
      <protection locked="0"/>
    </xf>
    <xf numFmtId="3" fontId="9" fillId="0" borderId="163" xfId="1" applyNumberFormat="1" applyFont="1" applyFill="1" applyBorder="1" applyAlignment="1" applyProtection="1">
      <alignment horizontal="right" vertical="top" wrapText="1" readingOrder="1"/>
      <protection locked="0"/>
    </xf>
    <xf numFmtId="9" fontId="10" fillId="0" borderId="154" xfId="7" applyNumberFormat="1" applyFont="1" applyFill="1" applyBorder="1" applyAlignment="1" applyProtection="1">
      <alignment horizontal="right" vertical="top" wrapText="1" readingOrder="1"/>
      <protection locked="0"/>
    </xf>
    <xf numFmtId="9" fontId="8" fillId="0" borderId="128" xfId="7" applyNumberFormat="1" applyFont="1" applyFill="1" applyBorder="1" applyAlignment="1" applyProtection="1">
      <alignment horizontal="right" vertical="top" wrapText="1" readingOrder="1"/>
      <protection locked="0"/>
    </xf>
    <xf numFmtId="0" fontId="8" fillId="3" borderId="0" xfId="70" applyFont="1" applyFill="1" applyBorder="1" applyAlignment="1" applyProtection="1">
      <alignment horizontal="left" wrapText="1" readingOrder="1"/>
      <protection locked="0"/>
    </xf>
    <xf numFmtId="0" fontId="22" fillId="3" borderId="0" xfId="9" applyFont="1" applyFill="1" applyBorder="1" applyAlignment="1" applyProtection="1">
      <alignment horizontal="left" vertical="top" wrapText="1" readingOrder="1"/>
      <protection locked="0"/>
    </xf>
    <xf numFmtId="168" fontId="10" fillId="0" borderId="0" xfId="7" applyNumberFormat="1" applyFont="1" applyBorder="1" applyAlignment="1" applyProtection="1">
      <alignment vertical="top" wrapText="1" readingOrder="1"/>
      <protection locked="0"/>
    </xf>
    <xf numFmtId="3" fontId="8" fillId="3" borderId="0" xfId="4" applyNumberFormat="1" applyFont="1" applyFill="1"/>
    <xf numFmtId="0" fontId="8" fillId="3" borderId="0" xfId="70" applyFont="1" applyFill="1" applyBorder="1" applyAlignment="1" applyProtection="1">
      <alignment horizontal="left" readingOrder="1"/>
      <protection locked="0"/>
    </xf>
    <xf numFmtId="0" fontId="22" fillId="3" borderId="0" xfId="9" applyFont="1" applyFill="1" applyBorder="1" applyAlignment="1" applyProtection="1">
      <alignment horizontal="left" vertical="top" readingOrder="1"/>
      <protection locked="0"/>
    </xf>
    <xf numFmtId="0" fontId="18" fillId="3" borderId="138" xfId="4" applyFont="1" applyFill="1" applyBorder="1" applyAlignment="1" applyProtection="1">
      <alignment vertical="top" wrapText="1" readingOrder="1"/>
      <protection locked="0"/>
    </xf>
    <xf numFmtId="0" fontId="9" fillId="3" borderId="138" xfId="4" applyFont="1" applyFill="1" applyBorder="1" applyAlignment="1" applyProtection="1">
      <alignment horizontal="left" vertical="top" wrapText="1" readingOrder="1"/>
      <protection locked="0"/>
    </xf>
    <xf numFmtId="0" fontId="9" fillId="3" borderId="138" xfId="4" applyFont="1" applyFill="1" applyBorder="1" applyAlignment="1" applyProtection="1">
      <alignment horizontal="left" vertical="top" readingOrder="1"/>
      <protection locked="0"/>
    </xf>
    <xf numFmtId="174" fontId="8" fillId="3" borderId="0" xfId="57" applyNumberFormat="1" applyFont="1" applyFill="1"/>
    <xf numFmtId="4" fontId="8" fillId="3" borderId="0" xfId="4" applyNumberFormat="1" applyFont="1" applyFill="1"/>
    <xf numFmtId="0" fontId="8" fillId="0" borderId="0" xfId="0" applyFont="1" applyAlignment="1">
      <alignment horizontal="left"/>
    </xf>
    <xf numFmtId="0" fontId="9" fillId="0" borderId="0" xfId="0" applyFont="1" applyAlignment="1" applyProtection="1">
      <alignment horizontal="left" vertical="top" wrapText="1" readingOrder="1"/>
      <protection locked="0"/>
    </xf>
    <xf numFmtId="0" fontId="8" fillId="0" borderId="0" xfId="0" applyFont="1" applyAlignment="1">
      <alignment horizontal="left" vertical="top" wrapText="1"/>
    </xf>
    <xf numFmtId="0" fontId="58" fillId="0" borderId="0" xfId="0" applyFont="1" applyAlignment="1" applyProtection="1">
      <alignment horizontal="left" vertical="top" wrapText="1" readingOrder="1"/>
      <protection locked="0"/>
    </xf>
    <xf numFmtId="0" fontId="8" fillId="0" borderId="0" xfId="0" applyFont="1" applyAlignment="1">
      <alignment horizontal="center"/>
    </xf>
    <xf numFmtId="0" fontId="31" fillId="0" borderId="0" xfId="0" applyFont="1" applyAlignment="1">
      <alignment horizontal="left"/>
    </xf>
    <xf numFmtId="0" fontId="29" fillId="0" borderId="0" xfId="0" applyFont="1" applyAlignment="1" applyProtection="1">
      <alignment vertical="top" wrapText="1" readingOrder="1"/>
      <protection locked="0"/>
    </xf>
    <xf numFmtId="0" fontId="8" fillId="0" borderId="0" xfId="0" applyFont="1"/>
    <xf numFmtId="0" fontId="24" fillId="0" borderId="0" xfId="0" applyFont="1" applyAlignment="1" applyProtection="1">
      <alignment vertical="top" wrapText="1" readingOrder="1"/>
      <protection locked="0"/>
    </xf>
    <xf numFmtId="0" fontId="24" fillId="0" borderId="0" xfId="0" applyFont="1"/>
    <xf numFmtId="0" fontId="9" fillId="0" borderId="0" xfId="0" applyFont="1" applyAlignment="1" applyProtection="1">
      <alignment vertical="top" wrapText="1" readingOrder="1"/>
      <protection locked="0"/>
    </xf>
    <xf numFmtId="0" fontId="10" fillId="0" borderId="1" xfId="0" applyFont="1" applyBorder="1" applyAlignment="1" applyProtection="1">
      <alignment horizontal="center" vertical="center" readingOrder="1"/>
      <protection locked="0"/>
    </xf>
    <xf numFmtId="0" fontId="8" fillId="0" borderId="16" xfId="0" applyFont="1" applyBorder="1" applyAlignment="1" applyProtection="1">
      <alignment vertical="center"/>
      <protection locked="0"/>
    </xf>
    <xf numFmtId="0" fontId="8" fillId="0" borderId="17" xfId="0" applyFont="1" applyBorder="1" applyAlignment="1" applyProtection="1">
      <alignment vertical="center"/>
      <protection locked="0"/>
    </xf>
    <xf numFmtId="0" fontId="24" fillId="0" borderId="0" xfId="0" applyFont="1" applyAlignment="1" applyProtection="1">
      <alignment horizontal="left" vertical="top" wrapText="1" readingOrder="1"/>
      <protection locked="0"/>
    </xf>
    <xf numFmtId="0" fontId="9" fillId="0" borderId="21" xfId="0" applyFont="1" applyBorder="1" applyAlignment="1" applyProtection="1">
      <alignment horizontal="left" vertical="top" wrapText="1" readingOrder="1"/>
      <protection locked="0"/>
    </xf>
    <xf numFmtId="0" fontId="11" fillId="0" borderId="0" xfId="0" applyFont="1" applyAlignment="1" applyProtection="1">
      <alignment vertical="top" wrapText="1" readingOrder="1"/>
      <protection locked="0"/>
    </xf>
    <xf numFmtId="0" fontId="22" fillId="0" borderId="0" xfId="3" applyAlignment="1" applyProtection="1">
      <alignment horizontal="left" vertical="top" wrapText="1" readingOrder="1"/>
      <protection locked="0"/>
    </xf>
    <xf numFmtId="0" fontId="8" fillId="3" borderId="0" xfId="70" applyFont="1" applyFill="1" applyBorder="1" applyAlignment="1" applyProtection="1">
      <alignment horizontal="left" wrapText="1" readingOrder="1"/>
      <protection locked="0"/>
    </xf>
    <xf numFmtId="0" fontId="10" fillId="0" borderId="21" xfId="0" applyFont="1" applyBorder="1" applyAlignment="1" applyProtection="1">
      <alignment horizontal="left" vertical="top" wrapText="1" readingOrder="1"/>
      <protection locked="0"/>
    </xf>
    <xf numFmtId="0" fontId="22" fillId="0" borderId="0" xfId="3" applyFont="1" applyBorder="1" applyAlignment="1" applyProtection="1">
      <alignment horizontal="left" vertical="top" wrapText="1" readingOrder="1"/>
      <protection locked="0"/>
    </xf>
    <xf numFmtId="0" fontId="9" fillId="3" borderId="0" xfId="70" applyFont="1" applyFill="1" applyAlignment="1" applyProtection="1">
      <alignment horizontal="left" vertical="top" wrapText="1" readingOrder="1"/>
      <protection locked="0"/>
    </xf>
    <xf numFmtId="0" fontId="9" fillId="0" borderId="21" xfId="4" applyFont="1" applyBorder="1" applyAlignment="1" applyProtection="1">
      <alignment vertical="top" wrapText="1" readingOrder="1"/>
      <protection locked="0"/>
    </xf>
    <xf numFmtId="0" fontId="8" fillId="0" borderId="21" xfId="4" applyFont="1" applyBorder="1"/>
    <xf numFmtId="0" fontId="17" fillId="0" borderId="0" xfId="4" applyFont="1" applyAlignment="1" applyProtection="1">
      <alignment vertical="top" wrapText="1" readingOrder="1"/>
      <protection locked="0"/>
    </xf>
    <xf numFmtId="0" fontId="8" fillId="0" borderId="0" xfId="4" applyFont="1"/>
    <xf numFmtId="0" fontId="18" fillId="0" borderId="0" xfId="4" applyFont="1" applyAlignment="1" applyProtection="1">
      <alignment vertical="top" wrapText="1" readingOrder="1"/>
      <protection locked="0"/>
    </xf>
    <xf numFmtId="0" fontId="18" fillId="0" borderId="1" xfId="4" applyFont="1" applyBorder="1" applyAlignment="1" applyProtection="1">
      <alignment horizontal="center" vertical="center" readingOrder="1"/>
      <protection locked="0"/>
    </xf>
    <xf numFmtId="0" fontId="8" fillId="0" borderId="17" xfId="4" applyFont="1" applyBorder="1" applyAlignment="1" applyProtection="1">
      <alignment vertical="center"/>
      <protection locked="0"/>
    </xf>
    <xf numFmtId="0" fontId="9" fillId="0" borderId="0" xfId="4" applyFont="1" applyAlignment="1" applyProtection="1">
      <alignment horizontal="left" vertical="top" wrapText="1" readingOrder="1"/>
      <protection locked="0"/>
    </xf>
    <xf numFmtId="0" fontId="24" fillId="0" borderId="0" xfId="4" applyFont="1" applyAlignment="1" applyProtection="1">
      <alignment horizontal="left" vertical="top" wrapText="1" readingOrder="1"/>
      <protection locked="0"/>
    </xf>
    <xf numFmtId="0" fontId="22" fillId="0" borderId="0" xfId="9" applyFont="1" applyBorder="1" applyAlignment="1" applyProtection="1">
      <alignment vertical="top" wrapText="1" readingOrder="1"/>
      <protection locked="0"/>
    </xf>
    <xf numFmtId="0" fontId="22" fillId="0" borderId="0" xfId="9" applyFont="1" applyBorder="1"/>
    <xf numFmtId="0" fontId="22" fillId="0" borderId="15" xfId="9" applyFont="1" applyBorder="1" applyAlignment="1" applyProtection="1">
      <alignment vertical="top" wrapText="1" readingOrder="1"/>
      <protection locked="0"/>
    </xf>
    <xf numFmtId="0" fontId="9" fillId="0" borderId="20" xfId="4" applyFont="1" applyBorder="1" applyAlignment="1" applyProtection="1">
      <alignment vertical="top" wrapText="1" readingOrder="1"/>
      <protection locked="0"/>
    </xf>
    <xf numFmtId="0" fontId="26" fillId="0" borderId="0" xfId="4" applyFont="1" applyAlignment="1" applyProtection="1">
      <alignment vertical="top" wrapText="1" readingOrder="1"/>
      <protection locked="0"/>
    </xf>
    <xf numFmtId="0" fontId="8" fillId="0" borderId="0" xfId="4" applyFont="1" applyAlignment="1" applyProtection="1">
      <alignment vertical="top" wrapText="1" readingOrder="1"/>
      <protection locked="0"/>
    </xf>
    <xf numFmtId="0" fontId="18" fillId="0" borderId="21" xfId="4" applyFont="1" applyBorder="1" applyAlignment="1" applyProtection="1">
      <alignment vertical="top" wrapText="1" readingOrder="1"/>
      <protection locked="0"/>
    </xf>
    <xf numFmtId="0" fontId="22" fillId="0" borderId="0" xfId="3" applyAlignment="1" applyProtection="1">
      <alignment vertical="top" wrapText="1" readingOrder="1"/>
      <protection locked="0"/>
    </xf>
    <xf numFmtId="0" fontId="22" fillId="0" borderId="0" xfId="3"/>
    <xf numFmtId="0" fontId="17" fillId="0" borderId="0" xfId="4" applyFont="1" applyAlignment="1" applyProtection="1">
      <alignment horizontal="left" vertical="top" wrapText="1" readingOrder="1"/>
      <protection locked="0"/>
    </xf>
    <xf numFmtId="0" fontId="24" fillId="0" borderId="0" xfId="4" applyFont="1" applyAlignment="1" applyProtection="1">
      <alignment vertical="top" wrapText="1" readingOrder="1"/>
      <protection locked="0"/>
    </xf>
    <xf numFmtId="0" fontId="24" fillId="0" borderId="0" xfId="4" applyFont="1"/>
    <xf numFmtId="0" fontId="9" fillId="0" borderId="0" xfId="4" applyFont="1" applyAlignment="1" applyProtection="1">
      <alignment vertical="top" wrapText="1" readingOrder="1"/>
      <protection locked="0"/>
    </xf>
    <xf numFmtId="0" fontId="10" fillId="0" borderId="1" xfId="4" applyFont="1" applyBorder="1" applyAlignment="1" applyProtection="1">
      <alignment horizontal="center" vertical="center" readingOrder="1"/>
      <protection locked="0"/>
    </xf>
    <xf numFmtId="0" fontId="8" fillId="0" borderId="156" xfId="4" applyFont="1" applyBorder="1" applyAlignment="1" applyProtection="1">
      <alignment vertical="center"/>
      <protection locked="0"/>
    </xf>
    <xf numFmtId="0" fontId="10" fillId="0" borderId="86" xfId="4" applyFont="1" applyBorder="1" applyAlignment="1" applyProtection="1">
      <alignment horizontal="center" vertical="center" readingOrder="1"/>
      <protection locked="0"/>
    </xf>
    <xf numFmtId="0" fontId="9" fillId="0" borderId="20" xfId="4" applyFont="1" applyBorder="1" applyAlignment="1" applyProtection="1">
      <alignment horizontal="left" vertical="top" wrapText="1" readingOrder="1"/>
      <protection locked="0"/>
    </xf>
    <xf numFmtId="0" fontId="9" fillId="0" borderId="21" xfId="4" applyFont="1" applyBorder="1" applyAlignment="1" applyProtection="1">
      <alignment horizontal="left" vertical="top" wrapText="1" readingOrder="1"/>
      <protection locked="0"/>
    </xf>
    <xf numFmtId="0" fontId="18" fillId="0" borderId="0" xfId="4" applyFont="1" applyBorder="1" applyAlignment="1" applyProtection="1">
      <alignment horizontal="left" vertical="top" wrapText="1" readingOrder="1"/>
      <protection locked="0"/>
    </xf>
    <xf numFmtId="0" fontId="22" fillId="0" borderId="15" xfId="3" applyFont="1" applyBorder="1" applyAlignment="1" applyProtection="1">
      <alignment horizontal="left" vertical="top" wrapText="1" readingOrder="1"/>
      <protection locked="0"/>
    </xf>
    <xf numFmtId="0" fontId="10" fillId="0" borderId="87" xfId="4" applyFont="1" applyBorder="1" applyAlignment="1" applyProtection="1">
      <alignment horizontal="center" vertical="center" readingOrder="1"/>
      <protection locked="0"/>
    </xf>
    <xf numFmtId="0" fontId="10" fillId="0" borderId="17" xfId="4" applyFont="1" applyBorder="1" applyAlignment="1" applyProtection="1">
      <alignment horizontal="center" vertical="center" readingOrder="1"/>
      <protection locked="0"/>
    </xf>
    <xf numFmtId="0" fontId="18" fillId="0" borderId="21" xfId="4" applyFont="1" applyBorder="1" applyAlignment="1" applyProtection="1">
      <alignment horizontal="left" vertical="top" wrapText="1" readingOrder="1"/>
      <protection locked="0"/>
    </xf>
    <xf numFmtId="0" fontId="10" fillId="0" borderId="0" xfId="0" applyFont="1" applyBorder="1" applyAlignment="1" applyProtection="1">
      <alignment horizontal="center" vertical="top" wrapText="1" readingOrder="1"/>
      <protection locked="0"/>
    </xf>
    <xf numFmtId="0" fontId="8" fillId="0" borderId="0" xfId="0" applyFont="1" applyBorder="1" applyAlignment="1" applyProtection="1">
      <alignment vertical="top" wrapText="1"/>
      <protection locked="0"/>
    </xf>
    <xf numFmtId="0" fontId="24" fillId="3" borderId="0" xfId="4" applyFont="1" applyFill="1" applyAlignment="1" applyProtection="1">
      <alignment horizontal="left" vertical="top" wrapText="1" readingOrder="1"/>
      <protection locked="0"/>
    </xf>
    <xf numFmtId="0" fontId="9" fillId="3" borderId="0" xfId="4" applyFont="1" applyFill="1" applyAlignment="1" applyProtection="1">
      <alignment vertical="top" wrapText="1" readingOrder="1"/>
      <protection locked="0"/>
    </xf>
    <xf numFmtId="0" fontId="8" fillId="3" borderId="0" xfId="4" applyFont="1" applyFill="1"/>
    <xf numFmtId="0" fontId="10" fillId="3" borderId="53" xfId="4" applyFont="1" applyFill="1" applyBorder="1" applyAlignment="1" applyProtection="1">
      <alignment horizontal="center" vertical="top" wrapText="1" readingOrder="1"/>
      <protection locked="0"/>
    </xf>
    <xf numFmtId="0" fontId="8" fillId="3" borderId="88" xfId="4" applyFont="1" applyFill="1" applyBorder="1" applyAlignment="1" applyProtection="1">
      <alignment vertical="top" wrapText="1"/>
      <protection locked="0"/>
    </xf>
    <xf numFmtId="0" fontId="8" fillId="3" borderId="54" xfId="4" applyFont="1" applyFill="1" applyBorder="1" applyAlignment="1" applyProtection="1">
      <alignment vertical="top" wrapText="1"/>
      <protection locked="0"/>
    </xf>
    <xf numFmtId="0" fontId="18" fillId="3" borderId="43" xfId="4" applyFont="1" applyFill="1" applyBorder="1" applyAlignment="1">
      <alignment horizontal="center" vertical="center"/>
    </xf>
    <xf numFmtId="0" fontId="18" fillId="3" borderId="34" xfId="4" applyFont="1" applyFill="1" applyBorder="1" applyAlignment="1">
      <alignment horizontal="center" vertical="center"/>
    </xf>
    <xf numFmtId="0" fontId="18" fillId="3" borderId="41" xfId="4" applyFont="1" applyFill="1" applyBorder="1" applyAlignment="1">
      <alignment horizontal="center" vertical="center"/>
    </xf>
    <xf numFmtId="0" fontId="18" fillId="0" borderId="0" xfId="4" applyFont="1" applyBorder="1" applyAlignment="1" applyProtection="1">
      <alignment vertical="top" wrapText="1" readingOrder="1"/>
      <protection locked="0"/>
    </xf>
    <xf numFmtId="0" fontId="8" fillId="0" borderId="0" xfId="4" applyFont="1" applyBorder="1"/>
    <xf numFmtId="0" fontId="9" fillId="0" borderId="21" xfId="0" applyFont="1" applyBorder="1" applyAlignment="1" applyProtection="1">
      <alignment vertical="top" wrapText="1" readingOrder="1"/>
      <protection locked="0"/>
    </xf>
    <xf numFmtId="0" fontId="8" fillId="0" borderId="21" xfId="0" applyFont="1" applyBorder="1"/>
    <xf numFmtId="0" fontId="25" fillId="0" borderId="0" xfId="0" applyFont="1" applyAlignment="1" applyProtection="1">
      <alignment vertical="top" wrapText="1" readingOrder="1"/>
      <protection locked="0"/>
    </xf>
    <xf numFmtId="0" fontId="10" fillId="0" borderId="87" xfId="0" applyFont="1" applyBorder="1" applyAlignment="1" applyProtection="1">
      <alignment horizontal="center" vertical="center" readingOrder="1"/>
      <protection locked="0"/>
    </xf>
    <xf numFmtId="0" fontId="18" fillId="0" borderId="0" xfId="0" applyFont="1" applyBorder="1" applyAlignment="1" applyProtection="1">
      <alignment vertical="top" wrapText="1" readingOrder="1"/>
      <protection locked="0"/>
    </xf>
    <xf numFmtId="0" fontId="8" fillId="0" borderId="0" xfId="0" applyFont="1" applyBorder="1"/>
    <xf numFmtId="0" fontId="18" fillId="3" borderId="21" xfId="57" applyFont="1" applyFill="1" applyBorder="1" applyAlignment="1" applyProtection="1">
      <alignment horizontal="left" vertical="top" wrapText="1" readingOrder="1"/>
      <protection locked="0"/>
    </xf>
    <xf numFmtId="0" fontId="22" fillId="3" borderId="0" xfId="9" applyFont="1" applyFill="1" applyBorder="1" applyAlignment="1" applyProtection="1">
      <alignment horizontal="left" vertical="top" wrapText="1" readingOrder="1"/>
      <protection locked="0"/>
    </xf>
    <xf numFmtId="0" fontId="9" fillId="3" borderId="21" xfId="57" applyFont="1" applyFill="1" applyBorder="1" applyAlignment="1" applyProtection="1">
      <alignment horizontal="left" vertical="top" wrapText="1" readingOrder="1"/>
      <protection locked="0"/>
    </xf>
    <xf numFmtId="0" fontId="24" fillId="3" borderId="0" xfId="57" applyFont="1" applyFill="1" applyAlignment="1" applyProtection="1">
      <alignment vertical="top" wrapText="1" readingOrder="1"/>
      <protection locked="0"/>
    </xf>
    <xf numFmtId="0" fontId="24" fillId="3" borderId="0" xfId="57" applyFont="1" applyFill="1"/>
    <xf numFmtId="0" fontId="9" fillId="3" borderId="0" xfId="57" applyFont="1" applyFill="1" applyAlignment="1" applyProtection="1">
      <alignment vertical="top" wrapText="1" readingOrder="1"/>
      <protection locked="0"/>
    </xf>
    <xf numFmtId="0" fontId="8" fillId="3" borderId="0" xfId="57" applyFont="1" applyFill="1"/>
    <xf numFmtId="0" fontId="10" fillId="3" borderId="86" xfId="57" applyFont="1" applyFill="1" applyBorder="1" applyAlignment="1" applyProtection="1">
      <alignment horizontal="center" vertical="center" wrapText="1" readingOrder="1"/>
      <protection locked="0"/>
    </xf>
    <xf numFmtId="0" fontId="8" fillId="3" borderId="53" xfId="57" applyFont="1" applyFill="1" applyBorder="1" applyAlignment="1" applyProtection="1">
      <alignment vertical="top" wrapText="1"/>
      <protection locked="0"/>
    </xf>
    <xf numFmtId="0" fontId="18" fillId="3" borderId="87" xfId="57" applyFont="1" applyFill="1" applyBorder="1" applyAlignment="1" applyProtection="1">
      <alignment horizontal="center" vertical="center" wrapText="1" readingOrder="1"/>
      <protection locked="0"/>
    </xf>
    <xf numFmtId="0" fontId="8" fillId="3" borderId="16" xfId="57" applyFont="1" applyFill="1" applyBorder="1" applyAlignment="1" applyProtection="1">
      <alignment vertical="top" wrapText="1"/>
      <protection locked="0"/>
    </xf>
    <xf numFmtId="0" fontId="8" fillId="3" borderId="17" xfId="57" applyFont="1" applyFill="1" applyBorder="1" applyAlignment="1" applyProtection="1">
      <alignment vertical="top" wrapText="1"/>
      <protection locked="0"/>
    </xf>
    <xf numFmtId="0" fontId="26" fillId="3" borderId="87" xfId="57" applyFont="1" applyFill="1" applyBorder="1" applyAlignment="1" applyProtection="1">
      <alignment horizontal="center" vertical="center" wrapText="1" readingOrder="1"/>
      <protection locked="0"/>
    </xf>
    <xf numFmtId="0" fontId="10" fillId="3" borderId="55" xfId="57" applyFont="1" applyFill="1" applyBorder="1" applyAlignment="1" applyProtection="1">
      <alignment horizontal="center" vertical="center" wrapText="1" readingOrder="1"/>
      <protection locked="0"/>
    </xf>
    <xf numFmtId="0" fontId="8" fillId="3" borderId="42" xfId="57" applyFont="1" applyFill="1" applyBorder="1" applyAlignment="1" applyProtection="1">
      <alignment vertical="top" wrapText="1"/>
      <protection locked="0"/>
    </xf>
    <xf numFmtId="0" fontId="18" fillId="3" borderId="16" xfId="57" applyFont="1" applyFill="1" applyBorder="1" applyAlignment="1" applyProtection="1">
      <alignment horizontal="center" vertical="center" wrapText="1" readingOrder="1"/>
      <protection locked="0"/>
    </xf>
    <xf numFmtId="0" fontId="24" fillId="3" borderId="0" xfId="57" applyFont="1" applyFill="1" applyAlignment="1" applyProtection="1">
      <alignment horizontal="left" vertical="top" wrapText="1" readingOrder="1"/>
      <protection locked="0"/>
    </xf>
    <xf numFmtId="0" fontId="9" fillId="3" borderId="0" xfId="57" applyFont="1" applyFill="1" applyAlignment="1" applyProtection="1">
      <alignment horizontal="left" vertical="top" wrapText="1" readingOrder="1"/>
      <protection locked="0"/>
    </xf>
    <xf numFmtId="0" fontId="22" fillId="3" borderId="0" xfId="83" applyFill="1" applyAlignment="1" applyProtection="1">
      <alignment horizontal="left" vertical="top" wrapText="1" readingOrder="1"/>
      <protection locked="0"/>
    </xf>
    <xf numFmtId="0" fontId="22" fillId="3" borderId="0" xfId="3" applyFill="1" applyBorder="1" applyAlignment="1" applyProtection="1">
      <alignment horizontal="left" vertical="top" wrapText="1" readingOrder="1"/>
      <protection locked="0"/>
    </xf>
    <xf numFmtId="0" fontId="8" fillId="3" borderId="0" xfId="70" applyFont="1" applyFill="1" applyBorder="1" applyAlignment="1" applyProtection="1">
      <alignment wrapText="1" readingOrder="1"/>
      <protection locked="0"/>
    </xf>
    <xf numFmtId="0" fontId="10" fillId="0" borderId="1" xfId="4" applyFont="1" applyBorder="1" applyAlignment="1" applyProtection="1">
      <alignment horizontal="center" vertical="top" readingOrder="1"/>
      <protection locked="0"/>
    </xf>
    <xf numFmtId="0" fontId="8" fillId="0" borderId="17" xfId="4" applyFont="1" applyBorder="1" applyAlignment="1" applyProtection="1">
      <alignment vertical="top"/>
      <protection locked="0"/>
    </xf>
    <xf numFmtId="0" fontId="24" fillId="0" borderId="0" xfId="4" applyFont="1" applyAlignment="1">
      <alignment horizontal="left"/>
    </xf>
    <xf numFmtId="0" fontId="8" fillId="0" borderId="16" xfId="4" applyFont="1" applyBorder="1" applyAlignment="1" applyProtection="1">
      <alignment vertical="top"/>
      <protection locked="0"/>
    </xf>
    <xf numFmtId="0" fontId="10" fillId="0" borderId="1" xfId="4" applyFont="1" applyBorder="1" applyAlignment="1" applyProtection="1">
      <alignment horizontal="center" vertical="center" wrapText="1" readingOrder="1"/>
      <protection locked="0"/>
    </xf>
    <xf numFmtId="0" fontId="8" fillId="0" borderId="16" xfId="4" applyFont="1" applyBorder="1" applyAlignment="1" applyProtection="1">
      <alignment vertical="top" wrapText="1"/>
      <protection locked="0"/>
    </xf>
    <xf numFmtId="0" fontId="8" fillId="0" borderId="17" xfId="4" applyFont="1" applyBorder="1" applyAlignment="1" applyProtection="1">
      <alignment vertical="top" wrapText="1"/>
      <protection locked="0"/>
    </xf>
    <xf numFmtId="0" fontId="22" fillId="3" borderId="0" xfId="9" applyFont="1" applyFill="1" applyAlignment="1">
      <alignment horizontal="left"/>
    </xf>
    <xf numFmtId="0" fontId="9" fillId="3" borderId="21" xfId="4" applyFont="1" applyFill="1" applyBorder="1" applyAlignment="1" applyProtection="1">
      <alignment horizontal="left" vertical="top" wrapText="1" readingOrder="1"/>
      <protection locked="0"/>
    </xf>
    <xf numFmtId="0" fontId="9" fillId="3" borderId="0" xfId="4" applyFont="1" applyFill="1" applyAlignment="1" applyProtection="1">
      <alignment horizontal="left" vertical="top" wrapText="1" readingOrder="1"/>
      <protection locked="0"/>
    </xf>
    <xf numFmtId="0" fontId="18" fillId="3" borderId="0" xfId="4" applyFont="1" applyFill="1" applyBorder="1" applyAlignment="1" applyProtection="1">
      <alignment horizontal="left" vertical="top" wrapText="1" readingOrder="1"/>
      <protection locked="0"/>
    </xf>
    <xf numFmtId="0" fontId="8" fillId="0" borderId="0" xfId="4" applyFont="1" applyAlignment="1" applyProtection="1">
      <alignment horizontal="left" vertical="top" wrapText="1" readingOrder="1"/>
      <protection locked="0"/>
    </xf>
    <xf numFmtId="0" fontId="10" fillId="3" borderId="42" xfId="57" applyFont="1" applyFill="1" applyBorder="1" applyAlignment="1" applyProtection="1">
      <alignment horizontal="center" vertical="center" wrapText="1" readingOrder="1"/>
      <protection locked="0"/>
    </xf>
    <xf numFmtId="0" fontId="10" fillId="3" borderId="56" xfId="57" applyFont="1" applyFill="1" applyBorder="1" applyAlignment="1" applyProtection="1">
      <alignment horizontal="center" vertical="center" wrapText="1" readingOrder="1"/>
      <protection locked="0"/>
    </xf>
    <xf numFmtId="0" fontId="10" fillId="3" borderId="57" xfId="57" applyFont="1" applyFill="1" applyBorder="1" applyAlignment="1" applyProtection="1">
      <alignment horizontal="center" vertical="center" wrapText="1" readingOrder="1"/>
      <protection locked="0"/>
    </xf>
    <xf numFmtId="0" fontId="10" fillId="3" borderId="23" xfId="57" applyFont="1" applyFill="1" applyBorder="1" applyAlignment="1" applyProtection="1">
      <alignment horizontal="center" vertical="center" wrapText="1" readingOrder="1"/>
      <protection locked="0"/>
    </xf>
    <xf numFmtId="0" fontId="10" fillId="3" borderId="58" xfId="57" applyFont="1" applyFill="1" applyBorder="1" applyAlignment="1" applyProtection="1">
      <alignment horizontal="center" vertical="center" wrapText="1" readingOrder="1"/>
      <protection locked="0"/>
    </xf>
    <xf numFmtId="0" fontId="18" fillId="3" borderId="43" xfId="57" applyFont="1" applyFill="1" applyBorder="1" applyAlignment="1">
      <alignment horizontal="center" vertical="center"/>
    </xf>
    <xf numFmtId="0" fontId="18" fillId="3" borderId="34" xfId="57" applyFont="1" applyFill="1" applyBorder="1" applyAlignment="1">
      <alignment horizontal="center" vertical="center"/>
    </xf>
    <xf numFmtId="0" fontId="18" fillId="3" borderId="41" xfId="57" applyFont="1" applyFill="1" applyBorder="1" applyAlignment="1">
      <alignment horizontal="center" vertical="center"/>
    </xf>
    <xf numFmtId="0" fontId="9" fillId="3" borderId="20" xfId="57" applyFont="1" applyFill="1" applyBorder="1" applyAlignment="1" applyProtection="1">
      <alignment vertical="top" wrapText="1" readingOrder="1"/>
      <protection locked="0"/>
    </xf>
    <xf numFmtId="0" fontId="16" fillId="3" borderId="21" xfId="57" applyFill="1" applyBorder="1"/>
    <xf numFmtId="0" fontId="23" fillId="3" borderId="0" xfId="9" applyFill="1" applyBorder="1" applyAlignment="1" applyProtection="1">
      <alignment vertical="top" wrapText="1" readingOrder="1"/>
      <protection locked="0"/>
    </xf>
    <xf numFmtId="0" fontId="23" fillId="3" borderId="0" xfId="9" applyFill="1" applyBorder="1"/>
    <xf numFmtId="0" fontId="15" fillId="3" borderId="48" xfId="57" applyFont="1" applyFill="1" applyBorder="1" applyAlignment="1" applyProtection="1">
      <alignment horizontal="center" vertical="center" textRotation="90" wrapText="1" readingOrder="1"/>
      <protection locked="0"/>
    </xf>
    <xf numFmtId="0" fontId="16" fillId="3" borderId="51" xfId="57" applyFont="1" applyFill="1" applyBorder="1" applyAlignment="1" applyProtection="1">
      <alignment vertical="top" wrapText="1"/>
      <protection locked="0"/>
    </xf>
    <xf numFmtId="0" fontId="16" fillId="3" borderId="52" xfId="57" applyFont="1" applyFill="1" applyBorder="1" applyAlignment="1" applyProtection="1">
      <alignment vertical="top" wrapText="1"/>
      <protection locked="0"/>
    </xf>
    <xf numFmtId="0" fontId="18" fillId="3" borderId="0" xfId="57" applyFont="1" applyFill="1" applyAlignment="1" applyProtection="1">
      <alignment vertical="top" wrapText="1" readingOrder="1"/>
      <protection locked="0"/>
    </xf>
    <xf numFmtId="0" fontId="16" fillId="3" borderId="0" xfId="57" applyFont="1" applyFill="1"/>
    <xf numFmtId="0" fontId="16" fillId="3" borderId="0" xfId="57" applyFill="1"/>
    <xf numFmtId="0" fontId="18" fillId="3" borderId="1" xfId="57" applyFont="1" applyFill="1" applyBorder="1" applyAlignment="1" applyProtection="1">
      <alignment horizontal="center" vertical="top" wrapText="1" readingOrder="1"/>
      <protection locked="0"/>
    </xf>
    <xf numFmtId="0" fontId="16" fillId="3" borderId="16" xfId="57" applyFont="1" applyFill="1" applyBorder="1" applyAlignment="1" applyProtection="1">
      <alignment vertical="top" wrapText="1"/>
      <protection locked="0"/>
    </xf>
    <xf numFmtId="0" fontId="16" fillId="3" borderId="17" xfId="57" applyFont="1" applyFill="1" applyBorder="1" applyAlignment="1" applyProtection="1">
      <alignment vertical="top" wrapText="1"/>
      <protection locked="0"/>
    </xf>
    <xf numFmtId="0" fontId="15" fillId="3" borderId="52" xfId="57" applyFont="1" applyFill="1" applyBorder="1" applyAlignment="1" applyProtection="1">
      <alignment horizontal="center" vertical="center" textRotation="90" wrapText="1" readingOrder="1"/>
      <protection locked="0"/>
    </xf>
    <xf numFmtId="0" fontId="22" fillId="3" borderId="0" xfId="83" applyFont="1" applyFill="1" applyBorder="1" applyAlignment="1" applyProtection="1">
      <alignment vertical="top" wrapText="1" readingOrder="1"/>
      <protection locked="0"/>
    </xf>
    <xf numFmtId="0" fontId="22" fillId="3" borderId="0" xfId="83" applyFont="1" applyFill="1" applyBorder="1"/>
    <xf numFmtId="0" fontId="9" fillId="3" borderId="138" xfId="70" applyFont="1" applyFill="1" applyBorder="1" applyAlignment="1" applyProtection="1">
      <alignment vertical="top" wrapText="1" readingOrder="1"/>
      <protection locked="0"/>
    </xf>
    <xf numFmtId="0" fontId="8" fillId="3" borderId="138" xfId="70" applyFont="1" applyFill="1" applyBorder="1"/>
    <xf numFmtId="0" fontId="24" fillId="3" borderId="0" xfId="70" applyFont="1" applyFill="1" applyAlignment="1" applyProtection="1">
      <alignment horizontal="left" vertical="top" wrapText="1" readingOrder="1"/>
      <protection locked="0"/>
    </xf>
    <xf numFmtId="0" fontId="18" fillId="3" borderId="138" xfId="70" applyFont="1" applyFill="1" applyBorder="1" applyAlignment="1" applyProtection="1">
      <alignment vertical="top" wrapText="1" readingOrder="1"/>
      <protection locked="0"/>
    </xf>
    <xf numFmtId="0" fontId="24" fillId="3" borderId="0" xfId="70" applyFont="1" applyFill="1" applyAlignment="1" applyProtection="1">
      <alignment horizontal="left" vertical="center" wrapText="1" readingOrder="1"/>
      <protection locked="0"/>
    </xf>
    <xf numFmtId="0" fontId="8" fillId="3" borderId="0" xfId="70" applyFont="1" applyFill="1" applyBorder="1" applyAlignment="1" applyProtection="1">
      <alignment horizontal="left" vertical="top" wrapText="1" readingOrder="1"/>
      <protection locked="0"/>
    </xf>
    <xf numFmtId="0" fontId="8" fillId="3" borderId="0" xfId="70" applyFont="1" applyFill="1" applyAlignment="1" applyProtection="1">
      <alignment horizontal="left" vertical="top" wrapText="1" readingOrder="1"/>
      <protection locked="0"/>
    </xf>
    <xf numFmtId="0" fontId="56" fillId="3" borderId="0" xfId="70" applyFont="1" applyFill="1" applyAlignment="1" applyProtection="1">
      <alignment horizontal="left" vertical="top" wrapText="1" readingOrder="1"/>
      <protection locked="0"/>
    </xf>
    <xf numFmtId="0" fontId="55" fillId="3" borderId="129" xfId="61" applyFont="1" applyFill="1" applyBorder="1" applyAlignment="1" applyProtection="1">
      <alignment horizontal="center" vertical="top" wrapText="1" readingOrder="1"/>
      <protection locked="0"/>
    </xf>
    <xf numFmtId="0" fontId="8" fillId="3" borderId="24" xfId="61" applyFont="1" applyFill="1" applyBorder="1" applyAlignment="1" applyProtection="1">
      <alignment horizontal="center" vertical="top" wrapText="1"/>
      <protection locked="0"/>
    </xf>
    <xf numFmtId="0" fontId="8" fillId="3" borderId="131" xfId="61" applyFont="1" applyFill="1" applyBorder="1" applyAlignment="1" applyProtection="1">
      <alignment horizontal="center" vertical="top" wrapText="1"/>
      <protection locked="0"/>
    </xf>
    <xf numFmtId="0" fontId="8" fillId="3" borderId="0" xfId="61" applyFont="1" applyFill="1" applyBorder="1" applyAlignment="1" applyProtection="1">
      <alignment vertical="top" wrapText="1" readingOrder="1"/>
      <protection locked="0"/>
    </xf>
    <xf numFmtId="0" fontId="8" fillId="3" borderId="0" xfId="61" applyFont="1" applyFill="1" applyBorder="1" applyAlignment="1" applyProtection="1">
      <alignment vertical="top" wrapText="1"/>
      <protection locked="0"/>
    </xf>
    <xf numFmtId="0" fontId="8" fillId="3" borderId="25" xfId="61" applyFont="1" applyFill="1" applyBorder="1" applyAlignment="1" applyProtection="1">
      <alignment horizontal="center" vertical="top" wrapText="1"/>
      <protection locked="0"/>
    </xf>
    <xf numFmtId="0" fontId="18" fillId="3" borderId="0" xfId="61" applyFont="1" applyFill="1" applyBorder="1" applyAlignment="1" applyProtection="1">
      <alignment vertical="top" wrapText="1" readingOrder="1"/>
      <protection locked="0"/>
    </xf>
    <xf numFmtId="0" fontId="22" fillId="3" borderId="0" xfId="83" applyFill="1" applyBorder="1" applyAlignment="1" applyProtection="1">
      <alignment horizontal="left" vertical="top" wrapText="1" readingOrder="1"/>
      <protection locked="0"/>
    </xf>
    <xf numFmtId="0" fontId="9" fillId="3" borderId="21" xfId="70" applyFont="1" applyFill="1" applyBorder="1" applyAlignment="1" applyProtection="1">
      <alignment horizontal="left" vertical="top" wrapText="1" readingOrder="1"/>
      <protection locked="0"/>
    </xf>
    <xf numFmtId="0" fontId="22" fillId="3" borderId="0" xfId="83" applyFill="1" applyAlignment="1">
      <alignment horizontal="left"/>
    </xf>
    <xf numFmtId="0" fontId="8" fillId="0" borderId="0" xfId="0" applyFont="1" applyFill="1" applyAlignment="1">
      <alignment wrapText="1"/>
    </xf>
    <xf numFmtId="0" fontId="0" fillId="0" borderId="0" xfId="0" applyFill="1"/>
    <xf numFmtId="0" fontId="8" fillId="3" borderId="0" xfId="61" applyFont="1" applyFill="1" applyBorder="1" applyAlignment="1" applyProtection="1">
      <alignment horizontal="left" vertical="top" wrapText="1" readingOrder="1"/>
      <protection locked="0"/>
    </xf>
    <xf numFmtId="0" fontId="18" fillId="3" borderId="0" xfId="70" applyFont="1" applyFill="1" applyBorder="1" applyAlignment="1" applyProtection="1">
      <alignment horizontal="left" vertical="top" wrapText="1" readingOrder="1"/>
      <protection locked="0"/>
    </xf>
    <xf numFmtId="168" fontId="9" fillId="0" borderId="0" xfId="7" applyNumberFormat="1" applyFont="1" applyBorder="1" applyAlignment="1" applyProtection="1">
      <alignment vertical="top" wrapText="1" readingOrder="1"/>
      <protection locked="0"/>
    </xf>
  </cellXfs>
  <cellStyles count="202">
    <cellStyle name="20% - Accent1 2" xfId="85" xr:uid="{00000000-0005-0000-0000-000000000000}"/>
    <cellStyle name="20% - Accent2 2" xfId="86" xr:uid="{00000000-0005-0000-0000-000001000000}"/>
    <cellStyle name="20% - Accent3 2" xfId="87" xr:uid="{00000000-0005-0000-0000-000002000000}"/>
    <cellStyle name="20% - Accent4 2" xfId="88" xr:uid="{00000000-0005-0000-0000-000003000000}"/>
    <cellStyle name="20% - Accent5 2" xfId="89" xr:uid="{00000000-0005-0000-0000-000004000000}"/>
    <cellStyle name="20% - Accent6 2" xfId="90" xr:uid="{00000000-0005-0000-0000-000005000000}"/>
    <cellStyle name="40% - Accent1 2" xfId="91" xr:uid="{00000000-0005-0000-0000-000006000000}"/>
    <cellStyle name="40% - Accent2 2" xfId="92" xr:uid="{00000000-0005-0000-0000-000007000000}"/>
    <cellStyle name="40% - Accent3 2" xfId="93" xr:uid="{00000000-0005-0000-0000-000008000000}"/>
    <cellStyle name="40% - Accent4 2" xfId="94" xr:uid="{00000000-0005-0000-0000-000009000000}"/>
    <cellStyle name="40% - Accent5 2" xfId="95" xr:uid="{00000000-0005-0000-0000-00000A000000}"/>
    <cellStyle name="40% - Accent6 2" xfId="96" xr:uid="{00000000-0005-0000-0000-00000B000000}"/>
    <cellStyle name="60% - Accent1 2" xfId="97" xr:uid="{00000000-0005-0000-0000-00000C000000}"/>
    <cellStyle name="60% - Accent2 2" xfId="98" xr:uid="{00000000-0005-0000-0000-00000D000000}"/>
    <cellStyle name="60% - Accent3 2" xfId="99" xr:uid="{00000000-0005-0000-0000-00000E000000}"/>
    <cellStyle name="60% - Accent4 2" xfId="100" xr:uid="{00000000-0005-0000-0000-00000F000000}"/>
    <cellStyle name="60% - Accent5 2" xfId="101" xr:uid="{00000000-0005-0000-0000-000010000000}"/>
    <cellStyle name="60% - Accent6 2" xfId="102" xr:uid="{00000000-0005-0000-0000-000011000000}"/>
    <cellStyle name="Accent1 2" xfId="103" xr:uid="{00000000-0005-0000-0000-000012000000}"/>
    <cellStyle name="Accent2 2" xfId="104" xr:uid="{00000000-0005-0000-0000-000013000000}"/>
    <cellStyle name="Accent3 2" xfId="105" xr:uid="{00000000-0005-0000-0000-000014000000}"/>
    <cellStyle name="Accent4 2" xfId="106" xr:uid="{00000000-0005-0000-0000-000015000000}"/>
    <cellStyle name="Accent5 2" xfId="107" xr:uid="{00000000-0005-0000-0000-000016000000}"/>
    <cellStyle name="Accent6 2" xfId="108" xr:uid="{00000000-0005-0000-0000-000017000000}"/>
    <cellStyle name="Bad 2" xfId="109" xr:uid="{00000000-0005-0000-0000-000018000000}"/>
    <cellStyle name="Calculation 2" xfId="110" xr:uid="{00000000-0005-0000-0000-000019000000}"/>
    <cellStyle name="Check Cell 2" xfId="111" xr:uid="{00000000-0005-0000-0000-00001A000000}"/>
    <cellStyle name="Comma" xfId="1" builtinId="3"/>
    <cellStyle name="Comma 10" xfId="75" xr:uid="{00000000-0005-0000-0000-00001C000000}"/>
    <cellStyle name="Comma 11" xfId="185" xr:uid="{00000000-0005-0000-0000-00001D000000}"/>
    <cellStyle name="Comma 12" xfId="188" xr:uid="{00000000-0005-0000-0000-00001E000000}"/>
    <cellStyle name="Comma 13" xfId="194" xr:uid="{00000000-0005-0000-0000-00001F000000}"/>
    <cellStyle name="Comma 2" xfId="2" xr:uid="{00000000-0005-0000-0000-000020000000}"/>
    <cellStyle name="Comma 2 2" xfId="12" xr:uid="{00000000-0005-0000-0000-000021000000}"/>
    <cellStyle name="Comma 2 2 2" xfId="112" xr:uid="{00000000-0005-0000-0000-000022000000}"/>
    <cellStyle name="Comma 2 2 3" xfId="65" xr:uid="{00000000-0005-0000-0000-000023000000}"/>
    <cellStyle name="Comma 2 3" xfId="13" xr:uid="{00000000-0005-0000-0000-000024000000}"/>
    <cellStyle name="Comma 2 3 2" xfId="14" xr:uid="{00000000-0005-0000-0000-000025000000}"/>
    <cellStyle name="Comma 2 3 2 2" xfId="149" xr:uid="{00000000-0005-0000-0000-000026000000}"/>
    <cellStyle name="Comma 2 3 3" xfId="148" xr:uid="{00000000-0005-0000-0000-000027000000}"/>
    <cellStyle name="Comma 2 3 4" xfId="63" xr:uid="{00000000-0005-0000-0000-000028000000}"/>
    <cellStyle name="Comma 2 4" xfId="15" xr:uid="{00000000-0005-0000-0000-000029000000}"/>
    <cellStyle name="Comma 2 4 2" xfId="150" xr:uid="{00000000-0005-0000-0000-00002A000000}"/>
    <cellStyle name="Comma 2 5" xfId="144" xr:uid="{00000000-0005-0000-0000-00002B000000}"/>
    <cellStyle name="Comma 2 6" xfId="64" xr:uid="{00000000-0005-0000-0000-00002C000000}"/>
    <cellStyle name="Comma 3" xfId="10" xr:uid="{00000000-0005-0000-0000-00002D000000}"/>
    <cellStyle name="Comma 3 2" xfId="16" xr:uid="{00000000-0005-0000-0000-00002E000000}"/>
    <cellStyle name="Comma 3 2 2" xfId="17" xr:uid="{00000000-0005-0000-0000-00002F000000}"/>
    <cellStyle name="Comma 3 2 3" xfId="67" xr:uid="{00000000-0005-0000-0000-000030000000}"/>
    <cellStyle name="Comma 3 3" xfId="18" xr:uid="{00000000-0005-0000-0000-000031000000}"/>
    <cellStyle name="Comma 3 3 2" xfId="19" xr:uid="{00000000-0005-0000-0000-000032000000}"/>
    <cellStyle name="Comma 3 3 2 2" xfId="152" xr:uid="{00000000-0005-0000-0000-000033000000}"/>
    <cellStyle name="Comma 3 3 3" xfId="151" xr:uid="{00000000-0005-0000-0000-000034000000}"/>
    <cellStyle name="Comma 3 3 4" xfId="68" xr:uid="{00000000-0005-0000-0000-000035000000}"/>
    <cellStyle name="Comma 3 4" xfId="146" xr:uid="{00000000-0005-0000-0000-000036000000}"/>
    <cellStyle name="Comma 3 5" xfId="66" xr:uid="{00000000-0005-0000-0000-000037000000}"/>
    <cellStyle name="Comma 4" xfId="20" xr:uid="{00000000-0005-0000-0000-000038000000}"/>
    <cellStyle name="Comma 4 2" xfId="21" xr:uid="{00000000-0005-0000-0000-000039000000}"/>
    <cellStyle name="Comma 4 2 2" xfId="113" xr:uid="{00000000-0005-0000-0000-00003A000000}"/>
    <cellStyle name="Comma 4 3" xfId="69" xr:uid="{00000000-0005-0000-0000-00003B000000}"/>
    <cellStyle name="Comma 5" xfId="22" xr:uid="{00000000-0005-0000-0000-00003C000000}"/>
    <cellStyle name="Comma 5 2" xfId="114" xr:uid="{00000000-0005-0000-0000-00003D000000}"/>
    <cellStyle name="Comma 6" xfId="23" xr:uid="{00000000-0005-0000-0000-00003E000000}"/>
    <cellStyle name="Comma 6 2" xfId="24" xr:uid="{00000000-0005-0000-0000-00003F000000}"/>
    <cellStyle name="Comma 6 2 2" xfId="154" xr:uid="{00000000-0005-0000-0000-000040000000}"/>
    <cellStyle name="Comma 6 3" xfId="153" xr:uid="{00000000-0005-0000-0000-000041000000}"/>
    <cellStyle name="Comma 7" xfId="25" xr:uid="{00000000-0005-0000-0000-000042000000}"/>
    <cellStyle name="Comma 7 2" xfId="155" xr:uid="{00000000-0005-0000-0000-000043000000}"/>
    <cellStyle name="Comma 8" xfId="56" xr:uid="{00000000-0005-0000-0000-000044000000}"/>
    <cellStyle name="Comma 8 2" xfId="60" xr:uid="{00000000-0005-0000-0000-000045000000}"/>
    <cellStyle name="Comma 8 2 2" xfId="176" xr:uid="{00000000-0005-0000-0000-000046000000}"/>
    <cellStyle name="Comma 8 2 3" xfId="183" xr:uid="{00000000-0005-0000-0000-000047000000}"/>
    <cellStyle name="Comma 8 3" xfId="172" xr:uid="{00000000-0005-0000-0000-000048000000}"/>
    <cellStyle name="Comma 8 4" xfId="180" xr:uid="{00000000-0005-0000-0000-000049000000}"/>
    <cellStyle name="Comma 9" xfId="143" xr:uid="{00000000-0005-0000-0000-00004A000000}"/>
    <cellStyle name="Explanatory Text 2" xfId="115" xr:uid="{00000000-0005-0000-0000-00004B000000}"/>
    <cellStyle name="Followed Hyperlink 2" xfId="84" xr:uid="{00000000-0005-0000-0000-00004C000000}"/>
    <cellStyle name="Good 2" xfId="116" xr:uid="{00000000-0005-0000-0000-00004D000000}"/>
    <cellStyle name="Heading 1 2" xfId="117" xr:uid="{00000000-0005-0000-0000-00004E000000}"/>
    <cellStyle name="Heading 2 2" xfId="118" xr:uid="{00000000-0005-0000-0000-00004F000000}"/>
    <cellStyle name="Heading 3 2" xfId="119" xr:uid="{00000000-0005-0000-0000-000050000000}"/>
    <cellStyle name="Heading 4 2" xfId="120" xr:uid="{00000000-0005-0000-0000-000051000000}"/>
    <cellStyle name="Hyperlink" xfId="3" builtinId="8"/>
    <cellStyle name="Hyperlink 2" xfId="9" xr:uid="{00000000-0005-0000-0000-000053000000}"/>
    <cellStyle name="Hyperlink 2 2" xfId="26" xr:uid="{00000000-0005-0000-0000-000054000000}"/>
    <cellStyle name="Hyperlink 2 2 2" xfId="156" xr:uid="{00000000-0005-0000-0000-000055000000}"/>
    <cellStyle name="Hyperlink 2 2 3" xfId="83" xr:uid="{00000000-0005-0000-0000-000056000000}"/>
    <cellStyle name="Hyperlink 3" xfId="27" xr:uid="{00000000-0005-0000-0000-000057000000}"/>
    <cellStyle name="Hyperlink 3 2" xfId="28" xr:uid="{00000000-0005-0000-0000-000058000000}"/>
    <cellStyle name="Hyperlink 3 3" xfId="157" xr:uid="{00000000-0005-0000-0000-000059000000}"/>
    <cellStyle name="Hyperlink 3 4" xfId="121" xr:uid="{00000000-0005-0000-0000-00005A000000}"/>
    <cellStyle name="Hyperlink 4" xfId="29" xr:uid="{00000000-0005-0000-0000-00005B000000}"/>
    <cellStyle name="Hyperlink 4 2" xfId="30" xr:uid="{00000000-0005-0000-0000-00005C000000}"/>
    <cellStyle name="Hyperlink 4 3" xfId="158" xr:uid="{00000000-0005-0000-0000-00005D000000}"/>
    <cellStyle name="Hyperlink 4 4" xfId="82" xr:uid="{00000000-0005-0000-0000-00005E000000}"/>
    <cellStyle name="Hyperlink 5" xfId="31" xr:uid="{00000000-0005-0000-0000-00005F000000}"/>
    <cellStyle name="Hyperlink 5 2" xfId="159" xr:uid="{00000000-0005-0000-0000-000060000000}"/>
    <cellStyle name="Input 2" xfId="122" xr:uid="{00000000-0005-0000-0000-000061000000}"/>
    <cellStyle name="Linked Cell 2" xfId="123" xr:uid="{00000000-0005-0000-0000-000062000000}"/>
    <cellStyle name="Neutral 2" xfId="124" xr:uid="{00000000-0005-0000-0000-000063000000}"/>
    <cellStyle name="Normal" xfId="0" builtinId="0"/>
    <cellStyle name="Normal 10" xfId="61" xr:uid="{00000000-0005-0000-0000-000065000000}"/>
    <cellStyle name="Normal 11" xfId="142" xr:uid="{00000000-0005-0000-0000-000066000000}"/>
    <cellStyle name="Normal 12" xfId="184" xr:uid="{00000000-0005-0000-0000-000067000000}"/>
    <cellStyle name="Normal 12 2" xfId="198" xr:uid="{00000000-0005-0000-0000-000068000000}"/>
    <cellStyle name="Normal 13" xfId="189" xr:uid="{00000000-0005-0000-0000-000069000000}"/>
    <cellStyle name="Normal 14" xfId="193" xr:uid="{00000000-0005-0000-0000-00006A000000}"/>
    <cellStyle name="Normal 14 2" xfId="199" xr:uid="{00000000-0005-0000-0000-00006B000000}"/>
    <cellStyle name="Normal 2" xfId="4" xr:uid="{00000000-0005-0000-0000-00006C000000}"/>
    <cellStyle name="Normal 2 2" xfId="32" xr:uid="{00000000-0005-0000-0000-00006D000000}"/>
    <cellStyle name="Normal 2 2 2" xfId="70" xr:uid="{00000000-0005-0000-0000-00006E000000}"/>
    <cellStyle name="Normal 2 3" xfId="62" xr:uid="{00000000-0005-0000-0000-00006F000000}"/>
    <cellStyle name="Normal 2 4" xfId="125" xr:uid="{00000000-0005-0000-0000-000070000000}"/>
    <cellStyle name="Normal 2 5" xfId="81" xr:uid="{00000000-0005-0000-0000-000071000000}"/>
    <cellStyle name="Normal 3" xfId="5" xr:uid="{00000000-0005-0000-0000-000072000000}"/>
    <cellStyle name="Normal 3 2" xfId="33" xr:uid="{00000000-0005-0000-0000-000073000000}"/>
    <cellStyle name="Normal 3 2 2" xfId="34" xr:uid="{00000000-0005-0000-0000-000074000000}"/>
    <cellStyle name="Normal 3 2 3" xfId="160" xr:uid="{00000000-0005-0000-0000-000075000000}"/>
    <cellStyle name="Normal 3 3" xfId="35" xr:uid="{00000000-0005-0000-0000-000076000000}"/>
    <cellStyle name="Normal 3 3 2" xfId="71" xr:uid="{00000000-0005-0000-0000-000077000000}"/>
    <cellStyle name="Normal 3 4" xfId="36" xr:uid="{00000000-0005-0000-0000-000078000000}"/>
    <cellStyle name="Normal 3 4 2" xfId="161" xr:uid="{00000000-0005-0000-0000-000079000000}"/>
    <cellStyle name="Normal 3 4 3" xfId="78" xr:uid="{00000000-0005-0000-0000-00007A000000}"/>
    <cellStyle name="Normal 4" xfId="6" xr:uid="{00000000-0005-0000-0000-00007B000000}"/>
    <cellStyle name="Normal 4 2" xfId="37" xr:uid="{00000000-0005-0000-0000-00007C000000}"/>
    <cellStyle name="Normal 4 3" xfId="38" xr:uid="{00000000-0005-0000-0000-00007D000000}"/>
    <cellStyle name="Normal 4 4" xfId="145" xr:uid="{00000000-0005-0000-0000-00007E000000}"/>
    <cellStyle name="Normal 4 5" xfId="190" xr:uid="{00000000-0005-0000-0000-00007F000000}"/>
    <cellStyle name="Normal 5" xfId="11" xr:uid="{00000000-0005-0000-0000-000080000000}"/>
    <cellStyle name="Normal 5 2" xfId="39" xr:uid="{00000000-0005-0000-0000-000081000000}"/>
    <cellStyle name="Normal 5 2 2" xfId="126" xr:uid="{00000000-0005-0000-0000-000082000000}"/>
    <cellStyle name="Normal 5 3" xfId="58" xr:uid="{00000000-0005-0000-0000-000083000000}"/>
    <cellStyle name="Normal 5 3 2" xfId="174" xr:uid="{00000000-0005-0000-0000-000084000000}"/>
    <cellStyle name="Normal 5 3 3" xfId="181" xr:uid="{00000000-0005-0000-0000-000085000000}"/>
    <cellStyle name="Normal 5 3 4" xfId="186" xr:uid="{00000000-0005-0000-0000-000086000000}"/>
    <cellStyle name="Normal 5 3 5" xfId="196" xr:uid="{00000000-0005-0000-0000-000087000000}"/>
    <cellStyle name="Normal 5 3 5 2" xfId="200" xr:uid="{00000000-0005-0000-0000-000088000000}"/>
    <cellStyle name="Normal 5 4" xfId="147" xr:uid="{00000000-0005-0000-0000-000089000000}"/>
    <cellStyle name="Normal 5 5" xfId="72" xr:uid="{00000000-0005-0000-0000-00008A000000}"/>
    <cellStyle name="Normal 5 6" xfId="178" xr:uid="{00000000-0005-0000-0000-00008B000000}"/>
    <cellStyle name="Normal 6" xfId="40" xr:uid="{00000000-0005-0000-0000-00008C000000}"/>
    <cellStyle name="Normal 6 2" xfId="162" xr:uid="{00000000-0005-0000-0000-00008D000000}"/>
    <cellStyle name="Normal 7" xfId="41" xr:uid="{00000000-0005-0000-0000-00008E000000}"/>
    <cellStyle name="Normal 7 2" xfId="77" xr:uid="{00000000-0005-0000-0000-00008F000000}"/>
    <cellStyle name="Normal 7 3" xfId="163" xr:uid="{00000000-0005-0000-0000-000090000000}"/>
    <cellStyle name="Normal 8" xfId="42" xr:uid="{00000000-0005-0000-0000-000091000000}"/>
    <cellStyle name="Normal 8 2" xfId="80" xr:uid="{00000000-0005-0000-0000-000092000000}"/>
    <cellStyle name="Normal 8 3" xfId="76" xr:uid="{00000000-0005-0000-0000-000093000000}"/>
    <cellStyle name="Normal 9" xfId="57" xr:uid="{00000000-0005-0000-0000-000094000000}"/>
    <cellStyle name="Normal 9 2" xfId="173" xr:uid="{00000000-0005-0000-0000-000095000000}"/>
    <cellStyle name="Normal 9 3" xfId="79" xr:uid="{00000000-0005-0000-0000-000096000000}"/>
    <cellStyle name="Note 2" xfId="127" xr:uid="{00000000-0005-0000-0000-000097000000}"/>
    <cellStyle name="Note 2 2" xfId="128" xr:uid="{00000000-0005-0000-0000-000098000000}"/>
    <cellStyle name="Note 3" xfId="129" xr:uid="{00000000-0005-0000-0000-000099000000}"/>
    <cellStyle name="Output 2" xfId="130" xr:uid="{00000000-0005-0000-0000-00009A000000}"/>
    <cellStyle name="Percent" xfId="7" builtinId="5"/>
    <cellStyle name="Percent 10" xfId="191" xr:uid="{00000000-0005-0000-0000-00009C000000}"/>
    <cellStyle name="Percent 11" xfId="195" xr:uid="{00000000-0005-0000-0000-00009D000000}"/>
    <cellStyle name="Percent 2" xfId="8" xr:uid="{00000000-0005-0000-0000-00009E000000}"/>
    <cellStyle name="Percent 2 2" xfId="43" xr:uid="{00000000-0005-0000-0000-00009F000000}"/>
    <cellStyle name="Percent 2 2 2" xfId="44" xr:uid="{00000000-0005-0000-0000-0000A0000000}"/>
    <cellStyle name="Percent 2 2 3" xfId="74" xr:uid="{00000000-0005-0000-0000-0000A1000000}"/>
    <cellStyle name="Percent 2 3" xfId="45" xr:uid="{00000000-0005-0000-0000-0000A2000000}"/>
    <cellStyle name="Percent 2 3 2" xfId="46" xr:uid="{00000000-0005-0000-0000-0000A3000000}"/>
    <cellStyle name="Percent 2 3 2 2" xfId="165" xr:uid="{00000000-0005-0000-0000-0000A4000000}"/>
    <cellStyle name="Percent 2 3 3" xfId="164" xr:uid="{00000000-0005-0000-0000-0000A5000000}"/>
    <cellStyle name="Percent 2 3 4" xfId="131" xr:uid="{00000000-0005-0000-0000-0000A6000000}"/>
    <cellStyle name="Percent 2 4" xfId="73" xr:uid="{00000000-0005-0000-0000-0000A7000000}"/>
    <cellStyle name="Percent 3" xfId="47" xr:uid="{00000000-0005-0000-0000-0000A8000000}"/>
    <cellStyle name="Percent 3 2" xfId="48" xr:uid="{00000000-0005-0000-0000-0000A9000000}"/>
    <cellStyle name="Percent 3 2 2" xfId="134" xr:uid="{00000000-0005-0000-0000-0000AA000000}"/>
    <cellStyle name="Percent 3 2 3" xfId="166" xr:uid="{00000000-0005-0000-0000-0000AB000000}"/>
    <cellStyle name="Percent 3 2 4" xfId="133" xr:uid="{00000000-0005-0000-0000-0000AC000000}"/>
    <cellStyle name="Percent 3 3" xfId="135" xr:uid="{00000000-0005-0000-0000-0000AD000000}"/>
    <cellStyle name="Percent 3 4" xfId="132" xr:uid="{00000000-0005-0000-0000-0000AE000000}"/>
    <cellStyle name="Percent 4" xfId="49" xr:uid="{00000000-0005-0000-0000-0000AF000000}"/>
    <cellStyle name="Percent 4 2" xfId="50" xr:uid="{00000000-0005-0000-0000-0000B0000000}"/>
    <cellStyle name="Percent 4 2 2" xfId="137" xr:uid="{00000000-0005-0000-0000-0000B1000000}"/>
    <cellStyle name="Percent 4 3" xfId="136" xr:uid="{00000000-0005-0000-0000-0000B2000000}"/>
    <cellStyle name="Percent 5" xfId="51" xr:uid="{00000000-0005-0000-0000-0000B3000000}"/>
    <cellStyle name="Percent 5 2" xfId="52" xr:uid="{00000000-0005-0000-0000-0000B4000000}"/>
    <cellStyle name="Percent 5 2 2" xfId="168" xr:uid="{00000000-0005-0000-0000-0000B5000000}"/>
    <cellStyle name="Percent 5 2 3" xfId="139" xr:uid="{00000000-0005-0000-0000-0000B6000000}"/>
    <cellStyle name="Percent 5 3" xfId="167" xr:uid="{00000000-0005-0000-0000-0000B7000000}"/>
    <cellStyle name="Percent 5 4" xfId="138" xr:uid="{00000000-0005-0000-0000-0000B8000000}"/>
    <cellStyle name="Percent 6" xfId="53" xr:uid="{00000000-0005-0000-0000-0000B9000000}"/>
    <cellStyle name="Percent 6 2" xfId="169" xr:uid="{00000000-0005-0000-0000-0000BA000000}"/>
    <cellStyle name="Percent 7" xfId="54" xr:uid="{00000000-0005-0000-0000-0000BB000000}"/>
    <cellStyle name="Percent 7 2" xfId="170" xr:uid="{00000000-0005-0000-0000-0000BC000000}"/>
    <cellStyle name="Percent 8" xfId="55" xr:uid="{00000000-0005-0000-0000-0000BD000000}"/>
    <cellStyle name="Percent 8 2" xfId="59" xr:uid="{00000000-0005-0000-0000-0000BE000000}"/>
    <cellStyle name="Percent 8 2 2" xfId="175" xr:uid="{00000000-0005-0000-0000-0000BF000000}"/>
    <cellStyle name="Percent 8 2 3" xfId="182" xr:uid="{00000000-0005-0000-0000-0000C0000000}"/>
    <cellStyle name="Percent 8 2 4" xfId="187" xr:uid="{00000000-0005-0000-0000-0000C1000000}"/>
    <cellStyle name="Percent 8 2 5" xfId="197" xr:uid="{00000000-0005-0000-0000-0000C2000000}"/>
    <cellStyle name="Percent 8 2 5 2" xfId="201" xr:uid="{00000000-0005-0000-0000-0000C3000000}"/>
    <cellStyle name="Percent 8 3" xfId="171" xr:uid="{00000000-0005-0000-0000-0000C4000000}"/>
    <cellStyle name="Percent 8 4" xfId="179" xr:uid="{00000000-0005-0000-0000-0000C5000000}"/>
    <cellStyle name="Percent 9" xfId="192" xr:uid="{00000000-0005-0000-0000-0000C6000000}"/>
    <cellStyle name="Title" xfId="177" builtinId="15" customBuiltin="1"/>
    <cellStyle name="Total 2" xfId="140" xr:uid="{00000000-0005-0000-0000-0000C8000000}"/>
    <cellStyle name="Warning Text 2" xfId="141" xr:uid="{00000000-0005-0000-0000-0000C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3360"/>
      <rgbColor rgb="00D3D3D3"/>
      <rgbColor rgb="000000FF"/>
      <rgbColor rgb="0000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5EB8"/>
      <color rgb="FF003087"/>
      <color rgb="FF3F91C9"/>
      <color rgb="FFF8F8F8"/>
      <color rgb="FF84919C"/>
      <color rgb="FFD0D5D6"/>
      <color rgb="FF5EC1EA"/>
      <color rgb="FFD6DB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38"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23</xdr:row>
      <xdr:rowOff>76199</xdr:rowOff>
    </xdr:from>
    <xdr:to>
      <xdr:col>1</xdr:col>
      <xdr:colOff>41033</xdr:colOff>
      <xdr:row>23</xdr:row>
      <xdr:rowOff>504265</xdr:rowOff>
    </xdr:to>
    <xdr:pic>
      <xdr:nvPicPr>
        <xdr:cNvPr id="2" name="Picture 1" descr="48bf4cd158a94aebada082d9c5a61d4a">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138581"/>
          <a:ext cx="636627"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676275</xdr:colOff>
      <xdr:row>0</xdr:row>
      <xdr:rowOff>409575</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ccident--emergency-activity/2018-19" TargetMode="External"/><Relationship Id="rId1" Type="http://schemas.openxmlformats.org/officeDocument/2006/relationships/hyperlink" Target="mailto:enquiries@nhsdigital.nhs.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ts-d-sql-632/ReportServer?%2FHESF%2FAnnual%20Publications%2FAccident%20and%20Emergency%2FTable%203%20Organisation%20Type&amp;SelectedYear=2014-15&amp;rs%3AParameterLanguage="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enquiries@nhsdigital.nhs.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enquiries@nhsdigital.nhs.uk"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enquiries@nhsdigital.nhs.uk"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enquiries@nhsdigital.nhs.uk"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enquiries@NHSDigital.nhs.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enquiries@nhsdigital.nhs.uk"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enquiries@nhsdigital.nhs.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enquiries@nhsdigital.nhs.uk"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enquiries@nhsdigital.nhs.uk"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mailto:enquiries@nhsdigital.nhs.uk"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enquiries@nhsdigital.nhs.uk"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enquiries@nhsdigital.nhs.uk"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enquiries@NHSDigital.nhs.uk"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enquiries@nhsdigital.nhs.uk"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enquiries@nhsdigital.nhs.uk"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mailto:enquiries@nhsdigital.nhs.uk"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mailto:enquiries@nhsdigital.nhs.uk"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enquiries@nhsdigital.nhs.uk"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mailto:enquiries@nhsdigital.nhs.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mailto:enquiries@nhsdigital.nhs.uk"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mailto:enquiries@nhsdigital.nhs.uk"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enquiries@nhsdigital.nhs.uk"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mailto:enquiries@nhsdigital.nhs.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www.england.nhs.uk/statistics/statistical-work-areas/ae-waiting-times-and-activity/statistical-work-areasae-waiting-times-and-activityae-attendances-and-emergency-admissions-2016-17/" TargetMode="External"/><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showGridLines="0" tabSelected="1" zoomScaleNormal="100" workbookViewId="0">
      <selection sqref="A1:I1"/>
    </sheetView>
  </sheetViews>
  <sheetFormatPr defaultRowHeight="12.75" x14ac:dyDescent="0.2"/>
  <cols>
    <col min="1" max="1" width="16.42578125" style="118" customWidth="1"/>
    <col min="2" max="9" width="14.28515625" style="118" customWidth="1"/>
    <col min="10" max="256" width="9.140625" style="118"/>
    <col min="257" max="257" width="12.7109375" style="118" customWidth="1"/>
    <col min="258" max="258" width="69.5703125" style="118" customWidth="1"/>
    <col min="259" max="259" width="26" style="118" customWidth="1"/>
    <col min="260" max="260" width="18.140625" style="118" customWidth="1"/>
    <col min="261" max="512" width="9.140625" style="118"/>
    <col min="513" max="513" width="12.7109375" style="118" customWidth="1"/>
    <col min="514" max="514" width="69.5703125" style="118" customWidth="1"/>
    <col min="515" max="515" width="26" style="118" customWidth="1"/>
    <col min="516" max="516" width="18.140625" style="118" customWidth="1"/>
    <col min="517" max="768" width="9.140625" style="118"/>
    <col min="769" max="769" width="12.7109375" style="118" customWidth="1"/>
    <col min="770" max="770" width="69.5703125" style="118" customWidth="1"/>
    <col min="771" max="771" width="26" style="118" customWidth="1"/>
    <col min="772" max="772" width="18.140625" style="118" customWidth="1"/>
    <col min="773" max="1024" width="9.140625" style="118"/>
    <col min="1025" max="1025" width="12.7109375" style="118" customWidth="1"/>
    <col min="1026" max="1026" width="69.5703125" style="118" customWidth="1"/>
    <col min="1027" max="1027" width="26" style="118" customWidth="1"/>
    <col min="1028" max="1028" width="18.140625" style="118" customWidth="1"/>
    <col min="1029" max="1280" width="9.140625" style="118"/>
    <col min="1281" max="1281" width="12.7109375" style="118" customWidth="1"/>
    <col min="1282" max="1282" width="69.5703125" style="118" customWidth="1"/>
    <col min="1283" max="1283" width="26" style="118" customWidth="1"/>
    <col min="1284" max="1284" width="18.140625" style="118" customWidth="1"/>
    <col min="1285" max="1536" width="9.140625" style="118"/>
    <col min="1537" max="1537" width="12.7109375" style="118" customWidth="1"/>
    <col min="1538" max="1538" width="69.5703125" style="118" customWidth="1"/>
    <col min="1539" max="1539" width="26" style="118" customWidth="1"/>
    <col min="1540" max="1540" width="18.140625" style="118" customWidth="1"/>
    <col min="1541" max="1792" width="9.140625" style="118"/>
    <col min="1793" max="1793" width="12.7109375" style="118" customWidth="1"/>
    <col min="1794" max="1794" width="69.5703125" style="118" customWidth="1"/>
    <col min="1795" max="1795" width="26" style="118" customWidth="1"/>
    <col min="1796" max="1796" width="18.140625" style="118" customWidth="1"/>
    <col min="1797" max="2048" width="9.140625" style="118"/>
    <col min="2049" max="2049" width="12.7109375" style="118" customWidth="1"/>
    <col min="2050" max="2050" width="69.5703125" style="118" customWidth="1"/>
    <col min="2051" max="2051" width="26" style="118" customWidth="1"/>
    <col min="2052" max="2052" width="18.140625" style="118" customWidth="1"/>
    <col min="2053" max="2304" width="9.140625" style="118"/>
    <col min="2305" max="2305" width="12.7109375" style="118" customWidth="1"/>
    <col min="2306" max="2306" width="69.5703125" style="118" customWidth="1"/>
    <col min="2307" max="2307" width="26" style="118" customWidth="1"/>
    <col min="2308" max="2308" width="18.140625" style="118" customWidth="1"/>
    <col min="2309" max="2560" width="9.140625" style="118"/>
    <col min="2561" max="2561" width="12.7109375" style="118" customWidth="1"/>
    <col min="2562" max="2562" width="69.5703125" style="118" customWidth="1"/>
    <col min="2563" max="2563" width="26" style="118" customWidth="1"/>
    <col min="2564" max="2564" width="18.140625" style="118" customWidth="1"/>
    <col min="2565" max="2816" width="9.140625" style="118"/>
    <col min="2817" max="2817" width="12.7109375" style="118" customWidth="1"/>
    <col min="2818" max="2818" width="69.5703125" style="118" customWidth="1"/>
    <col min="2819" max="2819" width="26" style="118" customWidth="1"/>
    <col min="2820" max="2820" width="18.140625" style="118" customWidth="1"/>
    <col min="2821" max="3072" width="9.140625" style="118"/>
    <col min="3073" max="3073" width="12.7109375" style="118" customWidth="1"/>
    <col min="3074" max="3074" width="69.5703125" style="118" customWidth="1"/>
    <col min="3075" max="3075" width="26" style="118" customWidth="1"/>
    <col min="3076" max="3076" width="18.140625" style="118" customWidth="1"/>
    <col min="3077" max="3328" width="9.140625" style="118"/>
    <col min="3329" max="3329" width="12.7109375" style="118" customWidth="1"/>
    <col min="3330" max="3330" width="69.5703125" style="118" customWidth="1"/>
    <col min="3331" max="3331" width="26" style="118" customWidth="1"/>
    <col min="3332" max="3332" width="18.140625" style="118" customWidth="1"/>
    <col min="3333" max="3584" width="9.140625" style="118"/>
    <col min="3585" max="3585" width="12.7109375" style="118" customWidth="1"/>
    <col min="3586" max="3586" width="69.5703125" style="118" customWidth="1"/>
    <col min="3587" max="3587" width="26" style="118" customWidth="1"/>
    <col min="3588" max="3588" width="18.140625" style="118" customWidth="1"/>
    <col min="3589" max="3840" width="9.140625" style="118"/>
    <col min="3841" max="3841" width="12.7109375" style="118" customWidth="1"/>
    <col min="3842" max="3842" width="69.5703125" style="118" customWidth="1"/>
    <col min="3843" max="3843" width="26" style="118" customWidth="1"/>
    <col min="3844" max="3844" width="18.140625" style="118" customWidth="1"/>
    <col min="3845" max="4096" width="9.140625" style="118"/>
    <col min="4097" max="4097" width="12.7109375" style="118" customWidth="1"/>
    <col min="4098" max="4098" width="69.5703125" style="118" customWidth="1"/>
    <col min="4099" max="4099" width="26" style="118" customWidth="1"/>
    <col min="4100" max="4100" width="18.140625" style="118" customWidth="1"/>
    <col min="4101" max="4352" width="9.140625" style="118"/>
    <col min="4353" max="4353" width="12.7109375" style="118" customWidth="1"/>
    <col min="4354" max="4354" width="69.5703125" style="118" customWidth="1"/>
    <col min="4355" max="4355" width="26" style="118" customWidth="1"/>
    <col min="4356" max="4356" width="18.140625" style="118" customWidth="1"/>
    <col min="4357" max="4608" width="9.140625" style="118"/>
    <col min="4609" max="4609" width="12.7109375" style="118" customWidth="1"/>
    <col min="4610" max="4610" width="69.5703125" style="118" customWidth="1"/>
    <col min="4611" max="4611" width="26" style="118" customWidth="1"/>
    <col min="4612" max="4612" width="18.140625" style="118" customWidth="1"/>
    <col min="4613" max="4864" width="9.140625" style="118"/>
    <col min="4865" max="4865" width="12.7109375" style="118" customWidth="1"/>
    <col min="4866" max="4866" width="69.5703125" style="118" customWidth="1"/>
    <col min="4867" max="4867" width="26" style="118" customWidth="1"/>
    <col min="4868" max="4868" width="18.140625" style="118" customWidth="1"/>
    <col min="4869" max="5120" width="9.140625" style="118"/>
    <col min="5121" max="5121" width="12.7109375" style="118" customWidth="1"/>
    <col min="5122" max="5122" width="69.5703125" style="118" customWidth="1"/>
    <col min="5123" max="5123" width="26" style="118" customWidth="1"/>
    <col min="5124" max="5124" width="18.140625" style="118" customWidth="1"/>
    <col min="5125" max="5376" width="9.140625" style="118"/>
    <col min="5377" max="5377" width="12.7109375" style="118" customWidth="1"/>
    <col min="5378" max="5378" width="69.5703125" style="118" customWidth="1"/>
    <col min="5379" max="5379" width="26" style="118" customWidth="1"/>
    <col min="5380" max="5380" width="18.140625" style="118" customWidth="1"/>
    <col min="5381" max="5632" width="9.140625" style="118"/>
    <col min="5633" max="5633" width="12.7109375" style="118" customWidth="1"/>
    <col min="5634" max="5634" width="69.5703125" style="118" customWidth="1"/>
    <col min="5635" max="5635" width="26" style="118" customWidth="1"/>
    <col min="5636" max="5636" width="18.140625" style="118" customWidth="1"/>
    <col min="5637" max="5888" width="9.140625" style="118"/>
    <col min="5889" max="5889" width="12.7109375" style="118" customWidth="1"/>
    <col min="5890" max="5890" width="69.5703125" style="118" customWidth="1"/>
    <col min="5891" max="5891" width="26" style="118" customWidth="1"/>
    <col min="5892" max="5892" width="18.140625" style="118" customWidth="1"/>
    <col min="5893" max="6144" width="9.140625" style="118"/>
    <col min="6145" max="6145" width="12.7109375" style="118" customWidth="1"/>
    <col min="6146" max="6146" width="69.5703125" style="118" customWidth="1"/>
    <col min="6147" max="6147" width="26" style="118" customWidth="1"/>
    <col min="6148" max="6148" width="18.140625" style="118" customWidth="1"/>
    <col min="6149" max="6400" width="9.140625" style="118"/>
    <col min="6401" max="6401" width="12.7109375" style="118" customWidth="1"/>
    <col min="6402" max="6402" width="69.5703125" style="118" customWidth="1"/>
    <col min="6403" max="6403" width="26" style="118" customWidth="1"/>
    <col min="6404" max="6404" width="18.140625" style="118" customWidth="1"/>
    <col min="6405" max="6656" width="9.140625" style="118"/>
    <col min="6657" max="6657" width="12.7109375" style="118" customWidth="1"/>
    <col min="6658" max="6658" width="69.5703125" style="118" customWidth="1"/>
    <col min="6659" max="6659" width="26" style="118" customWidth="1"/>
    <col min="6660" max="6660" width="18.140625" style="118" customWidth="1"/>
    <col min="6661" max="6912" width="9.140625" style="118"/>
    <col min="6913" max="6913" width="12.7109375" style="118" customWidth="1"/>
    <col min="6914" max="6914" width="69.5703125" style="118" customWidth="1"/>
    <col min="6915" max="6915" width="26" style="118" customWidth="1"/>
    <col min="6916" max="6916" width="18.140625" style="118" customWidth="1"/>
    <col min="6917" max="7168" width="9.140625" style="118"/>
    <col min="7169" max="7169" width="12.7109375" style="118" customWidth="1"/>
    <col min="7170" max="7170" width="69.5703125" style="118" customWidth="1"/>
    <col min="7171" max="7171" width="26" style="118" customWidth="1"/>
    <col min="7172" max="7172" width="18.140625" style="118" customWidth="1"/>
    <col min="7173" max="7424" width="9.140625" style="118"/>
    <col min="7425" max="7425" width="12.7109375" style="118" customWidth="1"/>
    <col min="7426" max="7426" width="69.5703125" style="118" customWidth="1"/>
    <col min="7427" max="7427" width="26" style="118" customWidth="1"/>
    <col min="7428" max="7428" width="18.140625" style="118" customWidth="1"/>
    <col min="7429" max="7680" width="9.140625" style="118"/>
    <col min="7681" max="7681" width="12.7109375" style="118" customWidth="1"/>
    <col min="7682" max="7682" width="69.5703125" style="118" customWidth="1"/>
    <col min="7683" max="7683" width="26" style="118" customWidth="1"/>
    <col min="7684" max="7684" width="18.140625" style="118" customWidth="1"/>
    <col min="7685" max="7936" width="9.140625" style="118"/>
    <col min="7937" max="7937" width="12.7109375" style="118" customWidth="1"/>
    <col min="7938" max="7938" width="69.5703125" style="118" customWidth="1"/>
    <col min="7939" max="7939" width="26" style="118" customWidth="1"/>
    <col min="7940" max="7940" width="18.140625" style="118" customWidth="1"/>
    <col min="7941" max="8192" width="9.140625" style="118"/>
    <col min="8193" max="8193" width="12.7109375" style="118" customWidth="1"/>
    <col min="8194" max="8194" width="69.5703125" style="118" customWidth="1"/>
    <col min="8195" max="8195" width="26" style="118" customWidth="1"/>
    <col min="8196" max="8196" width="18.140625" style="118" customWidth="1"/>
    <col min="8197" max="8448" width="9.140625" style="118"/>
    <col min="8449" max="8449" width="12.7109375" style="118" customWidth="1"/>
    <col min="8450" max="8450" width="69.5703125" style="118" customWidth="1"/>
    <col min="8451" max="8451" width="26" style="118" customWidth="1"/>
    <col min="8452" max="8452" width="18.140625" style="118" customWidth="1"/>
    <col min="8453" max="8704" width="9.140625" style="118"/>
    <col min="8705" max="8705" width="12.7109375" style="118" customWidth="1"/>
    <col min="8706" max="8706" width="69.5703125" style="118" customWidth="1"/>
    <col min="8707" max="8707" width="26" style="118" customWidth="1"/>
    <col min="8708" max="8708" width="18.140625" style="118" customWidth="1"/>
    <col min="8709" max="8960" width="9.140625" style="118"/>
    <col min="8961" max="8961" width="12.7109375" style="118" customWidth="1"/>
    <col min="8962" max="8962" width="69.5703125" style="118" customWidth="1"/>
    <col min="8963" max="8963" width="26" style="118" customWidth="1"/>
    <col min="8964" max="8964" width="18.140625" style="118" customWidth="1"/>
    <col min="8965" max="9216" width="9.140625" style="118"/>
    <col min="9217" max="9217" width="12.7109375" style="118" customWidth="1"/>
    <col min="9218" max="9218" width="69.5703125" style="118" customWidth="1"/>
    <col min="9219" max="9219" width="26" style="118" customWidth="1"/>
    <col min="9220" max="9220" width="18.140625" style="118" customWidth="1"/>
    <col min="9221" max="9472" width="9.140625" style="118"/>
    <col min="9473" max="9473" width="12.7109375" style="118" customWidth="1"/>
    <col min="9474" max="9474" width="69.5703125" style="118" customWidth="1"/>
    <col min="9475" max="9475" width="26" style="118" customWidth="1"/>
    <col min="9476" max="9476" width="18.140625" style="118" customWidth="1"/>
    <col min="9477" max="9728" width="9.140625" style="118"/>
    <col min="9729" max="9729" width="12.7109375" style="118" customWidth="1"/>
    <col min="9730" max="9730" width="69.5703125" style="118" customWidth="1"/>
    <col min="9731" max="9731" width="26" style="118" customWidth="1"/>
    <col min="9732" max="9732" width="18.140625" style="118" customWidth="1"/>
    <col min="9733" max="9984" width="9.140625" style="118"/>
    <col min="9985" max="9985" width="12.7109375" style="118" customWidth="1"/>
    <col min="9986" max="9986" width="69.5703125" style="118" customWidth="1"/>
    <col min="9987" max="9987" width="26" style="118" customWidth="1"/>
    <col min="9988" max="9988" width="18.140625" style="118" customWidth="1"/>
    <col min="9989" max="10240" width="9.140625" style="118"/>
    <col min="10241" max="10241" width="12.7109375" style="118" customWidth="1"/>
    <col min="10242" max="10242" width="69.5703125" style="118" customWidth="1"/>
    <col min="10243" max="10243" width="26" style="118" customWidth="1"/>
    <col min="10244" max="10244" width="18.140625" style="118" customWidth="1"/>
    <col min="10245" max="10496" width="9.140625" style="118"/>
    <col min="10497" max="10497" width="12.7109375" style="118" customWidth="1"/>
    <col min="10498" max="10498" width="69.5703125" style="118" customWidth="1"/>
    <col min="10499" max="10499" width="26" style="118" customWidth="1"/>
    <col min="10500" max="10500" width="18.140625" style="118" customWidth="1"/>
    <col min="10501" max="10752" width="9.140625" style="118"/>
    <col min="10753" max="10753" width="12.7109375" style="118" customWidth="1"/>
    <col min="10754" max="10754" width="69.5703125" style="118" customWidth="1"/>
    <col min="10755" max="10755" width="26" style="118" customWidth="1"/>
    <col min="10756" max="10756" width="18.140625" style="118" customWidth="1"/>
    <col min="10757" max="11008" width="9.140625" style="118"/>
    <col min="11009" max="11009" width="12.7109375" style="118" customWidth="1"/>
    <col min="11010" max="11010" width="69.5703125" style="118" customWidth="1"/>
    <col min="11011" max="11011" width="26" style="118" customWidth="1"/>
    <col min="11012" max="11012" width="18.140625" style="118" customWidth="1"/>
    <col min="11013" max="11264" width="9.140625" style="118"/>
    <col min="11265" max="11265" width="12.7109375" style="118" customWidth="1"/>
    <col min="11266" max="11266" width="69.5703125" style="118" customWidth="1"/>
    <col min="11267" max="11267" width="26" style="118" customWidth="1"/>
    <col min="11268" max="11268" width="18.140625" style="118" customWidth="1"/>
    <col min="11269" max="11520" width="9.140625" style="118"/>
    <col min="11521" max="11521" width="12.7109375" style="118" customWidth="1"/>
    <col min="11522" max="11522" width="69.5703125" style="118" customWidth="1"/>
    <col min="11523" max="11523" width="26" style="118" customWidth="1"/>
    <col min="11524" max="11524" width="18.140625" style="118" customWidth="1"/>
    <col min="11525" max="11776" width="9.140625" style="118"/>
    <col min="11777" max="11777" width="12.7109375" style="118" customWidth="1"/>
    <col min="11778" max="11778" width="69.5703125" style="118" customWidth="1"/>
    <col min="11779" max="11779" width="26" style="118" customWidth="1"/>
    <col min="11780" max="11780" width="18.140625" style="118" customWidth="1"/>
    <col min="11781" max="12032" width="9.140625" style="118"/>
    <col min="12033" max="12033" width="12.7109375" style="118" customWidth="1"/>
    <col min="12034" max="12034" width="69.5703125" style="118" customWidth="1"/>
    <col min="12035" max="12035" width="26" style="118" customWidth="1"/>
    <col min="12036" max="12036" width="18.140625" style="118" customWidth="1"/>
    <col min="12037" max="12288" width="9.140625" style="118"/>
    <col min="12289" max="12289" width="12.7109375" style="118" customWidth="1"/>
    <col min="12290" max="12290" width="69.5703125" style="118" customWidth="1"/>
    <col min="12291" max="12291" width="26" style="118" customWidth="1"/>
    <col min="12292" max="12292" width="18.140625" style="118" customWidth="1"/>
    <col min="12293" max="12544" width="9.140625" style="118"/>
    <col min="12545" max="12545" width="12.7109375" style="118" customWidth="1"/>
    <col min="12546" max="12546" width="69.5703125" style="118" customWidth="1"/>
    <col min="12547" max="12547" width="26" style="118" customWidth="1"/>
    <col min="12548" max="12548" width="18.140625" style="118" customWidth="1"/>
    <col min="12549" max="12800" width="9.140625" style="118"/>
    <col min="12801" max="12801" width="12.7109375" style="118" customWidth="1"/>
    <col min="12802" max="12802" width="69.5703125" style="118" customWidth="1"/>
    <col min="12803" max="12803" width="26" style="118" customWidth="1"/>
    <col min="12804" max="12804" width="18.140625" style="118" customWidth="1"/>
    <col min="12805" max="13056" width="9.140625" style="118"/>
    <col min="13057" max="13057" width="12.7109375" style="118" customWidth="1"/>
    <col min="13058" max="13058" width="69.5703125" style="118" customWidth="1"/>
    <col min="13059" max="13059" width="26" style="118" customWidth="1"/>
    <col min="13060" max="13060" width="18.140625" style="118" customWidth="1"/>
    <col min="13061" max="13312" width="9.140625" style="118"/>
    <col min="13313" max="13313" width="12.7109375" style="118" customWidth="1"/>
    <col min="13314" max="13314" width="69.5703125" style="118" customWidth="1"/>
    <col min="13315" max="13315" width="26" style="118" customWidth="1"/>
    <col min="13316" max="13316" width="18.140625" style="118" customWidth="1"/>
    <col min="13317" max="13568" width="9.140625" style="118"/>
    <col min="13569" max="13569" width="12.7109375" style="118" customWidth="1"/>
    <col min="13570" max="13570" width="69.5703125" style="118" customWidth="1"/>
    <col min="13571" max="13571" width="26" style="118" customWidth="1"/>
    <col min="13572" max="13572" width="18.140625" style="118" customWidth="1"/>
    <col min="13573" max="13824" width="9.140625" style="118"/>
    <col min="13825" max="13825" width="12.7109375" style="118" customWidth="1"/>
    <col min="13826" max="13826" width="69.5703125" style="118" customWidth="1"/>
    <col min="13827" max="13827" width="26" style="118" customWidth="1"/>
    <col min="13828" max="13828" width="18.140625" style="118" customWidth="1"/>
    <col min="13829" max="14080" width="9.140625" style="118"/>
    <col min="14081" max="14081" width="12.7109375" style="118" customWidth="1"/>
    <col min="14082" max="14082" width="69.5703125" style="118" customWidth="1"/>
    <col min="14083" max="14083" width="26" style="118" customWidth="1"/>
    <col min="14084" max="14084" width="18.140625" style="118" customWidth="1"/>
    <col min="14085" max="14336" width="9.140625" style="118"/>
    <col min="14337" max="14337" width="12.7109375" style="118" customWidth="1"/>
    <col min="14338" max="14338" width="69.5703125" style="118" customWidth="1"/>
    <col min="14339" max="14339" width="26" style="118" customWidth="1"/>
    <col min="14340" max="14340" width="18.140625" style="118" customWidth="1"/>
    <col min="14341" max="14592" width="9.140625" style="118"/>
    <col min="14593" max="14593" width="12.7109375" style="118" customWidth="1"/>
    <col min="14594" max="14594" width="69.5703125" style="118" customWidth="1"/>
    <col min="14595" max="14595" width="26" style="118" customWidth="1"/>
    <col min="14596" max="14596" width="18.140625" style="118" customWidth="1"/>
    <col min="14597" max="14848" width="9.140625" style="118"/>
    <col min="14849" max="14849" width="12.7109375" style="118" customWidth="1"/>
    <col min="14850" max="14850" width="69.5703125" style="118" customWidth="1"/>
    <col min="14851" max="14851" width="26" style="118" customWidth="1"/>
    <col min="14852" max="14852" width="18.140625" style="118" customWidth="1"/>
    <col min="14853" max="15104" width="9.140625" style="118"/>
    <col min="15105" max="15105" width="12.7109375" style="118" customWidth="1"/>
    <col min="15106" max="15106" width="69.5703125" style="118" customWidth="1"/>
    <col min="15107" max="15107" width="26" style="118" customWidth="1"/>
    <col min="15108" max="15108" width="18.140625" style="118" customWidth="1"/>
    <col min="15109" max="15360" width="9.140625" style="118"/>
    <col min="15361" max="15361" width="12.7109375" style="118" customWidth="1"/>
    <col min="15362" max="15362" width="69.5703125" style="118" customWidth="1"/>
    <col min="15363" max="15363" width="26" style="118" customWidth="1"/>
    <col min="15364" max="15364" width="18.140625" style="118" customWidth="1"/>
    <col min="15365" max="15616" width="9.140625" style="118"/>
    <col min="15617" max="15617" width="12.7109375" style="118" customWidth="1"/>
    <col min="15618" max="15618" width="69.5703125" style="118" customWidth="1"/>
    <col min="15619" max="15619" width="26" style="118" customWidth="1"/>
    <col min="15620" max="15620" width="18.140625" style="118" customWidth="1"/>
    <col min="15621" max="15872" width="9.140625" style="118"/>
    <col min="15873" max="15873" width="12.7109375" style="118" customWidth="1"/>
    <col min="15874" max="15874" width="69.5703125" style="118" customWidth="1"/>
    <col min="15875" max="15875" width="26" style="118" customWidth="1"/>
    <col min="15876" max="15876" width="18.140625" style="118" customWidth="1"/>
    <col min="15877" max="16128" width="9.140625" style="118"/>
    <col min="16129" max="16129" width="12.7109375" style="118" customWidth="1"/>
    <col min="16130" max="16130" width="69.5703125" style="118" customWidth="1"/>
    <col min="16131" max="16131" width="26" style="118" customWidth="1"/>
    <col min="16132" max="16132" width="18.140625" style="118" customWidth="1"/>
    <col min="16133" max="16384" width="9.140625" style="118"/>
  </cols>
  <sheetData>
    <row r="1" spans="1:14" ht="33.75" customHeight="1" x14ac:dyDescent="0.2">
      <c r="A1" s="533"/>
      <c r="B1" s="533"/>
      <c r="C1" s="533"/>
      <c r="D1" s="533"/>
      <c r="E1" s="533"/>
      <c r="F1" s="533"/>
      <c r="G1" s="533"/>
      <c r="H1" s="533"/>
      <c r="I1" s="533"/>
      <c r="J1" s="117"/>
      <c r="K1" s="117"/>
      <c r="L1" s="117"/>
      <c r="M1" s="117"/>
      <c r="N1" s="117"/>
    </row>
    <row r="2" spans="1:14" ht="56.25" customHeight="1" x14ac:dyDescent="0.2">
      <c r="A2" s="532" t="s">
        <v>946</v>
      </c>
      <c r="B2" s="532"/>
      <c r="C2" s="532"/>
      <c r="D2" s="532"/>
      <c r="E2" s="532"/>
      <c r="F2" s="532"/>
      <c r="G2" s="532"/>
      <c r="H2" s="532"/>
      <c r="I2" s="532"/>
    </row>
    <row r="3" spans="1:14" ht="24" customHeight="1" x14ac:dyDescent="0.4">
      <c r="A3" s="534" t="s">
        <v>528</v>
      </c>
      <c r="B3" s="534"/>
      <c r="C3" s="534"/>
      <c r="D3" s="534"/>
    </row>
    <row r="4" spans="1:14" ht="14.25" customHeight="1" x14ac:dyDescent="0.2">
      <c r="A4" s="529" t="s">
        <v>1036</v>
      </c>
      <c r="B4" s="529"/>
      <c r="C4" s="529"/>
      <c r="D4" s="529"/>
    </row>
    <row r="5" spans="1:14" x14ac:dyDescent="0.2">
      <c r="A5" s="484" t="s">
        <v>1046</v>
      </c>
      <c r="B5" s="392" t="s">
        <v>1047</v>
      </c>
      <c r="C5" s="484"/>
      <c r="D5" s="484"/>
    </row>
    <row r="7" spans="1:14" x14ac:dyDescent="0.2">
      <c r="A7" s="40" t="s">
        <v>527</v>
      </c>
    </row>
    <row r="8" spans="1:14" s="315" customFormat="1" x14ac:dyDescent="0.2">
      <c r="A8" s="40"/>
    </row>
    <row r="9" spans="1:14" s="315" customFormat="1" ht="82.5" customHeight="1" x14ac:dyDescent="0.2">
      <c r="A9" s="531" t="s">
        <v>1319</v>
      </c>
      <c r="B9" s="531"/>
      <c r="C9" s="531"/>
      <c r="D9" s="531"/>
      <c r="E9" s="531"/>
      <c r="F9" s="531"/>
      <c r="G9" s="531"/>
      <c r="H9" s="531"/>
      <c r="I9" s="531"/>
    </row>
    <row r="10" spans="1:14" ht="45" customHeight="1" x14ac:dyDescent="0.2">
      <c r="A10" s="531" t="s">
        <v>943</v>
      </c>
      <c r="B10" s="531"/>
      <c r="C10" s="531"/>
      <c r="D10" s="531"/>
      <c r="E10" s="531"/>
      <c r="F10" s="531"/>
      <c r="G10" s="531"/>
      <c r="H10" s="531"/>
      <c r="I10" s="531"/>
    </row>
    <row r="11" spans="1:14" x14ac:dyDescent="0.2">
      <c r="A11" s="104"/>
      <c r="B11" s="104"/>
      <c r="C11" s="104"/>
      <c r="D11" s="104"/>
      <c r="E11" s="104"/>
      <c r="F11" s="104"/>
      <c r="G11" s="104"/>
      <c r="H11" s="104"/>
      <c r="I11" s="104"/>
    </row>
    <row r="12" spans="1:14" x14ac:dyDescent="0.2">
      <c r="A12" s="104" t="s">
        <v>526</v>
      </c>
      <c r="B12" s="104"/>
      <c r="C12" s="104"/>
      <c r="D12" s="104"/>
      <c r="E12" s="104"/>
      <c r="F12" s="104"/>
      <c r="G12" s="104"/>
      <c r="H12" s="104"/>
      <c r="I12" s="104"/>
    </row>
    <row r="13" spans="1:14" s="12" customFormat="1" x14ac:dyDescent="0.2">
      <c r="A13" s="324"/>
      <c r="B13" s="324"/>
      <c r="C13" s="324"/>
      <c r="D13" s="324"/>
      <c r="E13" s="324"/>
      <c r="F13" s="324"/>
      <c r="G13" s="324"/>
      <c r="H13" s="324"/>
      <c r="I13" s="324"/>
    </row>
    <row r="14" spans="1:14" x14ac:dyDescent="0.2">
      <c r="A14" s="41" t="s">
        <v>521</v>
      </c>
      <c r="B14" s="104"/>
      <c r="C14" s="104"/>
      <c r="D14" s="104"/>
      <c r="E14" s="104"/>
      <c r="F14" s="104"/>
      <c r="G14" s="104"/>
      <c r="H14" s="104"/>
      <c r="I14" s="104"/>
    </row>
    <row r="15" spans="1:14" x14ac:dyDescent="0.2">
      <c r="A15" s="104" t="s">
        <v>522</v>
      </c>
      <c r="B15" s="104"/>
      <c r="C15" s="104"/>
      <c r="D15" s="104"/>
      <c r="E15" s="104"/>
      <c r="F15" s="104"/>
      <c r="G15" s="104"/>
      <c r="H15" s="104"/>
      <c r="I15" s="104"/>
    </row>
    <row r="16" spans="1:14" x14ac:dyDescent="0.2">
      <c r="A16" s="445" t="s">
        <v>1034</v>
      </c>
      <c r="B16" s="104"/>
      <c r="C16" s="104"/>
      <c r="D16" s="104"/>
      <c r="E16" s="104"/>
      <c r="F16" s="104"/>
      <c r="G16" s="104"/>
      <c r="H16" s="104"/>
      <c r="I16" s="104"/>
    </row>
    <row r="17" spans="1:9" x14ac:dyDescent="0.2">
      <c r="A17" s="104" t="s">
        <v>523</v>
      </c>
      <c r="B17" s="104"/>
      <c r="C17" s="104"/>
      <c r="D17" s="104"/>
      <c r="E17" s="104"/>
      <c r="F17" s="104"/>
      <c r="G17" s="104"/>
      <c r="H17" s="104"/>
      <c r="I17" s="104"/>
    </row>
    <row r="18" spans="1:9" x14ac:dyDescent="0.2">
      <c r="A18" s="392" t="s">
        <v>524</v>
      </c>
      <c r="B18" s="104"/>
      <c r="C18" s="104"/>
      <c r="D18" s="104"/>
      <c r="E18" s="104"/>
      <c r="F18" s="104"/>
      <c r="G18" s="104"/>
      <c r="H18" s="104"/>
      <c r="I18" s="104"/>
    </row>
    <row r="19" spans="1:9" x14ac:dyDescent="0.2">
      <c r="A19" s="104" t="s">
        <v>525</v>
      </c>
      <c r="B19" s="104"/>
      <c r="C19" s="104"/>
      <c r="D19" s="104"/>
      <c r="E19" s="104"/>
      <c r="F19" s="104"/>
      <c r="G19" s="104"/>
      <c r="H19" s="104"/>
      <c r="I19" s="104"/>
    </row>
    <row r="20" spans="1:9" x14ac:dyDescent="0.2">
      <c r="A20" s="104"/>
      <c r="B20" s="104"/>
      <c r="C20" s="104"/>
      <c r="D20" s="104"/>
      <c r="E20" s="104"/>
      <c r="F20" s="104"/>
      <c r="G20" s="104"/>
      <c r="H20" s="104"/>
      <c r="I20" s="104"/>
    </row>
    <row r="21" spans="1:9" x14ac:dyDescent="0.2">
      <c r="A21" s="104" t="s">
        <v>519</v>
      </c>
      <c r="B21" s="104"/>
      <c r="C21" s="104"/>
      <c r="D21" s="104"/>
      <c r="E21" s="104"/>
      <c r="F21" s="104"/>
      <c r="G21" s="104"/>
      <c r="H21" s="104"/>
      <c r="I21" s="104"/>
    </row>
    <row r="22" spans="1:9" x14ac:dyDescent="0.2">
      <c r="A22" s="104" t="s">
        <v>520</v>
      </c>
      <c r="B22" s="104"/>
      <c r="C22" s="104"/>
      <c r="D22" s="104"/>
      <c r="E22" s="104"/>
      <c r="F22" s="104"/>
      <c r="G22" s="104"/>
      <c r="H22" s="104"/>
      <c r="I22" s="104"/>
    </row>
    <row r="23" spans="1:9" x14ac:dyDescent="0.2">
      <c r="A23" s="104" t="s">
        <v>1048</v>
      </c>
      <c r="B23" s="104"/>
      <c r="C23" s="104"/>
      <c r="D23" s="104"/>
      <c r="E23" s="104"/>
      <c r="F23" s="104"/>
      <c r="G23" s="104"/>
      <c r="H23" s="104"/>
      <c r="I23" s="104"/>
    </row>
    <row r="24" spans="1:9" ht="47.25" customHeight="1" x14ac:dyDescent="0.2">
      <c r="A24" s="529"/>
      <c r="B24" s="529"/>
      <c r="C24" s="104"/>
      <c r="D24" s="104"/>
      <c r="E24" s="104"/>
      <c r="F24" s="104"/>
      <c r="G24" s="104"/>
      <c r="H24" s="104"/>
      <c r="I24" s="104"/>
    </row>
    <row r="25" spans="1:9" ht="87.75" customHeight="1" x14ac:dyDescent="0.2">
      <c r="A25" s="530" t="s">
        <v>700</v>
      </c>
      <c r="B25" s="530"/>
      <c r="C25" s="530"/>
      <c r="D25" s="530"/>
      <c r="E25" s="530"/>
      <c r="F25" s="530"/>
      <c r="G25" s="530"/>
      <c r="H25" s="530"/>
      <c r="I25" s="530"/>
    </row>
  </sheetData>
  <mergeCells count="8">
    <mergeCell ref="A24:B24"/>
    <mergeCell ref="A25:I25"/>
    <mergeCell ref="A10:I10"/>
    <mergeCell ref="A2:I2"/>
    <mergeCell ref="A1:I1"/>
    <mergeCell ref="A3:D3"/>
    <mergeCell ref="A9:I9"/>
    <mergeCell ref="A4:D4"/>
  </mergeCells>
  <hyperlinks>
    <hyperlink ref="A18" r:id="rId1" xr:uid="{E1C9BA30-52C5-4DEE-87C9-B6D8DFEC858F}"/>
    <hyperlink ref="B5" r:id="rId2" xr:uid="{1945F094-4D72-47AA-9A7D-2A75FAE5CBA3}"/>
  </hyperlinks>
  <pageMargins left="0.78740157480314965" right="0.78740157480314965" top="0.78740157480314965" bottom="0.78740157480314965" header="0.78740157480314965" footer="0.78740157480314965"/>
  <pageSetup paperSize="9" scale="67" fitToHeight="0"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76"/>
  <sheetViews>
    <sheetView showGridLines="0" zoomScaleNormal="100" workbookViewId="0">
      <selection sqref="A1:C1"/>
    </sheetView>
  </sheetViews>
  <sheetFormatPr defaultColWidth="9.140625" defaultRowHeight="12.75" x14ac:dyDescent="0.2"/>
  <cols>
    <col min="1" max="1" width="5.28515625" style="118" customWidth="1"/>
    <col min="2" max="2" width="23.28515625" style="118" customWidth="1"/>
    <col min="3" max="3" width="83.5703125" style="118" customWidth="1"/>
    <col min="4" max="16384" width="9.140625" style="118"/>
  </cols>
  <sheetData>
    <row r="1" spans="1:9" ht="33.75" customHeight="1" x14ac:dyDescent="0.2">
      <c r="A1" s="536"/>
      <c r="B1" s="536"/>
      <c r="C1" s="536"/>
    </row>
    <row r="2" spans="1:9" ht="30" customHeight="1" x14ac:dyDescent="0.35">
      <c r="A2" s="537" t="s">
        <v>947</v>
      </c>
      <c r="B2" s="538"/>
      <c r="C2" s="538"/>
      <c r="D2" s="538"/>
      <c r="E2" s="538"/>
      <c r="F2" s="538"/>
      <c r="G2" s="538"/>
      <c r="H2" s="538"/>
    </row>
    <row r="3" spans="1:9" ht="18.75" customHeight="1" x14ac:dyDescent="0.2">
      <c r="A3" s="530" t="s">
        <v>440</v>
      </c>
      <c r="B3" s="530"/>
      <c r="C3" s="530"/>
    </row>
    <row r="4" spans="1:9" ht="11.25" customHeight="1" x14ac:dyDescent="0.2">
      <c r="A4" s="105"/>
      <c r="B4" s="105"/>
      <c r="C4" s="105"/>
    </row>
    <row r="5" spans="1:9" ht="16.5" customHeight="1" x14ac:dyDescent="0.2">
      <c r="A5" s="535" t="s">
        <v>583</v>
      </c>
      <c r="B5" s="536"/>
      <c r="C5" s="536"/>
    </row>
    <row r="6" spans="1:9" ht="11.25" customHeight="1" x14ac:dyDescent="0.2">
      <c r="A6" s="105"/>
      <c r="B6" s="105"/>
      <c r="C6" s="105"/>
    </row>
    <row r="7" spans="1:9" ht="13.5" customHeight="1" x14ac:dyDescent="0.2">
      <c r="A7" s="105"/>
      <c r="B7" s="43" t="s">
        <v>594</v>
      </c>
      <c r="C7" s="43" t="s">
        <v>964</v>
      </c>
      <c r="D7" s="349"/>
      <c r="E7" s="315"/>
    </row>
    <row r="8" spans="1:9" ht="13.5" customHeight="1" x14ac:dyDescent="0.2">
      <c r="A8" s="105"/>
      <c r="B8" s="120" t="s">
        <v>595</v>
      </c>
      <c r="C8" s="120" t="s">
        <v>948</v>
      </c>
      <c r="D8" s="349"/>
      <c r="E8" s="315"/>
      <c r="I8" s="349"/>
    </row>
    <row r="9" spans="1:9" ht="13.5" customHeight="1" x14ac:dyDescent="0.2">
      <c r="A9" s="105"/>
      <c r="B9" s="43" t="s">
        <v>596</v>
      </c>
      <c r="C9" s="44" t="s">
        <v>965</v>
      </c>
      <c r="D9" s="349"/>
      <c r="I9" s="349"/>
    </row>
    <row r="10" spans="1:9" ht="11.25" customHeight="1" x14ac:dyDescent="0.2">
      <c r="A10" s="105"/>
      <c r="B10" s="105"/>
      <c r="C10" s="105"/>
      <c r="E10" s="315"/>
      <c r="I10" s="349"/>
    </row>
    <row r="11" spans="1:9" ht="16.5" customHeight="1" x14ac:dyDescent="0.2">
      <c r="A11" s="535" t="s">
        <v>0</v>
      </c>
      <c r="B11" s="536"/>
      <c r="C11" s="536"/>
      <c r="I11" s="349"/>
    </row>
    <row r="12" spans="1:9" ht="11.25" customHeight="1" x14ac:dyDescent="0.2">
      <c r="A12" s="105"/>
      <c r="B12" s="105"/>
      <c r="C12" s="105"/>
      <c r="I12" s="349"/>
    </row>
    <row r="13" spans="1:9" ht="13.5" customHeight="1" x14ac:dyDescent="0.2">
      <c r="A13" s="105"/>
      <c r="B13" s="319" t="s">
        <v>597</v>
      </c>
      <c r="C13" s="320" t="s">
        <v>966</v>
      </c>
      <c r="D13" s="349"/>
      <c r="I13" s="349"/>
    </row>
    <row r="14" spans="1:9" ht="13.5" customHeight="1" x14ac:dyDescent="0.2">
      <c r="A14" s="105"/>
      <c r="B14" s="319" t="s">
        <v>598</v>
      </c>
      <c r="C14" s="320" t="s">
        <v>967</v>
      </c>
      <c r="D14" s="349"/>
      <c r="I14" s="349"/>
    </row>
    <row r="15" spans="1:9" ht="13.5" customHeight="1" x14ac:dyDescent="0.2">
      <c r="A15" s="105"/>
      <c r="B15" s="319" t="s">
        <v>599</v>
      </c>
      <c r="C15" s="320" t="s">
        <v>968</v>
      </c>
      <c r="I15" s="349"/>
    </row>
    <row r="16" spans="1:9" ht="13.5" customHeight="1" x14ac:dyDescent="0.2">
      <c r="A16" s="105"/>
      <c r="B16" s="319" t="s">
        <v>600</v>
      </c>
      <c r="C16" s="320" t="s">
        <v>969</v>
      </c>
      <c r="D16" s="349"/>
      <c r="I16" s="349"/>
    </row>
    <row r="17" spans="1:9" ht="13.5" customHeight="1" x14ac:dyDescent="0.2">
      <c r="A17" s="105"/>
      <c r="B17" s="319" t="s">
        <v>601</v>
      </c>
      <c r="C17" s="320" t="s">
        <v>970</v>
      </c>
      <c r="D17" s="349"/>
      <c r="I17" s="349"/>
    </row>
    <row r="18" spans="1:9" ht="13.5" customHeight="1" x14ac:dyDescent="0.2">
      <c r="A18" s="105"/>
      <c r="B18" s="319" t="s">
        <v>605</v>
      </c>
      <c r="C18" s="320" t="s">
        <v>971</v>
      </c>
      <c r="D18" s="349"/>
      <c r="I18" s="349"/>
    </row>
    <row r="19" spans="1:9" ht="13.5" customHeight="1" x14ac:dyDescent="0.2">
      <c r="A19" s="105"/>
      <c r="B19" s="319" t="s">
        <v>602</v>
      </c>
      <c r="C19" s="320" t="s">
        <v>972</v>
      </c>
      <c r="D19" s="349"/>
      <c r="I19" s="349"/>
    </row>
    <row r="20" spans="1:9" ht="13.5" customHeight="1" x14ac:dyDescent="0.2">
      <c r="A20" s="105"/>
      <c r="B20" s="319" t="s">
        <v>603</v>
      </c>
      <c r="C20" s="320" t="s">
        <v>973</v>
      </c>
      <c r="D20" s="349"/>
      <c r="I20" s="349"/>
    </row>
    <row r="21" spans="1:9" ht="13.5" customHeight="1" x14ac:dyDescent="0.2">
      <c r="A21" s="105"/>
      <c r="B21" s="319" t="s">
        <v>604</v>
      </c>
      <c r="C21" s="320" t="s">
        <v>974</v>
      </c>
      <c r="D21" s="349"/>
      <c r="I21" s="349"/>
    </row>
    <row r="22" spans="1:9" ht="13.5" customHeight="1" x14ac:dyDescent="0.2">
      <c r="A22" s="317"/>
      <c r="B22" s="319" t="s">
        <v>606</v>
      </c>
      <c r="C22" s="330" t="s">
        <v>949</v>
      </c>
      <c r="D22" s="349"/>
      <c r="I22" s="349"/>
    </row>
    <row r="23" spans="1:9" ht="13.5" customHeight="1" x14ac:dyDescent="0.2">
      <c r="A23" s="317"/>
      <c r="B23" s="319" t="s">
        <v>607</v>
      </c>
      <c r="C23" s="330" t="s">
        <v>950</v>
      </c>
      <c r="D23" s="349"/>
      <c r="I23" s="349"/>
    </row>
    <row r="24" spans="1:9" ht="13.5" customHeight="1" x14ac:dyDescent="0.2">
      <c r="A24" s="317"/>
      <c r="B24" s="319" t="s">
        <v>608</v>
      </c>
      <c r="C24" s="330" t="s">
        <v>951</v>
      </c>
      <c r="D24" s="349"/>
      <c r="I24" s="349"/>
    </row>
    <row r="25" spans="1:9" ht="13.5" customHeight="1" x14ac:dyDescent="0.2">
      <c r="A25" s="317"/>
      <c r="B25" s="319" t="s">
        <v>609</v>
      </c>
      <c r="C25" s="330" t="s">
        <v>975</v>
      </c>
      <c r="D25" s="349"/>
      <c r="I25" s="349"/>
    </row>
    <row r="26" spans="1:9" ht="11.25" customHeight="1" x14ac:dyDescent="0.2">
      <c r="A26" s="105"/>
      <c r="B26" s="105"/>
      <c r="C26" s="105"/>
      <c r="I26" s="349"/>
    </row>
    <row r="27" spans="1:9" ht="16.5" customHeight="1" x14ac:dyDescent="0.2">
      <c r="A27" s="535" t="s">
        <v>1</v>
      </c>
      <c r="B27" s="536"/>
      <c r="C27" s="536"/>
      <c r="I27" s="349"/>
    </row>
    <row r="28" spans="1:9" ht="11.25" customHeight="1" x14ac:dyDescent="0.2">
      <c r="A28" s="105"/>
      <c r="B28" s="105"/>
      <c r="C28" s="105"/>
      <c r="I28" s="349"/>
    </row>
    <row r="29" spans="1:9" ht="13.5" customHeight="1" x14ac:dyDescent="0.2">
      <c r="A29" s="105"/>
      <c r="B29" s="319" t="s">
        <v>610</v>
      </c>
      <c r="C29" s="320" t="s">
        <v>976</v>
      </c>
      <c r="D29" s="316"/>
      <c r="I29" s="349"/>
    </row>
    <row r="30" spans="1:9" ht="13.5" customHeight="1" x14ac:dyDescent="0.2">
      <c r="A30" s="105"/>
      <c r="B30" s="319" t="s">
        <v>611</v>
      </c>
      <c r="C30" s="320" t="s">
        <v>977</v>
      </c>
      <c r="D30" s="316"/>
      <c r="I30" s="349"/>
    </row>
    <row r="31" spans="1:9" ht="13.5" customHeight="1" x14ac:dyDescent="0.2">
      <c r="A31" s="105"/>
      <c r="B31" s="319" t="s">
        <v>612</v>
      </c>
      <c r="C31" s="320" t="s">
        <v>978</v>
      </c>
      <c r="D31" s="316"/>
      <c r="I31" s="349"/>
    </row>
    <row r="32" spans="1:9" ht="11.25" customHeight="1" x14ac:dyDescent="0.2">
      <c r="A32" s="105"/>
      <c r="B32" s="105"/>
      <c r="C32" s="105"/>
      <c r="I32" s="349"/>
    </row>
    <row r="33" spans="1:12" ht="16.5" customHeight="1" x14ac:dyDescent="0.2">
      <c r="A33" s="535" t="s">
        <v>2</v>
      </c>
      <c r="B33" s="536"/>
      <c r="C33" s="536"/>
      <c r="I33" s="349"/>
    </row>
    <row r="34" spans="1:12" ht="11.25" customHeight="1" x14ac:dyDescent="0.2">
      <c r="A34" s="121"/>
      <c r="B34" s="121"/>
      <c r="C34" s="121"/>
      <c r="D34" s="117"/>
      <c r="I34" s="349"/>
    </row>
    <row r="35" spans="1:12" ht="13.5" customHeight="1" x14ac:dyDescent="0.2">
      <c r="A35" s="121"/>
      <c r="B35" s="331" t="s">
        <v>613</v>
      </c>
      <c r="C35" s="320" t="s">
        <v>979</v>
      </c>
      <c r="D35" s="316"/>
      <c r="I35" s="349"/>
    </row>
    <row r="36" spans="1:12" ht="13.5" customHeight="1" x14ac:dyDescent="0.2">
      <c r="A36" s="121"/>
      <c r="B36" s="331" t="s">
        <v>615</v>
      </c>
      <c r="C36" s="320" t="s">
        <v>952</v>
      </c>
      <c r="D36" s="316"/>
      <c r="F36" s="12"/>
      <c r="G36" s="12"/>
      <c r="H36" s="12"/>
      <c r="I36" s="349"/>
      <c r="J36" s="12"/>
      <c r="K36" s="12"/>
      <c r="L36" s="12"/>
    </row>
    <row r="37" spans="1:12" ht="13.5" customHeight="1" x14ac:dyDescent="0.2">
      <c r="A37" s="121"/>
      <c r="B37" s="331" t="s">
        <v>614</v>
      </c>
      <c r="C37" s="320" t="s">
        <v>953</v>
      </c>
      <c r="D37" s="316"/>
      <c r="F37" s="12"/>
      <c r="G37" s="12"/>
      <c r="H37" s="12"/>
      <c r="I37" s="349"/>
      <c r="J37" s="12"/>
      <c r="K37" s="12"/>
      <c r="L37" s="12"/>
    </row>
    <row r="38" spans="1:12" ht="13.5" customHeight="1" x14ac:dyDescent="0.2">
      <c r="B38" s="320" t="s">
        <v>616</v>
      </c>
      <c r="C38" s="320" t="s">
        <v>954</v>
      </c>
      <c r="D38" s="316"/>
      <c r="F38" s="12"/>
      <c r="G38" s="12"/>
      <c r="H38" s="12"/>
      <c r="I38" s="349"/>
      <c r="J38" s="12"/>
      <c r="K38" s="12"/>
      <c r="L38" s="12"/>
    </row>
    <row r="39" spans="1:12" s="315" customFormat="1" ht="11.25" customHeight="1" x14ac:dyDescent="0.2">
      <c r="D39" s="316"/>
      <c r="F39" s="12"/>
      <c r="G39" s="12"/>
      <c r="H39" s="12"/>
      <c r="I39" s="349"/>
      <c r="J39" s="12"/>
      <c r="K39" s="12"/>
      <c r="L39" s="12"/>
    </row>
    <row r="40" spans="1:12" ht="16.5" customHeight="1" x14ac:dyDescent="0.2">
      <c r="A40" s="535" t="s">
        <v>593</v>
      </c>
      <c r="B40" s="536"/>
      <c r="C40" s="536"/>
      <c r="D40" s="316"/>
      <c r="E40" s="349"/>
      <c r="F40" s="349"/>
      <c r="G40" s="349"/>
      <c r="H40" s="349"/>
      <c r="I40" s="349"/>
      <c r="J40" s="349"/>
      <c r="K40" s="349"/>
      <c r="L40" s="12"/>
    </row>
    <row r="41" spans="1:12" ht="11.25" customHeight="1" x14ac:dyDescent="0.2">
      <c r="D41" s="316"/>
      <c r="E41" s="349"/>
      <c r="F41" s="349"/>
      <c r="G41" s="349"/>
      <c r="H41" s="349"/>
      <c r="I41" s="349"/>
      <c r="J41" s="349"/>
      <c r="K41" s="349"/>
      <c r="L41" s="12"/>
    </row>
    <row r="42" spans="1:12" ht="13.5" customHeight="1" x14ac:dyDescent="0.2">
      <c r="B42" s="320" t="s">
        <v>617</v>
      </c>
      <c r="C42" s="320" t="s">
        <v>980</v>
      </c>
      <c r="D42" s="316"/>
      <c r="E42" s="349"/>
      <c r="F42" s="349"/>
      <c r="G42" s="349"/>
      <c r="H42" s="349"/>
      <c r="I42" s="349"/>
      <c r="J42" s="349"/>
      <c r="K42" s="349"/>
      <c r="L42" s="12"/>
    </row>
    <row r="43" spans="1:12" s="315" customFormat="1" ht="11.25" customHeight="1" x14ac:dyDescent="0.2">
      <c r="D43" s="316"/>
      <c r="E43" s="349"/>
      <c r="F43" s="349"/>
      <c r="G43" s="349"/>
      <c r="H43" s="349"/>
      <c r="I43" s="349"/>
      <c r="J43" s="349"/>
      <c r="K43" s="349"/>
      <c r="L43" s="12"/>
    </row>
    <row r="44" spans="1:12" ht="15.75" customHeight="1" x14ac:dyDescent="0.2">
      <c r="A44" s="535" t="s">
        <v>942</v>
      </c>
      <c r="B44" s="536"/>
      <c r="C44" s="536"/>
      <c r="D44" s="11"/>
      <c r="F44" s="12"/>
      <c r="G44" s="12"/>
      <c r="H44" s="12"/>
      <c r="I44" s="12"/>
      <c r="J44" s="12"/>
      <c r="K44" s="12"/>
      <c r="L44" s="12"/>
    </row>
    <row r="45" spans="1:12" s="408" customFormat="1" ht="12.75" customHeight="1" x14ac:dyDescent="0.2">
      <c r="A45" s="407"/>
      <c r="C45" s="410"/>
      <c r="D45" s="11"/>
      <c r="F45" s="12"/>
      <c r="G45" s="12"/>
      <c r="H45" s="12"/>
      <c r="I45" s="12"/>
      <c r="J45" s="12"/>
      <c r="K45" s="12"/>
      <c r="L45" s="12"/>
    </row>
    <row r="46" spans="1:12" ht="12.75" customHeight="1" x14ac:dyDescent="0.2">
      <c r="B46" s="411" t="s">
        <v>618</v>
      </c>
      <c r="C46" s="411" t="s">
        <v>981</v>
      </c>
      <c r="D46" s="11"/>
      <c r="E46" s="12"/>
      <c r="F46" s="12"/>
      <c r="G46" s="12"/>
      <c r="H46" s="12"/>
      <c r="I46" s="12"/>
      <c r="J46" s="12"/>
      <c r="K46" s="12"/>
      <c r="L46" s="12"/>
    </row>
    <row r="47" spans="1:12" ht="12.75" customHeight="1" x14ac:dyDescent="0.2">
      <c r="B47" s="411" t="s">
        <v>938</v>
      </c>
      <c r="C47" s="411" t="s">
        <v>982</v>
      </c>
      <c r="D47" s="11"/>
      <c r="E47" s="12"/>
      <c r="F47" s="12"/>
      <c r="G47" s="12"/>
      <c r="H47" s="12"/>
      <c r="I47" s="12"/>
      <c r="J47" s="12"/>
      <c r="K47" s="12"/>
      <c r="L47" s="12"/>
    </row>
    <row r="48" spans="1:12" ht="12.75" customHeight="1" x14ac:dyDescent="0.2">
      <c r="D48" s="11"/>
      <c r="E48" s="12"/>
      <c r="F48" s="12"/>
      <c r="G48" s="12"/>
      <c r="H48" s="12"/>
      <c r="I48" s="12"/>
      <c r="J48" s="12"/>
      <c r="K48" s="12"/>
      <c r="L48" s="12"/>
    </row>
    <row r="49" spans="1:12" s="315" customFormat="1" ht="16.5" customHeight="1" x14ac:dyDescent="0.2">
      <c r="A49" s="535" t="s">
        <v>592</v>
      </c>
      <c r="B49" s="536"/>
      <c r="C49" s="536"/>
      <c r="D49" s="349"/>
      <c r="E49" s="349"/>
      <c r="F49" s="349"/>
      <c r="G49" s="349"/>
      <c r="H49" s="349"/>
      <c r="I49" s="349"/>
      <c r="J49" s="349"/>
      <c r="K49" s="349"/>
    </row>
    <row r="50" spans="1:12" ht="11.25" customHeight="1" x14ac:dyDescent="0.2">
      <c r="D50" s="316"/>
      <c r="E50" s="349"/>
      <c r="F50" s="349"/>
      <c r="G50" s="349"/>
      <c r="H50" s="349"/>
      <c r="I50" s="349"/>
      <c r="J50" s="349"/>
      <c r="K50" s="349"/>
      <c r="L50" s="12"/>
    </row>
    <row r="51" spans="1:12" ht="13.5" customHeight="1" x14ac:dyDescent="0.2">
      <c r="B51" s="411" t="s">
        <v>937</v>
      </c>
      <c r="C51" s="411" t="s">
        <v>955</v>
      </c>
      <c r="D51" s="316"/>
      <c r="E51" s="349"/>
      <c r="F51" s="349"/>
      <c r="G51" s="349"/>
      <c r="H51" s="349"/>
      <c r="I51" s="349"/>
      <c r="J51" s="349"/>
      <c r="K51" s="349"/>
      <c r="L51" s="12"/>
    </row>
    <row r="52" spans="1:12" ht="12.75" customHeight="1" x14ac:dyDescent="0.2">
      <c r="D52" s="11"/>
      <c r="E52" s="12"/>
      <c r="F52" s="12"/>
      <c r="G52" s="12"/>
      <c r="H52" s="12"/>
      <c r="I52" s="12"/>
      <c r="J52" s="12"/>
      <c r="K52" s="12"/>
      <c r="L52" s="12"/>
    </row>
    <row r="53" spans="1:12" ht="12.75" customHeight="1" x14ac:dyDescent="0.2">
      <c r="D53" s="11"/>
      <c r="E53" s="12"/>
      <c r="F53" s="12"/>
      <c r="G53" s="12"/>
      <c r="H53" s="12"/>
      <c r="I53" s="12"/>
      <c r="J53" s="12"/>
      <c r="K53" s="12"/>
      <c r="L53" s="12"/>
    </row>
    <row r="54" spans="1:12" ht="12.75" customHeight="1" x14ac:dyDescent="0.2">
      <c r="D54" s="11"/>
      <c r="E54" s="12"/>
      <c r="F54" s="12"/>
      <c r="G54" s="12"/>
      <c r="H54" s="12"/>
      <c r="I54" s="12"/>
      <c r="J54" s="12"/>
      <c r="K54" s="12"/>
      <c r="L54" s="12"/>
    </row>
    <row r="55" spans="1:12" ht="12.75" customHeight="1" x14ac:dyDescent="0.2">
      <c r="D55" s="11"/>
      <c r="E55" s="12"/>
      <c r="F55" s="12"/>
      <c r="G55" s="12"/>
      <c r="H55" s="12"/>
      <c r="I55" s="12"/>
      <c r="J55" s="12"/>
      <c r="K55" s="12"/>
      <c r="L55" s="12"/>
    </row>
    <row r="56" spans="1:12" ht="12.75" customHeight="1" x14ac:dyDescent="0.2">
      <c r="D56" s="11"/>
      <c r="E56" s="12"/>
      <c r="F56" s="12"/>
      <c r="G56" s="12"/>
      <c r="H56" s="12"/>
      <c r="I56" s="12"/>
      <c r="J56" s="12"/>
      <c r="K56" s="12"/>
      <c r="L56" s="12"/>
    </row>
    <row r="57" spans="1:12" ht="12.75" customHeight="1" x14ac:dyDescent="0.2">
      <c r="D57" s="11"/>
      <c r="E57" s="12"/>
      <c r="F57" s="12"/>
      <c r="G57" s="12"/>
      <c r="H57" s="12"/>
      <c r="I57" s="12"/>
      <c r="J57" s="12"/>
      <c r="K57" s="12"/>
      <c r="L57" s="12"/>
    </row>
    <row r="58" spans="1:12" ht="12.75" customHeight="1" x14ac:dyDescent="0.2">
      <c r="D58" s="11"/>
      <c r="E58" s="12"/>
      <c r="F58" s="12"/>
      <c r="G58" s="12"/>
      <c r="H58" s="12"/>
      <c r="I58" s="12"/>
      <c r="J58" s="12"/>
      <c r="K58" s="12"/>
      <c r="L58" s="12"/>
    </row>
    <row r="59" spans="1:12" ht="12.75" customHeight="1" x14ac:dyDescent="0.2">
      <c r="D59" s="11"/>
      <c r="E59" s="12"/>
      <c r="F59" s="12"/>
      <c r="G59" s="12"/>
      <c r="H59" s="12"/>
      <c r="I59" s="12"/>
      <c r="J59" s="12"/>
      <c r="K59" s="12"/>
      <c r="L59" s="12"/>
    </row>
    <row r="60" spans="1:12" ht="12.75" customHeight="1" x14ac:dyDescent="0.2">
      <c r="D60" s="11"/>
      <c r="E60" s="12"/>
      <c r="F60" s="12"/>
      <c r="G60" s="12"/>
      <c r="H60" s="12"/>
      <c r="I60" s="12"/>
      <c r="J60" s="12"/>
      <c r="K60" s="12"/>
      <c r="L60" s="12"/>
    </row>
    <row r="61" spans="1:12" ht="12.75" customHeight="1" x14ac:dyDescent="0.2">
      <c r="D61" s="11"/>
      <c r="E61" s="12"/>
      <c r="F61" s="12"/>
      <c r="G61" s="12"/>
      <c r="H61" s="12"/>
      <c r="I61" s="12"/>
      <c r="J61" s="12"/>
      <c r="K61" s="12"/>
      <c r="L61" s="12"/>
    </row>
    <row r="62" spans="1:12" ht="12.75" customHeight="1" x14ac:dyDescent="0.2">
      <c r="D62" s="11"/>
      <c r="E62" s="12"/>
      <c r="F62" s="12"/>
      <c r="G62" s="12"/>
      <c r="H62" s="12"/>
      <c r="I62" s="12"/>
      <c r="J62" s="12"/>
      <c r="K62" s="12"/>
      <c r="L62" s="12"/>
    </row>
    <row r="63" spans="1:12" ht="12.75" customHeight="1" x14ac:dyDescent="0.2">
      <c r="D63" s="11"/>
      <c r="E63" s="12"/>
      <c r="F63" s="12"/>
      <c r="G63" s="12"/>
      <c r="H63" s="12"/>
      <c r="I63" s="12"/>
      <c r="J63" s="12"/>
      <c r="K63" s="12"/>
      <c r="L63" s="12"/>
    </row>
    <row r="64" spans="1:12" ht="12.75" customHeight="1" x14ac:dyDescent="0.2">
      <c r="D64" s="11"/>
      <c r="E64" s="12"/>
      <c r="F64" s="12"/>
      <c r="G64" s="12"/>
      <c r="H64" s="12"/>
      <c r="I64" s="12"/>
      <c r="J64" s="12"/>
      <c r="K64" s="12"/>
      <c r="L64" s="12"/>
    </row>
    <row r="65" spans="4:12" ht="12.75" customHeight="1" x14ac:dyDescent="0.2">
      <c r="D65" s="11"/>
      <c r="E65" s="12"/>
      <c r="F65" s="12"/>
      <c r="G65" s="12"/>
      <c r="H65" s="12"/>
      <c r="I65" s="12"/>
      <c r="J65" s="12"/>
      <c r="K65" s="12"/>
      <c r="L65" s="12"/>
    </row>
    <row r="66" spans="4:12" ht="12.75" customHeight="1" x14ac:dyDescent="0.2">
      <c r="D66" s="11"/>
      <c r="E66" s="12"/>
      <c r="F66" s="12"/>
      <c r="G66" s="12"/>
      <c r="H66" s="12"/>
      <c r="I66" s="12"/>
      <c r="J66" s="12"/>
      <c r="K66" s="12"/>
      <c r="L66" s="12"/>
    </row>
    <row r="67" spans="4:12" ht="12.75" customHeight="1" x14ac:dyDescent="0.2">
      <c r="D67" s="11"/>
      <c r="E67" s="12"/>
      <c r="F67" s="12"/>
      <c r="G67" s="12"/>
      <c r="H67" s="12"/>
      <c r="I67" s="12"/>
      <c r="J67" s="12"/>
      <c r="K67" s="12"/>
      <c r="L67" s="12"/>
    </row>
    <row r="68" spans="4:12" ht="12.75" customHeight="1" x14ac:dyDescent="0.2">
      <c r="D68" s="11"/>
      <c r="E68" s="12"/>
      <c r="F68" s="12"/>
      <c r="G68" s="12"/>
      <c r="H68" s="12"/>
      <c r="I68" s="12"/>
      <c r="J68" s="12"/>
      <c r="K68" s="12"/>
      <c r="L68" s="12"/>
    </row>
    <row r="69" spans="4:12" ht="12.75" customHeight="1" x14ac:dyDescent="0.2">
      <c r="D69" s="11"/>
      <c r="E69" s="12"/>
      <c r="F69" s="12"/>
      <c r="G69" s="12"/>
      <c r="H69" s="12"/>
      <c r="I69" s="12"/>
      <c r="J69" s="12"/>
      <c r="K69" s="12"/>
      <c r="L69" s="12"/>
    </row>
    <row r="70" spans="4:12" ht="12.75" customHeight="1" x14ac:dyDescent="0.2">
      <c r="D70" s="11"/>
      <c r="E70" s="119"/>
      <c r="F70" s="119"/>
      <c r="G70" s="119"/>
      <c r="H70" s="119"/>
      <c r="I70" s="119"/>
    </row>
    <row r="71" spans="4:12" ht="11.25" customHeight="1" x14ac:dyDescent="0.2">
      <c r="D71" s="11"/>
    </row>
    <row r="72" spans="4:12" ht="15" customHeight="1" x14ac:dyDescent="0.2">
      <c r="D72" s="11"/>
    </row>
    <row r="73" spans="4:12" ht="11.25" customHeight="1" x14ac:dyDescent="0.2">
      <c r="D73" s="11"/>
    </row>
    <row r="74" spans="4:12" ht="12.75" customHeight="1" x14ac:dyDescent="0.2">
      <c r="D74" s="119"/>
    </row>
    <row r="75" spans="4:12" x14ac:dyDescent="0.2">
      <c r="D75" s="117"/>
    </row>
    <row r="76" spans="4:12" ht="12.75" customHeight="1" x14ac:dyDescent="0.2"/>
  </sheetData>
  <mergeCells count="10">
    <mergeCell ref="A44:C44"/>
    <mergeCell ref="A49:C49"/>
    <mergeCell ref="A40:C40"/>
    <mergeCell ref="A33:C33"/>
    <mergeCell ref="A1:C1"/>
    <mergeCell ref="A2:H2"/>
    <mergeCell ref="A3:C3"/>
    <mergeCell ref="A5:C5"/>
    <mergeCell ref="A11:C11"/>
    <mergeCell ref="A27:C27"/>
  </mergeCells>
  <hyperlinks>
    <hyperlink ref="C7" location="'Table 1'!A1" display="Attendances recorded by type in A&amp;E HES and Weekly A&amp;E Sit Reps, 2014-15" xr:uid="{00000000-0004-0000-0100-000000000000}"/>
    <hyperlink ref="C9" r:id="rId1" display="Comparison of 2013-14 and 2014-15 A&amp;E attendances in A&amp;E HES against those reported in A&amp;E Sit Reps, broken down by the organisation type" xr:uid="{00000000-0004-0000-0100-000001000000}"/>
    <hyperlink ref="B7:C7" location="'Table 1'!A1" display="Table 1:" xr:uid="{00000000-0004-0000-0100-000002000000}"/>
    <hyperlink ref="B9:C9" location="'Table 3'!A1" display="Table 3:" xr:uid="{00000000-0004-0000-0100-000003000000}"/>
    <hyperlink ref="B8:C8" location="'Table 2'!A1" display="Table 2:" xr:uid="{00000000-0004-0000-0100-000004000000}"/>
    <hyperlink ref="B8" location="'Table 2'!A1" display="Table 2:" xr:uid="{00000000-0004-0000-0100-000005000000}"/>
    <hyperlink ref="B13:C13" location="'Table 4'!A1" display="Table 4:" xr:uid="{00000000-0004-0000-0100-000018000000}"/>
    <hyperlink ref="B14:C14" location="'Table 5'!A1" display="Table 5:" xr:uid="{00000000-0004-0000-0100-000019000000}"/>
    <hyperlink ref="B15:C15" location="'Table 6'!A1" display="Table 6:" xr:uid="{00000000-0004-0000-0100-00001A000000}"/>
    <hyperlink ref="B16:C16" location="'Table 7'!A1" display="Table 7:" xr:uid="{00000000-0004-0000-0100-00001B000000}"/>
    <hyperlink ref="B17:C17" location="'Table 8'!A1" display="Table 8:" xr:uid="{00000000-0004-0000-0100-00001C000000}"/>
    <hyperlink ref="B19:C19" location="'Table 10'!A1" display="Table 10:" xr:uid="{00000000-0004-0000-0100-00001D000000}"/>
    <hyperlink ref="B20:C20" location="'Table 11'!A1" display="Table 11:" xr:uid="{00000000-0004-0000-0100-00001E000000}"/>
    <hyperlink ref="B21:C21" location="'Table 12'!A1" display="Table 12:" xr:uid="{00000000-0004-0000-0100-00001F000000}"/>
    <hyperlink ref="B22:C22" location="'Table 13'!A1" display="Table 13:" xr:uid="{00000000-0004-0000-0100-000020000000}"/>
    <hyperlink ref="B23:C23" location="'Table 14'!A1" display="Table 14:" xr:uid="{00000000-0004-0000-0100-000021000000}"/>
    <hyperlink ref="B24:C24" location="'Table 15'!A1" display="Table 15:" xr:uid="{00000000-0004-0000-0100-000022000000}"/>
    <hyperlink ref="B25:C25" location="'Table 16'!A1" display="Table 16:" xr:uid="{00000000-0004-0000-0100-000023000000}"/>
    <hyperlink ref="B29:C29" location="'Table 17'!A1" display="Table 17:" xr:uid="{00000000-0004-0000-0100-000024000000}"/>
    <hyperlink ref="B30:C30" location="'Table 18'!A1" display="Table 18:" xr:uid="{00000000-0004-0000-0100-000025000000}"/>
    <hyperlink ref="B31:C31" location="'Table 19'!A1" display="Table 19:" xr:uid="{00000000-0004-0000-0100-000026000000}"/>
    <hyperlink ref="B35:C35" location="'Table 20'!A1" display="Table 20:" xr:uid="{00000000-0004-0000-0100-000027000000}"/>
    <hyperlink ref="B36:C36" location="'Table 21'!A1" display="Table 21:" xr:uid="{00000000-0004-0000-0100-000028000000}"/>
    <hyperlink ref="B37:C37" location="'Table 22'!A1" display="Table 22:" xr:uid="{00000000-0004-0000-0100-000029000000}"/>
    <hyperlink ref="B38:C38" location="'Table 23'!A1" display="Table 23:" xr:uid="{00000000-0004-0000-0100-00002A000000}"/>
    <hyperlink ref="B42:C42" location="'Table 24'!A1" display="Table 24:" xr:uid="{00000000-0004-0000-0100-00002B000000}"/>
    <hyperlink ref="B51:C51" location="'Table 25'!A1" display="Table 25:" xr:uid="{00000000-0004-0000-0100-00002C000000}"/>
    <hyperlink ref="B18:C18" location="'Table 9'!A1" display="Table 9:" xr:uid="{00000000-0004-0000-0100-00002D000000}"/>
    <hyperlink ref="B46" location="'Table 25'!A1" display="Table 25" xr:uid="{A7F49DC4-FA70-4B19-8E2D-D4050D5FA994}"/>
    <hyperlink ref="B47" location="'Table 26'!A1" display="Table 26" xr:uid="{D9F32AD6-C52E-4ACB-864E-06E4E78DBFA2}"/>
    <hyperlink ref="C46" location="'Table 25'!A1" display="A&amp;E Attendances by Index of Multiple Deprivation Decile Output for England 2016-17 and 2017-18" xr:uid="{74329F5E-604A-4A46-AF8A-353181269356}"/>
    <hyperlink ref="C47" location="'Table 26'!A1" display="A&amp;E Attendances by Ethnicity for England 2016-17 and 2017-18" xr:uid="{87CD47F3-83ED-4536-8838-0CAAB510BC68}"/>
    <hyperlink ref="B51" location="'Table 27'!A1" display="Table 27" xr:uid="{0A9CECC1-C591-437D-82E1-8C518A45E16D}"/>
    <hyperlink ref="C51" location="'Table 27'!A1" display="Accident &amp; Emergency Clinical Quality Indicators, England, 2017-18" xr:uid="{4D0261B9-217E-40CB-BC77-0F8AAD80DFA7}"/>
  </hyperlinks>
  <pageMargins left="0.78740157480314965" right="0.78740157480314965" top="0.78740157480314965" bottom="0.78740157480314965" header="0.78740157480314965" footer="0.78740157480314965"/>
  <pageSetup paperSize="9" scale="81" fitToHeight="0" orientation="landscape" r:id="rId2"/>
  <headerFooter alignWithMargins="0">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R28"/>
  <sheetViews>
    <sheetView showGridLines="0" zoomScaleNormal="100" workbookViewId="0"/>
  </sheetViews>
  <sheetFormatPr defaultColWidth="9.140625" defaultRowHeight="12.75" x14ac:dyDescent="0.2"/>
  <cols>
    <col min="1" max="1" width="38.5703125" style="118" customWidth="1"/>
    <col min="2" max="7" width="17.85546875" style="118" customWidth="1"/>
    <col min="8" max="8" width="11.28515625" style="118" bestFit="1" customWidth="1"/>
    <col min="9" max="16384" width="9.140625" style="118"/>
  </cols>
  <sheetData>
    <row r="1" spans="1:12" s="315" customFormat="1" ht="15" customHeight="1" x14ac:dyDescent="0.2"/>
    <row r="2" spans="1:12" ht="56.25" customHeight="1" x14ac:dyDescent="0.2">
      <c r="A2" s="543" t="s">
        <v>1002</v>
      </c>
      <c r="B2" s="543"/>
      <c r="C2" s="543"/>
      <c r="D2" s="543"/>
      <c r="E2" s="543"/>
      <c r="F2" s="543"/>
      <c r="G2" s="543"/>
      <c r="H2" s="437"/>
      <c r="I2" s="437"/>
      <c r="J2" s="437"/>
      <c r="K2" s="437"/>
      <c r="L2" s="437"/>
    </row>
    <row r="3" spans="1:12" ht="15" customHeight="1" x14ac:dyDescent="0.2">
      <c r="A3" s="539" t="s">
        <v>591</v>
      </c>
      <c r="B3" s="536"/>
      <c r="C3" s="536"/>
      <c r="D3" s="536"/>
      <c r="E3" s="536"/>
      <c r="F3" s="536"/>
      <c r="G3" s="536"/>
    </row>
    <row r="4" spans="1:12" ht="15" customHeight="1" x14ac:dyDescent="0.2">
      <c r="A4" s="550" t="s">
        <v>1049</v>
      </c>
      <c r="B4" s="550"/>
      <c r="C4" s="550"/>
      <c r="D4" s="550"/>
      <c r="E4" s="550"/>
    </row>
    <row r="5" spans="1:12" s="474" customFormat="1" ht="11.25" customHeight="1" thickBot="1" x14ac:dyDescent="0.25">
      <c r="A5" s="485"/>
      <c r="B5" s="485"/>
      <c r="C5" s="485"/>
      <c r="D5" s="485"/>
      <c r="E5" s="485"/>
    </row>
    <row r="6" spans="1:12" ht="15.6" customHeight="1" thickBot="1" x14ac:dyDescent="0.25">
      <c r="A6" s="42"/>
      <c r="B6" s="540" t="s">
        <v>621</v>
      </c>
      <c r="C6" s="541"/>
      <c r="D6" s="542"/>
      <c r="E6" s="540" t="s">
        <v>956</v>
      </c>
      <c r="F6" s="541"/>
      <c r="G6" s="542"/>
      <c r="I6" s="420"/>
    </row>
    <row r="7" spans="1:12" ht="30" customHeight="1" thickBot="1" x14ac:dyDescent="0.25">
      <c r="A7" s="193" t="s">
        <v>3</v>
      </c>
      <c r="B7" s="87" t="s">
        <v>4</v>
      </c>
      <c r="C7" s="21" t="s">
        <v>530</v>
      </c>
      <c r="D7" s="194" t="s">
        <v>39</v>
      </c>
      <c r="E7" s="87" t="s">
        <v>4</v>
      </c>
      <c r="F7" s="22" t="s">
        <v>530</v>
      </c>
      <c r="G7" s="194" t="s">
        <v>39</v>
      </c>
    </row>
    <row r="8" spans="1:12" ht="15" customHeight="1" x14ac:dyDescent="0.2">
      <c r="A8" s="195" t="s">
        <v>5</v>
      </c>
      <c r="B8" s="422">
        <v>15498405</v>
      </c>
      <c r="C8" s="423">
        <v>15372467</v>
      </c>
      <c r="D8" s="424">
        <v>1.0081924391185877</v>
      </c>
      <c r="E8" s="422">
        <v>15974887</v>
      </c>
      <c r="F8" s="423">
        <v>15679998</v>
      </c>
      <c r="G8" s="196">
        <v>1.0188066988273849</v>
      </c>
      <c r="H8" s="421"/>
    </row>
    <row r="9" spans="1:12" ht="15" customHeight="1" x14ac:dyDescent="0.2">
      <c r="A9" s="197" t="s">
        <v>6</v>
      </c>
      <c r="B9" s="425">
        <v>480220</v>
      </c>
      <c r="C9" s="426">
        <v>573853</v>
      </c>
      <c r="D9" s="424">
        <v>0.83683452033883243</v>
      </c>
      <c r="E9" s="425">
        <v>512709</v>
      </c>
      <c r="F9" s="426">
        <v>577803</v>
      </c>
      <c r="G9" s="196">
        <v>0.88734222563745779</v>
      </c>
      <c r="H9" s="421"/>
    </row>
    <row r="10" spans="1:12" ht="15" customHeight="1" x14ac:dyDescent="0.2">
      <c r="A10" s="197" t="s">
        <v>7</v>
      </c>
      <c r="B10" s="425">
        <v>5020852</v>
      </c>
      <c r="C10" s="426">
        <v>7883800</v>
      </c>
      <c r="D10" s="424">
        <v>0.63685684568355361</v>
      </c>
      <c r="E10" s="425">
        <v>5573728</v>
      </c>
      <c r="F10" s="426">
        <v>8569180</v>
      </c>
      <c r="G10" s="196">
        <v>0.6504388984710322</v>
      </c>
      <c r="H10" s="421"/>
    </row>
    <row r="11" spans="1:12" ht="15" customHeight="1" thickBot="1" x14ac:dyDescent="0.25">
      <c r="A11" s="198" t="s">
        <v>8</v>
      </c>
      <c r="B11" s="427">
        <v>12228</v>
      </c>
      <c r="C11" s="428">
        <v>0</v>
      </c>
      <c r="D11" s="424">
        <v>0</v>
      </c>
      <c r="E11" s="427">
        <v>58561</v>
      </c>
      <c r="F11" s="428">
        <v>0</v>
      </c>
      <c r="G11" s="196">
        <v>0</v>
      </c>
      <c r="H11" s="421"/>
    </row>
    <row r="12" spans="1:12" ht="15" customHeight="1" thickBot="1" x14ac:dyDescent="0.25">
      <c r="A12" s="193" t="s">
        <v>9</v>
      </c>
      <c r="B12" s="429">
        <v>21011705</v>
      </c>
      <c r="C12" s="430">
        <v>23830120</v>
      </c>
      <c r="D12" s="431">
        <v>0.88192400226330447</v>
      </c>
      <c r="E12" s="429">
        <v>22119885</v>
      </c>
      <c r="F12" s="430">
        <v>24826981</v>
      </c>
      <c r="G12" s="199">
        <v>0.88172887925029331</v>
      </c>
      <c r="H12" s="123"/>
    </row>
    <row r="13" spans="1:12" x14ac:dyDescent="0.2">
      <c r="A13" s="17"/>
      <c r="B13" s="18"/>
      <c r="C13" s="19"/>
      <c r="D13" s="20"/>
      <c r="E13" s="18"/>
      <c r="F13" s="520"/>
      <c r="G13" s="20"/>
    </row>
    <row r="14" spans="1:12" x14ac:dyDescent="0.2">
      <c r="A14" s="545" t="s">
        <v>584</v>
      </c>
      <c r="B14" s="536"/>
      <c r="C14" s="536"/>
      <c r="D14" s="536"/>
      <c r="E14" s="536"/>
      <c r="F14" s="536"/>
      <c r="G14" s="536"/>
    </row>
    <row r="15" spans="1:12" ht="16.5" customHeight="1" x14ac:dyDescent="0.2">
      <c r="A15" s="545"/>
      <c r="B15" s="536"/>
      <c r="C15" s="536"/>
      <c r="D15" s="536"/>
      <c r="E15" s="536"/>
      <c r="F15" s="536"/>
      <c r="G15" s="536"/>
    </row>
    <row r="16" spans="1:12" ht="16.5" customHeight="1" x14ac:dyDescent="0.2">
      <c r="A16" s="530" t="s">
        <v>1320</v>
      </c>
      <c r="B16" s="530"/>
      <c r="C16" s="530"/>
      <c r="D16" s="530"/>
      <c r="E16" s="530"/>
      <c r="F16" s="530"/>
      <c r="G16" s="530"/>
      <c r="H16" s="530"/>
    </row>
    <row r="17" spans="1:18" x14ac:dyDescent="0.2">
      <c r="A17" s="546" t="s">
        <v>957</v>
      </c>
      <c r="B17" s="546"/>
      <c r="C17" s="546"/>
      <c r="D17" s="546"/>
      <c r="E17" s="546"/>
      <c r="F17" s="546"/>
      <c r="G17" s="546"/>
      <c r="H17" s="546"/>
    </row>
    <row r="18" spans="1:18" s="474" customFormat="1" x14ac:dyDescent="0.2">
      <c r="A18" s="475"/>
      <c r="B18" s="475"/>
      <c r="C18" s="475"/>
      <c r="D18" s="475"/>
      <c r="E18" s="475"/>
      <c r="F18" s="475"/>
      <c r="G18" s="475"/>
      <c r="H18" s="475"/>
    </row>
    <row r="19" spans="1:18" ht="17.100000000000001" customHeight="1" thickBot="1" x14ac:dyDescent="0.25">
      <c r="A19" s="548" t="s">
        <v>10</v>
      </c>
      <c r="B19" s="548"/>
      <c r="C19" s="548"/>
      <c r="D19" s="548"/>
      <c r="E19" s="548"/>
      <c r="F19" s="548"/>
      <c r="G19" s="548"/>
      <c r="H19" s="548"/>
    </row>
    <row r="20" spans="1:18" ht="17.100000000000001" customHeight="1" x14ac:dyDescent="0.2">
      <c r="A20" s="445" t="s">
        <v>1035</v>
      </c>
      <c r="B20" s="445"/>
      <c r="C20" s="445"/>
      <c r="D20" s="445"/>
      <c r="E20" s="445"/>
      <c r="F20" s="445"/>
      <c r="G20" s="445"/>
      <c r="H20" s="445"/>
    </row>
    <row r="21" spans="1:18" ht="16.5" customHeight="1" x14ac:dyDescent="0.2">
      <c r="A21" s="547" t="s">
        <v>587</v>
      </c>
      <c r="B21" s="547"/>
      <c r="C21" s="547"/>
      <c r="D21" s="547"/>
      <c r="E21" s="547"/>
      <c r="F21" s="547"/>
      <c r="G21" s="547"/>
      <c r="H21" s="116"/>
      <c r="I21" s="116"/>
      <c r="J21" s="116"/>
      <c r="K21" s="116"/>
      <c r="L21" s="116"/>
      <c r="M21" s="116"/>
      <c r="N21" s="116"/>
      <c r="O21" s="116"/>
      <c r="P21" s="116"/>
      <c r="Q21" s="116"/>
      <c r="R21" s="116"/>
    </row>
    <row r="22" spans="1:18" ht="17.100000000000001" customHeight="1" x14ac:dyDescent="0.2">
      <c r="A22" s="549" t="s">
        <v>441</v>
      </c>
      <c r="B22" s="549"/>
      <c r="C22" s="549"/>
      <c r="D22" s="549"/>
      <c r="E22" s="549"/>
      <c r="F22" s="549"/>
      <c r="G22" s="549"/>
      <c r="H22" s="549"/>
    </row>
    <row r="23" spans="1:18" ht="13.5" thickBot="1" x14ac:dyDescent="0.25">
      <c r="A23" s="544" t="s">
        <v>1001</v>
      </c>
      <c r="B23" s="544"/>
      <c r="C23" s="544"/>
      <c r="D23" s="544"/>
      <c r="E23" s="544"/>
      <c r="F23" s="544"/>
      <c r="G23" s="544"/>
      <c r="H23" s="544"/>
    </row>
    <row r="24" spans="1:18" x14ac:dyDescent="0.2">
      <c r="A24" s="124"/>
      <c r="B24" s="124"/>
      <c r="C24" s="124"/>
      <c r="D24" s="124"/>
      <c r="E24" s="124"/>
      <c r="F24" s="124"/>
      <c r="G24" s="124"/>
      <c r="H24" s="124"/>
    </row>
    <row r="25" spans="1:18" x14ac:dyDescent="0.2">
      <c r="A25" s="120" t="s">
        <v>470</v>
      </c>
    </row>
    <row r="28" spans="1:18" x14ac:dyDescent="0.2">
      <c r="A28" s="112"/>
    </row>
  </sheetData>
  <mergeCells count="13">
    <mergeCell ref="A3:G3"/>
    <mergeCell ref="B6:D6"/>
    <mergeCell ref="E6:G6"/>
    <mergeCell ref="A2:G2"/>
    <mergeCell ref="A23:H23"/>
    <mergeCell ref="A14:G14"/>
    <mergeCell ref="A15:G15"/>
    <mergeCell ref="A16:H16"/>
    <mergeCell ref="A17:H17"/>
    <mergeCell ref="A21:G21"/>
    <mergeCell ref="A19:H19"/>
    <mergeCell ref="A22:H22"/>
    <mergeCell ref="A4:E4"/>
  </mergeCells>
  <hyperlinks>
    <hyperlink ref="A25" location="Contents!A1" display="Return to Contents" xr:uid="{00000000-0004-0000-1300-000001000000}"/>
    <hyperlink ref="A22:H22" r:id="rId1" display="Contact via enquiries@NHSDigital.nhs.uk or 0300 303 5678" xr:uid="{00000000-0004-0000-1300-000002000000}"/>
    <hyperlink ref="A17" r:id="rId2" xr:uid="{9AE25B0A-45DD-4F2B-8BC0-D6A328E1634B}"/>
  </hyperlinks>
  <pageMargins left="0.78740157480314965" right="0.78740157480314965" top="0.78740157480314965" bottom="0.79781811023622051" header="0.78740157480314965" footer="0.78740157480314965"/>
  <pageSetup paperSize="9" scale="79" fitToHeight="0" orientation="landscape" r:id="rId3"/>
  <headerFooter alignWithMargins="0">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AE36"/>
  <sheetViews>
    <sheetView showGridLines="0" workbookViewId="0"/>
  </sheetViews>
  <sheetFormatPr defaultColWidth="9.140625" defaultRowHeight="12.75" x14ac:dyDescent="0.2"/>
  <cols>
    <col min="1" max="1" width="43.140625" style="109" customWidth="1"/>
    <col min="2" max="5" width="17.85546875" style="109" customWidth="1"/>
    <col min="6" max="6" width="9.140625" style="109" customWidth="1"/>
    <col min="7" max="16384" width="9.140625" style="109"/>
  </cols>
  <sheetData>
    <row r="1" spans="1:31" s="318" customFormat="1" ht="15" customHeight="1" x14ac:dyDescent="0.2"/>
    <row r="2" spans="1:31" ht="56.25" customHeight="1" x14ac:dyDescent="0.35">
      <c r="A2" s="559" t="s">
        <v>983</v>
      </c>
      <c r="B2" s="559"/>
      <c r="C2" s="559"/>
      <c r="D2" s="559"/>
      <c r="E2" s="332"/>
      <c r="F2" s="328"/>
    </row>
    <row r="3" spans="1:31" x14ac:dyDescent="0.2">
      <c r="A3" s="558" t="s">
        <v>590</v>
      </c>
      <c r="B3" s="558"/>
      <c r="C3" s="558"/>
      <c r="D3" s="558"/>
      <c r="E3" s="558"/>
      <c r="F3" s="125"/>
    </row>
    <row r="4" spans="1:31" s="476" customFormat="1" x14ac:dyDescent="0.2">
      <c r="A4" s="550" t="s">
        <v>1050</v>
      </c>
      <c r="B4" s="550"/>
      <c r="C4" s="550"/>
      <c r="D4" s="550"/>
      <c r="E4" s="550"/>
      <c r="F4" s="550"/>
    </row>
    <row r="5" spans="1:31" ht="11.25" customHeight="1" thickBot="1" x14ac:dyDescent="0.25">
      <c r="G5" s="384"/>
      <c r="H5" s="384"/>
      <c r="I5" s="384"/>
    </row>
    <row r="6" spans="1:31" ht="15" customHeight="1" thickBot="1" x14ac:dyDescent="0.25">
      <c r="A6" s="200"/>
      <c r="B6" s="556" t="s">
        <v>621</v>
      </c>
      <c r="C6" s="557"/>
      <c r="D6" s="556" t="s">
        <v>956</v>
      </c>
      <c r="E6" s="557"/>
      <c r="G6" s="384"/>
      <c r="H6" s="384"/>
      <c r="I6" s="384"/>
      <c r="L6" s="384"/>
      <c r="M6" s="384"/>
      <c r="N6" s="384"/>
      <c r="O6" s="384"/>
      <c r="P6" s="384"/>
      <c r="Q6" s="384"/>
      <c r="R6" s="384"/>
      <c r="S6" s="384"/>
      <c r="T6" s="384"/>
      <c r="U6" s="384"/>
      <c r="V6" s="384"/>
      <c r="W6" s="384"/>
      <c r="X6" s="384"/>
      <c r="Y6" s="384"/>
      <c r="Z6" s="384"/>
      <c r="AA6" s="384"/>
      <c r="AB6" s="384"/>
      <c r="AC6" s="384"/>
      <c r="AD6" s="384"/>
      <c r="AE6" s="384"/>
    </row>
    <row r="7" spans="1:31" ht="30" customHeight="1" thickBot="1" x14ac:dyDescent="0.25">
      <c r="A7" s="2" t="s">
        <v>11</v>
      </c>
      <c r="B7" s="45" t="s">
        <v>12</v>
      </c>
      <c r="C7" s="46" t="s">
        <v>13</v>
      </c>
      <c r="D7" s="45" t="s">
        <v>12</v>
      </c>
      <c r="E7" s="46" t="s">
        <v>13</v>
      </c>
      <c r="F7" s="147"/>
      <c r="G7" s="147"/>
      <c r="L7" s="384"/>
      <c r="M7" s="384"/>
      <c r="N7" s="384"/>
      <c r="O7" s="384"/>
      <c r="P7" s="384"/>
      <c r="Q7" s="384"/>
      <c r="R7" s="384"/>
      <c r="S7" s="384"/>
      <c r="T7" s="384"/>
      <c r="U7" s="384"/>
      <c r="V7" s="384"/>
      <c r="W7" s="384"/>
      <c r="X7" s="384"/>
      <c r="Y7" s="384"/>
      <c r="Z7" s="384"/>
      <c r="AA7" s="384"/>
      <c r="AB7" s="384"/>
      <c r="AC7" s="384"/>
      <c r="AD7" s="384"/>
      <c r="AE7" s="384"/>
    </row>
    <row r="8" spans="1:31" ht="15" customHeight="1" x14ac:dyDescent="0.2">
      <c r="A8" s="205" t="s">
        <v>14</v>
      </c>
      <c r="B8" s="201">
        <v>21278504</v>
      </c>
      <c r="C8" s="353"/>
      <c r="D8" s="201">
        <v>22367847</v>
      </c>
      <c r="E8" s="354"/>
      <c r="F8" s="147"/>
      <c r="G8" s="436"/>
      <c r="H8" s="384"/>
      <c r="I8" s="384"/>
      <c r="L8" s="384"/>
      <c r="M8" s="384"/>
      <c r="N8" s="384"/>
      <c r="O8" s="384"/>
      <c r="P8" s="384"/>
      <c r="Q8" s="384"/>
      <c r="R8" s="384"/>
      <c r="S8" s="384"/>
      <c r="T8" s="384"/>
      <c r="U8" s="384"/>
      <c r="V8" s="384"/>
      <c r="W8" s="384"/>
      <c r="X8" s="384"/>
      <c r="Y8" s="384"/>
      <c r="Z8" s="384"/>
      <c r="AA8" s="384"/>
      <c r="AB8" s="384"/>
      <c r="AC8" s="384"/>
      <c r="AD8" s="384"/>
      <c r="AE8" s="384"/>
    </row>
    <row r="9" spans="1:31" ht="15" customHeight="1" x14ac:dyDescent="0.2">
      <c r="A9" s="206" t="s">
        <v>15</v>
      </c>
      <c r="B9" s="202">
        <v>20615760</v>
      </c>
      <c r="C9" s="355">
        <v>0.96885382543810405</v>
      </c>
      <c r="D9" s="202">
        <v>21494872</v>
      </c>
      <c r="E9" s="355">
        <v>0.96097188075365503</v>
      </c>
      <c r="F9" s="421"/>
      <c r="H9" s="384"/>
      <c r="I9" s="384"/>
    </row>
    <row r="10" spans="1:31" ht="15" customHeight="1" x14ac:dyDescent="0.2">
      <c r="A10" s="206" t="s">
        <v>16</v>
      </c>
      <c r="B10" s="202">
        <v>21266051</v>
      </c>
      <c r="C10" s="355">
        <v>0.99941476148887154</v>
      </c>
      <c r="D10" s="202">
        <v>22307602</v>
      </c>
      <c r="E10" s="355">
        <v>0.99730662499613842</v>
      </c>
      <c r="F10" s="421"/>
      <c r="G10" s="147"/>
      <c r="H10" s="384"/>
      <c r="I10" s="384"/>
    </row>
    <row r="11" spans="1:31" ht="15" customHeight="1" x14ac:dyDescent="0.2">
      <c r="A11" s="206" t="s">
        <v>17</v>
      </c>
      <c r="B11" s="202">
        <v>20828043</v>
      </c>
      <c r="C11" s="355">
        <v>0.97883023167418159</v>
      </c>
      <c r="D11" s="202">
        <v>21601159</v>
      </c>
      <c r="E11" s="355">
        <v>0.96572365681864691</v>
      </c>
      <c r="F11" s="421"/>
      <c r="G11" s="147"/>
      <c r="H11" s="384"/>
      <c r="I11" s="384"/>
    </row>
    <row r="12" spans="1:31" ht="15" customHeight="1" x14ac:dyDescent="0.2">
      <c r="A12" s="206" t="s">
        <v>18</v>
      </c>
      <c r="B12" s="202">
        <v>20256439</v>
      </c>
      <c r="C12" s="355">
        <v>0.95196725296101647</v>
      </c>
      <c r="D12" s="202">
        <v>20121372</v>
      </c>
      <c r="E12" s="355">
        <v>0.89956677547016484</v>
      </c>
      <c r="F12" s="421"/>
      <c r="G12" s="147"/>
      <c r="H12" s="384"/>
      <c r="I12" s="384"/>
    </row>
    <row r="13" spans="1:31" ht="15" customHeight="1" x14ac:dyDescent="0.2">
      <c r="A13" s="206" t="s">
        <v>19</v>
      </c>
      <c r="B13" s="202">
        <v>16244532</v>
      </c>
      <c r="C13" s="355">
        <v>0.76342453398039634</v>
      </c>
      <c r="D13" s="202">
        <v>9088176</v>
      </c>
      <c r="E13" s="355">
        <v>0.40630535428823344</v>
      </c>
      <c r="F13" s="421"/>
      <c r="G13" s="147"/>
      <c r="H13" s="384"/>
      <c r="I13" s="384"/>
    </row>
    <row r="14" spans="1:31" ht="15" customHeight="1" x14ac:dyDescent="0.2">
      <c r="A14" s="206" t="s">
        <v>20</v>
      </c>
      <c r="B14" s="202">
        <v>20711775</v>
      </c>
      <c r="C14" s="355">
        <v>0.97336612573891468</v>
      </c>
      <c r="D14" s="202">
        <v>20767737</v>
      </c>
      <c r="E14" s="355">
        <v>0.92846383471775362</v>
      </c>
      <c r="F14" s="421"/>
      <c r="G14" s="147"/>
      <c r="H14" s="384"/>
      <c r="I14" s="384"/>
    </row>
    <row r="15" spans="1:31" ht="15" customHeight="1" x14ac:dyDescent="0.2">
      <c r="A15" s="206" t="s">
        <v>21</v>
      </c>
      <c r="B15" s="202">
        <v>20340463</v>
      </c>
      <c r="C15" s="355">
        <v>0.95591602680338805</v>
      </c>
      <c r="D15" s="202">
        <v>20629466</v>
      </c>
      <c r="E15" s="355">
        <v>0.92228214901505723</v>
      </c>
      <c r="F15" s="421"/>
      <c r="G15" s="147"/>
      <c r="H15" s="384"/>
      <c r="I15" s="384"/>
    </row>
    <row r="16" spans="1:31" ht="15" customHeight="1" x14ac:dyDescent="0.2">
      <c r="A16" s="206" t="s">
        <v>22</v>
      </c>
      <c r="B16" s="202">
        <v>21278504</v>
      </c>
      <c r="C16" s="355">
        <v>1</v>
      </c>
      <c r="D16" s="202">
        <v>22367847</v>
      </c>
      <c r="E16" s="355">
        <v>1</v>
      </c>
      <c r="F16" s="421"/>
      <c r="G16" s="147"/>
      <c r="H16" s="384"/>
      <c r="I16" s="384"/>
    </row>
    <row r="17" spans="1:17" ht="15" customHeight="1" x14ac:dyDescent="0.2">
      <c r="A17" s="206" t="s">
        <v>23</v>
      </c>
      <c r="B17" s="202">
        <v>21278504</v>
      </c>
      <c r="C17" s="355">
        <v>1</v>
      </c>
      <c r="D17" s="202">
        <v>22367847</v>
      </c>
      <c r="E17" s="355">
        <v>1</v>
      </c>
      <c r="F17" s="421"/>
      <c r="G17" s="147"/>
      <c r="H17" s="384"/>
      <c r="I17" s="384"/>
    </row>
    <row r="18" spans="1:17" ht="15" customHeight="1" x14ac:dyDescent="0.2">
      <c r="A18" s="206" t="s">
        <v>24</v>
      </c>
      <c r="B18" s="202">
        <v>19022817</v>
      </c>
      <c r="C18" s="355">
        <v>0.89399221862589584</v>
      </c>
      <c r="D18" s="202">
        <v>19865159</v>
      </c>
      <c r="E18" s="355">
        <v>0.88811225327140342</v>
      </c>
      <c r="F18" s="421"/>
      <c r="G18" s="147"/>
      <c r="H18" s="384"/>
      <c r="I18" s="384"/>
    </row>
    <row r="19" spans="1:17" ht="15" customHeight="1" x14ac:dyDescent="0.2">
      <c r="A19" s="206" t="s">
        <v>1318</v>
      </c>
      <c r="B19" s="202">
        <v>19677495</v>
      </c>
      <c r="C19" s="355">
        <v>0.92475932518564274</v>
      </c>
      <c r="D19" s="202">
        <v>20291924</v>
      </c>
      <c r="E19" s="355">
        <v>0.90719164879838454</v>
      </c>
      <c r="F19" s="421"/>
      <c r="G19" s="147"/>
      <c r="H19" s="384"/>
      <c r="I19" s="384"/>
    </row>
    <row r="20" spans="1:17" ht="15" customHeight="1" x14ac:dyDescent="0.2">
      <c r="A20" s="206" t="s">
        <v>25</v>
      </c>
      <c r="B20" s="202">
        <v>20992380</v>
      </c>
      <c r="C20" s="355">
        <v>0.98655337800063392</v>
      </c>
      <c r="D20" s="202">
        <v>21769545</v>
      </c>
      <c r="E20" s="355">
        <v>0.97325169472055129</v>
      </c>
      <c r="F20" s="421"/>
      <c r="G20" s="147"/>
      <c r="H20" s="384"/>
      <c r="I20" s="384"/>
    </row>
    <row r="21" spans="1:17" ht="15" customHeight="1" x14ac:dyDescent="0.2">
      <c r="A21" s="206" t="s">
        <v>26</v>
      </c>
      <c r="B21" s="202">
        <v>21167326</v>
      </c>
      <c r="C21" s="355">
        <v>0.9947751026105971</v>
      </c>
      <c r="D21" s="202">
        <v>22110747</v>
      </c>
      <c r="E21" s="355">
        <v>0.9885058226659007</v>
      </c>
      <c r="F21" s="421"/>
      <c r="G21" s="147"/>
      <c r="H21" s="384"/>
      <c r="I21" s="384"/>
    </row>
    <row r="22" spans="1:17" ht="15" customHeight="1" x14ac:dyDescent="0.2">
      <c r="A22" s="206" t="s">
        <v>442</v>
      </c>
      <c r="B22" s="202">
        <v>14768119</v>
      </c>
      <c r="C22" s="355">
        <v>0.69403934599913608</v>
      </c>
      <c r="D22" s="202">
        <v>16040964</v>
      </c>
      <c r="E22" s="355">
        <v>0.71714385385415058</v>
      </c>
      <c r="F22" s="421"/>
      <c r="G22" s="147"/>
      <c r="H22" s="384"/>
      <c r="I22" s="384"/>
    </row>
    <row r="23" spans="1:17" ht="15" customHeight="1" x14ac:dyDescent="0.2">
      <c r="A23" s="206" t="s">
        <v>443</v>
      </c>
      <c r="B23" s="203">
        <v>18531716</v>
      </c>
      <c r="C23" s="355">
        <v>0.87091254159596931</v>
      </c>
      <c r="D23" s="203">
        <v>16239828</v>
      </c>
      <c r="E23" s="355">
        <v>0.72603447260704168</v>
      </c>
      <c r="F23" s="421"/>
      <c r="G23" s="147"/>
      <c r="H23" s="384"/>
      <c r="I23" s="384"/>
    </row>
    <row r="24" spans="1:17" ht="15" customHeight="1" thickBot="1" x14ac:dyDescent="0.25">
      <c r="A24" s="207" t="s">
        <v>444</v>
      </c>
      <c r="B24" s="204">
        <v>18908296</v>
      </c>
      <c r="C24" s="439">
        <v>0.88861021432709741</v>
      </c>
      <c r="D24" s="204">
        <v>18617450</v>
      </c>
      <c r="E24" s="439">
        <v>0.83233088996003957</v>
      </c>
      <c r="F24" s="421"/>
      <c r="G24" s="147"/>
      <c r="H24" s="384"/>
      <c r="I24" s="384"/>
    </row>
    <row r="25" spans="1:17" ht="4.5" customHeight="1" x14ac:dyDescent="0.2">
      <c r="G25" s="384"/>
      <c r="H25" s="384"/>
      <c r="I25" s="384"/>
    </row>
    <row r="26" spans="1:17" ht="16.5" customHeight="1" x14ac:dyDescent="0.2">
      <c r="A26" s="553" t="s">
        <v>27</v>
      </c>
      <c r="B26" s="554"/>
      <c r="C26" s="554"/>
      <c r="D26" s="554"/>
      <c r="E26" s="554"/>
      <c r="F26" s="554"/>
    </row>
    <row r="27" spans="1:17" ht="17.100000000000001" customHeight="1" x14ac:dyDescent="0.2">
      <c r="A27" s="553" t="s">
        <v>28</v>
      </c>
      <c r="B27" s="554"/>
      <c r="C27" s="554"/>
      <c r="D27" s="554"/>
      <c r="E27" s="554"/>
      <c r="F27" s="554"/>
    </row>
    <row r="28" spans="1:17" ht="17.100000000000001" customHeight="1" x14ac:dyDescent="0.2">
      <c r="A28" s="553" t="s">
        <v>29</v>
      </c>
      <c r="B28" s="554"/>
      <c r="C28" s="554"/>
      <c r="D28" s="554"/>
      <c r="E28" s="554"/>
      <c r="F28" s="554"/>
    </row>
    <row r="29" spans="1:17" ht="17.100000000000001" customHeight="1" x14ac:dyDescent="0.2">
      <c r="A29" s="107"/>
    </row>
    <row r="30" spans="1:17" ht="17.100000000000001" customHeight="1" thickBot="1" x14ac:dyDescent="0.25">
      <c r="A30" s="555" t="s">
        <v>10</v>
      </c>
      <c r="B30" s="554"/>
      <c r="C30" s="554"/>
      <c r="D30" s="554"/>
      <c r="E30" s="554"/>
      <c r="F30" s="554"/>
    </row>
    <row r="31" spans="1:17" ht="17.100000000000001" customHeight="1" x14ac:dyDescent="0.2">
      <c r="A31" s="465" t="s">
        <v>1035</v>
      </c>
      <c r="B31" s="465"/>
      <c r="C31" s="465"/>
      <c r="D31" s="465"/>
      <c r="E31" s="465"/>
      <c r="F31" s="465"/>
      <c r="G31" s="445"/>
    </row>
    <row r="32" spans="1:17" ht="17.100000000000001" customHeight="1" x14ac:dyDescent="0.2">
      <c r="A32" s="547" t="s">
        <v>587</v>
      </c>
      <c r="B32" s="547"/>
      <c r="C32" s="547"/>
      <c r="D32" s="547"/>
      <c r="E32" s="547"/>
      <c r="F32" s="547"/>
      <c r="G32" s="116"/>
      <c r="H32" s="116"/>
      <c r="I32" s="116"/>
      <c r="J32" s="116"/>
      <c r="K32" s="116"/>
      <c r="L32" s="116"/>
      <c r="M32" s="116"/>
      <c r="N32" s="116"/>
      <c r="O32" s="116"/>
      <c r="P32" s="116"/>
      <c r="Q32" s="116"/>
    </row>
    <row r="33" spans="1:6" ht="16.899999999999999" customHeight="1" x14ac:dyDescent="0.2">
      <c r="A33" s="560" t="s">
        <v>441</v>
      </c>
      <c r="B33" s="561"/>
      <c r="C33" s="561"/>
      <c r="D33" s="561"/>
      <c r="E33" s="561"/>
      <c r="F33" s="561"/>
    </row>
    <row r="34" spans="1:6" ht="13.5" thickBot="1" x14ac:dyDescent="0.25">
      <c r="A34" s="551" t="s">
        <v>945</v>
      </c>
      <c r="B34" s="552"/>
      <c r="C34" s="552"/>
      <c r="D34" s="552"/>
      <c r="E34" s="552"/>
      <c r="F34" s="552"/>
    </row>
    <row r="36" spans="1:6" x14ac:dyDescent="0.2">
      <c r="A36" s="120" t="s">
        <v>470</v>
      </c>
    </row>
  </sheetData>
  <mergeCells count="12">
    <mergeCell ref="B6:C6"/>
    <mergeCell ref="D6:E6"/>
    <mergeCell ref="A3:E3"/>
    <mergeCell ref="A2:D2"/>
    <mergeCell ref="A33:F33"/>
    <mergeCell ref="A4:F4"/>
    <mergeCell ref="A34:F34"/>
    <mergeCell ref="A26:F26"/>
    <mergeCell ref="A27:F27"/>
    <mergeCell ref="A28:F28"/>
    <mergeCell ref="A30:F30"/>
    <mergeCell ref="A32:F32"/>
  </mergeCells>
  <hyperlinks>
    <hyperlink ref="A33:F33" r:id="rId1" display="Contact via enquiries@NHSDigital.nhs.uk or 0300 303 5678" xr:uid="{00000000-0004-0000-1400-000000000000}"/>
    <hyperlink ref="A36" location="Contents!A1" display="Return to Contents" xr:uid="{00000000-0004-0000-1400-000001000000}"/>
  </hyperlinks>
  <pageMargins left="0.78740157480314965" right="0.78740157480314965" top="0.78740157480314965" bottom="0.78740157480314965" header="0.78740157480314965" footer="0.78740157480314965"/>
  <pageSetup paperSize="9" scale="99" fitToHeight="0" orientation="landscape" r:id="rId2"/>
  <headerFooter alignWithMargins="0">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Q29"/>
  <sheetViews>
    <sheetView showGridLines="0" workbookViewId="0"/>
  </sheetViews>
  <sheetFormatPr defaultColWidth="9.140625" defaultRowHeight="12.75" x14ac:dyDescent="0.2"/>
  <cols>
    <col min="1" max="1" width="32.28515625" style="109" customWidth="1"/>
    <col min="2" max="5" width="17.85546875" style="109" customWidth="1"/>
    <col min="6" max="6" width="11.28515625" style="109" customWidth="1"/>
    <col min="7" max="16384" width="9.140625" style="109"/>
  </cols>
  <sheetData>
    <row r="1" spans="1:7" s="318" customFormat="1" ht="15" customHeight="1" x14ac:dyDescent="0.2"/>
    <row r="2" spans="1:7" ht="75" customHeight="1" x14ac:dyDescent="0.35">
      <c r="A2" s="570" t="s">
        <v>984</v>
      </c>
      <c r="B2" s="571"/>
      <c r="C2" s="571"/>
      <c r="D2" s="571"/>
      <c r="E2" s="571"/>
      <c r="F2" s="571"/>
    </row>
    <row r="3" spans="1:7" ht="15" customHeight="1" x14ac:dyDescent="0.2">
      <c r="A3" s="572" t="s">
        <v>590</v>
      </c>
      <c r="B3" s="554"/>
      <c r="C3" s="554"/>
      <c r="D3" s="554"/>
      <c r="E3" s="554"/>
      <c r="F3" s="554"/>
    </row>
    <row r="4" spans="1:7" ht="15" customHeight="1" x14ac:dyDescent="0.2">
      <c r="A4" s="550" t="s">
        <v>1049</v>
      </c>
      <c r="B4" s="550"/>
      <c r="C4" s="550"/>
      <c r="D4" s="550"/>
      <c r="E4" s="550"/>
    </row>
    <row r="5" spans="1:7" s="476" customFormat="1" ht="11.25" customHeight="1" thickBot="1" x14ac:dyDescent="0.25">
      <c r="A5" s="485"/>
      <c r="B5" s="485"/>
      <c r="C5" s="485"/>
      <c r="D5" s="485"/>
      <c r="E5" s="485"/>
    </row>
    <row r="6" spans="1:7" ht="15" customHeight="1" thickBot="1" x14ac:dyDescent="0.25">
      <c r="A6" s="106"/>
      <c r="B6" s="573" t="s">
        <v>621</v>
      </c>
      <c r="C6" s="574"/>
      <c r="D6" s="575" t="s">
        <v>956</v>
      </c>
      <c r="E6" s="557"/>
    </row>
    <row r="7" spans="1:7" ht="16.5" customHeight="1" thickBot="1" x14ac:dyDescent="0.25">
      <c r="A7" s="108"/>
      <c r="B7" s="486" t="s">
        <v>30</v>
      </c>
      <c r="C7" s="491" t="s">
        <v>530</v>
      </c>
      <c r="D7" s="491" t="s">
        <v>30</v>
      </c>
      <c r="E7" s="495" t="s">
        <v>530</v>
      </c>
      <c r="F7" s="85"/>
      <c r="G7" s="436"/>
    </row>
    <row r="8" spans="1:7" ht="15" customHeight="1" thickBot="1" x14ac:dyDescent="0.25">
      <c r="A8" s="208" t="s">
        <v>31</v>
      </c>
      <c r="B8" s="487">
        <v>178</v>
      </c>
      <c r="C8" s="492">
        <v>246</v>
      </c>
      <c r="D8" s="492">
        <v>174</v>
      </c>
      <c r="E8" s="496">
        <v>238</v>
      </c>
      <c r="F8" s="85"/>
      <c r="G8" s="436"/>
    </row>
    <row r="9" spans="1:7" ht="15" customHeight="1" x14ac:dyDescent="0.2">
      <c r="A9" s="209" t="s">
        <v>32</v>
      </c>
      <c r="B9" s="488">
        <v>162</v>
      </c>
      <c r="C9" s="493">
        <v>168</v>
      </c>
      <c r="D9" s="493">
        <v>158</v>
      </c>
      <c r="E9" s="210">
        <v>160</v>
      </c>
      <c r="F9" s="85"/>
    </row>
    <row r="10" spans="1:7" ht="15" customHeight="1" x14ac:dyDescent="0.2">
      <c r="A10" s="209" t="s">
        <v>445</v>
      </c>
      <c r="B10" s="488">
        <v>1</v>
      </c>
      <c r="C10" s="493">
        <v>46</v>
      </c>
      <c r="D10" s="493">
        <v>1</v>
      </c>
      <c r="E10" s="210">
        <v>37</v>
      </c>
      <c r="F10" s="85"/>
    </row>
    <row r="11" spans="1:7" ht="15" customHeight="1" thickBot="1" x14ac:dyDescent="0.25">
      <c r="A11" s="209" t="s">
        <v>34</v>
      </c>
      <c r="B11" s="488">
        <v>15</v>
      </c>
      <c r="C11" s="493">
        <v>32</v>
      </c>
      <c r="D11" s="493">
        <v>15</v>
      </c>
      <c r="E11" s="210">
        <v>41</v>
      </c>
      <c r="F11" s="85"/>
    </row>
    <row r="12" spans="1:7" ht="15" customHeight="1" thickBot="1" x14ac:dyDescent="0.25">
      <c r="A12" s="208" t="s">
        <v>35</v>
      </c>
      <c r="B12" s="487">
        <v>21011705</v>
      </c>
      <c r="C12" s="492">
        <v>23362301</v>
      </c>
      <c r="D12" s="492">
        <v>22119885</v>
      </c>
      <c r="E12" s="496">
        <v>24826981</v>
      </c>
      <c r="F12" s="85"/>
    </row>
    <row r="13" spans="1:7" ht="15" customHeight="1" x14ac:dyDescent="0.2">
      <c r="A13" s="209" t="s">
        <v>32</v>
      </c>
      <c r="B13" s="488">
        <v>19692255</v>
      </c>
      <c r="C13" s="493">
        <v>21295145</v>
      </c>
      <c r="D13" s="493">
        <v>20750772</v>
      </c>
      <c r="E13" s="210">
        <v>22698070</v>
      </c>
      <c r="F13" s="86"/>
    </row>
    <row r="14" spans="1:7" ht="15" customHeight="1" x14ac:dyDescent="0.2">
      <c r="A14" s="209" t="s">
        <v>445</v>
      </c>
      <c r="B14" s="488">
        <v>65413</v>
      </c>
      <c r="C14" s="493">
        <v>1133155</v>
      </c>
      <c r="D14" s="493">
        <v>67589</v>
      </c>
      <c r="E14" s="210">
        <v>1148301</v>
      </c>
      <c r="F14" s="86"/>
    </row>
    <row r="15" spans="1:7" ht="15" customHeight="1" thickBot="1" x14ac:dyDescent="0.25">
      <c r="A15" s="209" t="s">
        <v>34</v>
      </c>
      <c r="B15" s="489">
        <v>1254037</v>
      </c>
      <c r="C15" s="494">
        <v>934001</v>
      </c>
      <c r="D15" s="494">
        <v>1301524</v>
      </c>
      <c r="E15" s="440">
        <v>980610</v>
      </c>
      <c r="F15" s="86"/>
    </row>
    <row r="16" spans="1:7" x14ac:dyDescent="0.2">
      <c r="A16" s="37"/>
      <c r="B16" s="37"/>
      <c r="C16" s="490"/>
      <c r="D16" s="490"/>
      <c r="E16" s="37"/>
    </row>
    <row r="17" spans="1:17" ht="17.100000000000001" customHeight="1" x14ac:dyDescent="0.2">
      <c r="A17" s="553" t="s">
        <v>36</v>
      </c>
      <c r="B17" s="554"/>
      <c r="C17" s="554"/>
      <c r="D17" s="554"/>
      <c r="E17" s="554"/>
      <c r="F17" s="554"/>
    </row>
    <row r="18" spans="1:17" ht="72" customHeight="1" x14ac:dyDescent="0.2">
      <c r="A18" s="553" t="s">
        <v>585</v>
      </c>
      <c r="B18" s="554"/>
      <c r="C18" s="554"/>
      <c r="D18" s="554"/>
      <c r="E18" s="554"/>
      <c r="F18" s="554"/>
    </row>
    <row r="19" spans="1:17" ht="33" customHeight="1" x14ac:dyDescent="0.2">
      <c r="A19" s="564" t="s">
        <v>985</v>
      </c>
      <c r="B19" s="554"/>
      <c r="C19" s="554"/>
      <c r="D19" s="554"/>
      <c r="E19" s="554"/>
      <c r="F19" s="554"/>
    </row>
    <row r="20" spans="1:17" ht="12" customHeight="1" x14ac:dyDescent="0.2">
      <c r="A20" s="569"/>
      <c r="B20" s="569"/>
      <c r="C20" s="569"/>
      <c r="D20" s="569"/>
      <c r="E20" s="569"/>
      <c r="F20" s="569"/>
    </row>
    <row r="21" spans="1:17" ht="17.100000000000001" customHeight="1" x14ac:dyDescent="0.2">
      <c r="A21" s="565" t="s">
        <v>1320</v>
      </c>
      <c r="B21" s="554"/>
      <c r="C21" s="554"/>
      <c r="D21" s="554"/>
      <c r="E21" s="554"/>
      <c r="F21" s="554"/>
    </row>
    <row r="22" spans="1:17" ht="33" customHeight="1" x14ac:dyDescent="0.2">
      <c r="A22" s="567" t="s">
        <v>957</v>
      </c>
      <c r="B22" s="568"/>
      <c r="C22" s="568"/>
      <c r="D22" s="568"/>
      <c r="E22" s="568"/>
      <c r="F22" s="568"/>
    </row>
    <row r="23" spans="1:17" ht="17.100000000000001" customHeight="1" thickBot="1" x14ac:dyDescent="0.25">
      <c r="A23" s="566" t="s">
        <v>10</v>
      </c>
      <c r="B23" s="566"/>
      <c r="C23" s="566"/>
      <c r="D23" s="566"/>
      <c r="E23" s="566"/>
      <c r="F23" s="566"/>
    </row>
    <row r="24" spans="1:17" ht="17.100000000000001" customHeight="1" x14ac:dyDescent="0.2">
      <c r="A24" s="445" t="s">
        <v>1035</v>
      </c>
      <c r="B24" s="445"/>
      <c r="C24" s="445"/>
      <c r="D24" s="445"/>
      <c r="E24" s="445"/>
      <c r="F24" s="445"/>
    </row>
    <row r="25" spans="1:17" ht="17.100000000000001" customHeight="1" x14ac:dyDescent="0.2">
      <c r="A25" s="547" t="s">
        <v>587</v>
      </c>
      <c r="B25" s="547"/>
      <c r="C25" s="547"/>
      <c r="D25" s="547"/>
      <c r="E25" s="547"/>
      <c r="F25" s="547"/>
      <c r="G25" s="116"/>
      <c r="H25" s="116"/>
      <c r="I25" s="116"/>
      <c r="J25" s="116"/>
      <c r="K25" s="116"/>
      <c r="L25" s="116"/>
      <c r="M25" s="116"/>
      <c r="N25" s="116"/>
      <c r="O25" s="116"/>
      <c r="P25" s="116"/>
      <c r="Q25" s="116"/>
    </row>
    <row r="26" spans="1:17" ht="16.899999999999999" customHeight="1" x14ac:dyDescent="0.2">
      <c r="A26" s="562" t="s">
        <v>441</v>
      </c>
      <c r="B26" s="561"/>
      <c r="C26" s="561"/>
      <c r="D26" s="561"/>
      <c r="E26" s="561"/>
      <c r="F26" s="561"/>
    </row>
    <row r="27" spans="1:17" ht="13.5" thickBot="1" x14ac:dyDescent="0.25">
      <c r="A27" s="563" t="s">
        <v>945</v>
      </c>
      <c r="B27" s="552"/>
      <c r="C27" s="552"/>
      <c r="D27" s="552"/>
      <c r="E27" s="552"/>
      <c r="F27" s="552"/>
    </row>
    <row r="29" spans="1:17" x14ac:dyDescent="0.2">
      <c r="A29" s="120" t="s">
        <v>470</v>
      </c>
    </row>
  </sheetData>
  <mergeCells count="15">
    <mergeCell ref="A17:F17"/>
    <mergeCell ref="A2:F2"/>
    <mergeCell ref="A3:F3"/>
    <mergeCell ref="B6:C6"/>
    <mergeCell ref="D6:E6"/>
    <mergeCell ref="A4:E4"/>
    <mergeCell ref="A26:F26"/>
    <mergeCell ref="A27:F27"/>
    <mergeCell ref="A18:F18"/>
    <mergeCell ref="A19:F19"/>
    <mergeCell ref="A21:F21"/>
    <mergeCell ref="A23:F23"/>
    <mergeCell ref="A22:F22"/>
    <mergeCell ref="A20:F20"/>
    <mergeCell ref="A25:F25"/>
  </mergeCells>
  <hyperlinks>
    <hyperlink ref="A26:F26" r:id="rId1" display="Contact via enquiries@NHSDigital.nhs.uk or 0300 303 5678" xr:uid="{00000000-0004-0000-1500-000000000000}"/>
    <hyperlink ref="A29" location="Contents!A1" display="Return to Contents" xr:uid="{00000000-0004-0000-1500-000001000000}"/>
    <hyperlink ref="A22" r:id="rId2" xr:uid="{49206E0C-4B87-4963-BBCD-313943E69CED}"/>
  </hyperlinks>
  <pageMargins left="0.78740157480314965" right="0.78740157480314965" top="0.78740157480314965" bottom="0.78740157480314965" header="0.78740157480314965" footer="0.78740157480314965"/>
  <pageSetup paperSize="9" fitToHeight="0" orientation="landscape" r:id="rId3"/>
  <headerFooter alignWithMargins="0">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Q23"/>
  <sheetViews>
    <sheetView showGridLines="0" workbookViewId="0"/>
  </sheetViews>
  <sheetFormatPr defaultColWidth="9.140625" defaultRowHeight="12.75" x14ac:dyDescent="0.2"/>
  <cols>
    <col min="1" max="1" width="52.85546875" style="109" customWidth="1"/>
    <col min="2" max="5" width="17.85546875" style="109" customWidth="1"/>
    <col min="6" max="7" width="9.140625" style="109" customWidth="1"/>
    <col min="8" max="16384" width="9.140625" style="109"/>
  </cols>
  <sheetData>
    <row r="1" spans="1:7" s="318" customFormat="1" ht="15" customHeight="1" x14ac:dyDescent="0.2"/>
    <row r="2" spans="1:7" ht="30" customHeight="1" x14ac:dyDescent="0.2">
      <c r="A2" s="559" t="s">
        <v>986</v>
      </c>
      <c r="B2" s="559"/>
      <c r="C2" s="559"/>
      <c r="D2" s="559"/>
      <c r="E2" s="559"/>
      <c r="F2" s="559"/>
    </row>
    <row r="3" spans="1:7" ht="15" customHeight="1" x14ac:dyDescent="0.2">
      <c r="A3" s="558" t="s">
        <v>590</v>
      </c>
      <c r="B3" s="558"/>
      <c r="C3" s="558"/>
      <c r="D3" s="558"/>
      <c r="E3" s="558"/>
      <c r="F3" s="558"/>
    </row>
    <row r="4" spans="1:7" s="476" customFormat="1" ht="15" customHeight="1" x14ac:dyDescent="0.2">
      <c r="A4" s="477" t="s">
        <v>1050</v>
      </c>
      <c r="B4" s="477"/>
      <c r="C4" s="477"/>
      <c r="D4" s="477"/>
      <c r="E4" s="477"/>
      <c r="F4" s="477"/>
    </row>
    <row r="5" spans="1:7" ht="11.25" customHeight="1" thickBot="1" x14ac:dyDescent="0.25"/>
    <row r="6" spans="1:7" ht="15" customHeight="1" thickBot="1" x14ac:dyDescent="0.25">
      <c r="A6" s="127"/>
      <c r="B6" s="573" t="s">
        <v>621</v>
      </c>
      <c r="C6" s="557"/>
      <c r="D6" s="573" t="s">
        <v>956</v>
      </c>
      <c r="E6" s="557"/>
    </row>
    <row r="7" spans="1:7" ht="30" customHeight="1" thickBot="1" x14ac:dyDescent="0.25">
      <c r="A7" s="128" t="s">
        <v>37</v>
      </c>
      <c r="B7" s="129" t="s">
        <v>38</v>
      </c>
      <c r="C7" s="130" t="s">
        <v>39</v>
      </c>
      <c r="D7" s="129" t="s">
        <v>38</v>
      </c>
      <c r="E7" s="130" t="s">
        <v>39</v>
      </c>
    </row>
    <row r="8" spans="1:7" ht="15" customHeight="1" x14ac:dyDescent="0.2">
      <c r="A8" s="215" t="s">
        <v>40</v>
      </c>
      <c r="B8" s="216">
        <v>20134162</v>
      </c>
      <c r="C8" s="196">
        <v>0.94622074935343203</v>
      </c>
      <c r="D8" s="216">
        <v>20901919</v>
      </c>
      <c r="E8" s="196">
        <v>0.93446271337603504</v>
      </c>
      <c r="F8" s="421"/>
      <c r="G8" s="421"/>
    </row>
    <row r="9" spans="1:7" ht="15" customHeight="1" x14ac:dyDescent="0.2">
      <c r="A9" s="215" t="s">
        <v>41</v>
      </c>
      <c r="B9" s="216">
        <v>266799</v>
      </c>
      <c r="C9" s="196">
        <v>1.2538428453428868E-2</v>
      </c>
      <c r="D9" s="216">
        <v>247962</v>
      </c>
      <c r="E9" s="196">
        <v>1.1085644496763599E-2</v>
      </c>
      <c r="F9" s="421"/>
    </row>
    <row r="10" spans="1:7" ht="15" customHeight="1" x14ac:dyDescent="0.2">
      <c r="A10" s="215" t="s">
        <v>42</v>
      </c>
      <c r="B10" s="216">
        <v>427082</v>
      </c>
      <c r="C10" s="196">
        <v>2.0071053867320748E-2</v>
      </c>
      <c r="D10" s="216">
        <v>451278</v>
      </c>
      <c r="E10" s="196">
        <v>2.0175298945848501E-2</v>
      </c>
      <c r="F10" s="421"/>
    </row>
    <row r="11" spans="1:7" ht="15" customHeight="1" thickBot="1" x14ac:dyDescent="0.25">
      <c r="A11" s="215" t="s">
        <v>43</v>
      </c>
      <c r="B11" s="216">
        <v>450461</v>
      </c>
      <c r="C11" s="212">
        <v>2.1169768325818395E-2</v>
      </c>
      <c r="D11" s="216">
        <v>766688</v>
      </c>
      <c r="E11" s="196">
        <v>3.42763431813531E-2</v>
      </c>
      <c r="F11" s="421"/>
    </row>
    <row r="12" spans="1:7" ht="15" customHeight="1" thickBot="1" x14ac:dyDescent="0.25">
      <c r="A12" s="128" t="s">
        <v>9</v>
      </c>
      <c r="B12" s="217">
        <v>21011705</v>
      </c>
      <c r="C12" s="213">
        <v>0.9874615715465711</v>
      </c>
      <c r="D12" s="217">
        <v>22119885</v>
      </c>
      <c r="E12" s="213">
        <v>0.98891435550323636</v>
      </c>
      <c r="F12" s="421"/>
    </row>
    <row r="13" spans="1:7" ht="15" customHeight="1" thickBot="1" x14ac:dyDescent="0.25">
      <c r="A13" s="128" t="s">
        <v>44</v>
      </c>
      <c r="B13" s="217">
        <v>21278504</v>
      </c>
      <c r="C13" s="214"/>
      <c r="D13" s="217">
        <v>22367847</v>
      </c>
      <c r="E13" s="214"/>
    </row>
    <row r="15" spans="1:7" ht="17.100000000000001" customHeight="1" x14ac:dyDescent="0.2">
      <c r="A15" s="569" t="s">
        <v>584</v>
      </c>
      <c r="B15" s="569"/>
      <c r="C15" s="569"/>
      <c r="D15" s="569"/>
      <c r="E15" s="569"/>
      <c r="F15" s="569"/>
    </row>
    <row r="16" spans="1:7" ht="17.100000000000001" customHeight="1" x14ac:dyDescent="0.2">
      <c r="A16" s="113"/>
      <c r="B16" s="113"/>
      <c r="C16" s="113"/>
      <c r="D16" s="113"/>
      <c r="E16" s="113"/>
      <c r="F16" s="113"/>
    </row>
    <row r="17" spans="1:17" ht="17.100000000000001" customHeight="1" thickBot="1" x14ac:dyDescent="0.25">
      <c r="A17" s="578" t="s">
        <v>10</v>
      </c>
      <c r="B17" s="578"/>
      <c r="C17" s="578"/>
      <c r="D17" s="578"/>
      <c r="E17" s="578"/>
      <c r="F17" s="578"/>
    </row>
    <row r="18" spans="1:17" ht="17.100000000000001" customHeight="1" x14ac:dyDescent="0.2">
      <c r="A18" s="465" t="s">
        <v>1035</v>
      </c>
      <c r="B18" s="465"/>
      <c r="C18" s="465"/>
      <c r="D18" s="465"/>
      <c r="E18" s="465"/>
      <c r="F18" s="465"/>
    </row>
    <row r="19" spans="1:17" ht="17.100000000000001" customHeight="1" x14ac:dyDescent="0.2">
      <c r="A19" s="547" t="s">
        <v>587</v>
      </c>
      <c r="B19" s="547"/>
      <c r="C19" s="547"/>
      <c r="D19" s="547"/>
      <c r="E19" s="547"/>
      <c r="F19" s="547"/>
      <c r="G19" s="116"/>
      <c r="H19" s="116"/>
      <c r="I19" s="116"/>
      <c r="J19" s="116"/>
      <c r="K19" s="116"/>
      <c r="L19" s="116"/>
      <c r="M19" s="116"/>
      <c r="N19" s="116"/>
      <c r="O19" s="116"/>
      <c r="P19" s="116"/>
      <c r="Q19" s="116"/>
    </row>
    <row r="20" spans="1:17" ht="17.100000000000001" customHeight="1" x14ac:dyDescent="0.2">
      <c r="A20" s="579" t="s">
        <v>441</v>
      </c>
      <c r="B20" s="549"/>
      <c r="C20" s="549"/>
      <c r="D20" s="549"/>
      <c r="E20" s="549"/>
      <c r="F20" s="549"/>
    </row>
    <row r="21" spans="1:17" ht="13.5" thickBot="1" x14ac:dyDescent="0.25">
      <c r="A21" s="576" t="s">
        <v>945</v>
      </c>
      <c r="B21" s="577"/>
      <c r="C21" s="577"/>
      <c r="D21" s="577"/>
      <c r="E21" s="577"/>
      <c r="F21" s="577"/>
    </row>
    <row r="23" spans="1:17" x14ac:dyDescent="0.2">
      <c r="A23" s="120" t="s">
        <v>470</v>
      </c>
    </row>
  </sheetData>
  <mergeCells count="9">
    <mergeCell ref="A21:F21"/>
    <mergeCell ref="A17:F17"/>
    <mergeCell ref="A19:F19"/>
    <mergeCell ref="A15:F15"/>
    <mergeCell ref="A2:F2"/>
    <mergeCell ref="A3:F3"/>
    <mergeCell ref="B6:C6"/>
    <mergeCell ref="D6:E6"/>
    <mergeCell ref="A20:F20"/>
  </mergeCells>
  <hyperlinks>
    <hyperlink ref="A23" location="Contents!A1" display="Return to Contents" xr:uid="{00000000-0004-0000-1600-000000000000}"/>
    <hyperlink ref="A20:F20" r:id="rId1" display="Contact via enquiries@NHSDigital.nhs.uk or 0300 303 5678" xr:uid="{00000000-0004-0000-1600-000001000000}"/>
  </hyperlinks>
  <pageMargins left="0.78740157480314965" right="0.78740157480314965" top="0.78740157480314965" bottom="0.78740157480314965" header="0.78740157480314965" footer="0.78740157480314965"/>
  <pageSetup paperSize="9" scale="92" fitToHeight="0" orientation="landscape" r:id="rId2"/>
  <headerFooter alignWithMargins="0">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Q19"/>
  <sheetViews>
    <sheetView showGridLines="0" workbookViewId="0"/>
  </sheetViews>
  <sheetFormatPr defaultColWidth="9.140625" defaultRowHeight="12.75" x14ac:dyDescent="0.2"/>
  <cols>
    <col min="1" max="1" width="21.5703125" style="109" customWidth="1"/>
    <col min="2" max="5" width="17.85546875" style="109" customWidth="1"/>
    <col min="6" max="6" width="9.140625" style="109" customWidth="1"/>
    <col min="7" max="16384" width="9.140625" style="109"/>
  </cols>
  <sheetData>
    <row r="1" spans="1:17" s="318" customFormat="1" ht="15" customHeight="1" x14ac:dyDescent="0.2"/>
    <row r="2" spans="1:17" ht="48.75" customHeight="1" x14ac:dyDescent="0.2">
      <c r="A2" s="559" t="s">
        <v>987</v>
      </c>
      <c r="B2" s="559"/>
      <c r="C2" s="559"/>
      <c r="D2" s="559"/>
      <c r="E2" s="559"/>
      <c r="F2" s="559"/>
    </row>
    <row r="3" spans="1:17" ht="15" customHeight="1" x14ac:dyDescent="0.2">
      <c r="A3" s="558" t="s">
        <v>590</v>
      </c>
      <c r="B3" s="558"/>
      <c r="C3" s="558"/>
      <c r="D3" s="558"/>
      <c r="E3" s="558"/>
      <c r="F3" s="558"/>
    </row>
    <row r="4" spans="1:17" s="476" customFormat="1" ht="15" customHeight="1" x14ac:dyDescent="0.2">
      <c r="A4" s="558" t="s">
        <v>1050</v>
      </c>
      <c r="B4" s="558"/>
      <c r="C4" s="558"/>
      <c r="D4" s="558"/>
      <c r="E4" s="558"/>
      <c r="F4" s="558"/>
    </row>
    <row r="5" spans="1:17" ht="11.25" customHeight="1" thickBot="1" x14ac:dyDescent="0.25"/>
    <row r="6" spans="1:17" ht="15" customHeight="1" thickBot="1" x14ac:dyDescent="0.25">
      <c r="A6" s="218"/>
      <c r="B6" s="580" t="s">
        <v>621</v>
      </c>
      <c r="C6" s="581"/>
      <c r="D6" s="580" t="s">
        <v>956</v>
      </c>
      <c r="E6" s="557"/>
      <c r="K6" s="418"/>
      <c r="L6" s="418"/>
      <c r="M6" s="418"/>
    </row>
    <row r="7" spans="1:17" ht="30" customHeight="1" thickBot="1" x14ac:dyDescent="0.25">
      <c r="A7" s="133" t="s">
        <v>45</v>
      </c>
      <c r="B7" s="129" t="s">
        <v>38</v>
      </c>
      <c r="C7" s="130" t="s">
        <v>39</v>
      </c>
      <c r="D7" s="129" t="s">
        <v>38</v>
      </c>
      <c r="E7" s="130" t="s">
        <v>39</v>
      </c>
      <c r="K7" s="418"/>
      <c r="L7" s="418"/>
      <c r="M7" s="418"/>
    </row>
    <row r="8" spans="1:17" ht="15" customHeight="1" x14ac:dyDescent="0.2">
      <c r="A8" s="219" t="s">
        <v>46</v>
      </c>
      <c r="B8" s="222">
        <v>10396957</v>
      </c>
      <c r="C8" s="196">
        <v>0.48861315626324109</v>
      </c>
      <c r="D8" s="222">
        <v>10890844</v>
      </c>
      <c r="E8" s="196">
        <v>0.48689728609105698</v>
      </c>
      <c r="K8" s="418"/>
    </row>
    <row r="9" spans="1:17" ht="15" customHeight="1" x14ac:dyDescent="0.2">
      <c r="A9" s="211" t="s">
        <v>47</v>
      </c>
      <c r="B9" s="223">
        <v>10766632</v>
      </c>
      <c r="C9" s="196">
        <v>0.50598632309865388</v>
      </c>
      <c r="D9" s="223">
        <v>11351705</v>
      </c>
      <c r="E9" s="196">
        <v>0.50750101250245505</v>
      </c>
      <c r="K9" s="418"/>
    </row>
    <row r="10" spans="1:17" ht="15" customHeight="1" thickBot="1" x14ac:dyDescent="0.25">
      <c r="A10" s="220" t="s">
        <v>8</v>
      </c>
      <c r="B10" s="224">
        <v>114915</v>
      </c>
      <c r="C10" s="196">
        <v>5.4005206381050096E-3</v>
      </c>
      <c r="D10" s="224">
        <v>125298</v>
      </c>
      <c r="E10" s="196">
        <v>5.6017014064876202E-3</v>
      </c>
      <c r="K10" s="418"/>
    </row>
    <row r="11" spans="1:17" ht="15" customHeight="1" thickBot="1" x14ac:dyDescent="0.25">
      <c r="A11" s="133" t="s">
        <v>48</v>
      </c>
      <c r="B11" s="217">
        <v>21278504</v>
      </c>
      <c r="C11" s="214"/>
      <c r="D11" s="217">
        <v>22367847</v>
      </c>
      <c r="E11" s="214"/>
    </row>
    <row r="12" spans="1:17" x14ac:dyDescent="0.2">
      <c r="A12" s="221"/>
      <c r="B12" s="221"/>
      <c r="C12" s="221"/>
      <c r="D12" s="221"/>
      <c r="E12" s="221"/>
    </row>
    <row r="13" spans="1:17" ht="17.100000000000001" customHeight="1" thickBot="1" x14ac:dyDescent="0.25">
      <c r="A13" s="582" t="s">
        <v>10</v>
      </c>
      <c r="B13" s="582"/>
      <c r="C13" s="582"/>
      <c r="D13" s="582"/>
      <c r="E13" s="582"/>
      <c r="F13" s="582"/>
    </row>
    <row r="14" spans="1:17" ht="17.100000000000001" customHeight="1" x14ac:dyDescent="0.2">
      <c r="A14" s="445" t="s">
        <v>1035</v>
      </c>
      <c r="B14" s="445"/>
      <c r="C14" s="445"/>
      <c r="D14" s="445"/>
      <c r="E14" s="445"/>
      <c r="F14" s="445"/>
    </row>
    <row r="15" spans="1:17" ht="17.100000000000001" customHeight="1" x14ac:dyDescent="0.2">
      <c r="A15" s="547" t="s">
        <v>587</v>
      </c>
      <c r="B15" s="547"/>
      <c r="C15" s="547"/>
      <c r="D15" s="547"/>
      <c r="E15" s="547"/>
      <c r="F15" s="547"/>
      <c r="G15" s="116"/>
      <c r="H15" s="116"/>
      <c r="I15" s="116"/>
      <c r="J15" s="116"/>
      <c r="K15" s="116"/>
      <c r="L15" s="116"/>
      <c r="M15" s="116"/>
      <c r="N15" s="116"/>
      <c r="O15" s="116"/>
      <c r="P15" s="116"/>
      <c r="Q15" s="116"/>
    </row>
    <row r="16" spans="1:17" ht="17.100000000000001" customHeight="1" x14ac:dyDescent="0.2">
      <c r="A16" s="549" t="s">
        <v>441</v>
      </c>
      <c r="B16" s="549"/>
      <c r="C16" s="549"/>
      <c r="D16" s="549"/>
      <c r="E16" s="549"/>
      <c r="F16" s="549"/>
    </row>
    <row r="17" spans="1:6" ht="13.5" thickBot="1" x14ac:dyDescent="0.25">
      <c r="A17" s="551" t="s">
        <v>945</v>
      </c>
      <c r="B17" s="551"/>
      <c r="C17" s="551"/>
      <c r="D17" s="551"/>
      <c r="E17" s="551"/>
      <c r="F17" s="551"/>
    </row>
    <row r="18" spans="1:6" x14ac:dyDescent="0.2">
      <c r="A18" s="126"/>
    </row>
    <row r="19" spans="1:6" x14ac:dyDescent="0.2">
      <c r="A19" s="120" t="s">
        <v>470</v>
      </c>
    </row>
  </sheetData>
  <mergeCells count="9">
    <mergeCell ref="A16:F16"/>
    <mergeCell ref="A17:F17"/>
    <mergeCell ref="A15:F15"/>
    <mergeCell ref="A2:F2"/>
    <mergeCell ref="A3:F3"/>
    <mergeCell ref="B6:C6"/>
    <mergeCell ref="D6:E6"/>
    <mergeCell ref="A13:F13"/>
    <mergeCell ref="A4:F4"/>
  </mergeCells>
  <hyperlinks>
    <hyperlink ref="A19" location="Contents!A1" display="Return to Contents" xr:uid="{00000000-0004-0000-1700-000000000000}"/>
    <hyperlink ref="A16:F16" r:id="rId1" display="Contact via enquiries@NHSDigital.nhs.uk or 0300 303 5678" xr:uid="{00000000-0004-0000-17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Q41"/>
  <sheetViews>
    <sheetView showGridLines="0" zoomScaleNormal="100" workbookViewId="0"/>
  </sheetViews>
  <sheetFormatPr defaultColWidth="9.140625" defaultRowHeight="12.75" x14ac:dyDescent="0.2"/>
  <cols>
    <col min="1" max="1" width="21.5703125" style="109" customWidth="1"/>
    <col min="2" max="5" width="17.85546875" style="109" customWidth="1"/>
    <col min="6" max="6" width="9.140625" style="109" customWidth="1"/>
    <col min="7" max="7" width="20.85546875" style="109" customWidth="1"/>
    <col min="8" max="16384" width="9.140625" style="109"/>
  </cols>
  <sheetData>
    <row r="1" spans="1:10" s="318" customFormat="1" ht="15" customHeight="1" x14ac:dyDescent="0.2"/>
    <row r="2" spans="1:10" ht="48.75" customHeight="1" x14ac:dyDescent="0.2">
      <c r="A2" s="559" t="s">
        <v>988</v>
      </c>
      <c r="B2" s="559"/>
      <c r="C2" s="559"/>
      <c r="D2" s="559"/>
      <c r="E2" s="559"/>
      <c r="F2" s="350"/>
    </row>
    <row r="3" spans="1:10" ht="15" customHeight="1" x14ac:dyDescent="0.2">
      <c r="A3" s="558" t="s">
        <v>590</v>
      </c>
      <c r="B3" s="558"/>
      <c r="C3" s="558"/>
      <c r="D3" s="558"/>
      <c r="E3" s="558"/>
      <c r="F3" s="558"/>
    </row>
    <row r="4" spans="1:10" s="476" customFormat="1" ht="15" customHeight="1" x14ac:dyDescent="0.2">
      <c r="A4" s="558" t="s">
        <v>1050</v>
      </c>
      <c r="B4" s="558"/>
      <c r="C4" s="558"/>
      <c r="D4" s="558"/>
      <c r="E4" s="558"/>
      <c r="F4" s="558"/>
    </row>
    <row r="5" spans="1:10" ht="11.25" customHeight="1" thickBot="1" x14ac:dyDescent="0.25">
      <c r="A5" s="6"/>
      <c r="B5" s="125"/>
      <c r="C5" s="125"/>
      <c r="D5" s="125"/>
      <c r="E5" s="125"/>
      <c r="F5" s="125"/>
    </row>
    <row r="6" spans="1:10" ht="15" customHeight="1" thickBot="1" x14ac:dyDescent="0.25">
      <c r="A6" s="218"/>
      <c r="B6" s="580" t="s">
        <v>621</v>
      </c>
      <c r="C6" s="557"/>
      <c r="D6" s="580" t="s">
        <v>956</v>
      </c>
      <c r="E6" s="557"/>
      <c r="G6" s="583"/>
      <c r="H6" s="584"/>
      <c r="I6" s="583"/>
      <c r="J6" s="584"/>
    </row>
    <row r="7" spans="1:10" ht="30" customHeight="1" thickBot="1" x14ac:dyDescent="0.25">
      <c r="A7" s="133" t="s">
        <v>49</v>
      </c>
      <c r="B7" s="129" t="s">
        <v>38</v>
      </c>
      <c r="C7" s="130" t="s">
        <v>39</v>
      </c>
      <c r="D7" s="129" t="s">
        <v>38</v>
      </c>
      <c r="E7" s="130" t="s">
        <v>39</v>
      </c>
      <c r="G7" s="134"/>
      <c r="H7" s="134"/>
      <c r="I7" s="134"/>
      <c r="J7" s="134"/>
    </row>
    <row r="8" spans="1:10" ht="15" customHeight="1" x14ac:dyDescent="0.2">
      <c r="A8" s="226">
        <v>0</v>
      </c>
      <c r="B8" s="227">
        <v>586265</v>
      </c>
      <c r="C8" s="196">
        <v>2.7551983917666393E-2</v>
      </c>
      <c r="D8" s="227">
        <v>619842</v>
      </c>
      <c r="E8" s="196">
        <v>2.7711294699038311E-2</v>
      </c>
      <c r="F8" s="421"/>
      <c r="G8" s="681"/>
      <c r="H8" s="136"/>
      <c r="I8" s="135"/>
      <c r="J8" s="136"/>
    </row>
    <row r="9" spans="1:10" ht="15" customHeight="1" x14ac:dyDescent="0.2">
      <c r="A9" s="215" t="s">
        <v>51</v>
      </c>
      <c r="B9" s="227">
        <v>1539847</v>
      </c>
      <c r="C9" s="196">
        <v>7.2366318609616537E-2</v>
      </c>
      <c r="D9" s="227">
        <v>1607748</v>
      </c>
      <c r="E9" s="196">
        <v>7.1877637575042425E-2</v>
      </c>
      <c r="F9" s="421"/>
      <c r="G9" s="681"/>
      <c r="H9" s="136"/>
      <c r="I9" s="135"/>
      <c r="J9" s="136"/>
    </row>
    <row r="10" spans="1:10" ht="15" customHeight="1" x14ac:dyDescent="0.2">
      <c r="A10" s="215" t="s">
        <v>52</v>
      </c>
      <c r="B10" s="227">
        <v>1075422</v>
      </c>
      <c r="C10" s="196">
        <v>5.0540301141471226E-2</v>
      </c>
      <c r="D10" s="227">
        <v>1091497</v>
      </c>
      <c r="E10" s="196">
        <v>4.8797588788943344E-2</v>
      </c>
      <c r="F10" s="421"/>
      <c r="G10" s="681"/>
      <c r="H10" s="136"/>
      <c r="I10" s="135"/>
      <c r="J10" s="136"/>
    </row>
    <row r="11" spans="1:10" ht="15" customHeight="1" x14ac:dyDescent="0.2">
      <c r="A11" s="215" t="s">
        <v>53</v>
      </c>
      <c r="B11" s="227">
        <v>1099944</v>
      </c>
      <c r="C11" s="196">
        <v>5.1692731782271913E-2</v>
      </c>
      <c r="D11" s="227">
        <v>1147661</v>
      </c>
      <c r="E11" s="196">
        <v>5.1308514404627317E-2</v>
      </c>
      <c r="F11" s="421"/>
      <c r="G11" s="681"/>
      <c r="H11" s="136"/>
      <c r="I11" s="135"/>
      <c r="J11" s="136"/>
    </row>
    <row r="12" spans="1:10" ht="15" customHeight="1" x14ac:dyDescent="0.2">
      <c r="A12" s="226">
        <v>15</v>
      </c>
      <c r="B12" s="227">
        <v>209314</v>
      </c>
      <c r="C12" s="196">
        <v>9.8368757502877088E-3</v>
      </c>
      <c r="D12" s="227">
        <v>222246</v>
      </c>
      <c r="E12" s="196">
        <v>9.9359585211755072E-3</v>
      </c>
      <c r="F12" s="421"/>
      <c r="G12" s="681"/>
      <c r="H12" s="136"/>
      <c r="I12" s="135"/>
      <c r="J12" s="136"/>
    </row>
    <row r="13" spans="1:10" ht="15" customHeight="1" x14ac:dyDescent="0.2">
      <c r="A13" s="226">
        <v>16</v>
      </c>
      <c r="B13" s="227">
        <v>200411</v>
      </c>
      <c r="C13" s="196">
        <v>9.4184722760585048E-3</v>
      </c>
      <c r="D13" s="227">
        <v>203356</v>
      </c>
      <c r="E13" s="196">
        <v>9.0914427302726097E-3</v>
      </c>
      <c r="F13" s="421"/>
      <c r="G13" s="681"/>
      <c r="H13" s="136"/>
      <c r="I13" s="135"/>
      <c r="J13" s="136"/>
    </row>
    <row r="14" spans="1:10" ht="15" customHeight="1" x14ac:dyDescent="0.2">
      <c r="A14" s="226">
        <v>17</v>
      </c>
      <c r="B14" s="227">
        <v>228542</v>
      </c>
      <c r="C14" s="196">
        <v>1.0740510705075883E-2</v>
      </c>
      <c r="D14" s="227">
        <v>228898</v>
      </c>
      <c r="E14" s="196">
        <v>1.0233349682694091E-2</v>
      </c>
      <c r="F14" s="421"/>
      <c r="G14" s="681"/>
      <c r="H14" s="136"/>
      <c r="I14" s="135"/>
      <c r="J14" s="136"/>
    </row>
    <row r="15" spans="1:10" ht="15" customHeight="1" x14ac:dyDescent="0.2">
      <c r="A15" s="226">
        <v>18</v>
      </c>
      <c r="B15" s="227">
        <v>283506</v>
      </c>
      <c r="C15" s="196">
        <v>1.3323587034126083E-2</v>
      </c>
      <c r="D15" s="227">
        <v>287171</v>
      </c>
      <c r="E15" s="196">
        <v>1.2838562424000844E-2</v>
      </c>
      <c r="F15" s="421"/>
      <c r="G15" s="681"/>
      <c r="H15" s="136"/>
      <c r="I15" s="135"/>
      <c r="J15" s="136"/>
    </row>
    <row r="16" spans="1:10" ht="15" customHeight="1" x14ac:dyDescent="0.2">
      <c r="A16" s="226">
        <v>19</v>
      </c>
      <c r="B16" s="227">
        <v>315433</v>
      </c>
      <c r="C16" s="196">
        <v>1.4824021463163011E-2</v>
      </c>
      <c r="D16" s="227">
        <v>322682</v>
      </c>
      <c r="E16" s="196">
        <v>1.4426153755432965E-2</v>
      </c>
      <c r="F16" s="421"/>
      <c r="G16" s="681"/>
      <c r="H16" s="136"/>
      <c r="I16" s="135"/>
      <c r="J16" s="136"/>
    </row>
    <row r="17" spans="1:10" ht="15" customHeight="1" x14ac:dyDescent="0.2">
      <c r="A17" s="215" t="s">
        <v>59</v>
      </c>
      <c r="B17" s="227">
        <v>1612943</v>
      </c>
      <c r="C17" s="196">
        <v>7.580152251304885E-2</v>
      </c>
      <c r="D17" s="227">
        <v>1641251</v>
      </c>
      <c r="E17" s="196">
        <v>7.3375457190850785E-2</v>
      </c>
      <c r="F17" s="421"/>
      <c r="G17" s="681"/>
      <c r="H17" s="136"/>
      <c r="I17" s="135"/>
      <c r="J17" s="136"/>
    </row>
    <row r="18" spans="1:10" ht="15" customHeight="1" x14ac:dyDescent="0.2">
      <c r="A18" s="215" t="s">
        <v>60</v>
      </c>
      <c r="B18" s="227">
        <v>1606226</v>
      </c>
      <c r="C18" s="196">
        <v>7.5485851824921527E-2</v>
      </c>
      <c r="D18" s="227">
        <v>1648698</v>
      </c>
      <c r="E18" s="196">
        <v>7.3708390440975394E-2</v>
      </c>
      <c r="F18" s="421"/>
      <c r="G18" s="681"/>
      <c r="H18" s="136"/>
      <c r="I18" s="135"/>
      <c r="J18" s="136"/>
    </row>
    <row r="19" spans="1:10" ht="15" customHeight="1" x14ac:dyDescent="0.2">
      <c r="A19" s="215" t="s">
        <v>61</v>
      </c>
      <c r="B19" s="227">
        <v>1409281</v>
      </c>
      <c r="C19" s="196">
        <v>6.6230266939818705E-2</v>
      </c>
      <c r="D19" s="227">
        <v>1534060</v>
      </c>
      <c r="E19" s="196">
        <v>6.8583265971016341E-2</v>
      </c>
      <c r="F19" s="421"/>
      <c r="G19" s="681"/>
      <c r="H19" s="136"/>
      <c r="I19" s="135"/>
      <c r="J19" s="136"/>
    </row>
    <row r="20" spans="1:10" ht="15" customHeight="1" x14ac:dyDescent="0.2">
      <c r="A20" s="209" t="s">
        <v>62</v>
      </c>
      <c r="B20" s="228">
        <v>1230082</v>
      </c>
      <c r="C20" s="196">
        <v>5.7808669256071761E-2</v>
      </c>
      <c r="D20" s="228">
        <v>1298664</v>
      </c>
      <c r="E20" s="196">
        <v>5.8059410009376408E-2</v>
      </c>
      <c r="F20" s="421"/>
      <c r="G20" s="681"/>
      <c r="H20" s="136"/>
      <c r="I20" s="135"/>
      <c r="J20" s="136"/>
    </row>
    <row r="21" spans="1:10" ht="15" customHeight="1" x14ac:dyDescent="0.2">
      <c r="A21" s="209" t="s">
        <v>63</v>
      </c>
      <c r="B21" s="228">
        <v>1079111</v>
      </c>
      <c r="C21" s="196">
        <v>5.0713668592491275E-2</v>
      </c>
      <c r="D21" s="228">
        <v>1108324</v>
      </c>
      <c r="E21" s="196">
        <v>4.9549873977589351E-2</v>
      </c>
      <c r="F21" s="421"/>
      <c r="G21" s="681"/>
      <c r="H21" s="136"/>
      <c r="I21" s="135"/>
      <c r="J21" s="136"/>
    </row>
    <row r="22" spans="1:10" ht="15" customHeight="1" x14ac:dyDescent="0.2">
      <c r="A22" s="209" t="s">
        <v>64</v>
      </c>
      <c r="B22" s="228">
        <v>1153443</v>
      </c>
      <c r="C22" s="196">
        <v>5.4206959286235534E-2</v>
      </c>
      <c r="D22" s="228">
        <v>1185519</v>
      </c>
      <c r="E22" s="196">
        <v>5.300103313474918E-2</v>
      </c>
      <c r="F22" s="421"/>
      <c r="G22" s="681"/>
      <c r="H22" s="136"/>
      <c r="I22" s="135"/>
      <c r="J22" s="136"/>
    </row>
    <row r="23" spans="1:10" ht="15" customHeight="1" x14ac:dyDescent="0.2">
      <c r="A23" s="209" t="s">
        <v>65</v>
      </c>
      <c r="B23" s="228">
        <v>1157977</v>
      </c>
      <c r="C23" s="196">
        <v>5.4420038175616102E-2</v>
      </c>
      <c r="D23" s="228">
        <v>1210073</v>
      </c>
      <c r="E23" s="196">
        <v>5.4098769541833867E-2</v>
      </c>
      <c r="F23" s="421"/>
      <c r="G23" s="681"/>
      <c r="H23" s="136"/>
      <c r="I23" s="135"/>
      <c r="J23" s="136"/>
    </row>
    <row r="24" spans="1:10" ht="15" customHeight="1" x14ac:dyDescent="0.2">
      <c r="A24" s="209" t="s">
        <v>66</v>
      </c>
      <c r="B24" s="228">
        <v>1023018</v>
      </c>
      <c r="C24" s="196">
        <v>4.8077534022128623E-2</v>
      </c>
      <c r="D24" s="228">
        <v>1101959</v>
      </c>
      <c r="E24" s="196">
        <v>4.9265313733592685E-2</v>
      </c>
      <c r="F24" s="421"/>
      <c r="G24" s="681"/>
      <c r="H24" s="136"/>
      <c r="I24" s="135"/>
      <c r="J24" s="136"/>
    </row>
    <row r="25" spans="1:10" ht="15" customHeight="1" x14ac:dyDescent="0.2">
      <c r="A25" s="209" t="s">
        <v>67</v>
      </c>
      <c r="B25" s="228">
        <v>873993</v>
      </c>
      <c r="C25" s="196">
        <v>4.107398715623993E-2</v>
      </c>
      <c r="D25" s="228">
        <v>940500</v>
      </c>
      <c r="E25" s="196">
        <v>4.2046961426372417E-2</v>
      </c>
      <c r="F25" s="421"/>
      <c r="G25" s="681"/>
      <c r="H25" s="136"/>
      <c r="I25" s="135"/>
      <c r="J25" s="136"/>
    </row>
    <row r="26" spans="1:10" ht="15" customHeight="1" x14ac:dyDescent="0.2">
      <c r="A26" s="209" t="s">
        <v>68</v>
      </c>
      <c r="B26" s="228">
        <v>854230</v>
      </c>
      <c r="C26" s="196">
        <v>4.0145209456454271E-2</v>
      </c>
      <c r="D26" s="228">
        <v>879026</v>
      </c>
      <c r="E26" s="196">
        <v>3.929864148301801E-2</v>
      </c>
      <c r="F26" s="421"/>
      <c r="G26" s="681"/>
      <c r="H26" s="136"/>
      <c r="I26" s="135"/>
      <c r="J26" s="136"/>
    </row>
    <row r="27" spans="1:10" ht="15" customHeight="1" x14ac:dyDescent="0.2">
      <c r="A27" s="209" t="s">
        <v>69</v>
      </c>
      <c r="B27" s="228">
        <v>901321</v>
      </c>
      <c r="C27" s="196">
        <v>4.2358287969868562E-2</v>
      </c>
      <c r="D27" s="228">
        <v>970384</v>
      </c>
      <c r="E27" s="196">
        <v>4.3382986301721396E-2</v>
      </c>
      <c r="F27" s="421"/>
      <c r="G27" s="681"/>
      <c r="H27" s="136"/>
      <c r="I27" s="135"/>
      <c r="J27" s="136"/>
    </row>
    <row r="28" spans="1:10" ht="15" customHeight="1" x14ac:dyDescent="0.2">
      <c r="A28" s="209" t="s">
        <v>70</v>
      </c>
      <c r="B28" s="228">
        <v>828660</v>
      </c>
      <c r="C28" s="196">
        <v>3.8943527232929535E-2</v>
      </c>
      <c r="D28" s="228">
        <v>869129</v>
      </c>
      <c r="E28" s="196">
        <v>3.885617601014528E-2</v>
      </c>
      <c r="F28" s="421"/>
      <c r="G28" s="681"/>
      <c r="H28" s="136"/>
      <c r="I28" s="135"/>
      <c r="J28" s="136"/>
    </row>
    <row r="29" spans="1:10" ht="15" customHeight="1" x14ac:dyDescent="0.2">
      <c r="A29" s="209" t="s">
        <v>71</v>
      </c>
      <c r="B29" s="228">
        <v>808375</v>
      </c>
      <c r="C29" s="196">
        <v>3.7990217733351934E-2</v>
      </c>
      <c r="D29" s="228">
        <v>846931</v>
      </c>
      <c r="E29" s="196">
        <v>3.7863769365017563E-2</v>
      </c>
      <c r="F29" s="421"/>
      <c r="G29" s="681"/>
      <c r="H29" s="136"/>
      <c r="I29" s="135"/>
      <c r="J29" s="136"/>
    </row>
    <row r="30" spans="1:10" ht="15" customHeight="1" x14ac:dyDescent="0.2">
      <c r="A30" s="209" t="s">
        <v>72</v>
      </c>
      <c r="B30" s="228">
        <v>662075</v>
      </c>
      <c r="C30" s="196">
        <v>3.1114734381702775E-2</v>
      </c>
      <c r="D30" s="228">
        <v>674704</v>
      </c>
      <c r="E30" s="196">
        <v>3.0164011762061856E-2</v>
      </c>
      <c r="F30" s="421"/>
      <c r="G30" s="681"/>
      <c r="H30" s="136"/>
      <c r="I30" s="135"/>
      <c r="J30" s="136"/>
    </row>
    <row r="31" spans="1:10" ht="15" customHeight="1" x14ac:dyDescent="0.2">
      <c r="A31" s="209" t="s">
        <v>73</v>
      </c>
      <c r="B31" s="228">
        <v>468008</v>
      </c>
      <c r="C31" s="196">
        <v>2.1994403365950915E-2</v>
      </c>
      <c r="D31" s="228">
        <v>471264</v>
      </c>
      <c r="E31" s="196">
        <v>2.1068813641295026E-2</v>
      </c>
      <c r="F31" s="421"/>
      <c r="G31" s="681"/>
      <c r="H31" s="136"/>
      <c r="I31" s="135"/>
      <c r="J31" s="136"/>
    </row>
    <row r="32" spans="1:10" ht="15" customHeight="1" thickBot="1" x14ac:dyDescent="0.25">
      <c r="A32" s="215" t="s">
        <v>8</v>
      </c>
      <c r="B32" s="227">
        <v>71077</v>
      </c>
      <c r="C32" s="196">
        <v>3.340319413432448E-3</v>
      </c>
      <c r="D32" s="227">
        <v>256260</v>
      </c>
      <c r="E32" s="196">
        <v>1.1456623429157039E-2</v>
      </c>
      <c r="F32" s="421"/>
      <c r="G32" s="681"/>
      <c r="H32" s="136"/>
      <c r="I32" s="135"/>
      <c r="J32" s="136"/>
    </row>
    <row r="33" spans="1:17" ht="15" customHeight="1" thickBot="1" x14ac:dyDescent="0.25">
      <c r="A33" s="128" t="s">
        <v>48</v>
      </c>
      <c r="B33" s="229">
        <v>21278504</v>
      </c>
      <c r="C33" s="214"/>
      <c r="D33" s="229">
        <v>22367847</v>
      </c>
      <c r="E33" s="214"/>
      <c r="H33" s="138"/>
      <c r="I33" s="137"/>
      <c r="J33" s="138"/>
    </row>
    <row r="35" spans="1:17" ht="17.100000000000001" customHeight="1" thickBot="1" x14ac:dyDescent="0.25">
      <c r="A35" s="582" t="s">
        <v>10</v>
      </c>
      <c r="B35" s="582"/>
      <c r="C35" s="582"/>
      <c r="D35" s="582"/>
      <c r="E35" s="582"/>
      <c r="F35" s="582"/>
    </row>
    <row r="36" spans="1:17" ht="17.100000000000001" customHeight="1" x14ac:dyDescent="0.2">
      <c r="A36" s="445" t="s">
        <v>1035</v>
      </c>
      <c r="B36" s="445"/>
      <c r="C36" s="445"/>
      <c r="D36" s="445"/>
      <c r="E36" s="445"/>
      <c r="F36" s="445"/>
    </row>
    <row r="37" spans="1:17" ht="17.100000000000001" customHeight="1" x14ac:dyDescent="0.2">
      <c r="A37" s="547" t="s">
        <v>587</v>
      </c>
      <c r="B37" s="547"/>
      <c r="C37" s="547"/>
      <c r="D37" s="547"/>
      <c r="E37" s="547"/>
      <c r="F37" s="547"/>
      <c r="G37" s="116"/>
      <c r="H37" s="116"/>
      <c r="I37" s="116"/>
      <c r="J37" s="116"/>
      <c r="K37" s="116"/>
      <c r="L37" s="116"/>
      <c r="M37" s="116"/>
      <c r="N37" s="116"/>
      <c r="O37" s="116"/>
      <c r="P37" s="116"/>
      <c r="Q37" s="116"/>
    </row>
    <row r="38" spans="1:17" ht="17.100000000000001" customHeight="1" x14ac:dyDescent="0.2">
      <c r="A38" s="549" t="s">
        <v>441</v>
      </c>
      <c r="B38" s="549"/>
      <c r="C38" s="549"/>
      <c r="D38" s="549"/>
      <c r="E38" s="549"/>
      <c r="F38" s="549"/>
    </row>
    <row r="39" spans="1:17" ht="13.5" thickBot="1" x14ac:dyDescent="0.25">
      <c r="A39" s="577" t="s">
        <v>945</v>
      </c>
      <c r="B39" s="577"/>
      <c r="C39" s="577"/>
      <c r="D39" s="577"/>
      <c r="E39" s="577"/>
      <c r="F39" s="577"/>
    </row>
    <row r="41" spans="1:17" x14ac:dyDescent="0.2">
      <c r="A41" s="120" t="s">
        <v>470</v>
      </c>
    </row>
  </sheetData>
  <mergeCells count="11">
    <mergeCell ref="A39:F39"/>
    <mergeCell ref="A3:F3"/>
    <mergeCell ref="B6:C6"/>
    <mergeCell ref="D6:E6"/>
    <mergeCell ref="A37:F37"/>
    <mergeCell ref="G6:H6"/>
    <mergeCell ref="I6:J6"/>
    <mergeCell ref="A35:F35"/>
    <mergeCell ref="A38:F38"/>
    <mergeCell ref="A2:E2"/>
    <mergeCell ref="A4:F4"/>
  </mergeCells>
  <hyperlinks>
    <hyperlink ref="A41" location="Contents!A1" display="Return to Contents" xr:uid="{00000000-0004-0000-1800-000000000000}"/>
    <hyperlink ref="A38:F38" r:id="rId1" display="Contact via enquiries@NHSDigital.nhs.uk or 0300 303 5678" xr:uid="{00000000-0004-0000-1800-000001000000}"/>
  </hyperlinks>
  <pageMargins left="0.78740157480314965" right="0.78740157480314965" top="0.78740157480314965" bottom="0.78740157480314965" header="0.78740157480314965" footer="0.78740157480314965"/>
  <pageSetup paperSize="9" fitToHeight="0" orientation="landscape" r:id="rId2"/>
  <headerFooter alignWithMargins="0">
    <oddFooter>&amp;L&amp;C&amp;R</oddFooter>
  </headerFooter>
  <ignoredErrors>
    <ignoredError sqref="A11"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7">
    <pageSetUpPr fitToPage="1"/>
  </sheetPr>
  <dimension ref="A1:S41"/>
  <sheetViews>
    <sheetView showGridLines="0" workbookViewId="0"/>
  </sheetViews>
  <sheetFormatPr defaultColWidth="9.140625" defaultRowHeight="12.75" x14ac:dyDescent="0.2"/>
  <cols>
    <col min="1" max="1" width="21.5703125" style="85" customWidth="1"/>
    <col min="2" max="9" width="13.42578125" style="85" customWidth="1"/>
    <col min="10" max="10" width="12.5703125" style="85" customWidth="1"/>
    <col min="11" max="17" width="13.28515625" style="85" customWidth="1"/>
    <col min="18" max="16384" width="9.140625" style="85"/>
  </cols>
  <sheetData>
    <row r="1" spans="1:19" s="321" customFormat="1" ht="15" customHeight="1" x14ac:dyDescent="0.2"/>
    <row r="2" spans="1:19" ht="30" customHeight="1" x14ac:dyDescent="0.2">
      <c r="A2" s="585" t="s">
        <v>989</v>
      </c>
      <c r="B2" s="585"/>
      <c r="C2" s="585"/>
      <c r="D2" s="585"/>
      <c r="E2" s="585"/>
      <c r="F2" s="585"/>
      <c r="G2" s="585"/>
      <c r="H2" s="585"/>
      <c r="I2" s="585"/>
      <c r="J2" s="585"/>
      <c r="K2" s="585"/>
    </row>
    <row r="3" spans="1:19" ht="15" customHeight="1" x14ac:dyDescent="0.2">
      <c r="A3" s="586" t="s">
        <v>590</v>
      </c>
      <c r="B3" s="587"/>
      <c r="C3" s="587"/>
      <c r="D3" s="587"/>
      <c r="E3" s="587"/>
      <c r="F3" s="587"/>
      <c r="G3" s="587"/>
      <c r="H3" s="587"/>
      <c r="I3" s="587"/>
    </row>
    <row r="4" spans="1:19" s="479" customFormat="1" ht="15" customHeight="1" x14ac:dyDescent="0.2">
      <c r="A4" s="558" t="s">
        <v>1050</v>
      </c>
      <c r="B4" s="558"/>
      <c r="C4" s="558"/>
      <c r="D4" s="558"/>
      <c r="E4" s="558"/>
      <c r="F4" s="558"/>
    </row>
    <row r="5" spans="1:19" ht="11.25" customHeight="1" thickBot="1" x14ac:dyDescent="0.25">
      <c r="C5" s="432"/>
    </row>
    <row r="6" spans="1:19" ht="13.5" thickBot="1" x14ac:dyDescent="0.25">
      <c r="B6" s="591" t="s">
        <v>514</v>
      </c>
      <c r="C6" s="592"/>
      <c r="D6" s="592"/>
      <c r="E6" s="592"/>
      <c r="F6" s="592"/>
      <c r="G6" s="592"/>
      <c r="H6" s="592"/>
      <c r="I6" s="593"/>
      <c r="J6" s="591" t="s">
        <v>504</v>
      </c>
      <c r="K6" s="592"/>
      <c r="L6" s="592"/>
      <c r="M6" s="592"/>
      <c r="N6" s="592"/>
      <c r="O6" s="592"/>
      <c r="P6" s="592"/>
      <c r="Q6" s="593"/>
    </row>
    <row r="7" spans="1:19" ht="16.5" customHeight="1" thickBot="1" x14ac:dyDescent="0.25">
      <c r="A7" s="114"/>
      <c r="B7" s="588" t="s">
        <v>621</v>
      </c>
      <c r="C7" s="589"/>
      <c r="D7" s="589"/>
      <c r="E7" s="590"/>
      <c r="F7" s="588" t="s">
        <v>956</v>
      </c>
      <c r="G7" s="589"/>
      <c r="H7" s="589"/>
      <c r="I7" s="590"/>
      <c r="J7" s="588" t="s">
        <v>621</v>
      </c>
      <c r="K7" s="589"/>
      <c r="L7" s="589"/>
      <c r="M7" s="590"/>
      <c r="N7" s="588" t="s">
        <v>956</v>
      </c>
      <c r="O7" s="589"/>
      <c r="P7" s="589"/>
      <c r="Q7" s="590"/>
    </row>
    <row r="8" spans="1:19" ht="15" customHeight="1" thickBot="1" x14ac:dyDescent="0.25">
      <c r="A8" s="155" t="s">
        <v>49</v>
      </c>
      <c r="B8" s="156" t="s">
        <v>47</v>
      </c>
      <c r="C8" s="156" t="s">
        <v>46</v>
      </c>
      <c r="D8" s="156" t="s">
        <v>43</v>
      </c>
      <c r="E8" s="157" t="s">
        <v>437</v>
      </c>
      <c r="F8" s="156" t="s">
        <v>47</v>
      </c>
      <c r="G8" s="156" t="s">
        <v>46</v>
      </c>
      <c r="H8" s="156" t="s">
        <v>43</v>
      </c>
      <c r="I8" s="157" t="s">
        <v>437</v>
      </c>
      <c r="J8" s="156" t="s">
        <v>47</v>
      </c>
      <c r="K8" s="156" t="s">
        <v>46</v>
      </c>
      <c r="L8" s="156" t="s">
        <v>43</v>
      </c>
      <c r="M8" s="157" t="s">
        <v>437</v>
      </c>
      <c r="N8" s="156" t="s">
        <v>47</v>
      </c>
      <c r="O8" s="156" t="s">
        <v>46</v>
      </c>
      <c r="P8" s="156" t="s">
        <v>43</v>
      </c>
      <c r="Q8" s="157" t="s">
        <v>437</v>
      </c>
    </row>
    <row r="9" spans="1:19" ht="15" customHeight="1" x14ac:dyDescent="0.2">
      <c r="A9" s="469" t="s">
        <v>50</v>
      </c>
      <c r="B9" s="359">
        <v>258785</v>
      </c>
      <c r="C9" s="360">
        <v>322637</v>
      </c>
      <c r="D9" s="360">
        <v>164</v>
      </c>
      <c r="E9" s="361">
        <v>4679</v>
      </c>
      <c r="F9" s="359">
        <v>274793</v>
      </c>
      <c r="G9" s="360">
        <v>341476</v>
      </c>
      <c r="H9" s="360">
        <v>147</v>
      </c>
      <c r="I9" s="361">
        <v>3426</v>
      </c>
      <c r="J9" s="356">
        <v>1.2161804232102032E-2</v>
      </c>
      <c r="K9" s="159">
        <v>1.5162579098605805E-2</v>
      </c>
      <c r="L9" s="159">
        <v>7.7073087468931091E-6</v>
      </c>
      <c r="M9" s="160">
        <v>2.1989327821166375E-4</v>
      </c>
      <c r="N9" s="158">
        <v>1.2285178810459501E-2</v>
      </c>
      <c r="O9" s="159">
        <v>1.5266377671485301E-2</v>
      </c>
      <c r="P9" s="159">
        <v>6.5719333648875601E-6</v>
      </c>
      <c r="Q9" s="160">
        <v>1.53166283728604E-4</v>
      </c>
      <c r="R9" s="528"/>
      <c r="S9" s="521"/>
    </row>
    <row r="10" spans="1:19" ht="15" customHeight="1" x14ac:dyDescent="0.2">
      <c r="A10" s="469" t="s">
        <v>51</v>
      </c>
      <c r="B10" s="362">
        <v>670889</v>
      </c>
      <c r="C10" s="246">
        <v>857510</v>
      </c>
      <c r="D10" s="246">
        <v>263</v>
      </c>
      <c r="E10" s="267">
        <v>11185</v>
      </c>
      <c r="F10" s="362">
        <v>702621</v>
      </c>
      <c r="G10" s="246">
        <v>894158</v>
      </c>
      <c r="H10" s="246">
        <v>243</v>
      </c>
      <c r="I10" s="267">
        <v>10726</v>
      </c>
      <c r="J10" s="357">
        <v>3.1528955231063235E-2</v>
      </c>
      <c r="K10" s="162">
        <v>4.0299355631392135E-2</v>
      </c>
      <c r="L10" s="162">
        <v>1.2359891466054193E-5</v>
      </c>
      <c r="M10" s="163">
        <v>5.2564785569511846E-4</v>
      </c>
      <c r="N10" s="161">
        <v>3.1412097910004502E-2</v>
      </c>
      <c r="O10" s="162">
        <v>3.9975148256334199E-2</v>
      </c>
      <c r="P10" s="162">
        <v>1.0863808215426401E-5</v>
      </c>
      <c r="Q10" s="163">
        <v>4.7952760048832599E-4</v>
      </c>
      <c r="R10" s="528"/>
      <c r="S10" s="521"/>
    </row>
    <row r="11" spans="1:19" ht="15" customHeight="1" x14ac:dyDescent="0.2">
      <c r="A11" s="469" t="s">
        <v>52</v>
      </c>
      <c r="B11" s="362">
        <v>491463</v>
      </c>
      <c r="C11" s="246">
        <v>575825</v>
      </c>
      <c r="D11" s="246">
        <v>161</v>
      </c>
      <c r="E11" s="267">
        <v>7973</v>
      </c>
      <c r="F11" s="362">
        <v>502731</v>
      </c>
      <c r="G11" s="246">
        <v>580061</v>
      </c>
      <c r="H11" s="246">
        <v>124</v>
      </c>
      <c r="I11" s="267">
        <v>8581</v>
      </c>
      <c r="J11" s="357">
        <v>2.3096689504111756E-2</v>
      </c>
      <c r="K11" s="162">
        <v>2.7061347921827586E-2</v>
      </c>
      <c r="L11" s="162">
        <v>7.5663213917670155E-6</v>
      </c>
      <c r="M11" s="163">
        <v>3.7469739414011438E-4</v>
      </c>
      <c r="N11" s="161">
        <v>2.2475609744648201E-2</v>
      </c>
      <c r="O11" s="162">
        <v>2.5932804350816602E-2</v>
      </c>
      <c r="P11" s="162">
        <v>5.5436716819459597E-6</v>
      </c>
      <c r="Q11" s="163">
        <v>3.8363102179659898E-4</v>
      </c>
      <c r="R11" s="528"/>
      <c r="S11" s="528"/>
    </row>
    <row r="12" spans="1:19" ht="15" customHeight="1" x14ac:dyDescent="0.2">
      <c r="A12" s="469" t="s">
        <v>53</v>
      </c>
      <c r="B12" s="362">
        <v>495662</v>
      </c>
      <c r="C12" s="246">
        <v>597441</v>
      </c>
      <c r="D12" s="246">
        <v>171</v>
      </c>
      <c r="E12" s="267">
        <v>6670</v>
      </c>
      <c r="F12" s="362">
        <v>526081</v>
      </c>
      <c r="G12" s="246">
        <v>612470</v>
      </c>
      <c r="H12" s="246">
        <v>151</v>
      </c>
      <c r="I12" s="267">
        <v>8959</v>
      </c>
      <c r="J12" s="357">
        <v>2.3294024805503244E-2</v>
      </c>
      <c r="K12" s="162">
        <v>2.8077208811296134E-2</v>
      </c>
      <c r="L12" s="162">
        <v>8.0362792421873268E-6</v>
      </c>
      <c r="M12" s="163">
        <v>3.1346188623034775E-4</v>
      </c>
      <c r="N12" s="161">
        <v>2.3519518887982399E-2</v>
      </c>
      <c r="O12" s="162">
        <v>2.7381714476140701E-2</v>
      </c>
      <c r="P12" s="162">
        <v>6.7507614836600097E-6</v>
      </c>
      <c r="Q12" s="163">
        <v>4.0053027902059598E-4</v>
      </c>
      <c r="R12" s="528"/>
      <c r="S12" s="521"/>
    </row>
    <row r="13" spans="1:19" ht="15" customHeight="1" x14ac:dyDescent="0.2">
      <c r="A13" s="469" t="s">
        <v>54</v>
      </c>
      <c r="B13" s="362">
        <v>99167</v>
      </c>
      <c r="C13" s="246">
        <v>108805</v>
      </c>
      <c r="D13" s="246">
        <v>45</v>
      </c>
      <c r="E13" s="267">
        <v>1297</v>
      </c>
      <c r="F13" s="362">
        <v>105557</v>
      </c>
      <c r="G13" s="246">
        <v>115070</v>
      </c>
      <c r="H13" s="246">
        <v>36</v>
      </c>
      <c r="I13" s="267">
        <v>1583</v>
      </c>
      <c r="J13" s="357">
        <v>4.6604310152631029E-3</v>
      </c>
      <c r="K13" s="162">
        <v>5.1133763914981995E-3</v>
      </c>
      <c r="L13" s="162">
        <v>2.1148103268914018E-6</v>
      </c>
      <c r="M13" s="163">
        <v>6.0953533199514405E-5</v>
      </c>
      <c r="N13" s="161">
        <v>4.7191399333158896E-3</v>
      </c>
      <c r="O13" s="162">
        <v>5.1444379067864697E-3</v>
      </c>
      <c r="P13" s="162">
        <v>1.60945306895205E-6</v>
      </c>
      <c r="Q13" s="163">
        <v>7.07712280041973E-5</v>
      </c>
      <c r="R13" s="528"/>
      <c r="S13" s="521"/>
    </row>
    <row r="14" spans="1:19" ht="15" customHeight="1" x14ac:dyDescent="0.2">
      <c r="A14" s="469" t="s">
        <v>55</v>
      </c>
      <c r="B14" s="362">
        <v>102468</v>
      </c>
      <c r="C14" s="246">
        <v>96744</v>
      </c>
      <c r="D14" s="246">
        <v>60</v>
      </c>
      <c r="E14" s="267">
        <v>1139</v>
      </c>
      <c r="F14" s="362">
        <v>103875</v>
      </c>
      <c r="G14" s="246">
        <v>97984</v>
      </c>
      <c r="H14" s="246">
        <v>39</v>
      </c>
      <c r="I14" s="267">
        <v>1458</v>
      </c>
      <c r="J14" s="357">
        <v>4.8155641016868478E-3</v>
      </c>
      <c r="K14" s="162">
        <v>4.546560228106262E-3</v>
      </c>
      <c r="L14" s="162">
        <v>2.8197471025218691E-6</v>
      </c>
      <c r="M14" s="163">
        <v>5.3528199162873483E-5</v>
      </c>
      <c r="N14" s="161">
        <v>4.6439427093720696E-3</v>
      </c>
      <c r="O14" s="162">
        <v>4.3805735974499502E-3</v>
      </c>
      <c r="P14" s="162">
        <v>1.74357415803139E-6</v>
      </c>
      <c r="Q14" s="163">
        <v>6.5182849292558196E-5</v>
      </c>
      <c r="R14" s="528"/>
      <c r="S14" s="521"/>
    </row>
    <row r="15" spans="1:19" ht="15" customHeight="1" x14ac:dyDescent="0.2">
      <c r="A15" s="469" t="s">
        <v>56</v>
      </c>
      <c r="B15" s="362">
        <v>123478</v>
      </c>
      <c r="C15" s="246">
        <v>103546</v>
      </c>
      <c r="D15" s="246">
        <v>60</v>
      </c>
      <c r="E15" s="267">
        <v>1458</v>
      </c>
      <c r="F15" s="362">
        <v>123338</v>
      </c>
      <c r="G15" s="246">
        <v>103950</v>
      </c>
      <c r="H15" s="246">
        <v>39</v>
      </c>
      <c r="I15" s="267">
        <v>1571</v>
      </c>
      <c r="J15" s="357">
        <v>5.8029455454199222E-3</v>
      </c>
      <c r="K15" s="162">
        <v>4.8662255579621574E-3</v>
      </c>
      <c r="L15" s="162">
        <v>2.8197471025218691E-6</v>
      </c>
      <c r="M15" s="163">
        <v>6.851985459128142E-5</v>
      </c>
      <c r="N15" s="161">
        <v>5.5140756282891197E-3</v>
      </c>
      <c r="O15" s="162">
        <v>4.6472957365990596E-3</v>
      </c>
      <c r="P15" s="162">
        <v>1.74357415803139E-6</v>
      </c>
      <c r="Q15" s="163">
        <v>7.0234743647879893E-5</v>
      </c>
      <c r="R15" s="528"/>
      <c r="S15" s="521"/>
    </row>
    <row r="16" spans="1:19" ht="15" customHeight="1" x14ac:dyDescent="0.2">
      <c r="A16" s="469" t="s">
        <v>57</v>
      </c>
      <c r="B16" s="362">
        <v>157594</v>
      </c>
      <c r="C16" s="246">
        <v>124127</v>
      </c>
      <c r="D16" s="246">
        <v>102</v>
      </c>
      <c r="E16" s="267">
        <v>1683</v>
      </c>
      <c r="F16" s="362">
        <v>160741</v>
      </c>
      <c r="G16" s="246">
        <v>124354</v>
      </c>
      <c r="H16" s="246">
        <v>76</v>
      </c>
      <c r="I16" s="267">
        <v>2000</v>
      </c>
      <c r="J16" s="357">
        <v>7.4062537479138574E-3</v>
      </c>
      <c r="K16" s="162">
        <v>5.8334458099122003E-3</v>
      </c>
      <c r="L16" s="162">
        <v>4.793570074287177E-6</v>
      </c>
      <c r="M16" s="163">
        <v>7.9093906225738422E-5</v>
      </c>
      <c r="N16" s="161">
        <v>7.18625265990062E-3</v>
      </c>
      <c r="O16" s="162">
        <v>5.55949797045733E-3</v>
      </c>
      <c r="P16" s="162">
        <v>3.3977342566765598E-6</v>
      </c>
      <c r="Q16" s="163">
        <v>8.9414059386225194E-5</v>
      </c>
      <c r="R16" s="528"/>
      <c r="S16" s="521"/>
    </row>
    <row r="17" spans="1:19" ht="15" customHeight="1" x14ac:dyDescent="0.2">
      <c r="A17" s="469" t="s">
        <v>58</v>
      </c>
      <c r="B17" s="362">
        <v>175416</v>
      </c>
      <c r="C17" s="246">
        <v>138191</v>
      </c>
      <c r="D17" s="246">
        <v>176</v>
      </c>
      <c r="E17" s="267">
        <v>1650</v>
      </c>
      <c r="F17" s="362">
        <v>180534</v>
      </c>
      <c r="G17" s="246">
        <v>139921</v>
      </c>
      <c r="H17" s="246">
        <v>117</v>
      </c>
      <c r="I17" s="267">
        <v>2110</v>
      </c>
      <c r="J17" s="357">
        <v>8.2438126289329366E-3</v>
      </c>
      <c r="K17" s="162">
        <v>6.4943945307433266E-3</v>
      </c>
      <c r="L17" s="162">
        <v>8.2712581673974832E-6</v>
      </c>
      <c r="M17" s="163">
        <v>7.7543045319351393E-5</v>
      </c>
      <c r="N17" s="161">
        <v>8.0711388986163899E-3</v>
      </c>
      <c r="O17" s="162">
        <v>6.2554523016900097E-3</v>
      </c>
      <c r="P17" s="162">
        <v>5.2307224740941796E-6</v>
      </c>
      <c r="Q17" s="163">
        <v>9.4331832652467593E-5</v>
      </c>
      <c r="R17" s="528"/>
      <c r="S17" s="521"/>
    </row>
    <row r="18" spans="1:19" ht="15" customHeight="1" x14ac:dyDescent="0.2">
      <c r="A18" s="469" t="s">
        <v>59</v>
      </c>
      <c r="B18" s="362">
        <v>876703</v>
      </c>
      <c r="C18" s="246">
        <v>726790</v>
      </c>
      <c r="D18" s="246">
        <v>1036</v>
      </c>
      <c r="E18" s="267">
        <v>8414</v>
      </c>
      <c r="F18" s="362">
        <v>897125</v>
      </c>
      <c r="G18" s="246">
        <v>733825</v>
      </c>
      <c r="H18" s="246">
        <v>648</v>
      </c>
      <c r="I18" s="267">
        <v>9653</v>
      </c>
      <c r="J18" s="357">
        <v>4.1201345733703834E-2</v>
      </c>
      <c r="K18" s="162">
        <v>3.4156066610697818E-2</v>
      </c>
      <c r="L18" s="162">
        <v>4.8687633303544273E-5</v>
      </c>
      <c r="M18" s="163">
        <v>3.9542253534365009E-4</v>
      </c>
      <c r="N18" s="161">
        <v>4.0107794013433701E-2</v>
      </c>
      <c r="O18" s="162">
        <v>3.2807136064548402E-2</v>
      </c>
      <c r="P18" s="162">
        <v>2.8970155241137001E-5</v>
      </c>
      <c r="Q18" s="163">
        <v>4.3155695762761603E-4</v>
      </c>
      <c r="R18" s="528"/>
      <c r="S18" s="521"/>
    </row>
    <row r="19" spans="1:19" ht="15" customHeight="1" x14ac:dyDescent="0.2">
      <c r="A19" s="469" t="s">
        <v>60</v>
      </c>
      <c r="B19" s="362">
        <v>850001</v>
      </c>
      <c r="C19" s="246">
        <v>747068</v>
      </c>
      <c r="D19" s="246">
        <v>850</v>
      </c>
      <c r="E19" s="267">
        <v>8307</v>
      </c>
      <c r="F19" s="362">
        <v>875420</v>
      </c>
      <c r="G19" s="246">
        <v>763417</v>
      </c>
      <c r="H19" s="246">
        <v>522</v>
      </c>
      <c r="I19" s="267">
        <v>9339</v>
      </c>
      <c r="J19" s="357">
        <v>3.9946464281511516E-2</v>
      </c>
      <c r="K19" s="162">
        <v>3.5109047139780129E-2</v>
      </c>
      <c r="L19" s="162">
        <v>3.9946417285726481E-5</v>
      </c>
      <c r="M19" s="163">
        <v>3.9039398634415278E-4</v>
      </c>
      <c r="N19" s="161">
        <v>3.9137427933944598E-2</v>
      </c>
      <c r="O19" s="162">
        <v>3.4130106487227002E-2</v>
      </c>
      <c r="P19" s="162">
        <v>2.33370694998048E-5</v>
      </c>
      <c r="Q19" s="163">
        <v>4.1751895030397898E-4</v>
      </c>
      <c r="R19" s="528"/>
      <c r="S19" s="521"/>
    </row>
    <row r="20" spans="1:19" ht="15" customHeight="1" x14ac:dyDescent="0.2">
      <c r="A20" s="469" t="s">
        <v>61</v>
      </c>
      <c r="B20" s="362">
        <v>732998</v>
      </c>
      <c r="C20" s="246">
        <v>668399</v>
      </c>
      <c r="D20" s="246">
        <v>545</v>
      </c>
      <c r="E20" s="267">
        <v>7339</v>
      </c>
      <c r="F20" s="362">
        <v>800203</v>
      </c>
      <c r="G20" s="246">
        <v>725273</v>
      </c>
      <c r="H20" s="246">
        <v>372</v>
      </c>
      <c r="I20" s="267">
        <v>8212</v>
      </c>
      <c r="J20" s="357">
        <v>3.4447816444238749E-2</v>
      </c>
      <c r="K20" s="162">
        <v>3.1411935726308578E-2</v>
      </c>
      <c r="L20" s="162">
        <v>2.5612702847906979E-5</v>
      </c>
      <c r="M20" s="163">
        <v>3.4490206642346662E-4</v>
      </c>
      <c r="N20" s="161">
        <v>3.5774699281517802E-2</v>
      </c>
      <c r="O20" s="162">
        <v>3.2424801546612897E-2</v>
      </c>
      <c r="P20" s="162">
        <v>1.6631015045837901E-5</v>
      </c>
      <c r="Q20" s="163">
        <v>3.6713412783984101E-4</v>
      </c>
      <c r="R20" s="528"/>
      <c r="S20" s="521"/>
    </row>
    <row r="21" spans="1:19" ht="15" customHeight="1" x14ac:dyDescent="0.2">
      <c r="A21" s="469" t="s">
        <v>62</v>
      </c>
      <c r="B21" s="362">
        <v>618159</v>
      </c>
      <c r="C21" s="246">
        <v>605236</v>
      </c>
      <c r="D21" s="246">
        <v>349</v>
      </c>
      <c r="E21" s="267">
        <v>6338</v>
      </c>
      <c r="F21" s="362">
        <v>659677</v>
      </c>
      <c r="G21" s="246">
        <v>631129</v>
      </c>
      <c r="H21" s="246">
        <v>291</v>
      </c>
      <c r="I21" s="267">
        <v>7567</v>
      </c>
      <c r="J21" s="357">
        <v>2.9050867485796935E-2</v>
      </c>
      <c r="K21" s="162">
        <v>2.8443540955698766E-2</v>
      </c>
      <c r="L21" s="162">
        <v>1.6401528979668873E-5</v>
      </c>
      <c r="M21" s="163">
        <v>2.9785928559639341E-4</v>
      </c>
      <c r="N21" s="161">
        <v>2.94921992268635E-2</v>
      </c>
      <c r="O21" s="162">
        <v>2.82159029431845E-2</v>
      </c>
      <c r="P21" s="162">
        <v>1.3009745640695801E-5</v>
      </c>
      <c r="Q21" s="163">
        <v>3.3829809368778301E-4</v>
      </c>
      <c r="R21" s="528"/>
      <c r="S21" s="521"/>
    </row>
    <row r="22" spans="1:19" ht="15" customHeight="1" x14ac:dyDescent="0.2">
      <c r="A22" s="469" t="s">
        <v>63</v>
      </c>
      <c r="B22" s="362">
        <v>530904</v>
      </c>
      <c r="C22" s="246">
        <v>542588</v>
      </c>
      <c r="D22" s="246">
        <v>288</v>
      </c>
      <c r="E22" s="267">
        <v>5331</v>
      </c>
      <c r="F22" s="362">
        <v>550844</v>
      </c>
      <c r="G22" s="246">
        <v>550914</v>
      </c>
      <c r="H22" s="246">
        <v>216</v>
      </c>
      <c r="I22" s="267">
        <v>6350</v>
      </c>
      <c r="J22" s="357">
        <v>2.4950250261954507E-2</v>
      </c>
      <c r="K22" s="162">
        <v>2.5499349014385598E-2</v>
      </c>
      <c r="L22" s="162">
        <v>1.3534786092104971E-5</v>
      </c>
      <c r="M22" s="163">
        <v>2.5053453005906805E-4</v>
      </c>
      <c r="N22" s="161">
        <v>2.4626599064272899E-2</v>
      </c>
      <c r="O22" s="162">
        <v>2.4629728556351399E-2</v>
      </c>
      <c r="P22" s="162">
        <v>9.6567184137123293E-6</v>
      </c>
      <c r="Q22" s="163">
        <v>2.8388963855126498E-4</v>
      </c>
      <c r="R22" s="528"/>
      <c r="S22" s="521"/>
    </row>
    <row r="23" spans="1:19" ht="15" customHeight="1" x14ac:dyDescent="0.2">
      <c r="A23" s="469" t="s">
        <v>64</v>
      </c>
      <c r="B23" s="362">
        <v>571916</v>
      </c>
      <c r="C23" s="246">
        <v>575478</v>
      </c>
      <c r="D23" s="246">
        <v>224</v>
      </c>
      <c r="E23" s="267">
        <v>5825</v>
      </c>
      <c r="F23" s="362">
        <v>590339</v>
      </c>
      <c r="G23" s="246">
        <v>588276</v>
      </c>
      <c r="H23" s="246">
        <v>206</v>
      </c>
      <c r="I23" s="267">
        <v>6698</v>
      </c>
      <c r="J23" s="357">
        <v>2.6877641398098288E-2</v>
      </c>
      <c r="K23" s="162">
        <v>2.7045040384418004E-2</v>
      </c>
      <c r="L23" s="162">
        <v>1.0527055849414978E-5</v>
      </c>
      <c r="M23" s="163">
        <v>2.7375044786983146E-4</v>
      </c>
      <c r="N23" s="161">
        <v>2.63923032020024E-2</v>
      </c>
      <c r="O23" s="162">
        <v>2.6300072599745501E-2</v>
      </c>
      <c r="P23" s="162">
        <v>9.2096481167812002E-6</v>
      </c>
      <c r="Q23" s="163">
        <v>2.9944768488446798E-4</v>
      </c>
      <c r="R23" s="528"/>
      <c r="S23" s="521"/>
    </row>
    <row r="24" spans="1:19" ht="15" customHeight="1" x14ac:dyDescent="0.2">
      <c r="A24" s="469" t="s">
        <v>65</v>
      </c>
      <c r="B24" s="362">
        <v>582392</v>
      </c>
      <c r="C24" s="246">
        <v>569638</v>
      </c>
      <c r="D24" s="246">
        <v>248</v>
      </c>
      <c r="E24" s="267">
        <v>5699</v>
      </c>
      <c r="F24" s="362">
        <v>610383</v>
      </c>
      <c r="G24" s="246">
        <v>592745</v>
      </c>
      <c r="H24" s="246">
        <v>184</v>
      </c>
      <c r="I24" s="267">
        <v>6761</v>
      </c>
      <c r="J24" s="357">
        <v>2.7369969242198606E-2</v>
      </c>
      <c r="K24" s="162">
        <v>2.6770584999772539E-2</v>
      </c>
      <c r="L24" s="162">
        <v>1.1654954690423725E-5</v>
      </c>
      <c r="M24" s="163">
        <v>2.678289789545355E-4</v>
      </c>
      <c r="N24" s="161">
        <v>2.7288410905171201E-2</v>
      </c>
      <c r="O24" s="162">
        <v>2.6499868315444E-2</v>
      </c>
      <c r="P24" s="162">
        <v>8.2260934635327206E-6</v>
      </c>
      <c r="Q24" s="163">
        <v>3.0226422775513398E-4</v>
      </c>
      <c r="R24" s="528"/>
      <c r="S24" s="521"/>
    </row>
    <row r="25" spans="1:19" ht="15" customHeight="1" x14ac:dyDescent="0.2">
      <c r="A25" s="469" t="s">
        <v>66</v>
      </c>
      <c r="B25" s="362">
        <v>510706</v>
      </c>
      <c r="C25" s="246">
        <v>507369</v>
      </c>
      <c r="D25" s="246">
        <v>211</v>
      </c>
      <c r="E25" s="267">
        <v>4732</v>
      </c>
      <c r="F25" s="362">
        <v>552563</v>
      </c>
      <c r="G25" s="246">
        <v>543415</v>
      </c>
      <c r="H25" s="246">
        <v>149</v>
      </c>
      <c r="I25" s="267">
        <v>5832</v>
      </c>
      <c r="J25" s="357">
        <v>2.4001029395675562E-2</v>
      </c>
      <c r="K25" s="162">
        <v>2.3844204460990302E-2</v>
      </c>
      <c r="L25" s="162">
        <v>9.9161106438685734E-6</v>
      </c>
      <c r="M25" s="163">
        <v>2.223840548188914E-4</v>
      </c>
      <c r="N25" s="161">
        <v>2.47034504483154E-2</v>
      </c>
      <c r="O25" s="162">
        <v>2.4294470540682799E-2</v>
      </c>
      <c r="P25" s="162">
        <v>6.6613474242737798E-6</v>
      </c>
      <c r="Q25" s="163">
        <v>2.60731397170233E-4</v>
      </c>
      <c r="R25" s="528"/>
      <c r="S25" s="521"/>
    </row>
    <row r="26" spans="1:19" ht="15" customHeight="1" x14ac:dyDescent="0.2">
      <c r="A26" s="469" t="s">
        <v>67</v>
      </c>
      <c r="B26" s="362">
        <v>433650</v>
      </c>
      <c r="C26" s="246">
        <v>436211</v>
      </c>
      <c r="D26" s="246">
        <v>202</v>
      </c>
      <c r="E26" s="267">
        <v>3930</v>
      </c>
      <c r="F26" s="362">
        <v>466738</v>
      </c>
      <c r="G26" s="246">
        <v>469047</v>
      </c>
      <c r="H26" s="246">
        <v>138</v>
      </c>
      <c r="I26" s="267">
        <v>4577</v>
      </c>
      <c r="J26" s="357">
        <v>2.037972218347681E-2</v>
      </c>
      <c r="K26" s="162">
        <v>2.0500078388969452E-2</v>
      </c>
      <c r="L26" s="162">
        <v>9.4931485784902928E-6</v>
      </c>
      <c r="M26" s="163">
        <v>1.8469343521518243E-4</v>
      </c>
      <c r="N26" s="161">
        <v>2.0866469624903999E-2</v>
      </c>
      <c r="O26" s="162">
        <v>2.0969698156465402E-2</v>
      </c>
      <c r="P26" s="162">
        <v>6.16957009764954E-6</v>
      </c>
      <c r="Q26" s="163">
        <v>2.0462407490537599E-4</v>
      </c>
      <c r="R26" s="528"/>
      <c r="S26" s="521"/>
    </row>
    <row r="27" spans="1:19" ht="15" customHeight="1" x14ac:dyDescent="0.2">
      <c r="A27" s="469" t="s">
        <v>68</v>
      </c>
      <c r="B27" s="362">
        <v>427194</v>
      </c>
      <c r="C27" s="246">
        <v>423274</v>
      </c>
      <c r="D27" s="246">
        <v>125</v>
      </c>
      <c r="E27" s="267">
        <v>3637</v>
      </c>
      <c r="F27" s="362">
        <v>440578</v>
      </c>
      <c r="G27" s="246">
        <v>434513</v>
      </c>
      <c r="H27" s="246">
        <v>110</v>
      </c>
      <c r="I27" s="267">
        <v>3825</v>
      </c>
      <c r="J27" s="357">
        <v>2.0076317395245454E-2</v>
      </c>
      <c r="K27" s="162">
        <v>1.9892093917880695E-2</v>
      </c>
      <c r="L27" s="162">
        <v>5.8744731302538939E-6</v>
      </c>
      <c r="M27" s="163">
        <v>1.709236701978673E-4</v>
      </c>
      <c r="N27" s="161">
        <v>1.96969337281322E-2</v>
      </c>
      <c r="O27" s="162">
        <v>1.94257855930434E-2</v>
      </c>
      <c r="P27" s="162">
        <v>4.9177732662423903E-6</v>
      </c>
      <c r="Q27" s="163">
        <v>1.71004388576156E-4</v>
      </c>
      <c r="R27" s="528"/>
      <c r="S27" s="521"/>
    </row>
    <row r="28" spans="1:19" ht="15" customHeight="1" x14ac:dyDescent="0.2">
      <c r="A28" s="469" t="s">
        <v>69</v>
      </c>
      <c r="B28" s="362">
        <v>457076</v>
      </c>
      <c r="C28" s="246">
        <v>440852</v>
      </c>
      <c r="D28" s="246">
        <v>116</v>
      </c>
      <c r="E28" s="267">
        <v>3277</v>
      </c>
      <c r="F28" s="362">
        <v>493345</v>
      </c>
      <c r="G28" s="246">
        <v>473094</v>
      </c>
      <c r="H28" s="246">
        <v>110</v>
      </c>
      <c r="I28" s="267">
        <v>3835</v>
      </c>
      <c r="J28" s="357">
        <v>2.1480645443871429E-2</v>
      </c>
      <c r="K28" s="162">
        <v>2.0718185827349515E-2</v>
      </c>
      <c r="L28" s="162">
        <v>5.4515110648756132E-6</v>
      </c>
      <c r="M28" s="163">
        <v>1.5400518758273607E-4</v>
      </c>
      <c r="N28" s="161">
        <v>2.2055989563948601E-2</v>
      </c>
      <c r="O28" s="162">
        <v>2.1150627505633401E-2</v>
      </c>
      <c r="P28" s="162">
        <v>4.9177732662423903E-6</v>
      </c>
      <c r="Q28" s="163">
        <v>1.71451458873087E-4</v>
      </c>
      <c r="R28" s="528"/>
      <c r="S28" s="521"/>
    </row>
    <row r="29" spans="1:19" ht="15" customHeight="1" x14ac:dyDescent="0.2">
      <c r="A29" s="469" t="s">
        <v>70</v>
      </c>
      <c r="B29" s="362">
        <v>432567</v>
      </c>
      <c r="C29" s="246">
        <v>393233</v>
      </c>
      <c r="D29" s="246">
        <v>86</v>
      </c>
      <c r="E29" s="267">
        <v>2774</v>
      </c>
      <c r="F29" s="362">
        <v>453242</v>
      </c>
      <c r="G29" s="246">
        <v>413109</v>
      </c>
      <c r="H29" s="246">
        <v>51</v>
      </c>
      <c r="I29" s="267">
        <v>2727</v>
      </c>
      <c r="J29" s="357">
        <v>2.032882574827629E-2</v>
      </c>
      <c r="K29" s="162">
        <v>1.8480293539433035E-2</v>
      </c>
      <c r="L29" s="162">
        <v>4.0416375136146787E-6</v>
      </c>
      <c r="M29" s="163">
        <v>1.3036630770659442E-4</v>
      </c>
      <c r="N29" s="161">
        <v>2.02631035521657E-2</v>
      </c>
      <c r="O29" s="162">
        <v>1.8468876329492099E-2</v>
      </c>
      <c r="P29" s="162">
        <v>2.28005851434874E-6</v>
      </c>
      <c r="Q29" s="163">
        <v>1.21916069973118E-4</v>
      </c>
      <c r="R29" s="528"/>
      <c r="S29" s="521"/>
    </row>
    <row r="30" spans="1:19" ht="15" customHeight="1" x14ac:dyDescent="0.2">
      <c r="A30" s="469" t="s">
        <v>71</v>
      </c>
      <c r="B30" s="362">
        <v>437931</v>
      </c>
      <c r="C30" s="246">
        <v>367969</v>
      </c>
      <c r="D30" s="246">
        <v>44</v>
      </c>
      <c r="E30" s="267">
        <v>2431</v>
      </c>
      <c r="F30" s="362">
        <v>457859</v>
      </c>
      <c r="G30" s="246">
        <v>386719</v>
      </c>
      <c r="H30" s="246">
        <v>41</v>
      </c>
      <c r="I30" s="267">
        <v>2312</v>
      </c>
      <c r="J30" s="357">
        <v>2.0580911139241743E-2</v>
      </c>
      <c r="K30" s="162">
        <v>1.729299202613116E-2</v>
      </c>
      <c r="L30" s="162">
        <v>2.0678145418493708E-6</v>
      </c>
      <c r="M30" s="163">
        <v>1.1424675343717772E-4</v>
      </c>
      <c r="N30" s="161">
        <v>2.0469515908258899E-2</v>
      </c>
      <c r="O30" s="162">
        <v>1.7289057815890799E-2</v>
      </c>
      <c r="P30" s="162">
        <v>1.8329882174176201E-6</v>
      </c>
      <c r="Q30" s="163">
        <v>1.03362652650476E-4</v>
      </c>
      <c r="R30" s="528"/>
      <c r="S30" s="521"/>
    </row>
    <row r="31" spans="1:19" ht="15" customHeight="1" x14ac:dyDescent="0.2">
      <c r="A31" s="469" t="s">
        <v>72</v>
      </c>
      <c r="B31" s="362">
        <v>387278</v>
      </c>
      <c r="C31" s="246">
        <v>273030</v>
      </c>
      <c r="D31" s="246">
        <v>20</v>
      </c>
      <c r="E31" s="267">
        <v>1747</v>
      </c>
      <c r="F31" s="362">
        <v>389986</v>
      </c>
      <c r="G31" s="246">
        <v>283227</v>
      </c>
      <c r="H31" s="246">
        <v>28</v>
      </c>
      <c r="I31" s="267">
        <v>1463</v>
      </c>
      <c r="J31" s="357">
        <v>1.820043363950774E-2</v>
      </c>
      <c r="K31" s="162">
        <v>1.2831259190025765E-2</v>
      </c>
      <c r="L31" s="162">
        <v>9.3991570084062301E-7</v>
      </c>
      <c r="M31" s="163">
        <v>8.2101636468428422E-5</v>
      </c>
      <c r="N31" s="161">
        <v>1.7435115681898199E-2</v>
      </c>
      <c r="O31" s="162">
        <v>1.2662237898891201E-2</v>
      </c>
      <c r="P31" s="162">
        <v>1.25179683140715E-6</v>
      </c>
      <c r="Q31" s="163">
        <v>6.5406384441023805E-5</v>
      </c>
      <c r="R31" s="528"/>
      <c r="S31" s="521"/>
    </row>
    <row r="32" spans="1:19" ht="15" customHeight="1" x14ac:dyDescent="0.2">
      <c r="A32" s="469" t="s">
        <v>73</v>
      </c>
      <c r="B32" s="362">
        <v>306217</v>
      </c>
      <c r="C32" s="246">
        <v>160268</v>
      </c>
      <c r="D32" s="246">
        <v>301</v>
      </c>
      <c r="E32" s="267">
        <v>1222</v>
      </c>
      <c r="F32" s="362">
        <v>305861</v>
      </c>
      <c r="G32" s="246">
        <v>164160</v>
      </c>
      <c r="H32" s="246">
        <v>301</v>
      </c>
      <c r="I32" s="267">
        <v>942</v>
      </c>
      <c r="J32" s="357">
        <v>1.4390908308215654E-2</v>
      </c>
      <c r="K32" s="162">
        <v>7.5319204771162485E-3</v>
      </c>
      <c r="L32" s="162">
        <v>1.4145731297651376E-5</v>
      </c>
      <c r="M32" s="163">
        <v>5.7428849321362066E-5</v>
      </c>
      <c r="N32" s="161">
        <v>1.36741368089651E-2</v>
      </c>
      <c r="O32" s="162">
        <v>7.3391059944213702E-3</v>
      </c>
      <c r="P32" s="162">
        <v>1.3456815937626899E-5</v>
      </c>
      <c r="Q32" s="163">
        <v>4.21140219709121E-5</v>
      </c>
      <c r="R32" s="528"/>
      <c r="S32" s="521"/>
    </row>
    <row r="33" spans="1:19" ht="15" customHeight="1" thickBot="1" x14ac:dyDescent="0.25">
      <c r="A33" s="469" t="s">
        <v>8</v>
      </c>
      <c r="B33" s="363">
        <v>36018</v>
      </c>
      <c r="C33" s="342">
        <v>34728</v>
      </c>
      <c r="D33" s="342">
        <v>101</v>
      </c>
      <c r="E33" s="343">
        <v>230</v>
      </c>
      <c r="F33" s="363">
        <v>127271</v>
      </c>
      <c r="G33" s="342">
        <v>128537</v>
      </c>
      <c r="H33" s="342">
        <v>262</v>
      </c>
      <c r="I33" s="343">
        <v>190</v>
      </c>
      <c r="J33" s="358">
        <v>1.6926941856438779E-3</v>
      </c>
      <c r="K33" s="165">
        <v>1.6320696229396579E-3</v>
      </c>
      <c r="L33" s="165">
        <v>4.7465742892451464E-6</v>
      </c>
      <c r="M33" s="166">
        <v>1.0809030559667165E-5</v>
      </c>
      <c r="N33" s="164">
        <v>5.68990837607214E-3</v>
      </c>
      <c r="O33" s="165">
        <v>5.7465074756636201E-3</v>
      </c>
      <c r="P33" s="165">
        <v>1.17132417795955E-5</v>
      </c>
      <c r="Q33" s="166">
        <v>8.4943356416914001E-6</v>
      </c>
      <c r="R33" s="528"/>
      <c r="S33" s="521"/>
    </row>
    <row r="34" spans="1:19" x14ac:dyDescent="0.2">
      <c r="A34" s="167"/>
      <c r="B34" s="180"/>
      <c r="C34" s="180"/>
      <c r="D34" s="180"/>
      <c r="E34" s="180"/>
      <c r="F34" s="180"/>
      <c r="G34" s="180"/>
      <c r="H34" s="180"/>
      <c r="I34" s="180"/>
    </row>
    <row r="35" spans="1:19" ht="17.100000000000001" customHeight="1" thickBot="1" x14ac:dyDescent="0.25">
      <c r="A35" s="524" t="s">
        <v>10</v>
      </c>
      <c r="B35" s="524"/>
      <c r="C35" s="524"/>
      <c r="D35" s="524"/>
      <c r="E35" s="524"/>
      <c r="F35" s="524"/>
      <c r="G35" s="524"/>
      <c r="H35" s="524"/>
      <c r="I35" s="524"/>
      <c r="J35" s="168"/>
      <c r="K35" s="168"/>
      <c r="L35" s="168"/>
      <c r="M35" s="168"/>
      <c r="N35" s="168"/>
      <c r="O35" s="168"/>
      <c r="P35" s="168"/>
      <c r="Q35" s="168"/>
    </row>
    <row r="36" spans="1:19" ht="17.100000000000001" customHeight="1" x14ac:dyDescent="0.2">
      <c r="A36" s="445" t="s">
        <v>1035</v>
      </c>
      <c r="B36" s="445"/>
      <c r="C36" s="445"/>
      <c r="D36" s="445"/>
      <c r="E36" s="445"/>
      <c r="F36" s="445"/>
      <c r="G36" s="445"/>
      <c r="H36" s="445"/>
      <c r="I36" s="445"/>
      <c r="J36" s="169"/>
      <c r="K36" s="169"/>
      <c r="L36" s="169"/>
      <c r="M36" s="169"/>
      <c r="N36" s="169"/>
      <c r="O36" s="169"/>
      <c r="P36" s="169"/>
      <c r="Q36" s="169"/>
      <c r="R36" s="169"/>
    </row>
    <row r="37" spans="1:19" ht="17.850000000000001" customHeight="1" x14ac:dyDescent="0.2">
      <c r="A37" s="522" t="s">
        <v>587</v>
      </c>
      <c r="B37" s="518"/>
      <c r="C37" s="518"/>
      <c r="D37" s="518"/>
      <c r="E37" s="518"/>
      <c r="F37" s="518"/>
      <c r="G37" s="518"/>
      <c r="H37" s="116"/>
      <c r="I37" s="116"/>
      <c r="J37" s="116"/>
      <c r="K37" s="116"/>
      <c r="L37" s="116"/>
      <c r="M37" s="116"/>
      <c r="N37" s="116"/>
      <c r="O37" s="116"/>
      <c r="P37" s="116"/>
      <c r="Q37" s="116"/>
      <c r="R37" s="116"/>
    </row>
    <row r="38" spans="1:19" ht="17.100000000000001" customHeight="1" x14ac:dyDescent="0.2">
      <c r="A38" s="523" t="s">
        <v>441</v>
      </c>
      <c r="B38" s="519"/>
      <c r="C38" s="519"/>
      <c r="D38" s="519"/>
      <c r="E38" s="519"/>
      <c r="F38" s="519"/>
      <c r="G38" s="519"/>
      <c r="H38" s="519"/>
      <c r="I38" s="519"/>
      <c r="J38" s="170"/>
      <c r="K38" s="170"/>
      <c r="L38" s="170"/>
      <c r="M38" s="170"/>
      <c r="N38" s="170"/>
      <c r="O38" s="170"/>
      <c r="P38" s="170"/>
      <c r="Q38" s="170"/>
    </row>
    <row r="39" spans="1:19" ht="13.5" customHeight="1" thickBot="1" x14ac:dyDescent="0.25">
      <c r="A39" s="526" t="s">
        <v>945</v>
      </c>
      <c r="B39" s="525"/>
      <c r="C39" s="525"/>
      <c r="D39" s="525"/>
      <c r="E39" s="525"/>
      <c r="F39" s="525"/>
      <c r="G39" s="525"/>
      <c r="H39" s="525"/>
      <c r="I39" s="525"/>
      <c r="J39" s="168"/>
      <c r="K39" s="168"/>
      <c r="L39" s="168"/>
      <c r="M39" s="168"/>
      <c r="N39" s="168"/>
      <c r="O39" s="168"/>
      <c r="P39" s="168"/>
      <c r="Q39" s="168"/>
      <c r="R39" s="339"/>
    </row>
    <row r="40" spans="1:19" x14ac:dyDescent="0.2">
      <c r="A40" s="169"/>
      <c r="J40" s="169"/>
      <c r="K40" s="169"/>
      <c r="L40" s="169"/>
      <c r="M40" s="169"/>
      <c r="N40" s="169"/>
      <c r="O40" s="169"/>
      <c r="P40" s="169"/>
      <c r="Q40" s="169"/>
    </row>
    <row r="41" spans="1:19" x14ac:dyDescent="0.2">
      <c r="A41" s="171" t="s">
        <v>470</v>
      </c>
    </row>
  </sheetData>
  <mergeCells count="9">
    <mergeCell ref="A2:K2"/>
    <mergeCell ref="A3:I3"/>
    <mergeCell ref="B7:E7"/>
    <mergeCell ref="F7:I7"/>
    <mergeCell ref="B6:I6"/>
    <mergeCell ref="J6:Q6"/>
    <mergeCell ref="A4:F4"/>
    <mergeCell ref="J7:M7"/>
    <mergeCell ref="N7:Q7"/>
  </mergeCells>
  <hyperlinks>
    <hyperlink ref="A38:I38" r:id="rId1" display="Contact via enquiries@NHSDigital.nhs.uk or 0300 303 5678" xr:uid="{00000000-0004-0000-1900-000000000000}"/>
    <hyperlink ref="A41" location="Contents!A1" display="Return to Contents" xr:uid="{00000000-0004-0000-1900-000001000000}"/>
  </hyperlinks>
  <pageMargins left="0.78740157480314965" right="0.78740157480314965" top="0.78740157480314965" bottom="0.78740157480314965" header="0.78740157480314965" footer="0.78740157480314965"/>
  <pageSetup paperSize="9" scale="54" fitToHeight="0" orientation="landscape" r:id="rId2"/>
  <headerFooter alignWithMargins="0">
    <oddFooter>&amp;L&amp;C&amp;R</oddFooter>
  </headerFooter>
  <ignoredErrors>
    <ignoredError sqref="A8:A11 A13:A17" numberStoredAsText="1"/>
    <ignoredError sqref="A12" twoDigitTextYea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Q28"/>
  <sheetViews>
    <sheetView showGridLines="0" workbookViewId="0"/>
  </sheetViews>
  <sheetFormatPr defaultColWidth="9.140625" defaultRowHeight="12.75" x14ac:dyDescent="0.2"/>
  <cols>
    <col min="1" max="1" width="21.5703125" style="109" customWidth="1"/>
    <col min="2" max="5" width="17.85546875" style="109" customWidth="1"/>
    <col min="6" max="6" width="9.140625" style="109" customWidth="1"/>
    <col min="7" max="14" width="9.140625" style="147"/>
    <col min="15" max="16384" width="9.140625" style="109"/>
  </cols>
  <sheetData>
    <row r="1" spans="1:14" s="318" customFormat="1" ht="15" customHeight="1" x14ac:dyDescent="0.2">
      <c r="G1" s="147"/>
      <c r="H1" s="147"/>
      <c r="I1" s="147"/>
      <c r="J1" s="147"/>
      <c r="K1" s="147"/>
      <c r="L1" s="147"/>
      <c r="M1" s="147"/>
      <c r="N1" s="147"/>
    </row>
    <row r="2" spans="1:14" ht="48.75" customHeight="1" x14ac:dyDescent="0.2">
      <c r="A2" s="559" t="s">
        <v>990</v>
      </c>
      <c r="B2" s="559"/>
      <c r="C2" s="559"/>
      <c r="D2" s="559"/>
      <c r="E2" s="559"/>
      <c r="F2" s="559"/>
    </row>
    <row r="3" spans="1:14" ht="15" customHeight="1" x14ac:dyDescent="0.2">
      <c r="A3" s="558" t="s">
        <v>590</v>
      </c>
      <c r="B3" s="558"/>
      <c r="C3" s="558"/>
      <c r="D3" s="558"/>
      <c r="E3" s="558"/>
      <c r="F3" s="558"/>
    </row>
    <row r="4" spans="1:14" s="476" customFormat="1" ht="15" customHeight="1" x14ac:dyDescent="0.2">
      <c r="A4" s="558" t="s">
        <v>1050</v>
      </c>
      <c r="B4" s="558"/>
      <c r="C4" s="558"/>
      <c r="D4" s="558"/>
      <c r="E4" s="558"/>
      <c r="F4" s="558"/>
      <c r="G4" s="147"/>
      <c r="H4" s="147"/>
      <c r="I4" s="147"/>
      <c r="J4" s="147"/>
      <c r="K4" s="147"/>
      <c r="L4" s="147"/>
      <c r="M4" s="147"/>
      <c r="N4" s="147"/>
    </row>
    <row r="5" spans="1:14" ht="11.25" customHeight="1" thickBot="1" x14ac:dyDescent="0.25">
      <c r="A5" s="6"/>
      <c r="B5" s="125"/>
      <c r="C5" s="125"/>
      <c r="D5" s="125"/>
      <c r="E5" s="125"/>
      <c r="F5" s="125"/>
    </row>
    <row r="6" spans="1:14" ht="15" customHeight="1" thickBot="1" x14ac:dyDescent="0.25">
      <c r="A6" s="231"/>
      <c r="B6" s="573" t="s">
        <v>621</v>
      </c>
      <c r="C6" s="557"/>
      <c r="D6" s="573" t="s">
        <v>956</v>
      </c>
      <c r="E6" s="557"/>
    </row>
    <row r="7" spans="1:14" ht="30" customHeight="1" thickBot="1" x14ac:dyDescent="0.25">
      <c r="A7" s="2" t="s">
        <v>74</v>
      </c>
      <c r="B7" s="129" t="s">
        <v>38</v>
      </c>
      <c r="C7" s="130" t="s">
        <v>39</v>
      </c>
      <c r="D7" s="129" t="s">
        <v>38</v>
      </c>
      <c r="E7" s="130" t="s">
        <v>39</v>
      </c>
    </row>
    <row r="8" spans="1:14" ht="15" customHeight="1" x14ac:dyDescent="0.2">
      <c r="A8" s="232" t="s">
        <v>75</v>
      </c>
      <c r="B8" s="227">
        <v>1742535</v>
      </c>
      <c r="C8" s="233">
        <v>8.1891800288215744E-2</v>
      </c>
      <c r="D8" s="227">
        <v>1785406</v>
      </c>
      <c r="E8" s="233">
        <v>7.9820199056261407E-2</v>
      </c>
      <c r="F8" s="139"/>
    </row>
    <row r="9" spans="1:14" ht="15" customHeight="1" x14ac:dyDescent="0.2">
      <c r="A9" s="232" t="s">
        <v>76</v>
      </c>
      <c r="B9" s="227">
        <v>1859099</v>
      </c>
      <c r="C9" s="233">
        <v>8.7369816975855066E-2</v>
      </c>
      <c r="D9" s="227">
        <v>1946157</v>
      </c>
      <c r="E9" s="233">
        <v>8.7006898786458994E-2</v>
      </c>
      <c r="F9" s="139"/>
    </row>
    <row r="10" spans="1:14" ht="15" customHeight="1" x14ac:dyDescent="0.2">
      <c r="A10" s="232" t="s">
        <v>77</v>
      </c>
      <c r="B10" s="227">
        <v>1798579</v>
      </c>
      <c r="C10" s="233">
        <v>8.452563206511135E-2</v>
      </c>
      <c r="D10" s="227">
        <v>1883430</v>
      </c>
      <c r="E10" s="233">
        <v>8.4202560934899098E-2</v>
      </c>
    </row>
    <row r="11" spans="1:14" ht="15" customHeight="1" x14ac:dyDescent="0.2">
      <c r="A11" s="232" t="s">
        <v>78</v>
      </c>
      <c r="B11" s="227">
        <v>1868235</v>
      </c>
      <c r="C11" s="233">
        <v>8.7799170467999066E-2</v>
      </c>
      <c r="D11" s="227">
        <v>1970002</v>
      </c>
      <c r="E11" s="233">
        <v>8.8072937909491306E-2</v>
      </c>
      <c r="F11" s="139"/>
    </row>
    <row r="12" spans="1:14" ht="15" customHeight="1" x14ac:dyDescent="0.2">
      <c r="A12" s="232" t="s">
        <v>79</v>
      </c>
      <c r="B12" s="227">
        <v>1741005</v>
      </c>
      <c r="C12" s="233">
        <v>8.1819896737101439E-2</v>
      </c>
      <c r="D12" s="227">
        <v>1809776</v>
      </c>
      <c r="E12" s="233">
        <v>8.0909709369882593E-2</v>
      </c>
      <c r="F12" s="139"/>
    </row>
    <row r="13" spans="1:14" ht="15" customHeight="1" x14ac:dyDescent="0.2">
      <c r="A13" s="232" t="s">
        <v>80</v>
      </c>
      <c r="B13" s="227">
        <v>1747012</v>
      </c>
      <c r="C13" s="233">
        <v>8.2102200417848922E-2</v>
      </c>
      <c r="D13" s="227">
        <v>1817773</v>
      </c>
      <c r="E13" s="233">
        <v>8.1267231486338395E-2</v>
      </c>
    </row>
    <row r="14" spans="1:14" ht="15" customHeight="1" x14ac:dyDescent="0.2">
      <c r="A14" s="232" t="s">
        <v>81</v>
      </c>
      <c r="B14" s="227">
        <v>1825908</v>
      </c>
      <c r="C14" s="233">
        <v>8.5809979874525016E-2</v>
      </c>
      <c r="D14" s="227">
        <v>1880264</v>
      </c>
      <c r="E14" s="233">
        <v>8.4061018478890706E-2</v>
      </c>
    </row>
    <row r="15" spans="1:14" ht="15" customHeight="1" x14ac:dyDescent="0.2">
      <c r="A15" s="232" t="s">
        <v>82</v>
      </c>
      <c r="B15" s="227">
        <v>1760628</v>
      </c>
      <c r="C15" s="233">
        <v>8.2742095026981224E-2</v>
      </c>
      <c r="D15" s="227">
        <v>1843506</v>
      </c>
      <c r="E15" s="233">
        <v>8.2417677481431306E-2</v>
      </c>
    </row>
    <row r="16" spans="1:14" ht="15" customHeight="1" x14ac:dyDescent="0.2">
      <c r="A16" s="232" t="s">
        <v>83</v>
      </c>
      <c r="B16" s="227">
        <v>1764589</v>
      </c>
      <c r="C16" s="233">
        <v>8.2928245331532702E-2</v>
      </c>
      <c r="D16" s="227">
        <v>1841044</v>
      </c>
      <c r="E16" s="233">
        <v>8.2307608774326801E-2</v>
      </c>
    </row>
    <row r="17" spans="1:17" ht="15" customHeight="1" x14ac:dyDescent="0.2">
      <c r="A17" s="232" t="s">
        <v>84</v>
      </c>
      <c r="B17" s="227">
        <v>1756659</v>
      </c>
      <c r="C17" s="233">
        <v>8.2555568756149403E-2</v>
      </c>
      <c r="D17" s="227">
        <v>1897269</v>
      </c>
      <c r="E17" s="233">
        <v>8.4821261518822105E-2</v>
      </c>
    </row>
    <row r="18" spans="1:17" ht="15" customHeight="1" x14ac:dyDescent="0.2">
      <c r="A18" s="232" t="s">
        <v>85</v>
      </c>
      <c r="B18" s="227">
        <v>1607366</v>
      </c>
      <c r="C18" s="233">
        <v>7.5539427019869446E-2</v>
      </c>
      <c r="D18" s="227">
        <v>1755222</v>
      </c>
      <c r="E18" s="233">
        <v>7.8470762072004499E-2</v>
      </c>
    </row>
    <row r="19" spans="1:17" ht="15" customHeight="1" thickBot="1" x14ac:dyDescent="0.25">
      <c r="A19" s="232" t="s">
        <v>86</v>
      </c>
      <c r="B19" s="227">
        <v>1806889</v>
      </c>
      <c r="C19" s="233">
        <v>8.4916167038810622E-2</v>
      </c>
      <c r="D19" s="227">
        <v>1937998</v>
      </c>
      <c r="E19" s="233">
        <v>8.6642134131192899E-2</v>
      </c>
    </row>
    <row r="20" spans="1:17" ht="15" customHeight="1" thickBot="1" x14ac:dyDescent="0.25">
      <c r="A20" s="234" t="s">
        <v>48</v>
      </c>
      <c r="B20" s="229">
        <v>21278504</v>
      </c>
      <c r="C20" s="235"/>
      <c r="D20" s="229">
        <v>22367847</v>
      </c>
      <c r="E20" s="235"/>
    </row>
    <row r="22" spans="1:17" ht="17.100000000000001" customHeight="1" thickBot="1" x14ac:dyDescent="0.25">
      <c r="A22" s="582" t="s">
        <v>10</v>
      </c>
      <c r="B22" s="582"/>
      <c r="C22" s="582"/>
      <c r="D22" s="582"/>
      <c r="E22" s="582"/>
      <c r="F22" s="582"/>
    </row>
    <row r="23" spans="1:17" ht="17.100000000000001" customHeight="1" x14ac:dyDescent="0.2">
      <c r="A23" s="445" t="s">
        <v>1035</v>
      </c>
      <c r="B23" s="445"/>
      <c r="C23" s="445"/>
      <c r="D23" s="445"/>
      <c r="E23" s="445"/>
      <c r="F23" s="445"/>
    </row>
    <row r="24" spans="1:17" ht="17.100000000000001" customHeight="1" x14ac:dyDescent="0.2">
      <c r="A24" s="547" t="s">
        <v>587</v>
      </c>
      <c r="B24" s="547"/>
      <c r="C24" s="547"/>
      <c r="D24" s="547"/>
      <c r="E24" s="547"/>
      <c r="F24" s="547"/>
      <c r="G24" s="122"/>
      <c r="H24" s="122"/>
      <c r="I24" s="122"/>
      <c r="J24" s="122"/>
      <c r="K24" s="122"/>
      <c r="L24" s="122"/>
      <c r="M24" s="122"/>
      <c r="N24" s="122"/>
      <c r="O24" s="116"/>
      <c r="P24" s="116"/>
      <c r="Q24" s="116"/>
    </row>
    <row r="25" spans="1:17" ht="17.100000000000001" customHeight="1" x14ac:dyDescent="0.2">
      <c r="A25" s="549" t="s">
        <v>441</v>
      </c>
      <c r="B25" s="549"/>
      <c r="C25" s="549"/>
      <c r="D25" s="549"/>
      <c r="E25" s="549"/>
      <c r="F25" s="549"/>
    </row>
    <row r="26" spans="1:17" ht="13.5" thickBot="1" x14ac:dyDescent="0.25">
      <c r="A26" s="577" t="s">
        <v>945</v>
      </c>
      <c r="B26" s="577"/>
      <c r="C26" s="577"/>
      <c r="D26" s="577"/>
      <c r="E26" s="577"/>
      <c r="F26" s="577"/>
    </row>
    <row r="27" spans="1:17" x14ac:dyDescent="0.2">
      <c r="A27" s="126"/>
    </row>
    <row r="28" spans="1:17" x14ac:dyDescent="0.2">
      <c r="A28" s="120" t="s">
        <v>470</v>
      </c>
    </row>
  </sheetData>
  <mergeCells count="9">
    <mergeCell ref="A25:F25"/>
    <mergeCell ref="A26:F26"/>
    <mergeCell ref="A24:F24"/>
    <mergeCell ref="A2:F2"/>
    <mergeCell ref="A3:F3"/>
    <mergeCell ref="B6:C6"/>
    <mergeCell ref="D6:E6"/>
    <mergeCell ref="A22:F22"/>
    <mergeCell ref="A4:F4"/>
  </mergeCells>
  <hyperlinks>
    <hyperlink ref="A28" location="Contents!A1" display="Return to Contents" xr:uid="{00000000-0004-0000-1A00-000000000000}"/>
    <hyperlink ref="A25:F25" r:id="rId1" display="Contact via enquiries@NHSDigital.nhs.uk or 0300 303 5678" xr:uid="{00000000-0004-0000-1A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Q34"/>
  <sheetViews>
    <sheetView showGridLines="0" workbookViewId="0"/>
  </sheetViews>
  <sheetFormatPr defaultColWidth="9.140625" defaultRowHeight="12.75" x14ac:dyDescent="0.2"/>
  <cols>
    <col min="1" max="1" width="21.5703125" style="109" customWidth="1"/>
    <col min="2" max="5" width="17.85546875" style="109" customWidth="1"/>
    <col min="6" max="6" width="9.140625" style="109" customWidth="1"/>
    <col min="7" max="16384" width="9.140625" style="109"/>
  </cols>
  <sheetData>
    <row r="1" spans="1:6" s="318" customFormat="1" ht="15" customHeight="1" x14ac:dyDescent="0.2"/>
    <row r="2" spans="1:6" ht="30" customHeight="1" x14ac:dyDescent="0.35">
      <c r="A2" s="570" t="s">
        <v>991</v>
      </c>
      <c r="B2" s="571"/>
      <c r="C2" s="571"/>
      <c r="D2" s="571"/>
      <c r="E2" s="571"/>
      <c r="F2" s="571"/>
    </row>
    <row r="3" spans="1:6" ht="15" customHeight="1" x14ac:dyDescent="0.2">
      <c r="A3" s="572" t="s">
        <v>590</v>
      </c>
      <c r="B3" s="554"/>
      <c r="C3" s="554"/>
      <c r="D3" s="554"/>
      <c r="E3" s="554"/>
      <c r="F3" s="554"/>
    </row>
    <row r="4" spans="1:6" s="476" customFormat="1" ht="15" customHeight="1" x14ac:dyDescent="0.2">
      <c r="A4" s="558" t="s">
        <v>1050</v>
      </c>
      <c r="B4" s="558"/>
      <c r="C4" s="558"/>
      <c r="D4" s="558"/>
      <c r="E4" s="558"/>
      <c r="F4" s="558"/>
    </row>
    <row r="5" spans="1:6" ht="11.25" customHeight="1" thickBot="1" x14ac:dyDescent="0.25"/>
    <row r="6" spans="1:6" ht="15" customHeight="1" thickBot="1" x14ac:dyDescent="0.25">
      <c r="A6" s="218"/>
      <c r="B6" s="580" t="s">
        <v>621</v>
      </c>
      <c r="C6" s="557"/>
      <c r="D6" s="580" t="s">
        <v>956</v>
      </c>
      <c r="E6" s="557"/>
    </row>
    <row r="7" spans="1:6" ht="30" customHeight="1" thickBot="1" x14ac:dyDescent="0.25">
      <c r="A7" s="2" t="s">
        <v>87</v>
      </c>
      <c r="B7" s="129" t="s">
        <v>38</v>
      </c>
      <c r="C7" s="130" t="s">
        <v>39</v>
      </c>
      <c r="D7" s="129" t="s">
        <v>38</v>
      </c>
      <c r="E7" s="130" t="s">
        <v>39</v>
      </c>
    </row>
    <row r="8" spans="1:6" ht="15" customHeight="1" x14ac:dyDescent="0.2">
      <c r="A8" s="211" t="s">
        <v>88</v>
      </c>
      <c r="B8" s="223">
        <v>3339758</v>
      </c>
      <c r="C8" s="196">
        <v>0.15695454906040388</v>
      </c>
      <c r="D8" s="223">
        <v>3526580</v>
      </c>
      <c r="E8" s="196">
        <v>0.157662916775137</v>
      </c>
    </row>
    <row r="9" spans="1:6" ht="15" customHeight="1" x14ac:dyDescent="0.2">
      <c r="A9" s="211" t="s">
        <v>89</v>
      </c>
      <c r="B9" s="223">
        <v>3080911</v>
      </c>
      <c r="C9" s="196">
        <v>0.14478983108962923</v>
      </c>
      <c r="D9" s="223">
        <v>3224976</v>
      </c>
      <c r="E9" s="196">
        <v>0.14417909779157601</v>
      </c>
    </row>
    <row r="10" spans="1:6" ht="15" customHeight="1" x14ac:dyDescent="0.2">
      <c r="A10" s="211" t="s">
        <v>90</v>
      </c>
      <c r="B10" s="223">
        <v>3000339</v>
      </c>
      <c r="C10" s="196">
        <v>0.1410032866972227</v>
      </c>
      <c r="D10" s="223">
        <v>3175464</v>
      </c>
      <c r="E10" s="196">
        <v>0.14196556333741001</v>
      </c>
    </row>
    <row r="11" spans="1:6" ht="15" customHeight="1" x14ac:dyDescent="0.2">
      <c r="A11" s="211" t="s">
        <v>91</v>
      </c>
      <c r="B11" s="223">
        <v>2965710</v>
      </c>
      <c r="C11" s="196">
        <v>0.13937586965700222</v>
      </c>
      <c r="D11" s="223">
        <v>3136404</v>
      </c>
      <c r="E11" s="196">
        <v>0.140219306757597</v>
      </c>
    </row>
    <row r="12" spans="1:6" ht="15" customHeight="1" x14ac:dyDescent="0.2">
      <c r="A12" s="211" t="s">
        <v>92</v>
      </c>
      <c r="B12" s="223">
        <v>2934123</v>
      </c>
      <c r="C12" s="196">
        <v>0.13789141379487957</v>
      </c>
      <c r="D12" s="223">
        <v>3087289</v>
      </c>
      <c r="E12" s="196">
        <v>0.13802352099421999</v>
      </c>
    </row>
    <row r="13" spans="1:6" ht="15" customHeight="1" x14ac:dyDescent="0.2">
      <c r="A13" s="211" t="s">
        <v>93</v>
      </c>
      <c r="B13" s="223">
        <v>2979470</v>
      </c>
      <c r="C13" s="196">
        <v>0.14002253165918055</v>
      </c>
      <c r="D13" s="223">
        <v>3036616</v>
      </c>
      <c r="E13" s="196">
        <v>0.135758081678581</v>
      </c>
    </row>
    <row r="14" spans="1:6" ht="15" customHeight="1" thickBot="1" x14ac:dyDescent="0.25">
      <c r="A14" s="211" t="s">
        <v>94</v>
      </c>
      <c r="B14" s="223">
        <v>2978193</v>
      </c>
      <c r="C14" s="196">
        <v>0.13996251804168189</v>
      </c>
      <c r="D14" s="223">
        <v>3180518</v>
      </c>
      <c r="E14" s="196">
        <v>0.142191512665479</v>
      </c>
    </row>
    <row r="15" spans="1:6" ht="15" customHeight="1" thickBot="1" x14ac:dyDescent="0.25">
      <c r="A15" s="133" t="s">
        <v>48</v>
      </c>
      <c r="B15" s="217">
        <v>21278504</v>
      </c>
      <c r="C15" s="214"/>
      <c r="D15" s="217">
        <v>22367847</v>
      </c>
      <c r="E15" s="214"/>
    </row>
    <row r="17" spans="1:17" ht="17.100000000000001" customHeight="1" thickBot="1" x14ac:dyDescent="0.25">
      <c r="A17" s="566" t="s">
        <v>10</v>
      </c>
      <c r="B17" s="552"/>
      <c r="C17" s="552"/>
      <c r="D17" s="552"/>
      <c r="E17" s="552"/>
      <c r="F17" s="552"/>
    </row>
    <row r="18" spans="1:17" ht="17.100000000000001" customHeight="1" x14ac:dyDescent="0.2">
      <c r="A18" s="445" t="s">
        <v>1035</v>
      </c>
      <c r="B18" s="445"/>
      <c r="C18" s="445"/>
      <c r="D18" s="445"/>
      <c r="E18" s="445"/>
      <c r="F18" s="445"/>
    </row>
    <row r="19" spans="1:17" ht="17.100000000000001" customHeight="1" x14ac:dyDescent="0.2">
      <c r="A19" s="547" t="s">
        <v>587</v>
      </c>
      <c r="B19" s="547"/>
      <c r="C19" s="547"/>
      <c r="D19" s="547"/>
      <c r="E19" s="547"/>
      <c r="F19" s="547"/>
      <c r="G19" s="116"/>
      <c r="H19" s="116"/>
      <c r="I19" s="116"/>
      <c r="J19" s="116"/>
      <c r="K19" s="116"/>
      <c r="L19" s="116"/>
      <c r="M19" s="116"/>
      <c r="N19" s="116"/>
      <c r="O19" s="116"/>
      <c r="P19" s="116"/>
      <c r="Q19" s="116"/>
    </row>
    <row r="20" spans="1:17" ht="17.100000000000001" customHeight="1" x14ac:dyDescent="0.2">
      <c r="A20" s="560" t="s">
        <v>441</v>
      </c>
      <c r="B20" s="561"/>
      <c r="C20" s="561"/>
      <c r="D20" s="561"/>
      <c r="E20" s="561"/>
      <c r="F20" s="561"/>
    </row>
    <row r="21" spans="1:17" ht="13.5" thickBot="1" x14ac:dyDescent="0.25">
      <c r="A21" s="551" t="s">
        <v>945</v>
      </c>
      <c r="B21" s="552"/>
      <c r="C21" s="552"/>
      <c r="D21" s="552"/>
      <c r="E21" s="552"/>
      <c r="F21" s="552"/>
    </row>
    <row r="23" spans="1:17" x14ac:dyDescent="0.2">
      <c r="A23" s="120" t="s">
        <v>470</v>
      </c>
    </row>
    <row r="27" spans="1:17" x14ac:dyDescent="0.2">
      <c r="E27" s="384"/>
      <c r="F27" s="384"/>
    </row>
    <row r="28" spans="1:17" x14ac:dyDescent="0.2">
      <c r="E28" s="384"/>
      <c r="F28" s="384"/>
    </row>
    <row r="29" spans="1:17" x14ac:dyDescent="0.2">
      <c r="E29" s="384"/>
      <c r="F29" s="384"/>
    </row>
    <row r="30" spans="1:17" x14ac:dyDescent="0.2">
      <c r="E30" s="384"/>
      <c r="F30" s="384"/>
    </row>
    <row r="31" spans="1:17" x14ac:dyDescent="0.2">
      <c r="E31" s="384"/>
      <c r="F31" s="384"/>
    </row>
    <row r="32" spans="1:17" x14ac:dyDescent="0.2">
      <c r="E32" s="384"/>
      <c r="F32" s="384"/>
    </row>
    <row r="33" spans="5:6" x14ac:dyDescent="0.2">
      <c r="E33" s="384"/>
      <c r="F33" s="384"/>
    </row>
    <row r="34" spans="5:6" x14ac:dyDescent="0.2">
      <c r="E34" s="384"/>
      <c r="F34" s="384"/>
    </row>
  </sheetData>
  <sortState xmlns:xlrd2="http://schemas.microsoft.com/office/spreadsheetml/2017/richdata2" ref="E28:F34">
    <sortCondition ref="F31"/>
  </sortState>
  <mergeCells count="9">
    <mergeCell ref="A20:F20"/>
    <mergeCell ref="A21:F21"/>
    <mergeCell ref="A19:F19"/>
    <mergeCell ref="A2:F2"/>
    <mergeCell ref="A3:F3"/>
    <mergeCell ref="B6:C6"/>
    <mergeCell ref="D6:E6"/>
    <mergeCell ref="A17:F17"/>
    <mergeCell ref="A4:F4"/>
  </mergeCells>
  <hyperlinks>
    <hyperlink ref="A20:F20" r:id="rId1" display="Contact via enquiries@NHSDigital.nhs.uk or 0300 303 5678" xr:uid="{00000000-0004-0000-1B00-000000000000}"/>
    <hyperlink ref="A23" location="Contents!A1" display="Return to Contents" xr:uid="{00000000-0004-0000-1B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Q28"/>
  <sheetViews>
    <sheetView showGridLines="0" workbookViewId="0"/>
  </sheetViews>
  <sheetFormatPr defaultColWidth="9.140625" defaultRowHeight="12.75" x14ac:dyDescent="0.2"/>
  <cols>
    <col min="1" max="1" width="43.140625" style="109" customWidth="1"/>
    <col min="2" max="5" width="16.140625" style="109" customWidth="1"/>
    <col min="6" max="6" width="9.140625" style="109" customWidth="1"/>
    <col min="7" max="16384" width="9.140625" style="109"/>
  </cols>
  <sheetData>
    <row r="1" spans="1:15" s="318" customFormat="1" ht="15" customHeight="1" x14ac:dyDescent="0.2"/>
    <row r="2" spans="1:15" ht="56.25" customHeight="1" x14ac:dyDescent="0.35">
      <c r="A2" s="570" t="s">
        <v>992</v>
      </c>
      <c r="B2" s="571"/>
      <c r="C2" s="571"/>
      <c r="D2" s="571"/>
      <c r="E2" s="571"/>
      <c r="F2" s="571"/>
      <c r="H2" s="147"/>
      <c r="I2" s="147"/>
      <c r="J2" s="147"/>
      <c r="K2" s="147"/>
      <c r="L2" s="147"/>
      <c r="M2" s="147"/>
      <c r="N2" s="147"/>
      <c r="O2" s="147"/>
    </row>
    <row r="3" spans="1:15" ht="15" customHeight="1" x14ac:dyDescent="0.2">
      <c r="A3" s="572" t="s">
        <v>590</v>
      </c>
      <c r="B3" s="554"/>
      <c r="C3" s="554"/>
      <c r="D3" s="554"/>
      <c r="E3" s="554"/>
      <c r="F3" s="554"/>
      <c r="H3" s="147"/>
      <c r="I3" s="147"/>
      <c r="J3" s="147"/>
      <c r="K3" s="147"/>
      <c r="L3" s="147"/>
      <c r="M3" s="147"/>
      <c r="N3" s="147"/>
      <c r="O3" s="147"/>
    </row>
    <row r="4" spans="1:15" s="476" customFormat="1" ht="15" customHeight="1" x14ac:dyDescent="0.2">
      <c r="A4" s="558" t="s">
        <v>1050</v>
      </c>
      <c r="B4" s="558"/>
      <c r="C4" s="558"/>
      <c r="D4" s="558"/>
      <c r="E4" s="558"/>
      <c r="F4" s="558"/>
      <c r="H4" s="147"/>
      <c r="I4" s="147"/>
      <c r="J4" s="147"/>
      <c r="K4" s="147"/>
      <c r="L4" s="147"/>
      <c r="M4" s="147"/>
      <c r="N4" s="147"/>
      <c r="O4" s="147"/>
    </row>
    <row r="5" spans="1:15" ht="11.25" customHeight="1" thickBot="1" x14ac:dyDescent="0.25">
      <c r="H5" s="147"/>
      <c r="I5" s="147"/>
      <c r="J5" s="147"/>
      <c r="K5" s="147"/>
      <c r="L5" s="147"/>
      <c r="M5" s="147"/>
      <c r="N5" s="147"/>
      <c r="O5" s="147"/>
    </row>
    <row r="6" spans="1:15" ht="15" customHeight="1" thickBot="1" x14ac:dyDescent="0.25">
      <c r="A6" s="231"/>
      <c r="B6" s="573" t="s">
        <v>621</v>
      </c>
      <c r="C6" s="557"/>
      <c r="D6" s="573" t="s">
        <v>956</v>
      </c>
      <c r="E6" s="557"/>
      <c r="H6" s="147"/>
      <c r="I6" s="147"/>
      <c r="J6" s="147"/>
      <c r="K6" s="147"/>
      <c r="L6" s="147"/>
      <c r="M6" s="147"/>
      <c r="N6" s="147"/>
      <c r="O6" s="147"/>
    </row>
    <row r="7" spans="1:15" ht="30" customHeight="1" thickBot="1" x14ac:dyDescent="0.25">
      <c r="A7" s="2" t="s">
        <v>95</v>
      </c>
      <c r="B7" s="129" t="s">
        <v>38</v>
      </c>
      <c r="C7" s="130" t="s">
        <v>39</v>
      </c>
      <c r="D7" s="129" t="s">
        <v>38</v>
      </c>
      <c r="E7" s="130" t="s">
        <v>39</v>
      </c>
      <c r="H7" s="147"/>
      <c r="I7" s="147"/>
      <c r="J7" s="147"/>
      <c r="K7" s="147"/>
      <c r="L7" s="147"/>
      <c r="M7" s="147"/>
      <c r="N7" s="147"/>
      <c r="O7" s="147"/>
    </row>
    <row r="8" spans="1:15" ht="15" customHeight="1" x14ac:dyDescent="0.2">
      <c r="A8" s="232" t="s">
        <v>96</v>
      </c>
      <c r="B8" s="446">
        <v>13404428</v>
      </c>
      <c r="C8" s="447">
        <v>0.6299516168993835</v>
      </c>
      <c r="D8" s="227">
        <v>14411942</v>
      </c>
      <c r="E8" s="233">
        <v>0.64431511892941695</v>
      </c>
      <c r="G8" s="384"/>
      <c r="H8" s="147"/>
      <c r="I8" s="147"/>
      <c r="J8" s="147"/>
      <c r="K8" s="147"/>
      <c r="L8" s="147"/>
      <c r="M8" s="147"/>
      <c r="N8" s="147"/>
      <c r="O8" s="147"/>
    </row>
    <row r="9" spans="1:15" ht="15" customHeight="1" x14ac:dyDescent="0.2">
      <c r="A9" s="232" t="s">
        <v>33</v>
      </c>
      <c r="B9" s="446">
        <v>2115889</v>
      </c>
      <c r="C9" s="447">
        <v>9.9437864616798252E-2</v>
      </c>
      <c r="D9" s="227">
        <v>1168447</v>
      </c>
      <c r="E9" s="233">
        <v>5.2237794723828397E-2</v>
      </c>
      <c r="F9" s="438"/>
      <c r="G9" s="384"/>
      <c r="H9" s="147"/>
      <c r="I9" s="147"/>
      <c r="J9" s="147"/>
      <c r="K9" s="147"/>
      <c r="L9" s="147"/>
      <c r="M9" s="147"/>
      <c r="N9" s="147"/>
      <c r="O9" s="147"/>
    </row>
    <row r="10" spans="1:15" ht="15" customHeight="1" x14ac:dyDescent="0.2">
      <c r="A10" s="232" t="s">
        <v>97</v>
      </c>
      <c r="B10" s="446">
        <v>1824244</v>
      </c>
      <c r="C10" s="447">
        <v>8.5731778888215079E-2</v>
      </c>
      <c r="D10" s="227">
        <v>676115</v>
      </c>
      <c r="E10" s="233">
        <v>3.0227093380958799E-2</v>
      </c>
      <c r="F10" s="438"/>
      <c r="G10" s="384"/>
      <c r="H10" s="147"/>
      <c r="I10" s="147"/>
      <c r="J10" s="147"/>
      <c r="K10" s="147"/>
      <c r="L10" s="147"/>
      <c r="M10" s="147"/>
      <c r="N10" s="147"/>
      <c r="O10" s="147"/>
    </row>
    <row r="11" spans="1:15" ht="15" customHeight="1" x14ac:dyDescent="0.2">
      <c r="A11" s="232" t="s">
        <v>99</v>
      </c>
      <c r="B11" s="446">
        <v>1562066</v>
      </c>
      <c r="C11" s="447">
        <v>7.3410517957465435E-2</v>
      </c>
      <c r="D11" s="227">
        <v>2875821</v>
      </c>
      <c r="E11" s="233">
        <v>0.128569414839077</v>
      </c>
      <c r="F11" s="438"/>
      <c r="G11" s="384"/>
      <c r="H11" s="147"/>
      <c r="I11" s="147"/>
      <c r="J11" s="147"/>
      <c r="K11" s="147"/>
      <c r="L11" s="147"/>
      <c r="M11" s="147"/>
      <c r="N11" s="147"/>
      <c r="O11" s="147"/>
    </row>
    <row r="12" spans="1:15" ht="15" customHeight="1" x14ac:dyDescent="0.2">
      <c r="A12" s="232" t="s">
        <v>98</v>
      </c>
      <c r="B12" s="446">
        <v>1145959</v>
      </c>
      <c r="C12" s="447">
        <v>5.3855242830980976E-2</v>
      </c>
      <c r="D12" s="227">
        <v>1306117</v>
      </c>
      <c r="E12" s="233">
        <v>5.8392611501679202E-2</v>
      </c>
      <c r="F12" s="438"/>
      <c r="G12" s="384"/>
      <c r="H12" s="147"/>
      <c r="I12" s="147"/>
      <c r="J12" s="147"/>
      <c r="K12" s="147"/>
      <c r="L12" s="147"/>
      <c r="M12" s="147"/>
      <c r="N12" s="147"/>
      <c r="O12" s="147"/>
    </row>
    <row r="13" spans="1:15" ht="15" customHeight="1" x14ac:dyDescent="0.2">
      <c r="A13" s="232" t="s">
        <v>100</v>
      </c>
      <c r="B13" s="446">
        <v>932253</v>
      </c>
      <c r="C13" s="447">
        <v>4.3811961592788669E-2</v>
      </c>
      <c r="D13" s="227">
        <v>1738381</v>
      </c>
      <c r="E13" s="233">
        <v>7.7717850984942799E-2</v>
      </c>
      <c r="F13" s="438"/>
      <c r="G13" s="384"/>
      <c r="H13" s="147"/>
      <c r="I13" s="147"/>
      <c r="J13" s="147"/>
      <c r="K13" s="147"/>
      <c r="L13" s="147"/>
      <c r="M13" s="147"/>
      <c r="N13" s="147"/>
      <c r="O13" s="147"/>
    </row>
    <row r="14" spans="1:15" ht="15" customHeight="1" x14ac:dyDescent="0.2">
      <c r="A14" s="232" t="s">
        <v>103</v>
      </c>
      <c r="B14" s="446">
        <v>117084</v>
      </c>
      <c r="C14" s="447">
        <v>5.5024544958611754E-3</v>
      </c>
      <c r="D14" s="227">
        <v>38843</v>
      </c>
      <c r="E14" s="233">
        <v>1.7365551543695699E-3</v>
      </c>
      <c r="F14" s="438"/>
      <c r="G14" s="384"/>
      <c r="H14" s="147"/>
      <c r="I14" s="147"/>
      <c r="J14" s="147"/>
      <c r="K14" s="147"/>
      <c r="L14" s="147"/>
      <c r="M14" s="147"/>
      <c r="N14" s="147"/>
      <c r="O14" s="147"/>
    </row>
    <row r="15" spans="1:15" ht="15" customHeight="1" x14ac:dyDescent="0.2">
      <c r="A15" s="232" t="s">
        <v>102</v>
      </c>
      <c r="B15" s="446">
        <v>91862</v>
      </c>
      <c r="C15" s="447">
        <v>4.3171268055310656E-3</v>
      </c>
      <c r="D15" s="227">
        <v>81112</v>
      </c>
      <c r="E15" s="233">
        <v>3.6262765924677501E-3</v>
      </c>
      <c r="F15" s="438"/>
      <c r="G15" s="384"/>
      <c r="H15" s="147"/>
      <c r="I15" s="147"/>
      <c r="J15" s="147"/>
      <c r="K15" s="147"/>
      <c r="L15" s="147"/>
      <c r="M15" s="147"/>
      <c r="N15" s="147"/>
      <c r="O15" s="147"/>
    </row>
    <row r="16" spans="1:15" ht="15" customHeight="1" x14ac:dyDescent="0.2">
      <c r="A16" s="232" t="s">
        <v>101</v>
      </c>
      <c r="B16" s="446">
        <v>65325</v>
      </c>
      <c r="C16" s="447">
        <v>3.0699996578706849E-3</v>
      </c>
      <c r="D16" s="227">
        <v>23246</v>
      </c>
      <c r="E16" s="233">
        <v>1.0392596122461E-3</v>
      </c>
      <c r="F16" s="438"/>
      <c r="G16" s="384"/>
      <c r="H16" s="147"/>
      <c r="I16" s="147"/>
      <c r="J16" s="147"/>
      <c r="K16" s="147"/>
      <c r="L16" s="147"/>
      <c r="M16" s="147"/>
      <c r="N16" s="147"/>
      <c r="O16" s="147"/>
    </row>
    <row r="17" spans="1:17" ht="15" customHeight="1" x14ac:dyDescent="0.2">
      <c r="A17" s="232" t="s">
        <v>104</v>
      </c>
      <c r="B17" s="446">
        <v>10700</v>
      </c>
      <c r="C17" s="447">
        <v>5.0285489994973329E-4</v>
      </c>
      <c r="D17" s="227">
        <v>40925</v>
      </c>
      <c r="E17" s="233">
        <v>1.82963519019063E-3</v>
      </c>
      <c r="F17" s="438"/>
      <c r="G17" s="384"/>
      <c r="H17" s="147"/>
      <c r="I17" s="147"/>
      <c r="J17" s="147"/>
      <c r="K17" s="147"/>
      <c r="L17" s="147"/>
      <c r="M17" s="147"/>
      <c r="N17" s="147"/>
      <c r="O17" s="147"/>
    </row>
    <row r="18" spans="1:17" ht="15" customHeight="1" x14ac:dyDescent="0.2">
      <c r="A18" s="232" t="s">
        <v>105</v>
      </c>
      <c r="B18" s="446">
        <v>6810</v>
      </c>
      <c r="C18" s="447">
        <v>3.2004129613623215E-4</v>
      </c>
      <c r="D18" s="227">
        <v>6624</v>
      </c>
      <c r="E18" s="233">
        <v>2.9613936468717798E-4</v>
      </c>
      <c r="F18" s="438"/>
      <c r="G18" s="384"/>
      <c r="H18" s="147"/>
      <c r="I18" s="147"/>
      <c r="J18" s="147"/>
      <c r="K18" s="147"/>
      <c r="L18" s="147"/>
      <c r="M18" s="147"/>
      <c r="N18" s="147"/>
      <c r="O18" s="147"/>
    </row>
    <row r="19" spans="1:17" ht="15" customHeight="1" thickBot="1" x14ac:dyDescent="0.25">
      <c r="A19" s="232" t="s">
        <v>106</v>
      </c>
      <c r="B19" s="446">
        <v>1884</v>
      </c>
      <c r="C19" s="447">
        <v>8.854005901918669E-5</v>
      </c>
      <c r="D19" s="227">
        <v>274</v>
      </c>
      <c r="E19" s="233">
        <v>1.2249726135912899E-5</v>
      </c>
      <c r="F19" s="438"/>
      <c r="G19" s="384"/>
      <c r="H19" s="147"/>
      <c r="I19" s="147"/>
      <c r="J19" s="147"/>
      <c r="K19" s="147"/>
      <c r="L19" s="147"/>
      <c r="M19" s="147"/>
      <c r="N19" s="147"/>
      <c r="O19" s="147"/>
    </row>
    <row r="20" spans="1:17" ht="15" customHeight="1" thickBot="1" x14ac:dyDescent="0.25">
      <c r="A20" s="234" t="s">
        <v>48</v>
      </c>
      <c r="B20" s="229">
        <v>21278504</v>
      </c>
      <c r="C20" s="236"/>
      <c r="D20" s="229">
        <v>22367847</v>
      </c>
      <c r="E20" s="236"/>
      <c r="H20" s="147"/>
      <c r="I20" s="147"/>
      <c r="J20" s="147"/>
      <c r="K20" s="147"/>
      <c r="L20" s="147"/>
      <c r="M20" s="147"/>
      <c r="N20" s="147"/>
      <c r="O20" s="147"/>
    </row>
    <row r="21" spans="1:17" x14ac:dyDescent="0.2">
      <c r="H21" s="147"/>
      <c r="I21" s="147"/>
      <c r="J21" s="147"/>
      <c r="K21" s="147"/>
      <c r="L21" s="147"/>
      <c r="M21" s="147"/>
      <c r="N21" s="147"/>
      <c r="O21" s="147"/>
    </row>
    <row r="22" spans="1:17" ht="17.100000000000001" customHeight="1" thickBot="1" x14ac:dyDescent="0.25">
      <c r="A22" s="594" t="s">
        <v>10</v>
      </c>
      <c r="B22" s="595"/>
      <c r="C22" s="595"/>
      <c r="D22" s="595"/>
      <c r="E22" s="595"/>
      <c r="F22" s="595"/>
      <c r="H22" s="147"/>
      <c r="I22" s="147"/>
      <c r="J22" s="147"/>
      <c r="K22" s="147"/>
      <c r="L22" s="147"/>
      <c r="M22" s="147"/>
      <c r="N22" s="147"/>
      <c r="O22" s="147"/>
    </row>
    <row r="23" spans="1:17" ht="17.100000000000001" customHeight="1" x14ac:dyDescent="0.2">
      <c r="A23" s="465" t="s">
        <v>1035</v>
      </c>
      <c r="B23" s="465"/>
      <c r="C23" s="465"/>
      <c r="D23" s="465"/>
      <c r="E23" s="465"/>
      <c r="F23" s="465"/>
      <c r="H23" s="147"/>
      <c r="I23" s="147"/>
      <c r="J23" s="147"/>
      <c r="K23" s="147"/>
      <c r="L23" s="147"/>
      <c r="M23" s="147"/>
      <c r="N23" s="147"/>
      <c r="O23" s="147"/>
    </row>
    <row r="24" spans="1:17" ht="17.100000000000001" customHeight="1" x14ac:dyDescent="0.2">
      <c r="A24" s="547" t="s">
        <v>587</v>
      </c>
      <c r="B24" s="547"/>
      <c r="C24" s="547"/>
      <c r="D24" s="547"/>
      <c r="E24" s="547"/>
      <c r="F24" s="547"/>
      <c r="G24" s="116"/>
      <c r="H24" s="122"/>
      <c r="I24" s="122"/>
      <c r="J24" s="122"/>
      <c r="K24" s="122"/>
      <c r="L24" s="122"/>
      <c r="M24" s="122"/>
      <c r="N24" s="122"/>
      <c r="O24" s="122"/>
      <c r="P24" s="116"/>
      <c r="Q24" s="116"/>
    </row>
    <row r="25" spans="1:17" ht="17.100000000000001" customHeight="1" x14ac:dyDescent="0.2">
      <c r="A25" s="560" t="s">
        <v>441</v>
      </c>
      <c r="B25" s="561"/>
      <c r="C25" s="561"/>
      <c r="D25" s="561"/>
      <c r="E25" s="561"/>
      <c r="F25" s="561"/>
    </row>
    <row r="26" spans="1:17" ht="13.5" thickBot="1" x14ac:dyDescent="0.25">
      <c r="A26" s="551" t="s">
        <v>945</v>
      </c>
      <c r="B26" s="552"/>
      <c r="C26" s="552"/>
      <c r="D26" s="552"/>
      <c r="E26" s="552"/>
      <c r="F26" s="552"/>
    </row>
    <row r="27" spans="1:17" x14ac:dyDescent="0.2">
      <c r="A27" s="126"/>
    </row>
    <row r="28" spans="1:17" x14ac:dyDescent="0.2">
      <c r="A28" s="120" t="s">
        <v>470</v>
      </c>
    </row>
  </sheetData>
  <sortState xmlns:xlrd2="http://schemas.microsoft.com/office/spreadsheetml/2017/richdata2" ref="I7:K18">
    <sortCondition descending="1" ref="K12"/>
  </sortState>
  <mergeCells count="9">
    <mergeCell ref="A25:F25"/>
    <mergeCell ref="A26:F26"/>
    <mergeCell ref="A24:F24"/>
    <mergeCell ref="A2:F2"/>
    <mergeCell ref="A3:F3"/>
    <mergeCell ref="B6:C6"/>
    <mergeCell ref="D6:E6"/>
    <mergeCell ref="A22:F22"/>
    <mergeCell ref="A4:F4"/>
  </mergeCells>
  <hyperlinks>
    <hyperlink ref="A25:F25" r:id="rId1" display="Contact via enquiries@NHSDigital.nhs.uk or 0300 303 5678" xr:uid="{00000000-0004-0000-1C00-000000000000}"/>
    <hyperlink ref="A28" location="Contents!A1" display="Return to Contents" xr:uid="{00000000-0004-0000-1C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Q19"/>
  <sheetViews>
    <sheetView showGridLines="0" workbookViewId="0"/>
  </sheetViews>
  <sheetFormatPr defaultColWidth="9.140625" defaultRowHeight="12.75" x14ac:dyDescent="0.2"/>
  <cols>
    <col min="1" max="1" width="35.7109375" style="109" customWidth="1"/>
    <col min="2" max="5" width="16.140625" style="109" customWidth="1"/>
    <col min="6" max="6" width="9.140625" style="109" customWidth="1"/>
    <col min="7" max="16384" width="9.140625" style="109"/>
  </cols>
  <sheetData>
    <row r="1" spans="1:17" s="318" customFormat="1" ht="15" customHeight="1" x14ac:dyDescent="0.2"/>
    <row r="2" spans="1:17" ht="56.25" customHeight="1" x14ac:dyDescent="0.35">
      <c r="A2" s="559" t="s">
        <v>993</v>
      </c>
      <c r="B2" s="559"/>
      <c r="C2" s="559"/>
      <c r="D2" s="559"/>
      <c r="E2" s="559"/>
      <c r="F2" s="328"/>
    </row>
    <row r="3" spans="1:17" ht="15" customHeight="1" x14ac:dyDescent="0.2">
      <c r="A3" s="572" t="s">
        <v>590</v>
      </c>
      <c r="B3" s="554"/>
      <c r="C3" s="554"/>
      <c r="D3" s="554"/>
      <c r="E3" s="554"/>
      <c r="F3" s="554"/>
    </row>
    <row r="4" spans="1:17" s="476" customFormat="1" ht="15" customHeight="1" x14ac:dyDescent="0.2">
      <c r="A4" s="558" t="s">
        <v>1050</v>
      </c>
      <c r="B4" s="558"/>
      <c r="C4" s="558"/>
      <c r="D4" s="558"/>
      <c r="E4" s="558"/>
      <c r="F4" s="558"/>
    </row>
    <row r="5" spans="1:17" ht="11.25" customHeight="1" thickBot="1" x14ac:dyDescent="0.25"/>
    <row r="6" spans="1:17" ht="15" customHeight="1" thickBot="1" x14ac:dyDescent="0.25">
      <c r="A6" s="218"/>
      <c r="B6" s="580" t="s">
        <v>621</v>
      </c>
      <c r="C6" s="557"/>
      <c r="D6" s="580" t="s">
        <v>956</v>
      </c>
      <c r="E6" s="557"/>
    </row>
    <row r="7" spans="1:17" ht="30" customHeight="1" thickBot="1" x14ac:dyDescent="0.25">
      <c r="A7" s="208" t="s">
        <v>107</v>
      </c>
      <c r="B7" s="129" t="s">
        <v>38</v>
      </c>
      <c r="C7" s="130" t="s">
        <v>39</v>
      </c>
      <c r="D7" s="129" t="s">
        <v>38</v>
      </c>
      <c r="E7" s="130" t="s">
        <v>39</v>
      </c>
    </row>
    <row r="8" spans="1:17" ht="30" customHeight="1" x14ac:dyDescent="0.2">
      <c r="A8" s="215" t="s">
        <v>108</v>
      </c>
      <c r="B8" s="223">
        <v>4730769</v>
      </c>
      <c r="C8" s="196">
        <v>0.22232620300750466</v>
      </c>
      <c r="D8" s="223">
        <v>4875696</v>
      </c>
      <c r="E8" s="196">
        <v>0.21797788584659</v>
      </c>
    </row>
    <row r="9" spans="1:17" ht="15" customHeight="1" x14ac:dyDescent="0.2">
      <c r="A9" s="215" t="s">
        <v>33</v>
      </c>
      <c r="B9" s="223">
        <v>15884991</v>
      </c>
      <c r="C9" s="196">
        <v>0.74652762243059945</v>
      </c>
      <c r="D9" s="223">
        <v>16619176</v>
      </c>
      <c r="E9" s="196">
        <v>0.74299399490706497</v>
      </c>
    </row>
    <row r="10" spans="1:17" ht="15" customHeight="1" thickBot="1" x14ac:dyDescent="0.25">
      <c r="A10" s="215" t="s">
        <v>43</v>
      </c>
      <c r="B10" s="223">
        <v>662744</v>
      </c>
      <c r="C10" s="196">
        <v>3.1146174561895893E-2</v>
      </c>
      <c r="D10" s="223">
        <v>872975</v>
      </c>
      <c r="E10" s="196">
        <v>3.9028119246345E-2</v>
      </c>
    </row>
    <row r="11" spans="1:17" ht="15" customHeight="1" thickBot="1" x14ac:dyDescent="0.25">
      <c r="A11" s="128" t="s">
        <v>48</v>
      </c>
      <c r="B11" s="217">
        <v>21278504</v>
      </c>
      <c r="C11" s="230"/>
      <c r="D11" s="217">
        <v>22367847</v>
      </c>
      <c r="E11" s="230"/>
    </row>
    <row r="13" spans="1:17" ht="17.100000000000001" customHeight="1" thickBot="1" x14ac:dyDescent="0.25">
      <c r="A13" s="555" t="s">
        <v>10</v>
      </c>
      <c r="B13" s="554"/>
      <c r="C13" s="554"/>
      <c r="D13" s="554"/>
      <c r="E13" s="554"/>
      <c r="F13" s="554"/>
    </row>
    <row r="14" spans="1:17" ht="17.100000000000001" customHeight="1" x14ac:dyDescent="0.2">
      <c r="A14" s="465" t="s">
        <v>1035</v>
      </c>
      <c r="B14" s="465"/>
      <c r="C14" s="465"/>
      <c r="D14" s="465"/>
      <c r="E14" s="465"/>
      <c r="F14" s="465"/>
    </row>
    <row r="15" spans="1:17" ht="17.100000000000001" customHeight="1" x14ac:dyDescent="0.2">
      <c r="A15" s="547" t="s">
        <v>587</v>
      </c>
      <c r="B15" s="547"/>
      <c r="C15" s="547"/>
      <c r="D15" s="547"/>
      <c r="E15" s="547"/>
      <c r="F15" s="547"/>
      <c r="G15" s="116"/>
      <c r="H15" s="116"/>
      <c r="I15" s="116"/>
      <c r="J15" s="116"/>
      <c r="K15" s="116"/>
      <c r="L15" s="116"/>
      <c r="M15" s="116"/>
      <c r="N15" s="116"/>
      <c r="O15" s="116"/>
      <c r="P15" s="116"/>
      <c r="Q15" s="116"/>
    </row>
    <row r="16" spans="1:17" ht="17.100000000000001" customHeight="1" x14ac:dyDescent="0.2">
      <c r="A16" s="560" t="s">
        <v>441</v>
      </c>
      <c r="B16" s="561"/>
      <c r="C16" s="561"/>
      <c r="D16" s="561"/>
      <c r="E16" s="561"/>
      <c r="F16" s="561"/>
    </row>
    <row r="17" spans="1:6" ht="13.5" thickBot="1" x14ac:dyDescent="0.25">
      <c r="A17" s="551" t="s">
        <v>945</v>
      </c>
      <c r="B17" s="552"/>
      <c r="C17" s="552"/>
      <c r="D17" s="552"/>
      <c r="E17" s="552"/>
      <c r="F17" s="552"/>
    </row>
    <row r="18" spans="1:6" x14ac:dyDescent="0.2">
      <c r="A18" s="126"/>
    </row>
    <row r="19" spans="1:6" x14ac:dyDescent="0.2">
      <c r="A19" s="120" t="s">
        <v>470</v>
      </c>
    </row>
  </sheetData>
  <mergeCells count="9">
    <mergeCell ref="A2:E2"/>
    <mergeCell ref="A16:F16"/>
    <mergeCell ref="A17:F17"/>
    <mergeCell ref="A15:F15"/>
    <mergeCell ref="A3:F3"/>
    <mergeCell ref="B6:C6"/>
    <mergeCell ref="D6:E6"/>
    <mergeCell ref="A13:F13"/>
    <mergeCell ref="A4:F4"/>
  </mergeCells>
  <hyperlinks>
    <hyperlink ref="A16:F16" r:id="rId1" display="Contact via enquiries@NHSDigital.nhs.uk or 0300 303 5678" xr:uid="{00000000-0004-0000-1D00-000000000000}"/>
    <hyperlink ref="A19" location="Contents!A1" display="Return to Contents" xr:uid="{00000000-0004-0000-1D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Q40"/>
  <sheetViews>
    <sheetView showGridLines="0" workbookViewId="0"/>
  </sheetViews>
  <sheetFormatPr defaultColWidth="9.140625" defaultRowHeight="12.75" x14ac:dyDescent="0.2"/>
  <cols>
    <col min="1" max="1" width="21.42578125" style="118" customWidth="1"/>
    <col min="2" max="5" width="21.5703125" style="118" customWidth="1"/>
    <col min="6" max="6" width="9.140625" style="118" customWidth="1"/>
    <col min="7" max="16384" width="9.140625" style="118"/>
  </cols>
  <sheetData>
    <row r="1" spans="1:6" s="315" customFormat="1" ht="15" customHeight="1" x14ac:dyDescent="0.2"/>
    <row r="2" spans="1:6" ht="56.25" customHeight="1" x14ac:dyDescent="0.35">
      <c r="A2" s="537" t="s">
        <v>994</v>
      </c>
      <c r="B2" s="538"/>
      <c r="C2" s="538"/>
      <c r="D2" s="538"/>
      <c r="E2" s="538"/>
      <c r="F2" s="538"/>
    </row>
    <row r="3" spans="1:6" ht="15" customHeight="1" x14ac:dyDescent="0.2">
      <c r="A3" s="539" t="s">
        <v>590</v>
      </c>
      <c r="B3" s="536"/>
      <c r="C3" s="536"/>
      <c r="D3" s="536"/>
      <c r="E3" s="536"/>
      <c r="F3" s="536"/>
    </row>
    <row r="4" spans="1:6" s="474" customFormat="1" ht="15" customHeight="1" x14ac:dyDescent="0.2">
      <c r="A4" s="558" t="s">
        <v>1050</v>
      </c>
      <c r="B4" s="558"/>
      <c r="C4" s="558"/>
      <c r="D4" s="558"/>
      <c r="E4" s="558"/>
      <c r="F4" s="558"/>
    </row>
    <row r="5" spans="1:6" ht="11.25" customHeight="1" thickBot="1" x14ac:dyDescent="0.25">
      <c r="A5" s="598"/>
      <c r="B5" s="536"/>
      <c r="C5" s="536"/>
      <c r="D5" s="536"/>
      <c r="E5" s="536"/>
      <c r="F5" s="536"/>
    </row>
    <row r="6" spans="1:6" ht="15" customHeight="1" thickBot="1" x14ac:dyDescent="0.25">
      <c r="A6" s="237"/>
      <c r="B6" s="599" t="s">
        <v>621</v>
      </c>
      <c r="C6" s="542"/>
      <c r="D6" s="599" t="s">
        <v>956</v>
      </c>
      <c r="E6" s="542"/>
    </row>
    <row r="7" spans="1:6" ht="42" customHeight="1" thickBot="1" x14ac:dyDescent="0.25">
      <c r="A7" s="7" t="s">
        <v>109</v>
      </c>
      <c r="B7" s="8" t="s">
        <v>110</v>
      </c>
      <c r="C7" s="1" t="s">
        <v>39</v>
      </c>
      <c r="D7" s="8" t="s">
        <v>110</v>
      </c>
      <c r="E7" s="1" t="s">
        <v>39</v>
      </c>
    </row>
    <row r="8" spans="1:6" ht="15" customHeight="1" x14ac:dyDescent="0.2">
      <c r="A8" s="238" t="s">
        <v>111</v>
      </c>
      <c r="B8" s="227">
        <v>173946</v>
      </c>
      <c r="C8" s="233">
        <v>0.42688649150000002</v>
      </c>
      <c r="D8" s="227">
        <v>176240</v>
      </c>
      <c r="E8" s="233">
        <v>0.419622044919369</v>
      </c>
      <c r="F8" s="417"/>
    </row>
    <row r="9" spans="1:6" ht="15" customHeight="1" x14ac:dyDescent="0.2">
      <c r="A9" s="238" t="s">
        <v>112</v>
      </c>
      <c r="B9" s="227">
        <v>156284</v>
      </c>
      <c r="C9" s="233">
        <v>0.47515300399999999</v>
      </c>
      <c r="D9" s="227">
        <v>157089</v>
      </c>
      <c r="E9" s="233">
        <v>0.46668924519389299</v>
      </c>
      <c r="F9" s="417"/>
    </row>
    <row r="10" spans="1:6" ht="15" customHeight="1" x14ac:dyDescent="0.2">
      <c r="A10" s="238" t="s">
        <v>113</v>
      </c>
      <c r="B10" s="227">
        <v>127894</v>
      </c>
      <c r="C10" s="233">
        <v>0.4824459156</v>
      </c>
      <c r="D10" s="227">
        <v>128789</v>
      </c>
      <c r="E10" s="233">
        <v>0.47353249379538598</v>
      </c>
      <c r="F10" s="417"/>
    </row>
    <row r="11" spans="1:6" ht="15" customHeight="1" x14ac:dyDescent="0.2">
      <c r="A11" s="238" t="s">
        <v>114</v>
      </c>
      <c r="B11" s="227">
        <v>120498</v>
      </c>
      <c r="C11" s="233">
        <v>0.5084775802</v>
      </c>
      <c r="D11" s="227">
        <v>122751</v>
      </c>
      <c r="E11" s="233">
        <v>0.50288619501583398</v>
      </c>
      <c r="F11" s="417"/>
    </row>
    <row r="12" spans="1:6" ht="15" customHeight="1" x14ac:dyDescent="0.2">
      <c r="A12" s="238" t="s">
        <v>115</v>
      </c>
      <c r="B12" s="227">
        <v>117991</v>
      </c>
      <c r="C12" s="233">
        <v>0.53185993890000005</v>
      </c>
      <c r="D12" s="227">
        <v>120464</v>
      </c>
      <c r="E12" s="233">
        <v>0.52695260383631204</v>
      </c>
      <c r="F12" s="417"/>
    </row>
    <row r="13" spans="1:6" ht="15" customHeight="1" x14ac:dyDescent="0.2">
      <c r="A13" s="238" t="s">
        <v>116</v>
      </c>
      <c r="B13" s="227">
        <v>119135</v>
      </c>
      <c r="C13" s="233">
        <v>0.54172464279999999</v>
      </c>
      <c r="D13" s="227">
        <v>123134</v>
      </c>
      <c r="E13" s="233">
        <v>0.53413438598013296</v>
      </c>
      <c r="F13" s="417"/>
    </row>
    <row r="14" spans="1:6" ht="15" customHeight="1" x14ac:dyDescent="0.2">
      <c r="A14" s="238" t="s">
        <v>117</v>
      </c>
      <c r="B14" s="227">
        <v>91056</v>
      </c>
      <c r="C14" s="233">
        <v>0.410952598</v>
      </c>
      <c r="D14" s="227">
        <v>91851</v>
      </c>
      <c r="E14" s="233">
        <v>0.39555314393499003</v>
      </c>
      <c r="F14" s="417"/>
    </row>
    <row r="15" spans="1:6" ht="15" customHeight="1" x14ac:dyDescent="0.2">
      <c r="A15" s="238" t="s">
        <v>118</v>
      </c>
      <c r="B15" s="227">
        <v>91355</v>
      </c>
      <c r="C15" s="233">
        <v>0.26447436610000002</v>
      </c>
      <c r="D15" s="227">
        <v>92574</v>
      </c>
      <c r="E15" s="233">
        <v>0.25301945735862102</v>
      </c>
      <c r="F15" s="417"/>
    </row>
    <row r="16" spans="1:6" ht="15" customHeight="1" x14ac:dyDescent="0.2">
      <c r="A16" s="238" t="s">
        <v>119</v>
      </c>
      <c r="B16" s="227">
        <v>139716</v>
      </c>
      <c r="C16" s="233">
        <v>0.15723266189999999</v>
      </c>
      <c r="D16" s="227">
        <v>143627</v>
      </c>
      <c r="E16" s="233">
        <v>0.14793653932713899</v>
      </c>
      <c r="F16" s="417"/>
    </row>
    <row r="17" spans="1:6" ht="15" customHeight="1" x14ac:dyDescent="0.2">
      <c r="A17" s="238" t="s">
        <v>120</v>
      </c>
      <c r="B17" s="227">
        <v>190024</v>
      </c>
      <c r="C17" s="233">
        <v>0.13851720749999999</v>
      </c>
      <c r="D17" s="227">
        <v>194132</v>
      </c>
      <c r="E17" s="233">
        <v>0.13329515719163701</v>
      </c>
      <c r="F17" s="417"/>
    </row>
    <row r="18" spans="1:6" ht="15" customHeight="1" x14ac:dyDescent="0.2">
      <c r="A18" s="238" t="s">
        <v>121</v>
      </c>
      <c r="B18" s="227">
        <v>223705</v>
      </c>
      <c r="C18" s="233">
        <v>0.14734718420000001</v>
      </c>
      <c r="D18" s="227">
        <v>228360</v>
      </c>
      <c r="E18" s="233">
        <v>0.14232063150573401</v>
      </c>
      <c r="F18" s="417"/>
    </row>
    <row r="19" spans="1:6" ht="15" customHeight="1" x14ac:dyDescent="0.2">
      <c r="A19" s="238" t="s">
        <v>122</v>
      </c>
      <c r="B19" s="227">
        <v>245514</v>
      </c>
      <c r="C19" s="233">
        <v>0.16003196550000001</v>
      </c>
      <c r="D19" s="227">
        <v>253045</v>
      </c>
      <c r="E19" s="233">
        <v>0.156446199187985</v>
      </c>
      <c r="F19" s="417"/>
    </row>
    <row r="20" spans="1:6" ht="15" customHeight="1" x14ac:dyDescent="0.2">
      <c r="A20" s="238" t="s">
        <v>123</v>
      </c>
      <c r="B20" s="227">
        <v>251477</v>
      </c>
      <c r="C20" s="233">
        <v>0.1725965703</v>
      </c>
      <c r="D20" s="227">
        <v>257639</v>
      </c>
      <c r="E20" s="233">
        <v>0.167159114502232</v>
      </c>
      <c r="F20" s="417"/>
    </row>
    <row r="21" spans="1:6" ht="15" customHeight="1" x14ac:dyDescent="0.2">
      <c r="A21" s="238" t="s">
        <v>124</v>
      </c>
      <c r="B21" s="227">
        <v>255823</v>
      </c>
      <c r="C21" s="233">
        <v>0.1823459643</v>
      </c>
      <c r="D21" s="227">
        <v>265437</v>
      </c>
      <c r="E21" s="233">
        <v>0.18022720127974701</v>
      </c>
      <c r="F21" s="417"/>
    </row>
    <row r="22" spans="1:6" ht="15" customHeight="1" x14ac:dyDescent="0.2">
      <c r="A22" s="238" t="s">
        <v>125</v>
      </c>
      <c r="B22" s="227">
        <v>251075</v>
      </c>
      <c r="C22" s="233">
        <v>0.18494074460000001</v>
      </c>
      <c r="D22" s="227">
        <v>262806</v>
      </c>
      <c r="E22" s="233">
        <v>0.184229785659006</v>
      </c>
      <c r="F22" s="417"/>
    </row>
    <row r="23" spans="1:6" ht="15" customHeight="1" x14ac:dyDescent="0.2">
      <c r="A23" s="238" t="s">
        <v>126</v>
      </c>
      <c r="B23" s="227">
        <v>261681</v>
      </c>
      <c r="C23" s="233">
        <v>0.197884591</v>
      </c>
      <c r="D23" s="227">
        <v>275208</v>
      </c>
      <c r="E23" s="233">
        <v>0.19776074089137799</v>
      </c>
      <c r="F23" s="417"/>
    </row>
    <row r="24" spans="1:6" ht="15" customHeight="1" x14ac:dyDescent="0.2">
      <c r="A24" s="238" t="s">
        <v>127</v>
      </c>
      <c r="B24" s="227">
        <v>256772</v>
      </c>
      <c r="C24" s="233">
        <v>0.1937800975</v>
      </c>
      <c r="D24" s="227">
        <v>269038</v>
      </c>
      <c r="E24" s="233">
        <v>0.19246584750273299</v>
      </c>
      <c r="F24" s="417"/>
    </row>
    <row r="25" spans="1:6" ht="15" customHeight="1" x14ac:dyDescent="0.2">
      <c r="A25" s="238" t="s">
        <v>128</v>
      </c>
      <c r="B25" s="227">
        <v>269163</v>
      </c>
      <c r="C25" s="233">
        <v>0.20746019020000001</v>
      </c>
      <c r="D25" s="227">
        <v>283881</v>
      </c>
      <c r="E25" s="233">
        <v>0.20739952248890201</v>
      </c>
      <c r="F25" s="417"/>
    </row>
    <row r="26" spans="1:6" ht="15" customHeight="1" x14ac:dyDescent="0.2">
      <c r="A26" s="238" t="s">
        <v>129</v>
      </c>
      <c r="B26" s="227">
        <v>250019</v>
      </c>
      <c r="C26" s="233">
        <v>0.19111446430000001</v>
      </c>
      <c r="D26" s="227">
        <v>258370</v>
      </c>
      <c r="E26" s="233">
        <v>0.18846605539386199</v>
      </c>
      <c r="F26" s="417"/>
    </row>
    <row r="27" spans="1:6" ht="15" customHeight="1" x14ac:dyDescent="0.2">
      <c r="A27" s="238" t="s">
        <v>130</v>
      </c>
      <c r="B27" s="227">
        <v>225586</v>
      </c>
      <c r="C27" s="233">
        <v>0.19039203269999999</v>
      </c>
      <c r="D27" s="227">
        <v>231453</v>
      </c>
      <c r="E27" s="233">
        <v>0.18698241200549701</v>
      </c>
      <c r="F27" s="417"/>
    </row>
    <row r="28" spans="1:6" ht="15" customHeight="1" x14ac:dyDescent="0.2">
      <c r="A28" s="238" t="s">
        <v>131</v>
      </c>
      <c r="B28" s="227">
        <v>249050</v>
      </c>
      <c r="C28" s="233">
        <v>0.24351538240000001</v>
      </c>
      <c r="D28" s="227">
        <v>255895</v>
      </c>
      <c r="E28" s="233">
        <v>0.241789256561461</v>
      </c>
      <c r="F28" s="417"/>
    </row>
    <row r="29" spans="1:6" ht="15" customHeight="1" x14ac:dyDescent="0.2">
      <c r="A29" s="238" t="s">
        <v>132</v>
      </c>
      <c r="B29" s="227">
        <v>241127</v>
      </c>
      <c r="C29" s="233">
        <v>0.2868776784</v>
      </c>
      <c r="D29" s="227">
        <v>249959</v>
      </c>
      <c r="E29" s="233">
        <v>0.286443280657323</v>
      </c>
      <c r="F29" s="417"/>
    </row>
    <row r="30" spans="1:6" ht="15" customHeight="1" x14ac:dyDescent="0.2">
      <c r="A30" s="238" t="s">
        <v>133</v>
      </c>
      <c r="B30" s="227">
        <v>219852</v>
      </c>
      <c r="C30" s="233">
        <v>0.32849522609999998</v>
      </c>
      <c r="D30" s="227">
        <v>225978</v>
      </c>
      <c r="E30" s="233">
        <v>0.32478229562952798</v>
      </c>
      <c r="F30" s="417"/>
    </row>
    <row r="31" spans="1:6" ht="15" customHeight="1" thickBot="1" x14ac:dyDescent="0.25">
      <c r="A31" s="238" t="s">
        <v>134</v>
      </c>
      <c r="B31" s="227">
        <v>202026</v>
      </c>
      <c r="C31" s="233">
        <v>0.38086996849999999</v>
      </c>
      <c r="D31" s="227">
        <v>207976</v>
      </c>
      <c r="E31" s="233">
        <v>0.375158739321173</v>
      </c>
      <c r="F31" s="417"/>
    </row>
    <row r="32" spans="1:6" x14ac:dyDescent="0.2">
      <c r="A32" s="140"/>
      <c r="B32" s="140"/>
      <c r="C32" s="140"/>
      <c r="D32" s="140"/>
      <c r="E32" s="140"/>
      <c r="F32" s="417"/>
    </row>
    <row r="33" spans="1:17" ht="17.100000000000001" customHeight="1" thickBot="1" x14ac:dyDescent="0.25">
      <c r="A33" s="600" t="s">
        <v>10</v>
      </c>
      <c r="B33" s="601"/>
      <c r="C33" s="601"/>
      <c r="D33" s="601"/>
      <c r="E33" s="601"/>
      <c r="F33" s="601"/>
    </row>
    <row r="34" spans="1:17" ht="17.100000000000001" customHeight="1" x14ac:dyDescent="0.2">
      <c r="A34" s="465" t="s">
        <v>1035</v>
      </c>
      <c r="B34" s="465"/>
      <c r="C34" s="465"/>
      <c r="D34" s="465"/>
      <c r="E34" s="465"/>
      <c r="F34" s="465"/>
    </row>
    <row r="35" spans="1:17" ht="17.100000000000001" customHeight="1" x14ac:dyDescent="0.2">
      <c r="A35" s="547" t="s">
        <v>587</v>
      </c>
      <c r="B35" s="547"/>
      <c r="C35" s="547"/>
      <c r="D35" s="547"/>
      <c r="E35" s="547"/>
      <c r="F35" s="547"/>
      <c r="G35" s="116"/>
      <c r="H35" s="116"/>
      <c r="I35" s="116"/>
      <c r="J35" s="116"/>
      <c r="K35" s="116"/>
      <c r="L35" s="116"/>
      <c r="M35" s="116"/>
      <c r="N35" s="116"/>
      <c r="O35" s="116"/>
      <c r="P35" s="116"/>
      <c r="Q35" s="116"/>
    </row>
    <row r="36" spans="1:17" ht="17.100000000000001" customHeight="1" x14ac:dyDescent="0.2">
      <c r="A36" s="560" t="s">
        <v>441</v>
      </c>
      <c r="B36" s="561"/>
      <c r="C36" s="561"/>
      <c r="D36" s="561"/>
      <c r="E36" s="561"/>
      <c r="F36" s="561"/>
    </row>
    <row r="37" spans="1:17" ht="13.5" thickBot="1" x14ac:dyDescent="0.25">
      <c r="A37" s="596" t="s">
        <v>945</v>
      </c>
      <c r="B37" s="597"/>
      <c r="C37" s="597"/>
      <c r="D37" s="597"/>
      <c r="E37" s="597"/>
      <c r="F37" s="597"/>
    </row>
    <row r="38" spans="1:17" x14ac:dyDescent="0.2">
      <c r="A38" s="124"/>
    </row>
    <row r="39" spans="1:17" x14ac:dyDescent="0.2">
      <c r="A39" s="120" t="s">
        <v>470</v>
      </c>
    </row>
    <row r="40" spans="1:17" x14ac:dyDescent="0.2">
      <c r="C40" s="118" t="s">
        <v>446</v>
      </c>
    </row>
  </sheetData>
  <mergeCells count="10">
    <mergeCell ref="A37:F37"/>
    <mergeCell ref="A2:F2"/>
    <mergeCell ref="A3:F3"/>
    <mergeCell ref="A5:F5"/>
    <mergeCell ref="B6:C6"/>
    <mergeCell ref="D6:E6"/>
    <mergeCell ref="A33:F33"/>
    <mergeCell ref="A36:F36"/>
    <mergeCell ref="A35:F35"/>
    <mergeCell ref="A4:F4"/>
  </mergeCells>
  <hyperlinks>
    <hyperlink ref="A36:F36" r:id="rId1" display="Contact via enquiries@NHSDigital.nhs.uk or 0300 303 5678" xr:uid="{00000000-0004-0000-1E00-000000000000}"/>
    <hyperlink ref="A39" location="Contents!A1" display="Return to Contents" xr:uid="{00000000-0004-0000-1E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9">
    <pageSetUpPr fitToPage="1"/>
  </sheetPr>
  <dimension ref="A1:R41"/>
  <sheetViews>
    <sheetView showGridLines="0" workbookViewId="0"/>
  </sheetViews>
  <sheetFormatPr defaultColWidth="9.140625" defaultRowHeight="12.75" x14ac:dyDescent="0.2"/>
  <cols>
    <col min="1" max="1" width="21.42578125" style="49" customWidth="1"/>
    <col min="2" max="8" width="13.42578125" style="49" customWidth="1"/>
    <col min="9" max="9" width="15.85546875" style="49" customWidth="1"/>
    <col min="10" max="16384" width="9.140625" style="49"/>
  </cols>
  <sheetData>
    <row r="1" spans="1:18" ht="15" customHeight="1" x14ac:dyDescent="0.2"/>
    <row r="2" spans="1:18" ht="56.25" customHeight="1" x14ac:dyDescent="0.35">
      <c r="A2" s="605" t="s">
        <v>958</v>
      </c>
      <c r="B2" s="606"/>
      <c r="C2" s="606"/>
      <c r="D2" s="606"/>
      <c r="E2" s="606"/>
      <c r="F2" s="606"/>
      <c r="G2" s="606"/>
      <c r="H2" s="606"/>
      <c r="I2" s="606"/>
      <c r="J2" s="48"/>
    </row>
    <row r="3" spans="1:18" ht="15" customHeight="1" x14ac:dyDescent="0.2">
      <c r="A3" s="607" t="s">
        <v>590</v>
      </c>
      <c r="B3" s="608"/>
      <c r="C3" s="608"/>
      <c r="D3" s="608"/>
      <c r="E3" s="608"/>
      <c r="F3" s="608"/>
      <c r="G3" s="608"/>
      <c r="H3" s="608"/>
      <c r="I3" s="608"/>
      <c r="J3" s="48"/>
    </row>
    <row r="4" spans="1:18" ht="15" customHeight="1" x14ac:dyDescent="0.2">
      <c r="A4" s="558" t="s">
        <v>1050</v>
      </c>
      <c r="B4" s="558"/>
      <c r="C4" s="558"/>
      <c r="D4" s="558"/>
      <c r="E4" s="558"/>
      <c r="F4" s="558"/>
      <c r="G4" s="480"/>
      <c r="H4" s="480"/>
      <c r="I4" s="480"/>
      <c r="J4" s="480"/>
    </row>
    <row r="5" spans="1:18" ht="11.25" customHeight="1" thickBot="1" x14ac:dyDescent="0.25">
      <c r="A5" s="48"/>
      <c r="B5" s="48"/>
      <c r="C5" s="48"/>
      <c r="D5" s="48"/>
      <c r="E5" s="48"/>
      <c r="F5" s="48"/>
      <c r="G5" s="48"/>
      <c r="H5" s="48"/>
      <c r="I5" s="48"/>
      <c r="J5" s="393"/>
      <c r="K5" s="394"/>
      <c r="L5" s="394"/>
      <c r="M5" s="394"/>
      <c r="N5" s="394"/>
      <c r="O5" s="394"/>
      <c r="P5" s="394"/>
      <c r="Q5" s="394"/>
      <c r="R5" s="394"/>
    </row>
    <row r="6" spans="1:18" ht="15" customHeight="1" thickBot="1" x14ac:dyDescent="0.25">
      <c r="A6" s="609" t="s">
        <v>49</v>
      </c>
      <c r="B6" s="611" t="s">
        <v>503</v>
      </c>
      <c r="C6" s="612"/>
      <c r="D6" s="612"/>
      <c r="E6" s="613"/>
      <c r="F6" s="614" t="s">
        <v>504</v>
      </c>
      <c r="G6" s="612"/>
      <c r="H6" s="612"/>
      <c r="I6" s="613"/>
      <c r="J6" s="393"/>
      <c r="K6" s="394"/>
      <c r="L6" s="394"/>
      <c r="M6" s="394"/>
      <c r="N6" s="394"/>
      <c r="O6" s="394"/>
      <c r="P6" s="394"/>
      <c r="Q6" s="394"/>
      <c r="R6" s="433"/>
    </row>
    <row r="7" spans="1:18" ht="15" customHeight="1" thickBot="1" x14ac:dyDescent="0.25">
      <c r="A7" s="610"/>
      <c r="B7" s="368" t="s">
        <v>46</v>
      </c>
      <c r="C7" s="50" t="s">
        <v>47</v>
      </c>
      <c r="D7" s="50" t="s">
        <v>8</v>
      </c>
      <c r="E7" s="51" t="s">
        <v>48</v>
      </c>
      <c r="F7" s="373" t="s">
        <v>46</v>
      </c>
      <c r="G7" s="374" t="s">
        <v>47</v>
      </c>
      <c r="H7" s="374" t="s">
        <v>8</v>
      </c>
      <c r="I7" s="375" t="s">
        <v>48</v>
      </c>
      <c r="J7" s="393"/>
      <c r="K7" s="394"/>
      <c r="L7" s="394"/>
      <c r="M7" s="394"/>
      <c r="N7" s="394"/>
      <c r="O7" s="394"/>
      <c r="P7" s="394"/>
      <c r="Q7" s="394"/>
      <c r="R7" s="433"/>
    </row>
    <row r="8" spans="1:18" ht="15" customHeight="1" x14ac:dyDescent="0.2">
      <c r="A8" s="38" t="s">
        <v>50</v>
      </c>
      <c r="B8" s="369">
        <v>55032</v>
      </c>
      <c r="C8" s="370">
        <v>41773</v>
      </c>
      <c r="D8" s="370">
        <v>21</v>
      </c>
      <c r="E8" s="370">
        <v>96826</v>
      </c>
      <c r="F8" s="376">
        <v>1.1287003947744101E-2</v>
      </c>
      <c r="G8" s="377">
        <v>8.5675973235410895E-3</v>
      </c>
      <c r="H8" s="377">
        <v>4.3070773895665404E-6</v>
      </c>
      <c r="I8" s="378">
        <v>1.9858908348674754E-2</v>
      </c>
      <c r="J8" s="527"/>
      <c r="K8" s="395"/>
      <c r="L8" s="395"/>
      <c r="M8" s="395"/>
      <c r="N8" s="395"/>
      <c r="O8" s="394"/>
      <c r="P8" s="394"/>
      <c r="Q8" s="394"/>
      <c r="R8" s="433"/>
    </row>
    <row r="9" spans="1:18" ht="15" customHeight="1" x14ac:dyDescent="0.2">
      <c r="A9" s="38" t="s">
        <v>51</v>
      </c>
      <c r="B9" s="371">
        <v>107027</v>
      </c>
      <c r="C9" s="259">
        <v>77766</v>
      </c>
      <c r="D9" s="259">
        <v>14</v>
      </c>
      <c r="E9" s="259">
        <v>184807</v>
      </c>
      <c r="F9" s="379">
        <v>2.1951122465387499E-2</v>
      </c>
      <c r="G9" s="366">
        <v>1.59497228703348E-2</v>
      </c>
      <c r="H9" s="366">
        <v>2.8713849263776902E-6</v>
      </c>
      <c r="I9" s="380">
        <v>3.7903716720648677E-2</v>
      </c>
      <c r="J9" s="527"/>
      <c r="K9" s="395"/>
      <c r="L9" s="395"/>
      <c r="M9" s="395"/>
      <c r="N9" s="395"/>
      <c r="O9" s="394"/>
      <c r="P9" s="394"/>
      <c r="Q9" s="394"/>
      <c r="R9" s="433"/>
    </row>
    <row r="10" spans="1:18" ht="15" customHeight="1" x14ac:dyDescent="0.2">
      <c r="A10" s="38" t="s">
        <v>52</v>
      </c>
      <c r="B10" s="371">
        <v>35824</v>
      </c>
      <c r="C10" s="259">
        <v>25647</v>
      </c>
      <c r="D10" s="259">
        <v>6</v>
      </c>
      <c r="E10" s="259">
        <v>61477</v>
      </c>
      <c r="F10" s="379">
        <v>7.34746382875388E-3</v>
      </c>
      <c r="G10" s="366">
        <v>5.26017208620062E-3</v>
      </c>
      <c r="H10" s="366">
        <v>1.23059353987615E-6</v>
      </c>
      <c r="I10" s="380">
        <v>1.2608866508494377E-2</v>
      </c>
      <c r="J10" s="527"/>
      <c r="K10" s="395"/>
      <c r="L10" s="395"/>
      <c r="M10" s="395"/>
      <c r="N10" s="395"/>
      <c r="O10" s="394"/>
      <c r="P10" s="394"/>
      <c r="Q10" s="394"/>
      <c r="R10" s="433"/>
    </row>
    <row r="11" spans="1:18" ht="15" customHeight="1" x14ac:dyDescent="0.2">
      <c r="A11" s="38" t="s">
        <v>53</v>
      </c>
      <c r="B11" s="371">
        <v>32650</v>
      </c>
      <c r="C11" s="259">
        <v>30512</v>
      </c>
      <c r="D11" s="259">
        <v>11</v>
      </c>
      <c r="E11" s="259">
        <v>63173</v>
      </c>
      <c r="F11" s="379">
        <v>6.6964798461594003E-3</v>
      </c>
      <c r="G11" s="366">
        <v>6.25797834811686E-3</v>
      </c>
      <c r="H11" s="366">
        <v>2.2560881564396098E-6</v>
      </c>
      <c r="I11" s="380">
        <v>1.29567142824327E-2</v>
      </c>
      <c r="J11" s="527"/>
      <c r="K11" s="395"/>
      <c r="L11" s="395"/>
      <c r="M11" s="395"/>
      <c r="N11" s="395"/>
      <c r="O11" s="394"/>
      <c r="P11" s="394"/>
      <c r="Q11" s="394"/>
      <c r="R11" s="433"/>
    </row>
    <row r="12" spans="1:18" ht="15" customHeight="1" x14ac:dyDescent="0.2">
      <c r="A12" s="38" t="s">
        <v>54</v>
      </c>
      <c r="B12" s="371">
        <v>8762</v>
      </c>
      <c r="C12" s="259">
        <v>10711</v>
      </c>
      <c r="D12" s="259">
        <v>5</v>
      </c>
      <c r="E12" s="259">
        <v>19478</v>
      </c>
      <c r="F12" s="379">
        <v>1.7970767660658101E-3</v>
      </c>
      <c r="G12" s="366">
        <v>2.19681456760225E-3</v>
      </c>
      <c r="H12" s="366">
        <v>1.02549461656346E-6</v>
      </c>
      <c r="I12" s="380">
        <v>3.9949168282846234E-3</v>
      </c>
      <c r="J12" s="527"/>
      <c r="K12" s="395"/>
      <c r="L12" s="395"/>
      <c r="M12" s="395"/>
      <c r="N12" s="395"/>
      <c r="O12" s="394"/>
      <c r="P12" s="394"/>
      <c r="Q12" s="394"/>
      <c r="R12" s="433"/>
    </row>
    <row r="13" spans="1:18" ht="15" customHeight="1" x14ac:dyDescent="0.2">
      <c r="A13" s="38" t="s">
        <v>55</v>
      </c>
      <c r="B13" s="371">
        <v>10037</v>
      </c>
      <c r="C13" s="259">
        <v>12822</v>
      </c>
      <c r="D13" s="259">
        <v>4</v>
      </c>
      <c r="E13" s="259">
        <v>22863</v>
      </c>
      <c r="F13" s="379">
        <v>2.0585778932894899E-3</v>
      </c>
      <c r="G13" s="366">
        <v>2.62977839471534E-3</v>
      </c>
      <c r="H13" s="366">
        <v>8.2039569325076904E-7</v>
      </c>
      <c r="I13" s="380">
        <v>4.6891766836980805E-3</v>
      </c>
      <c r="J13" s="527"/>
      <c r="K13" s="395"/>
      <c r="L13" s="395"/>
      <c r="M13" s="395"/>
      <c r="N13" s="395"/>
      <c r="O13" s="394"/>
      <c r="P13" s="394"/>
      <c r="Q13" s="394"/>
      <c r="R13" s="433"/>
    </row>
    <row r="14" spans="1:18" ht="15" customHeight="1" x14ac:dyDescent="0.2">
      <c r="A14" s="38" t="s">
        <v>56</v>
      </c>
      <c r="B14" s="371">
        <v>11967</v>
      </c>
      <c r="C14" s="259">
        <v>16503</v>
      </c>
      <c r="D14" s="259">
        <v>4</v>
      </c>
      <c r="E14" s="259">
        <v>28474</v>
      </c>
      <c r="F14" s="379">
        <v>2.4544188152829899E-3</v>
      </c>
      <c r="G14" s="366">
        <v>3.3847475314293602E-3</v>
      </c>
      <c r="H14" s="366">
        <v>8.2039569325076904E-7</v>
      </c>
      <c r="I14" s="380">
        <v>5.8399867424056007E-3</v>
      </c>
      <c r="J14" s="527"/>
      <c r="K14" s="395"/>
      <c r="L14" s="395"/>
      <c r="M14" s="395"/>
      <c r="N14" s="395"/>
      <c r="O14" s="394"/>
      <c r="P14" s="394"/>
      <c r="Q14" s="394"/>
      <c r="R14" s="433"/>
    </row>
    <row r="15" spans="1:18" ht="15" customHeight="1" x14ac:dyDescent="0.2">
      <c r="A15" s="38" t="s">
        <v>57</v>
      </c>
      <c r="B15" s="371">
        <v>16769</v>
      </c>
      <c r="C15" s="259">
        <v>22933</v>
      </c>
      <c r="D15" s="259">
        <v>13</v>
      </c>
      <c r="E15" s="259">
        <v>39715</v>
      </c>
      <c r="F15" s="379">
        <v>3.4393038450305398E-3</v>
      </c>
      <c r="G15" s="366">
        <v>4.7035336083299699E-3</v>
      </c>
      <c r="H15" s="366">
        <v>2.666286003065E-6</v>
      </c>
      <c r="I15" s="380">
        <v>8.145503739363574E-3</v>
      </c>
      <c r="J15" s="527"/>
      <c r="K15" s="395"/>
      <c r="L15" s="395"/>
      <c r="M15" s="395"/>
      <c r="N15" s="395"/>
      <c r="O15" s="394"/>
      <c r="P15" s="394"/>
      <c r="Q15" s="394"/>
      <c r="R15" s="433"/>
    </row>
    <row r="16" spans="1:18" ht="15" customHeight="1" x14ac:dyDescent="0.2">
      <c r="A16" s="38" t="s">
        <v>58</v>
      </c>
      <c r="B16" s="371">
        <v>18688</v>
      </c>
      <c r="C16" s="259">
        <v>25190</v>
      </c>
      <c r="D16" s="259">
        <v>18</v>
      </c>
      <c r="E16" s="259">
        <v>43896</v>
      </c>
      <c r="F16" s="379">
        <v>3.8328886788675902E-3</v>
      </c>
      <c r="G16" s="366">
        <v>5.1664418782467201E-3</v>
      </c>
      <c r="H16" s="366">
        <v>3.69178061962846E-6</v>
      </c>
      <c r="I16" s="380">
        <v>9.0030223377339375E-3</v>
      </c>
      <c r="J16" s="527"/>
      <c r="K16" s="395"/>
      <c r="L16" s="395"/>
      <c r="M16" s="395"/>
      <c r="N16" s="395"/>
      <c r="O16" s="394"/>
      <c r="P16" s="394"/>
      <c r="Q16" s="394"/>
      <c r="R16" s="433"/>
    </row>
    <row r="17" spans="1:18" ht="15" customHeight="1" x14ac:dyDescent="0.2">
      <c r="A17" s="38" t="s">
        <v>59</v>
      </c>
      <c r="B17" s="371">
        <v>92937</v>
      </c>
      <c r="C17" s="259">
        <v>119197</v>
      </c>
      <c r="D17" s="259">
        <v>61</v>
      </c>
      <c r="E17" s="259">
        <v>212195</v>
      </c>
      <c r="F17" s="379">
        <v>1.9061278635911699E-2</v>
      </c>
      <c r="G17" s="366">
        <v>2.4447176362103001E-2</v>
      </c>
      <c r="H17" s="366">
        <v>1.2511034322074199E-5</v>
      </c>
      <c r="I17" s="380">
        <v>4.3520966032336773E-2</v>
      </c>
      <c r="J17" s="527"/>
      <c r="K17" s="395"/>
      <c r="L17" s="395"/>
      <c r="M17" s="395"/>
      <c r="N17" s="395"/>
      <c r="O17" s="394"/>
      <c r="P17" s="394"/>
      <c r="Q17" s="394"/>
      <c r="R17" s="433"/>
    </row>
    <row r="18" spans="1:18" ht="15" customHeight="1" x14ac:dyDescent="0.2">
      <c r="A18" s="38" t="s">
        <v>60</v>
      </c>
      <c r="B18" s="371">
        <v>100334</v>
      </c>
      <c r="C18" s="259">
        <v>117133</v>
      </c>
      <c r="D18" s="259">
        <v>38</v>
      </c>
      <c r="E18" s="259">
        <v>217505</v>
      </c>
      <c r="F18" s="379">
        <v>2.0578395371655699E-2</v>
      </c>
      <c r="G18" s="366">
        <v>2.4023852184385599E-2</v>
      </c>
      <c r="H18" s="366">
        <v>7.7937590858822995E-6</v>
      </c>
      <c r="I18" s="380">
        <v>4.4610041315127177E-2</v>
      </c>
      <c r="J18" s="527"/>
      <c r="K18" s="395"/>
      <c r="L18" s="395"/>
      <c r="M18" s="395"/>
      <c r="N18" s="395"/>
      <c r="O18" s="394"/>
      <c r="P18" s="394"/>
      <c r="Q18" s="394"/>
      <c r="R18" s="433"/>
    </row>
    <row r="19" spans="1:18" ht="15" customHeight="1" x14ac:dyDescent="0.2">
      <c r="A19" s="38" t="s">
        <v>61</v>
      </c>
      <c r="B19" s="371">
        <v>98677</v>
      </c>
      <c r="C19" s="259">
        <v>109697</v>
      </c>
      <c r="D19" s="259">
        <v>53</v>
      </c>
      <c r="E19" s="259">
        <v>208427</v>
      </c>
      <c r="F19" s="379">
        <v>2.0238546455726501E-2</v>
      </c>
      <c r="G19" s="366">
        <v>2.2498736590632399E-2</v>
      </c>
      <c r="H19" s="366">
        <v>1.0870242935572699E-5</v>
      </c>
      <c r="I19" s="380">
        <v>4.2748153289294474E-2</v>
      </c>
      <c r="J19" s="527"/>
      <c r="K19" s="395"/>
      <c r="L19" s="395"/>
      <c r="M19" s="395"/>
      <c r="N19" s="395"/>
      <c r="O19" s="394"/>
      <c r="P19" s="394"/>
      <c r="Q19" s="394"/>
      <c r="R19" s="433"/>
    </row>
    <row r="20" spans="1:18" ht="15" customHeight="1" x14ac:dyDescent="0.2">
      <c r="A20" s="38" t="s">
        <v>62</v>
      </c>
      <c r="B20" s="371">
        <v>96957</v>
      </c>
      <c r="C20" s="259">
        <v>100984</v>
      </c>
      <c r="D20" s="259">
        <v>39</v>
      </c>
      <c r="E20" s="259">
        <v>197980</v>
      </c>
      <c r="F20" s="379">
        <v>1.9885776307628701E-2</v>
      </c>
      <c r="G20" s="366">
        <v>2.0711709671808898E-2</v>
      </c>
      <c r="H20" s="366">
        <v>7.9988580091950008E-6</v>
      </c>
      <c r="I20" s="380">
        <v>4.0605484837446797E-2</v>
      </c>
      <c r="J20" s="527"/>
      <c r="K20" s="395"/>
      <c r="L20" s="395"/>
      <c r="M20" s="395"/>
      <c r="N20" s="395"/>
      <c r="O20" s="394"/>
      <c r="P20" s="394"/>
      <c r="Q20" s="394"/>
      <c r="R20" s="433"/>
    </row>
    <row r="21" spans="1:18" ht="15" customHeight="1" x14ac:dyDescent="0.2">
      <c r="A21" s="38" t="s">
        <v>63</v>
      </c>
      <c r="B21" s="371">
        <v>94835</v>
      </c>
      <c r="C21" s="259">
        <v>92128</v>
      </c>
      <c r="D21" s="259">
        <v>33</v>
      </c>
      <c r="E21" s="259">
        <v>186996</v>
      </c>
      <c r="F21" s="379">
        <v>1.9450556392359201E-2</v>
      </c>
      <c r="G21" s="366">
        <v>1.8895353606951701E-2</v>
      </c>
      <c r="H21" s="366">
        <v>6.76826446931884E-6</v>
      </c>
      <c r="I21" s="380">
        <v>3.8352678263780221E-2</v>
      </c>
      <c r="J21" s="527"/>
      <c r="K21" s="395"/>
      <c r="L21" s="395"/>
      <c r="M21" s="395"/>
      <c r="N21" s="395"/>
      <c r="O21" s="394"/>
      <c r="P21" s="394"/>
      <c r="Q21" s="394"/>
      <c r="R21" s="433"/>
    </row>
    <row r="22" spans="1:18" ht="15" customHeight="1" x14ac:dyDescent="0.2">
      <c r="A22" s="38" t="s">
        <v>64</v>
      </c>
      <c r="B22" s="371">
        <v>113488</v>
      </c>
      <c r="C22" s="259">
        <v>108459</v>
      </c>
      <c r="D22" s="259">
        <v>24</v>
      </c>
      <c r="E22" s="259">
        <v>221971</v>
      </c>
      <c r="F22" s="379">
        <v>2.3276266608910801E-2</v>
      </c>
      <c r="G22" s="366">
        <v>2.2244824123571299E-2</v>
      </c>
      <c r="H22" s="366">
        <v>4.9223741595046102E-6</v>
      </c>
      <c r="I22" s="380">
        <v>4.5526013106641609E-2</v>
      </c>
      <c r="J22" s="527"/>
      <c r="K22" s="395"/>
      <c r="L22" s="395"/>
      <c r="M22" s="395"/>
      <c r="N22" s="395"/>
      <c r="O22" s="394"/>
      <c r="P22" s="394"/>
      <c r="Q22" s="394"/>
      <c r="R22" s="433"/>
    </row>
    <row r="23" spans="1:18" ht="15" customHeight="1" x14ac:dyDescent="0.2">
      <c r="A23" s="38" t="s">
        <v>65</v>
      </c>
      <c r="B23" s="371">
        <v>129075</v>
      </c>
      <c r="C23" s="259">
        <v>118467</v>
      </c>
      <c r="D23" s="259">
        <v>39</v>
      </c>
      <c r="E23" s="259">
        <v>247581</v>
      </c>
      <c r="F23" s="379">
        <v>2.64731435265857E-2</v>
      </c>
      <c r="G23" s="366">
        <v>2.42974541480847E-2</v>
      </c>
      <c r="H23" s="366">
        <v>7.9988580091950008E-6</v>
      </c>
      <c r="I23" s="380">
        <v>5.0778596532679597E-2</v>
      </c>
      <c r="J23" s="527"/>
      <c r="K23" s="395"/>
      <c r="L23" s="395"/>
      <c r="M23" s="395"/>
      <c r="N23" s="395"/>
      <c r="O23" s="394"/>
      <c r="P23" s="394"/>
      <c r="Q23" s="394"/>
      <c r="R23" s="433"/>
    </row>
    <row r="24" spans="1:18" ht="15" customHeight="1" x14ac:dyDescent="0.2">
      <c r="A24" s="38" t="s">
        <v>66</v>
      </c>
      <c r="B24" s="371">
        <v>130941</v>
      </c>
      <c r="C24" s="259">
        <v>114452</v>
      </c>
      <c r="D24" s="259">
        <v>29</v>
      </c>
      <c r="E24" s="259">
        <v>245422</v>
      </c>
      <c r="F24" s="379">
        <v>2.68558581174872E-2</v>
      </c>
      <c r="G24" s="366">
        <v>2.3473981970984201E-2</v>
      </c>
      <c r="H24" s="366">
        <v>5.9478687760680698E-6</v>
      </c>
      <c r="I24" s="380">
        <v>5.0335787957247469E-2</v>
      </c>
      <c r="J24" s="527"/>
      <c r="K24" s="395"/>
      <c r="L24" s="395"/>
      <c r="M24" s="395"/>
      <c r="N24" s="395"/>
      <c r="O24" s="394"/>
      <c r="P24" s="394"/>
      <c r="Q24" s="394"/>
      <c r="R24" s="433"/>
    </row>
    <row r="25" spans="1:18" ht="15" customHeight="1" x14ac:dyDescent="0.2">
      <c r="A25" s="38" t="s">
        <v>67</v>
      </c>
      <c r="B25" s="371">
        <v>129607</v>
      </c>
      <c r="C25" s="259">
        <v>109184</v>
      </c>
      <c r="D25" s="259">
        <v>15</v>
      </c>
      <c r="E25" s="259">
        <v>238806</v>
      </c>
      <c r="F25" s="379">
        <v>2.6582256153788099E-2</v>
      </c>
      <c r="G25" s="366">
        <v>2.2393520842973001E-2</v>
      </c>
      <c r="H25" s="366">
        <v>3.07648384969038E-6</v>
      </c>
      <c r="I25" s="380">
        <v>4.897885348061079E-2</v>
      </c>
      <c r="J25" s="527"/>
      <c r="K25" s="395"/>
      <c r="L25" s="395"/>
      <c r="M25" s="395"/>
      <c r="N25" s="395"/>
      <c r="O25" s="394"/>
      <c r="P25" s="394"/>
      <c r="Q25" s="394"/>
      <c r="R25" s="433"/>
    </row>
    <row r="26" spans="1:18" ht="15" customHeight="1" x14ac:dyDescent="0.2">
      <c r="A26" s="38" t="s">
        <v>68</v>
      </c>
      <c r="B26" s="371">
        <v>142055</v>
      </c>
      <c r="C26" s="259">
        <v>123507</v>
      </c>
      <c r="D26" s="259">
        <v>5</v>
      </c>
      <c r="E26" s="259">
        <v>265567</v>
      </c>
      <c r="F26" s="379">
        <v>2.91353275511845E-2</v>
      </c>
      <c r="G26" s="366">
        <v>2.5331152721580701E-2</v>
      </c>
      <c r="H26" s="366">
        <v>1.02549461656346E-6</v>
      </c>
      <c r="I26" s="380">
        <v>5.4467505767381762E-2</v>
      </c>
      <c r="J26" s="527"/>
      <c r="K26" s="395"/>
      <c r="L26" s="395"/>
      <c r="M26" s="395"/>
      <c r="N26" s="395"/>
      <c r="O26" s="394"/>
      <c r="P26" s="394"/>
      <c r="Q26" s="394"/>
      <c r="R26" s="433"/>
    </row>
    <row r="27" spans="1:18" ht="15" customHeight="1" x14ac:dyDescent="0.2">
      <c r="A27" s="38" t="s">
        <v>69</v>
      </c>
      <c r="B27" s="371">
        <v>181544</v>
      </c>
      <c r="C27" s="259">
        <v>171749</v>
      </c>
      <c r="D27" s="259">
        <v>15</v>
      </c>
      <c r="E27" s="259">
        <v>353308</v>
      </c>
      <c r="F27" s="379">
        <v>3.7234478933879399E-2</v>
      </c>
      <c r="G27" s="366">
        <v>3.52255349800316E-2</v>
      </c>
      <c r="H27" s="366">
        <v>3.07648384969038E-6</v>
      </c>
      <c r="I27" s="380">
        <v>7.2463090397760679E-2</v>
      </c>
      <c r="J27" s="527"/>
      <c r="K27" s="395"/>
      <c r="L27" s="395"/>
      <c r="M27" s="395"/>
      <c r="N27" s="395"/>
      <c r="O27" s="394"/>
      <c r="P27" s="394"/>
      <c r="Q27" s="394"/>
      <c r="R27" s="433"/>
    </row>
    <row r="28" spans="1:18" ht="15" customHeight="1" x14ac:dyDescent="0.2">
      <c r="A28" s="38" t="s">
        <v>70</v>
      </c>
      <c r="B28" s="371">
        <v>191148</v>
      </c>
      <c r="C28" s="259">
        <v>199106</v>
      </c>
      <c r="D28" s="259">
        <v>10</v>
      </c>
      <c r="E28" s="259">
        <v>390264</v>
      </c>
      <c r="F28" s="379">
        <v>3.9204248993374498E-2</v>
      </c>
      <c r="G28" s="366">
        <v>4.0836426225096902E-2</v>
      </c>
      <c r="H28" s="366">
        <v>2.05098923312692E-6</v>
      </c>
      <c r="I28" s="380">
        <v>8.0042726207704529E-2</v>
      </c>
      <c r="J28" s="527"/>
      <c r="K28" s="395"/>
      <c r="L28" s="395"/>
      <c r="M28" s="395"/>
      <c r="N28" s="395"/>
      <c r="O28" s="394"/>
      <c r="P28" s="394"/>
      <c r="Q28" s="394"/>
      <c r="R28" s="433"/>
    </row>
    <row r="29" spans="1:18" ht="15" customHeight="1" x14ac:dyDescent="0.2">
      <c r="A29" s="38" t="s">
        <v>71</v>
      </c>
      <c r="B29" s="371">
        <v>212178</v>
      </c>
      <c r="C29" s="259">
        <v>252604</v>
      </c>
      <c r="D29" s="259">
        <v>15</v>
      </c>
      <c r="E29" s="259">
        <v>464797</v>
      </c>
      <c r="F29" s="379">
        <v>4.3517479350640403E-2</v>
      </c>
      <c r="G29" s="366">
        <v>5.1808808424479297E-2</v>
      </c>
      <c r="H29" s="366">
        <v>3.07648384969038E-6</v>
      </c>
      <c r="I29" s="380">
        <v>9.5329364258969387E-2</v>
      </c>
      <c r="J29" s="527"/>
      <c r="K29" s="395"/>
      <c r="L29" s="395"/>
      <c r="M29" s="395"/>
      <c r="N29" s="395"/>
      <c r="O29" s="394"/>
      <c r="P29" s="394"/>
      <c r="Q29" s="394"/>
      <c r="R29" s="433"/>
    </row>
    <row r="30" spans="1:18" ht="15" customHeight="1" x14ac:dyDescent="0.2">
      <c r="A30" s="38" t="s">
        <v>72</v>
      </c>
      <c r="B30" s="371">
        <v>180990</v>
      </c>
      <c r="C30" s="259">
        <v>259226</v>
      </c>
      <c r="D30" s="259">
        <v>23</v>
      </c>
      <c r="E30" s="259">
        <v>440239</v>
      </c>
      <c r="F30" s="379">
        <v>3.71208541303642E-2</v>
      </c>
      <c r="G30" s="366">
        <v>5.3166973494655899E-2</v>
      </c>
      <c r="H30" s="366">
        <v>4.71727523619192E-6</v>
      </c>
      <c r="I30" s="380">
        <v>9.0292544900256302E-2</v>
      </c>
      <c r="J30" s="527"/>
      <c r="K30" s="395"/>
      <c r="L30" s="395"/>
      <c r="M30" s="395"/>
      <c r="N30" s="395"/>
      <c r="O30" s="394"/>
      <c r="P30" s="394"/>
      <c r="Q30" s="394"/>
      <c r="R30" s="433"/>
    </row>
    <row r="31" spans="1:18" ht="15" customHeight="1" x14ac:dyDescent="0.2">
      <c r="A31" s="38" t="s">
        <v>73</v>
      </c>
      <c r="B31" s="371">
        <v>121353</v>
      </c>
      <c r="C31" s="259">
        <v>237089</v>
      </c>
      <c r="D31" s="259">
        <v>253</v>
      </c>
      <c r="E31" s="259">
        <v>358695</v>
      </c>
      <c r="F31" s="379">
        <v>2.4889369640765099E-2</v>
      </c>
      <c r="G31" s="366">
        <v>4.86266986292829E-2</v>
      </c>
      <c r="H31" s="366">
        <v>5.1890027598111099E-5</v>
      </c>
      <c r="I31" s="380">
        <v>7.3567958297646119E-2</v>
      </c>
      <c r="J31" s="527"/>
      <c r="K31" s="395"/>
      <c r="L31" s="395"/>
      <c r="M31" s="395"/>
      <c r="N31" s="395"/>
      <c r="O31" s="394"/>
      <c r="P31" s="394"/>
      <c r="Q31" s="394"/>
      <c r="R31" s="394"/>
    </row>
    <row r="32" spans="1:18" ht="15" customHeight="1" thickBot="1" x14ac:dyDescent="0.25">
      <c r="A32" s="38" t="s">
        <v>8</v>
      </c>
      <c r="B32" s="372">
        <v>31562</v>
      </c>
      <c r="C32" s="365">
        <v>33525</v>
      </c>
      <c r="D32" s="365">
        <v>147</v>
      </c>
      <c r="E32" s="259">
        <v>65234</v>
      </c>
      <c r="F32" s="381">
        <v>6.4733322175951902E-3</v>
      </c>
      <c r="G32" s="382">
        <v>6.8759414040579997E-3</v>
      </c>
      <c r="H32" s="382">
        <v>3.0149541726965799E-5</v>
      </c>
      <c r="I32" s="383">
        <v>1.3379423163380155E-2</v>
      </c>
      <c r="J32" s="527"/>
      <c r="K32" s="395"/>
      <c r="L32" s="395"/>
      <c r="M32" s="395"/>
      <c r="N32" s="395"/>
      <c r="O32" s="394"/>
      <c r="P32" s="394"/>
      <c r="Q32" s="394"/>
      <c r="R32" s="394"/>
    </row>
    <row r="33" spans="1:18" ht="15" customHeight="1" thickBot="1" x14ac:dyDescent="0.25">
      <c r="A33" s="364" t="s">
        <v>48</v>
      </c>
      <c r="B33" s="367">
        <v>2344437</v>
      </c>
      <c r="C33" s="497">
        <v>2530364</v>
      </c>
      <c r="D33" s="497">
        <v>895</v>
      </c>
      <c r="E33" s="498">
        <v>4875696</v>
      </c>
      <c r="F33" s="441">
        <v>0.48084150447443808</v>
      </c>
      <c r="G33" s="499">
        <v>0.51897493198919709</v>
      </c>
      <c r="H33" s="499">
        <v>1.8356353636485949E-4</v>
      </c>
      <c r="I33" s="500">
        <v>1.0000000000000002</v>
      </c>
      <c r="J33" s="393"/>
      <c r="K33" s="394"/>
      <c r="L33" s="394"/>
      <c r="M33" s="394"/>
      <c r="N33" s="394"/>
      <c r="O33" s="394"/>
      <c r="P33" s="394"/>
      <c r="Q33" s="394"/>
      <c r="R33" s="394"/>
    </row>
    <row r="34" spans="1:18" x14ac:dyDescent="0.2">
      <c r="A34" s="48"/>
      <c r="B34" s="48"/>
      <c r="C34" s="48"/>
      <c r="D34" s="48"/>
      <c r="E34" s="48"/>
      <c r="F34" s="48"/>
      <c r="G34" s="48"/>
      <c r="H34" s="48"/>
      <c r="I34" s="48"/>
      <c r="J34" s="393"/>
      <c r="K34" s="394"/>
      <c r="L34" s="394"/>
      <c r="M34" s="394"/>
      <c r="N34" s="394"/>
      <c r="O34" s="394"/>
      <c r="P34" s="394"/>
      <c r="Q34" s="394"/>
      <c r="R34" s="394"/>
    </row>
    <row r="35" spans="1:18" ht="16.5" customHeight="1" thickBot="1" x14ac:dyDescent="0.25">
      <c r="A35" s="602" t="s">
        <v>10</v>
      </c>
      <c r="B35" s="602"/>
      <c r="C35" s="602"/>
      <c r="D35" s="602"/>
      <c r="E35" s="602"/>
      <c r="F35" s="602"/>
      <c r="G35" s="602"/>
      <c r="H35" s="602"/>
      <c r="I35" s="602"/>
      <c r="J35" s="602"/>
    </row>
    <row r="36" spans="1:18" ht="16.5" customHeight="1" x14ac:dyDescent="0.2">
      <c r="A36" s="445" t="s">
        <v>1035</v>
      </c>
      <c r="B36" s="445"/>
      <c r="C36" s="445"/>
      <c r="D36" s="445"/>
      <c r="E36" s="445"/>
      <c r="F36" s="445"/>
      <c r="G36" s="445"/>
      <c r="H36" s="445"/>
      <c r="I36" s="445"/>
      <c r="J36" s="445"/>
    </row>
    <row r="37" spans="1:18" ht="16.5" customHeight="1" x14ac:dyDescent="0.2">
      <c r="A37" s="547" t="s">
        <v>587</v>
      </c>
      <c r="B37" s="547"/>
      <c r="C37" s="547"/>
      <c r="D37" s="547"/>
      <c r="E37" s="547"/>
      <c r="F37" s="547"/>
      <c r="G37" s="547"/>
      <c r="H37" s="116"/>
      <c r="I37" s="116"/>
      <c r="J37" s="116"/>
      <c r="K37" s="116"/>
      <c r="L37" s="116"/>
      <c r="M37" s="116"/>
      <c r="N37" s="116"/>
      <c r="O37" s="116"/>
      <c r="P37" s="116"/>
      <c r="Q37" s="116"/>
      <c r="R37" s="116"/>
    </row>
    <row r="38" spans="1:18" ht="16.5" customHeight="1" x14ac:dyDescent="0.2">
      <c r="A38" s="603" t="s">
        <v>441</v>
      </c>
      <c r="B38" s="603"/>
      <c r="C38" s="603"/>
      <c r="D38" s="603"/>
      <c r="E38" s="603"/>
      <c r="F38" s="603"/>
      <c r="G38" s="603"/>
      <c r="H38" s="603"/>
      <c r="I38" s="603"/>
      <c r="J38" s="603"/>
    </row>
    <row r="39" spans="1:18" ht="13.5" thickBot="1" x14ac:dyDescent="0.25">
      <c r="A39" s="604" t="s">
        <v>945</v>
      </c>
      <c r="B39" s="604"/>
      <c r="C39" s="604"/>
      <c r="D39" s="604"/>
      <c r="E39" s="604"/>
      <c r="F39" s="604"/>
      <c r="G39" s="604"/>
      <c r="H39" s="604"/>
      <c r="I39" s="604"/>
      <c r="J39" s="604"/>
    </row>
    <row r="40" spans="1:18" x14ac:dyDescent="0.2">
      <c r="A40" s="186"/>
      <c r="B40" s="48"/>
      <c r="C40" s="48"/>
      <c r="D40" s="48"/>
      <c r="E40" s="48"/>
      <c r="F40" s="48"/>
      <c r="G40" s="48"/>
      <c r="H40" s="48"/>
      <c r="I40" s="48"/>
      <c r="J40" s="186"/>
    </row>
    <row r="41" spans="1:18" x14ac:dyDescent="0.2">
      <c r="A41" s="176" t="s">
        <v>470</v>
      </c>
      <c r="B41" s="48"/>
      <c r="C41" s="48"/>
      <c r="D41" s="48"/>
      <c r="E41" s="48"/>
      <c r="F41" s="48"/>
      <c r="G41" s="48"/>
      <c r="H41" s="48"/>
      <c r="I41" s="48"/>
      <c r="J41" s="48"/>
    </row>
  </sheetData>
  <mergeCells count="10">
    <mergeCell ref="A35:J35"/>
    <mergeCell ref="A38:J38"/>
    <mergeCell ref="A39:J39"/>
    <mergeCell ref="A37:G37"/>
    <mergeCell ref="A2:I2"/>
    <mergeCell ref="A3:I3"/>
    <mergeCell ref="A6:A7"/>
    <mergeCell ref="B6:E6"/>
    <mergeCell ref="F6:I6"/>
    <mergeCell ref="A4:F4"/>
  </mergeCells>
  <hyperlinks>
    <hyperlink ref="A38:I38" r:id="rId1" display="Contact via enquiries@NHSDigital.nhs.uk or 0300 303 5678" xr:uid="{00000000-0004-0000-1F00-000000000000}"/>
    <hyperlink ref="A41" location="Contents!A1" display="Return to Contents" xr:uid="{00000000-0004-0000-1F00-000001000000}"/>
  </hyperlinks>
  <pageMargins left="0.7" right="0.7" top="0.75" bottom="0.75" header="0.3" footer="0.3"/>
  <pageSetup paperSize="9" scale="89" fitToHeight="0" orientation="landscape" r:id="rId2"/>
  <ignoredErrors>
    <ignoredError sqref="A8 A12:A16" numberStoredAsText="1"/>
    <ignoredError sqref="A11" twoDigitTextYear="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4">
    <pageSetUpPr fitToPage="1"/>
  </sheetPr>
  <dimension ref="A1:N43"/>
  <sheetViews>
    <sheetView showGridLines="0" workbookViewId="0"/>
  </sheetViews>
  <sheetFormatPr defaultColWidth="9.140625" defaultRowHeight="12.75" x14ac:dyDescent="0.2"/>
  <cols>
    <col min="1" max="1" width="21.42578125" style="49" customWidth="1"/>
    <col min="2" max="5" width="17.85546875" style="49" customWidth="1"/>
    <col min="6" max="6" width="13.42578125" style="49" customWidth="1"/>
    <col min="7" max="16384" width="9.140625" style="49"/>
  </cols>
  <sheetData>
    <row r="1" spans="1:6" ht="15" customHeight="1" x14ac:dyDescent="0.2"/>
    <row r="2" spans="1:6" ht="56.25" customHeight="1" x14ac:dyDescent="0.2">
      <c r="A2" s="618" t="s">
        <v>959</v>
      </c>
      <c r="B2" s="618"/>
      <c r="C2" s="618"/>
      <c r="D2" s="618"/>
      <c r="E2" s="618"/>
      <c r="F2" s="618"/>
    </row>
    <row r="3" spans="1:6" ht="15" customHeight="1" x14ac:dyDescent="0.2">
      <c r="A3" s="619" t="s">
        <v>590</v>
      </c>
      <c r="B3" s="619"/>
      <c r="C3" s="619"/>
      <c r="D3" s="619"/>
      <c r="E3" s="619"/>
      <c r="F3" s="619"/>
    </row>
    <row r="4" spans="1:6" ht="15" customHeight="1" x14ac:dyDescent="0.2">
      <c r="A4" s="558" t="s">
        <v>1050</v>
      </c>
      <c r="B4" s="558"/>
      <c r="C4" s="558"/>
      <c r="D4" s="558"/>
      <c r="E4" s="558"/>
      <c r="F4" s="558"/>
    </row>
    <row r="5" spans="1:6" ht="11.25" customHeight="1" thickBot="1" x14ac:dyDescent="0.25">
      <c r="A5" s="322"/>
      <c r="B5" s="322"/>
      <c r="C5" s="322"/>
      <c r="D5" s="322"/>
      <c r="E5" s="322"/>
      <c r="F5" s="322"/>
    </row>
    <row r="6" spans="1:6" ht="15" customHeight="1" thickBot="1" x14ac:dyDescent="0.25">
      <c r="A6" s="615" t="s">
        <v>588</v>
      </c>
      <c r="B6" s="617" t="s">
        <v>505</v>
      </c>
      <c r="C6" s="613"/>
      <c r="D6" s="611" t="s">
        <v>33</v>
      </c>
      <c r="E6" s="613"/>
      <c r="F6" s="322"/>
    </row>
    <row r="7" spans="1:6" ht="30" customHeight="1" thickBot="1" x14ac:dyDescent="0.25">
      <c r="A7" s="616"/>
      <c r="B7" s="129" t="s">
        <v>38</v>
      </c>
      <c r="C7" s="130" t="s">
        <v>39</v>
      </c>
      <c r="D7" s="129" t="s">
        <v>38</v>
      </c>
      <c r="E7" s="130" t="s">
        <v>39</v>
      </c>
      <c r="F7" s="322"/>
    </row>
    <row r="8" spans="1:6" ht="15" customHeight="1" x14ac:dyDescent="0.2">
      <c r="A8" s="326">
        <v>0</v>
      </c>
      <c r="B8" s="260">
        <v>96826</v>
      </c>
      <c r="C8" s="262">
        <v>1.9858908348674702E-2</v>
      </c>
      <c r="D8" s="260">
        <v>523016</v>
      </c>
      <c r="E8" s="262">
        <v>2.9900039166137999E-2</v>
      </c>
      <c r="F8" s="322"/>
    </row>
    <row r="9" spans="1:6" ht="15" customHeight="1" x14ac:dyDescent="0.2">
      <c r="A9" s="184" t="s">
        <v>51</v>
      </c>
      <c r="B9" s="260">
        <v>184807</v>
      </c>
      <c r="C9" s="262">
        <v>3.7903716720648697E-2</v>
      </c>
      <c r="D9" s="260">
        <v>1422941</v>
      </c>
      <c r="E9" s="262">
        <v>8.1347399756610803E-2</v>
      </c>
      <c r="F9" s="322"/>
    </row>
    <row r="10" spans="1:6" ht="15" customHeight="1" x14ac:dyDescent="0.2">
      <c r="A10" s="184" t="s">
        <v>52</v>
      </c>
      <c r="B10" s="260">
        <v>61477</v>
      </c>
      <c r="C10" s="262">
        <v>1.2608866508494399E-2</v>
      </c>
      <c r="D10" s="260">
        <v>1030020</v>
      </c>
      <c r="E10" s="262">
        <v>5.8884696341805001E-2</v>
      </c>
      <c r="F10" s="322"/>
    </row>
    <row r="11" spans="1:6" ht="15" customHeight="1" x14ac:dyDescent="0.2">
      <c r="A11" s="184" t="s">
        <v>53</v>
      </c>
      <c r="B11" s="260">
        <v>63173</v>
      </c>
      <c r="C11" s="262">
        <v>1.29567142824327E-2</v>
      </c>
      <c r="D11" s="260">
        <v>1084488</v>
      </c>
      <c r="E11" s="262">
        <v>6.1998550092552902E-2</v>
      </c>
      <c r="F11" s="322"/>
    </row>
    <row r="12" spans="1:6" ht="15" customHeight="1" x14ac:dyDescent="0.2">
      <c r="A12" s="183">
        <v>15</v>
      </c>
      <c r="B12" s="260">
        <v>19478</v>
      </c>
      <c r="C12" s="262">
        <v>3.99491682828462E-3</v>
      </c>
      <c r="D12" s="260">
        <v>202768</v>
      </c>
      <c r="E12" s="262">
        <v>1.1591942008732901E-2</v>
      </c>
      <c r="F12" s="322"/>
    </row>
    <row r="13" spans="1:6" ht="15" customHeight="1" x14ac:dyDescent="0.2">
      <c r="A13" s="183">
        <v>16</v>
      </c>
      <c r="B13" s="260">
        <v>22863</v>
      </c>
      <c r="C13" s="262">
        <v>4.6891766836980797E-3</v>
      </c>
      <c r="D13" s="260">
        <v>180493</v>
      </c>
      <c r="E13" s="262">
        <v>1.0318513715094299E-2</v>
      </c>
      <c r="F13" s="322"/>
    </row>
    <row r="14" spans="1:6" ht="15" customHeight="1" x14ac:dyDescent="0.2">
      <c r="A14" s="183">
        <v>17</v>
      </c>
      <c r="B14" s="260">
        <v>28474</v>
      </c>
      <c r="C14" s="262">
        <v>5.8399867424055998E-3</v>
      </c>
      <c r="D14" s="260">
        <v>200424</v>
      </c>
      <c r="E14" s="262">
        <v>1.14579390493485E-2</v>
      </c>
      <c r="F14" s="322"/>
    </row>
    <row r="15" spans="1:6" ht="15" customHeight="1" x14ac:dyDescent="0.2">
      <c r="A15" s="183">
        <v>18</v>
      </c>
      <c r="B15" s="260">
        <v>39715</v>
      </c>
      <c r="C15" s="262">
        <v>8.1455037393635705E-3</v>
      </c>
      <c r="D15" s="260">
        <v>247456</v>
      </c>
      <c r="E15" s="262">
        <v>1.41466878487386E-2</v>
      </c>
      <c r="F15" s="322"/>
    </row>
    <row r="16" spans="1:6" ht="15" customHeight="1" x14ac:dyDescent="0.2">
      <c r="A16" s="183">
        <v>19</v>
      </c>
      <c r="B16" s="260">
        <v>43896</v>
      </c>
      <c r="C16" s="262">
        <v>9.0030223377339392E-3</v>
      </c>
      <c r="D16" s="260">
        <v>278786</v>
      </c>
      <c r="E16" s="262">
        <v>1.5937776892047201E-2</v>
      </c>
      <c r="F16" s="322"/>
    </row>
    <row r="17" spans="1:7" ht="15" customHeight="1" x14ac:dyDescent="0.2">
      <c r="A17" s="184" t="s">
        <v>59</v>
      </c>
      <c r="B17" s="260">
        <v>212195</v>
      </c>
      <c r="C17" s="262">
        <v>4.3520966032336697E-2</v>
      </c>
      <c r="D17" s="260">
        <v>1429056</v>
      </c>
      <c r="E17" s="262">
        <v>8.1696985122069896E-2</v>
      </c>
      <c r="F17" s="322"/>
    </row>
    <row r="18" spans="1:7" ht="15" customHeight="1" x14ac:dyDescent="0.2">
      <c r="A18" s="184" t="s">
        <v>60</v>
      </c>
      <c r="B18" s="260">
        <v>217505</v>
      </c>
      <c r="C18" s="262">
        <v>4.4610041315127101E-2</v>
      </c>
      <c r="D18" s="260">
        <v>1431193</v>
      </c>
      <c r="E18" s="262">
        <v>8.1819154202361993E-2</v>
      </c>
      <c r="F18" s="322"/>
    </row>
    <row r="19" spans="1:7" ht="15" customHeight="1" x14ac:dyDescent="0.2">
      <c r="A19" s="184" t="s">
        <v>61</v>
      </c>
      <c r="B19" s="260">
        <v>208427</v>
      </c>
      <c r="C19" s="262">
        <v>4.2748153289294502E-2</v>
      </c>
      <c r="D19" s="260">
        <v>1325633</v>
      </c>
      <c r="E19" s="262">
        <v>7.5784447550218403E-2</v>
      </c>
      <c r="F19" s="322"/>
    </row>
    <row r="20" spans="1:7" ht="15" customHeight="1" x14ac:dyDescent="0.2">
      <c r="A20" s="35" t="s">
        <v>62</v>
      </c>
      <c r="B20" s="260">
        <v>197980</v>
      </c>
      <c r="C20" s="262">
        <v>4.0605484837446797E-2</v>
      </c>
      <c r="D20" s="260">
        <v>1100684</v>
      </c>
      <c r="E20" s="262">
        <v>6.2924451086661698E-2</v>
      </c>
      <c r="F20" s="322"/>
    </row>
    <row r="21" spans="1:7" ht="15" customHeight="1" x14ac:dyDescent="0.2">
      <c r="A21" s="35" t="s">
        <v>63</v>
      </c>
      <c r="B21" s="260">
        <v>186996</v>
      </c>
      <c r="C21" s="262">
        <v>3.83526782637802E-2</v>
      </c>
      <c r="D21" s="260">
        <v>921328</v>
      </c>
      <c r="E21" s="262">
        <v>5.26709379538286E-2</v>
      </c>
      <c r="F21" s="322"/>
    </row>
    <row r="22" spans="1:7" ht="15" customHeight="1" x14ac:dyDescent="0.2">
      <c r="A22" s="35" t="s">
        <v>64</v>
      </c>
      <c r="B22" s="260">
        <v>221971</v>
      </c>
      <c r="C22" s="262">
        <v>4.5526013106641602E-2</v>
      </c>
      <c r="D22" s="260">
        <v>963548</v>
      </c>
      <c r="E22" s="262">
        <v>5.50845919406939E-2</v>
      </c>
      <c r="F22" s="322"/>
    </row>
    <row r="23" spans="1:7" ht="15" customHeight="1" x14ac:dyDescent="0.2">
      <c r="A23" s="35" t="s">
        <v>65</v>
      </c>
      <c r="B23" s="260">
        <v>247581</v>
      </c>
      <c r="C23" s="262">
        <v>5.0778596532679597E-2</v>
      </c>
      <c r="D23" s="260">
        <v>962492</v>
      </c>
      <c r="E23" s="262">
        <v>5.5024222006773198E-2</v>
      </c>
      <c r="F23" s="322"/>
    </row>
    <row r="24" spans="1:7" ht="15" customHeight="1" x14ac:dyDescent="0.2">
      <c r="A24" s="35" t="s">
        <v>66</v>
      </c>
      <c r="B24" s="260">
        <v>245422</v>
      </c>
      <c r="C24" s="262">
        <v>5.0335787957247503E-2</v>
      </c>
      <c r="D24" s="260">
        <v>856537</v>
      </c>
      <c r="E24" s="262">
        <v>4.8966933797907397E-2</v>
      </c>
      <c r="F24" s="322"/>
    </row>
    <row r="25" spans="1:7" ht="15" customHeight="1" x14ac:dyDescent="0.2">
      <c r="A25" s="35" t="s">
        <v>67</v>
      </c>
      <c r="B25" s="260">
        <v>238806</v>
      </c>
      <c r="C25" s="262">
        <v>4.8978853480610797E-2</v>
      </c>
      <c r="D25" s="260">
        <v>701694</v>
      </c>
      <c r="E25" s="262">
        <v>4.0114792057306198E-2</v>
      </c>
      <c r="F25" s="322"/>
    </row>
    <row r="26" spans="1:7" ht="15" customHeight="1" x14ac:dyDescent="0.2">
      <c r="A26" s="35" t="s">
        <v>68</v>
      </c>
      <c r="B26" s="260">
        <v>265567</v>
      </c>
      <c r="C26" s="262">
        <v>5.4467505767381699E-2</v>
      </c>
      <c r="D26" s="260">
        <v>613459</v>
      </c>
      <c r="E26" s="262">
        <v>3.5070529633548203E-2</v>
      </c>
      <c r="F26" s="322"/>
    </row>
    <row r="27" spans="1:7" ht="15" customHeight="1" x14ac:dyDescent="0.2">
      <c r="A27" s="35" t="s">
        <v>69</v>
      </c>
      <c r="B27" s="260">
        <v>353308</v>
      </c>
      <c r="C27" s="262">
        <v>7.2463090397760693E-2</v>
      </c>
      <c r="D27" s="260">
        <v>617076</v>
      </c>
      <c r="E27" s="262">
        <v>3.5277308090926003E-2</v>
      </c>
      <c r="F27" s="322"/>
    </row>
    <row r="28" spans="1:7" ht="15" customHeight="1" x14ac:dyDescent="0.2">
      <c r="A28" s="35" t="s">
        <v>70</v>
      </c>
      <c r="B28" s="260">
        <v>390264</v>
      </c>
      <c r="C28" s="262">
        <v>8.0042726207704501E-2</v>
      </c>
      <c r="D28" s="260">
        <v>478865</v>
      </c>
      <c r="E28" s="262">
        <v>2.7375992809574999E-2</v>
      </c>
      <c r="F28" s="322"/>
    </row>
    <row r="29" spans="1:7" ht="15" customHeight="1" x14ac:dyDescent="0.2">
      <c r="A29" s="35" t="s">
        <v>71</v>
      </c>
      <c r="B29" s="260">
        <v>464797</v>
      </c>
      <c r="C29" s="262">
        <v>9.5329364258969401E-2</v>
      </c>
      <c r="D29" s="260">
        <v>382134</v>
      </c>
      <c r="E29" s="262">
        <v>2.1846026826546398E-2</v>
      </c>
      <c r="F29" s="322"/>
    </row>
    <row r="30" spans="1:7" ht="15" customHeight="1" x14ac:dyDescent="0.2">
      <c r="A30" s="35" t="s">
        <v>72</v>
      </c>
      <c r="B30" s="260">
        <v>440239</v>
      </c>
      <c r="C30" s="262">
        <v>9.0292544900256302E-2</v>
      </c>
      <c r="D30" s="260">
        <v>234465</v>
      </c>
      <c r="E30" s="262">
        <v>1.34040118908189E-2</v>
      </c>
      <c r="F30" s="322"/>
    </row>
    <row r="31" spans="1:7" ht="15" customHeight="1" x14ac:dyDescent="0.2">
      <c r="A31" s="35" t="s">
        <v>73</v>
      </c>
      <c r="B31" s="260">
        <v>358695</v>
      </c>
      <c r="C31" s="262">
        <v>7.3567958297646105E-2</v>
      </c>
      <c r="D31" s="260">
        <v>112569</v>
      </c>
      <c r="E31" s="262">
        <v>6.4354006548422802E-3</v>
      </c>
      <c r="F31" s="322"/>
      <c r="G31" s="335"/>
    </row>
    <row r="32" spans="1:7" ht="15" customHeight="1" thickBot="1" x14ac:dyDescent="0.25">
      <c r="A32" s="35" t="s">
        <v>8</v>
      </c>
      <c r="B32" s="260">
        <v>65234</v>
      </c>
      <c r="C32" s="262">
        <v>1.33794231633802E-2</v>
      </c>
      <c r="D32" s="260">
        <v>191026</v>
      </c>
      <c r="E32" s="262">
        <v>1.0920669504853899E-2</v>
      </c>
      <c r="F32" s="322"/>
      <c r="G32" s="335"/>
    </row>
    <row r="33" spans="1:14" ht="15" customHeight="1" thickBot="1" x14ac:dyDescent="0.25">
      <c r="A33" s="182" t="s">
        <v>48</v>
      </c>
      <c r="B33" s="261">
        <v>4875696</v>
      </c>
      <c r="C33" s="185"/>
      <c r="D33" s="261">
        <v>17492151</v>
      </c>
      <c r="E33" s="185"/>
      <c r="F33" s="322"/>
      <c r="G33" s="335"/>
    </row>
    <row r="34" spans="1:14" x14ac:dyDescent="0.2">
      <c r="A34" s="322"/>
      <c r="B34" s="322"/>
      <c r="C34" s="322"/>
      <c r="D34" s="322"/>
      <c r="E34" s="322"/>
      <c r="F34" s="322"/>
      <c r="G34" s="335"/>
    </row>
    <row r="35" spans="1:14" ht="16.5" customHeight="1" thickBot="1" x14ac:dyDescent="0.25">
      <c r="A35" s="602" t="s">
        <v>10</v>
      </c>
      <c r="B35" s="602"/>
      <c r="C35" s="602"/>
      <c r="D35" s="602"/>
      <c r="E35" s="602"/>
      <c r="F35" s="602"/>
      <c r="G35" s="335"/>
    </row>
    <row r="36" spans="1:14" ht="16.5" customHeight="1" x14ac:dyDescent="0.2">
      <c r="A36" s="445" t="s">
        <v>1035</v>
      </c>
      <c r="B36" s="445"/>
      <c r="C36" s="445"/>
      <c r="D36" s="445"/>
      <c r="E36" s="445"/>
      <c r="F36" s="445"/>
      <c r="G36" s="335"/>
    </row>
    <row r="37" spans="1:14" ht="16.5" customHeight="1" x14ac:dyDescent="0.2">
      <c r="A37" s="547" t="s">
        <v>587</v>
      </c>
      <c r="B37" s="547"/>
      <c r="C37" s="547"/>
      <c r="D37" s="547"/>
      <c r="E37" s="547"/>
      <c r="F37" s="547"/>
      <c r="G37" s="314"/>
      <c r="H37" s="116"/>
      <c r="I37" s="116"/>
      <c r="J37" s="116"/>
      <c r="K37" s="116"/>
      <c r="L37" s="116"/>
      <c r="M37" s="116"/>
      <c r="N37" s="116"/>
    </row>
    <row r="38" spans="1:14" ht="16.5" customHeight="1" x14ac:dyDescent="0.2">
      <c r="A38" s="620" t="s">
        <v>441</v>
      </c>
      <c r="B38" s="620"/>
      <c r="C38" s="620"/>
      <c r="D38" s="620"/>
      <c r="E38" s="620"/>
      <c r="F38" s="620"/>
      <c r="G38" s="335"/>
    </row>
    <row r="39" spans="1:14" ht="13.5" customHeight="1" thickBot="1" x14ac:dyDescent="0.25">
      <c r="A39" s="604" t="s">
        <v>945</v>
      </c>
      <c r="B39" s="604"/>
      <c r="C39" s="604"/>
      <c r="D39" s="604"/>
      <c r="E39" s="604"/>
      <c r="F39" s="604"/>
      <c r="G39" s="335"/>
    </row>
    <row r="40" spans="1:14" x14ac:dyDescent="0.2">
      <c r="A40" s="186"/>
      <c r="B40" s="322"/>
      <c r="C40" s="322"/>
      <c r="D40" s="322"/>
      <c r="E40" s="322"/>
      <c r="F40" s="322"/>
      <c r="G40" s="335"/>
    </row>
    <row r="41" spans="1:14" x14ac:dyDescent="0.2">
      <c r="A41" s="176" t="s">
        <v>470</v>
      </c>
      <c r="B41" s="322"/>
      <c r="C41" s="322"/>
      <c r="D41" s="322"/>
      <c r="E41" s="322"/>
      <c r="F41" s="322"/>
      <c r="G41" s="335"/>
    </row>
    <row r="42" spans="1:14" x14ac:dyDescent="0.2">
      <c r="G42" s="335"/>
    </row>
    <row r="43" spans="1:14" x14ac:dyDescent="0.2">
      <c r="G43" s="335"/>
    </row>
  </sheetData>
  <mergeCells count="10">
    <mergeCell ref="A39:F39"/>
    <mergeCell ref="A6:A7"/>
    <mergeCell ref="B6:C6"/>
    <mergeCell ref="D6:E6"/>
    <mergeCell ref="A2:F2"/>
    <mergeCell ref="A3:F3"/>
    <mergeCell ref="A35:F35"/>
    <mergeCell ref="A37:F37"/>
    <mergeCell ref="A38:F38"/>
    <mergeCell ref="A4:F4"/>
  </mergeCells>
  <hyperlinks>
    <hyperlink ref="A41" location="Contents!A1" display="Return to Contents" xr:uid="{00000000-0004-0000-2000-000000000000}"/>
    <hyperlink ref="A38:F38" r:id="rId1" display="Contact via enquiries@NHSDigital.nhs.uk or 0300 303 5678" xr:uid="{DECD276B-1265-4AF4-8476-D1405411FAD5}"/>
  </hyperlinks>
  <pageMargins left="0.7" right="0.7" top="0.75" bottom="0.75" header="0.3" footer="0.3"/>
  <pageSetup paperSize="9" fitToHeight="0" orientation="landscape" r:id="rId2"/>
  <ignoredErrors>
    <ignoredError sqref="A11" twoDigitTextYear="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3">
    <pageSetUpPr fitToPage="1"/>
  </sheetPr>
  <dimension ref="A1:R21"/>
  <sheetViews>
    <sheetView showGridLines="0" workbookViewId="0"/>
  </sheetViews>
  <sheetFormatPr defaultColWidth="9.140625" defaultRowHeight="12.75" x14ac:dyDescent="0.2"/>
  <cols>
    <col min="1" max="1" width="27.140625" style="49" customWidth="1"/>
    <col min="2" max="7" width="17.85546875" style="49" customWidth="1"/>
    <col min="8" max="9" width="9.140625" style="49" customWidth="1"/>
    <col min="10" max="16384" width="9.140625" style="49"/>
  </cols>
  <sheetData>
    <row r="1" spans="1:10" ht="15" customHeight="1" x14ac:dyDescent="0.2"/>
    <row r="2" spans="1:10" ht="56.25" customHeight="1" x14ac:dyDescent="0.35">
      <c r="A2" s="618" t="s">
        <v>960</v>
      </c>
      <c r="B2" s="618"/>
      <c r="C2" s="618"/>
      <c r="D2" s="618"/>
      <c r="E2" s="618"/>
      <c r="F2" s="618"/>
      <c r="G2" s="618"/>
      <c r="H2" s="329"/>
      <c r="I2" s="329"/>
      <c r="J2" s="322"/>
    </row>
    <row r="3" spans="1:10" ht="15" customHeight="1" x14ac:dyDescent="0.2">
      <c r="A3" s="619" t="s">
        <v>590</v>
      </c>
      <c r="B3" s="619"/>
      <c r="C3" s="619"/>
      <c r="D3" s="619"/>
      <c r="E3" s="619"/>
      <c r="F3" s="619"/>
      <c r="G3" s="619"/>
      <c r="H3" s="338"/>
      <c r="I3" s="338"/>
      <c r="J3" s="322"/>
    </row>
    <row r="4" spans="1:10" ht="15" customHeight="1" x14ac:dyDescent="0.2">
      <c r="A4" s="558" t="s">
        <v>1050</v>
      </c>
      <c r="B4" s="558"/>
      <c r="C4" s="558"/>
      <c r="D4" s="558"/>
      <c r="E4" s="558"/>
      <c r="F4" s="558"/>
      <c r="G4" s="481"/>
      <c r="H4" s="338"/>
      <c r="I4" s="338"/>
      <c r="J4" s="480"/>
    </row>
    <row r="5" spans="1:10" ht="11.25" customHeight="1" thickBot="1" x14ac:dyDescent="0.25">
      <c r="A5" s="322"/>
      <c r="B5" s="322"/>
      <c r="C5" s="322"/>
      <c r="D5" s="322"/>
      <c r="E5" s="322"/>
      <c r="F5" s="322"/>
      <c r="G5" s="322"/>
      <c r="H5" s="322"/>
      <c r="I5" s="322"/>
      <c r="J5" s="322"/>
    </row>
    <row r="6" spans="1:10" ht="15" customHeight="1" thickBot="1" x14ac:dyDescent="0.25">
      <c r="A6" s="615" t="s">
        <v>589</v>
      </c>
      <c r="B6" s="617" t="s">
        <v>505</v>
      </c>
      <c r="C6" s="613"/>
      <c r="D6" s="611" t="s">
        <v>33</v>
      </c>
      <c r="E6" s="613"/>
      <c r="F6" s="611" t="s">
        <v>8</v>
      </c>
      <c r="G6" s="613"/>
      <c r="H6" s="322"/>
      <c r="I6" s="322"/>
      <c r="J6" s="322"/>
    </row>
    <row r="7" spans="1:10" ht="30" customHeight="1" thickBot="1" x14ac:dyDescent="0.25">
      <c r="A7" s="616"/>
      <c r="B7" s="27" t="s">
        <v>503</v>
      </c>
      <c r="C7" s="33" t="s">
        <v>504</v>
      </c>
      <c r="D7" s="32" t="s">
        <v>503</v>
      </c>
      <c r="E7" s="33" t="s">
        <v>504</v>
      </c>
      <c r="F7" s="32" t="s">
        <v>503</v>
      </c>
      <c r="G7" s="33" t="s">
        <v>504</v>
      </c>
      <c r="H7" s="322"/>
      <c r="I7" s="322"/>
      <c r="J7" s="322"/>
    </row>
    <row r="8" spans="1:10" ht="15" customHeight="1" x14ac:dyDescent="0.2">
      <c r="A8" s="327" t="s">
        <v>506</v>
      </c>
      <c r="B8" s="260">
        <v>2009688</v>
      </c>
      <c r="C8" s="262">
        <v>0.41218484499443803</v>
      </c>
      <c r="D8" s="260">
        <v>1555012</v>
      </c>
      <c r="E8" s="262">
        <v>9.3567334505633704E-2</v>
      </c>
      <c r="F8" s="260">
        <v>45347</v>
      </c>
      <c r="G8" s="262">
        <v>5.1945359260001697E-2</v>
      </c>
      <c r="H8" s="322"/>
      <c r="I8" s="322"/>
      <c r="J8" s="322"/>
    </row>
    <row r="9" spans="1:10" ht="15" customHeight="1" x14ac:dyDescent="0.2">
      <c r="A9" s="35" t="s">
        <v>515</v>
      </c>
      <c r="B9" s="260">
        <v>1606594</v>
      </c>
      <c r="C9" s="262">
        <v>0.32951069960063101</v>
      </c>
      <c r="D9" s="260">
        <v>7874819</v>
      </c>
      <c r="E9" s="262">
        <v>0.473839316702585</v>
      </c>
      <c r="F9" s="260">
        <v>285998</v>
      </c>
      <c r="G9" s="262">
        <v>0.32761304733812502</v>
      </c>
      <c r="H9" s="322"/>
      <c r="I9" s="322"/>
      <c r="J9" s="322"/>
    </row>
    <row r="10" spans="1:10" ht="15" customHeight="1" x14ac:dyDescent="0.2">
      <c r="A10" s="35" t="s">
        <v>516</v>
      </c>
      <c r="B10" s="260">
        <v>467440</v>
      </c>
      <c r="C10" s="262">
        <v>9.5871440713284795E-2</v>
      </c>
      <c r="D10" s="260">
        <v>2629941</v>
      </c>
      <c r="E10" s="262">
        <v>0.15824737640422101</v>
      </c>
      <c r="F10" s="260">
        <v>42420</v>
      </c>
      <c r="G10" s="262">
        <v>4.8592456828660598E-2</v>
      </c>
      <c r="H10" s="322"/>
      <c r="I10" s="322"/>
      <c r="J10" s="322"/>
    </row>
    <row r="11" spans="1:10" ht="15" customHeight="1" x14ac:dyDescent="0.2">
      <c r="A11" s="35" t="s">
        <v>507</v>
      </c>
      <c r="B11" s="260">
        <v>634660</v>
      </c>
      <c r="C11" s="262">
        <v>0.13016808266963301</v>
      </c>
      <c r="D11" s="260">
        <v>2833384</v>
      </c>
      <c r="E11" s="262">
        <v>0.17048883771373499</v>
      </c>
      <c r="F11" s="260">
        <v>454459</v>
      </c>
      <c r="G11" s="262">
        <v>0.52058650018614505</v>
      </c>
      <c r="H11" s="322"/>
      <c r="I11" s="322"/>
      <c r="J11" s="322"/>
    </row>
    <row r="12" spans="1:10" ht="15" customHeight="1" thickBot="1" x14ac:dyDescent="0.25">
      <c r="A12" s="35" t="s">
        <v>501</v>
      </c>
      <c r="B12" s="260">
        <v>157314</v>
      </c>
      <c r="C12" s="262">
        <v>3.2264932022012902E-2</v>
      </c>
      <c r="D12" s="260">
        <v>1726020</v>
      </c>
      <c r="E12" s="262">
        <v>0.103857134673825</v>
      </c>
      <c r="F12" s="260">
        <v>44751</v>
      </c>
      <c r="G12" s="262">
        <v>5.1262636387067198E-2</v>
      </c>
      <c r="H12" s="322"/>
      <c r="I12" s="322"/>
      <c r="J12" s="322"/>
    </row>
    <row r="13" spans="1:10" ht="15" customHeight="1" thickBot="1" x14ac:dyDescent="0.25">
      <c r="A13" s="182" t="s">
        <v>48</v>
      </c>
      <c r="B13" s="261">
        <v>4875696</v>
      </c>
      <c r="C13" s="185"/>
      <c r="D13" s="261">
        <v>16619176</v>
      </c>
      <c r="E13" s="185"/>
      <c r="F13" s="261">
        <v>872975</v>
      </c>
      <c r="G13" s="185"/>
      <c r="H13" s="322"/>
      <c r="I13" s="322"/>
      <c r="J13" s="322"/>
    </row>
    <row r="14" spans="1:10" x14ac:dyDescent="0.2">
      <c r="A14" s="322"/>
      <c r="B14" s="322"/>
      <c r="C14" s="322"/>
      <c r="D14" s="322"/>
      <c r="E14" s="322"/>
      <c r="F14" s="322"/>
      <c r="G14" s="322"/>
      <c r="H14" s="322"/>
      <c r="I14" s="322"/>
      <c r="J14" s="322"/>
    </row>
    <row r="15" spans="1:10" ht="16.5" customHeight="1" thickBot="1" x14ac:dyDescent="0.25">
      <c r="A15" s="602" t="s">
        <v>10</v>
      </c>
      <c r="B15" s="602"/>
      <c r="C15" s="602"/>
      <c r="D15" s="602"/>
      <c r="E15" s="602"/>
      <c r="F15" s="602"/>
      <c r="G15" s="602"/>
      <c r="H15" s="336"/>
      <c r="I15" s="336"/>
      <c r="J15" s="336"/>
    </row>
    <row r="16" spans="1:10" ht="16.5" customHeight="1" x14ac:dyDescent="0.2">
      <c r="A16" s="445" t="s">
        <v>1035</v>
      </c>
      <c r="B16" s="445"/>
      <c r="C16" s="445"/>
      <c r="D16" s="445"/>
      <c r="E16" s="445"/>
      <c r="F16" s="445"/>
      <c r="G16" s="445"/>
      <c r="H16" s="337"/>
      <c r="I16" s="337"/>
      <c r="J16" s="337"/>
    </row>
    <row r="17" spans="1:18" ht="16.5" customHeight="1" x14ac:dyDescent="0.2">
      <c r="A17" s="547" t="s">
        <v>587</v>
      </c>
      <c r="B17" s="547"/>
      <c r="C17" s="547"/>
      <c r="D17" s="547"/>
      <c r="E17" s="547"/>
      <c r="F17" s="547"/>
      <c r="G17" s="547"/>
      <c r="H17" s="116"/>
      <c r="I17" s="116"/>
      <c r="J17" s="116"/>
      <c r="K17" s="116"/>
      <c r="L17" s="116"/>
      <c r="M17" s="116"/>
      <c r="N17" s="116"/>
      <c r="O17" s="116"/>
      <c r="P17" s="116"/>
      <c r="Q17" s="116"/>
      <c r="R17" s="116"/>
    </row>
    <row r="18" spans="1:18" ht="16.5" customHeight="1" x14ac:dyDescent="0.2">
      <c r="A18" s="621" t="s">
        <v>441</v>
      </c>
      <c r="B18" s="621"/>
      <c r="C18" s="621"/>
      <c r="D18" s="621"/>
      <c r="E18" s="621"/>
      <c r="F18" s="621"/>
      <c r="G18" s="621"/>
      <c r="H18" s="333"/>
      <c r="I18" s="333"/>
      <c r="J18" s="333"/>
    </row>
    <row r="19" spans="1:18" ht="13.5" customHeight="1" thickBot="1" x14ac:dyDescent="0.25">
      <c r="A19" s="604" t="s">
        <v>945</v>
      </c>
      <c r="B19" s="604"/>
      <c r="C19" s="604"/>
      <c r="D19" s="604"/>
      <c r="E19" s="604"/>
      <c r="F19" s="604"/>
      <c r="G19" s="604"/>
      <c r="H19" s="192"/>
      <c r="I19" s="192"/>
      <c r="J19" s="192"/>
    </row>
    <row r="20" spans="1:18" x14ac:dyDescent="0.2">
      <c r="A20" s="186"/>
      <c r="B20" s="322"/>
      <c r="C20" s="322"/>
      <c r="D20" s="322"/>
      <c r="E20" s="322"/>
      <c r="F20" s="322"/>
      <c r="G20" s="322"/>
      <c r="H20" s="322"/>
      <c r="I20" s="322"/>
      <c r="J20" s="334"/>
    </row>
    <row r="21" spans="1:18" x14ac:dyDescent="0.2">
      <c r="A21" s="176" t="s">
        <v>470</v>
      </c>
      <c r="B21" s="322"/>
      <c r="C21" s="322"/>
      <c r="D21" s="322"/>
      <c r="E21" s="322"/>
      <c r="F21" s="322"/>
      <c r="G21" s="322"/>
      <c r="H21" s="322"/>
      <c r="I21" s="322"/>
      <c r="J21" s="322"/>
    </row>
  </sheetData>
  <mergeCells count="11">
    <mergeCell ref="A2:G2"/>
    <mergeCell ref="A3:G3"/>
    <mergeCell ref="A15:G15"/>
    <mergeCell ref="A18:G18"/>
    <mergeCell ref="A19:G19"/>
    <mergeCell ref="A17:G17"/>
    <mergeCell ref="A6:A7"/>
    <mergeCell ref="B6:C6"/>
    <mergeCell ref="D6:E6"/>
    <mergeCell ref="F6:G6"/>
    <mergeCell ref="A4:F4"/>
  </mergeCells>
  <hyperlinks>
    <hyperlink ref="A21" location="Contents!A1" display="Return to Contents" xr:uid="{00000000-0004-0000-2100-000000000000}"/>
    <hyperlink ref="A18:G18" r:id="rId1" display="Contact via enquiries@NHSDigital.nhs.uk or 0300 303 5678" xr:uid="{80904E76-7DF8-491B-8FF0-068A6E2A0D17}"/>
  </hyperlinks>
  <pageMargins left="0.7" right="0.7" top="0.75" bottom="0.75" header="0.3" footer="0.3"/>
  <pageSetup paperSize="9" scale="93"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1"/>
  <dimension ref="A1:Q26"/>
  <sheetViews>
    <sheetView showGridLines="0" workbookViewId="0"/>
  </sheetViews>
  <sheetFormatPr defaultColWidth="9.140625" defaultRowHeight="12.75" x14ac:dyDescent="0.2"/>
  <cols>
    <col min="1" max="1" width="21.5703125" style="109" customWidth="1"/>
    <col min="2" max="5" width="17.85546875" style="109" customWidth="1"/>
    <col min="6" max="6" width="9.140625" style="109" customWidth="1"/>
    <col min="7" max="16384" width="9.140625" style="109"/>
  </cols>
  <sheetData>
    <row r="1" spans="1:11" s="318" customFormat="1" ht="15" customHeight="1" x14ac:dyDescent="0.2"/>
    <row r="2" spans="1:11" ht="48" customHeight="1" x14ac:dyDescent="0.2">
      <c r="A2" s="559" t="s">
        <v>995</v>
      </c>
      <c r="B2" s="559"/>
      <c r="C2" s="559"/>
      <c r="D2" s="559"/>
      <c r="E2" s="559"/>
      <c r="F2" s="559"/>
      <c r="G2" s="559"/>
    </row>
    <row r="3" spans="1:11" ht="15" customHeight="1" x14ac:dyDescent="0.2">
      <c r="A3" s="572" t="s">
        <v>590</v>
      </c>
      <c r="B3" s="554"/>
      <c r="C3" s="554"/>
      <c r="D3" s="554"/>
      <c r="E3" s="554"/>
      <c r="F3" s="554"/>
    </row>
    <row r="4" spans="1:11" s="476" customFormat="1" ht="15" customHeight="1" x14ac:dyDescent="0.2">
      <c r="A4" s="558" t="s">
        <v>1050</v>
      </c>
      <c r="B4" s="558"/>
      <c r="C4" s="558"/>
      <c r="D4" s="558"/>
      <c r="E4" s="558"/>
      <c r="F4" s="558"/>
    </row>
    <row r="5" spans="1:11" ht="11.25" customHeight="1" thickBot="1" x14ac:dyDescent="0.25"/>
    <row r="6" spans="1:11" ht="15" customHeight="1" thickBot="1" x14ac:dyDescent="0.25">
      <c r="A6" s="106"/>
      <c r="B6" s="623" t="s">
        <v>621</v>
      </c>
      <c r="C6" s="624"/>
      <c r="D6" s="623" t="s">
        <v>956</v>
      </c>
      <c r="E6" s="624"/>
    </row>
    <row r="7" spans="1:11" ht="30" customHeight="1" thickBot="1" x14ac:dyDescent="0.25">
      <c r="A7" s="2" t="s">
        <v>135</v>
      </c>
      <c r="B7" s="129" t="s">
        <v>38</v>
      </c>
      <c r="C7" s="130" t="s">
        <v>39</v>
      </c>
      <c r="D7" s="129" t="s">
        <v>38</v>
      </c>
      <c r="E7" s="130" t="s">
        <v>39</v>
      </c>
    </row>
    <row r="8" spans="1:11" ht="15" customHeight="1" x14ac:dyDescent="0.2">
      <c r="A8" s="131" t="s">
        <v>33</v>
      </c>
      <c r="B8" s="83">
        <v>15964296</v>
      </c>
      <c r="C8" s="57">
        <v>0.75025462316335767</v>
      </c>
      <c r="D8" s="504">
        <v>13780306</v>
      </c>
      <c r="E8" s="501">
        <v>0.61607654952217805</v>
      </c>
      <c r="H8" s="418"/>
      <c r="I8" s="418"/>
      <c r="J8" s="418"/>
      <c r="K8" s="418"/>
    </row>
    <row r="9" spans="1:11" ht="15" customHeight="1" x14ac:dyDescent="0.2">
      <c r="A9" s="131" t="s">
        <v>136</v>
      </c>
      <c r="B9" s="83">
        <v>4047759</v>
      </c>
      <c r="C9" s="57">
        <v>0.19022761186594697</v>
      </c>
      <c r="D9" s="505">
        <v>6611454</v>
      </c>
      <c r="E9" s="502">
        <v>0.295578470292648</v>
      </c>
      <c r="H9" s="418"/>
      <c r="I9" s="418"/>
      <c r="J9" s="418"/>
      <c r="K9" s="418"/>
    </row>
    <row r="10" spans="1:11" ht="15" customHeight="1" x14ac:dyDescent="0.2">
      <c r="A10" s="131" t="s">
        <v>100</v>
      </c>
      <c r="B10" s="83">
        <v>566729</v>
      </c>
      <c r="C10" s="57">
        <v>2.6633874261085273E-2</v>
      </c>
      <c r="D10" s="505">
        <v>1600110</v>
      </c>
      <c r="E10" s="502">
        <v>7.1536165282246406E-2</v>
      </c>
      <c r="H10" s="418"/>
      <c r="I10" s="418"/>
      <c r="J10" s="418"/>
      <c r="K10" s="418"/>
    </row>
    <row r="11" spans="1:11" ht="15" customHeight="1" x14ac:dyDescent="0.2">
      <c r="A11" s="131" t="s">
        <v>137</v>
      </c>
      <c r="B11" s="83">
        <v>283826</v>
      </c>
      <c r="C11" s="57">
        <v>1.3338625685339533E-2</v>
      </c>
      <c r="D11" s="505">
        <v>110574</v>
      </c>
      <c r="E11" s="502">
        <v>4.9434351012862402E-3</v>
      </c>
      <c r="H11" s="418"/>
      <c r="I11" s="418"/>
      <c r="J11" s="418"/>
      <c r="K11" s="418"/>
    </row>
    <row r="12" spans="1:11" ht="15" customHeight="1" x14ac:dyDescent="0.2">
      <c r="A12" s="131" t="s">
        <v>138</v>
      </c>
      <c r="B12" s="83">
        <v>192590</v>
      </c>
      <c r="C12" s="57">
        <v>9.0509182412447792E-3</v>
      </c>
      <c r="D12" s="505">
        <v>68639</v>
      </c>
      <c r="E12" s="502">
        <v>3.0686458111055599E-3</v>
      </c>
      <c r="H12" s="418"/>
      <c r="I12" s="418"/>
      <c r="J12" s="418"/>
      <c r="K12" s="434"/>
    </row>
    <row r="13" spans="1:11" ht="15" customHeight="1" x14ac:dyDescent="0.2">
      <c r="A13" s="131" t="s">
        <v>139</v>
      </c>
      <c r="B13" s="83">
        <v>112166</v>
      </c>
      <c r="C13" s="57">
        <v>5.271329225024466E-3</v>
      </c>
      <c r="D13" s="505">
        <v>88038</v>
      </c>
      <c r="E13" s="502">
        <v>3.9359174801222498E-3</v>
      </c>
      <c r="H13" s="418"/>
      <c r="I13" s="418"/>
      <c r="J13" s="418"/>
      <c r="K13" s="418"/>
    </row>
    <row r="14" spans="1:11" ht="15" customHeight="1" x14ac:dyDescent="0.2">
      <c r="A14" s="131" t="s">
        <v>140</v>
      </c>
      <c r="B14" s="83">
        <v>102885</v>
      </c>
      <c r="C14" s="57">
        <v>4.8351613440493751E-3</v>
      </c>
      <c r="D14" s="505">
        <v>102527</v>
      </c>
      <c r="E14" s="502">
        <v>4.5836776333457599E-3</v>
      </c>
      <c r="H14" s="418"/>
      <c r="I14" s="418"/>
      <c r="J14" s="418"/>
      <c r="K14" s="418"/>
    </row>
    <row r="15" spans="1:11" ht="15" customHeight="1" x14ac:dyDescent="0.2">
      <c r="A15" s="131" t="s">
        <v>141</v>
      </c>
      <c r="B15" s="83">
        <v>4436</v>
      </c>
      <c r="C15" s="57">
        <v>2.0847330244645019E-4</v>
      </c>
      <c r="D15" s="505">
        <v>1936</v>
      </c>
      <c r="E15" s="502">
        <v>8.6552809485866E-5</v>
      </c>
      <c r="H15" s="418"/>
      <c r="I15" s="418"/>
      <c r="J15" s="418"/>
      <c r="K15" s="418"/>
    </row>
    <row r="16" spans="1:11" ht="15" customHeight="1" thickBot="1" x14ac:dyDescent="0.25">
      <c r="A16" s="131" t="s">
        <v>142</v>
      </c>
      <c r="B16" s="83">
        <v>3817</v>
      </c>
      <c r="C16" s="57">
        <v>1.7938291150543291E-4</v>
      </c>
      <c r="D16" s="506">
        <v>4263</v>
      </c>
      <c r="E16" s="503">
        <v>1.90586067581739E-4</v>
      </c>
      <c r="H16" s="418"/>
      <c r="I16" s="418"/>
      <c r="J16" s="418"/>
      <c r="K16" s="418"/>
    </row>
    <row r="17" spans="1:17" ht="15" customHeight="1" thickBot="1" x14ac:dyDescent="0.25">
      <c r="A17" s="132" t="s">
        <v>48</v>
      </c>
      <c r="B17" s="70">
        <v>21278504</v>
      </c>
      <c r="C17" s="71"/>
      <c r="D17" s="70">
        <v>22367847</v>
      </c>
      <c r="E17" s="71"/>
      <c r="H17" s="418"/>
      <c r="I17" s="418"/>
      <c r="J17" s="418"/>
      <c r="K17" s="418"/>
    </row>
    <row r="19" spans="1:17" ht="17.100000000000001" customHeight="1" thickBot="1" x14ac:dyDescent="0.25">
      <c r="A19" s="594" t="s">
        <v>10</v>
      </c>
      <c r="B19" s="595"/>
      <c r="C19" s="595"/>
      <c r="D19" s="595"/>
      <c r="E19" s="595"/>
      <c r="F19" s="595"/>
    </row>
    <row r="20" spans="1:17" ht="17.100000000000001" customHeight="1" x14ac:dyDescent="0.2">
      <c r="A20" s="465" t="s">
        <v>1035</v>
      </c>
      <c r="B20" s="465"/>
      <c r="C20" s="465"/>
      <c r="D20" s="465"/>
      <c r="E20" s="465"/>
      <c r="F20" s="465"/>
    </row>
    <row r="21" spans="1:17" ht="17.100000000000001" customHeight="1" x14ac:dyDescent="0.2">
      <c r="A21" s="622" t="s">
        <v>587</v>
      </c>
      <c r="B21" s="622"/>
      <c r="C21" s="622"/>
      <c r="D21" s="622"/>
      <c r="E21" s="622"/>
      <c r="F21" s="622"/>
      <c r="G21" s="116"/>
      <c r="H21" s="116"/>
      <c r="I21" s="116"/>
      <c r="J21" s="116"/>
      <c r="K21" s="116"/>
      <c r="L21" s="116"/>
      <c r="M21" s="116"/>
      <c r="N21" s="116"/>
      <c r="O21" s="116"/>
      <c r="P21" s="116"/>
      <c r="Q21" s="116"/>
    </row>
    <row r="22" spans="1:17" ht="17.100000000000001" customHeight="1" x14ac:dyDescent="0.2">
      <c r="A22" s="560" t="s">
        <v>441</v>
      </c>
      <c r="B22" s="561"/>
      <c r="C22" s="561"/>
      <c r="D22" s="561"/>
      <c r="E22" s="561"/>
      <c r="F22" s="561"/>
    </row>
    <row r="23" spans="1:17" ht="13.5" thickBot="1" x14ac:dyDescent="0.25">
      <c r="A23" s="551" t="s">
        <v>945</v>
      </c>
      <c r="B23" s="552"/>
      <c r="C23" s="552"/>
      <c r="D23" s="552"/>
      <c r="E23" s="552"/>
      <c r="F23" s="552"/>
    </row>
    <row r="24" spans="1:17" x14ac:dyDescent="0.2">
      <c r="A24" s="126"/>
    </row>
    <row r="25" spans="1:17" x14ac:dyDescent="0.2">
      <c r="A25" s="120" t="s">
        <v>470</v>
      </c>
    </row>
    <row r="26" spans="1:17" x14ac:dyDescent="0.2">
      <c r="B26" s="445"/>
      <c r="C26" s="445"/>
      <c r="D26" s="445"/>
      <c r="E26" s="445"/>
      <c r="F26" s="445"/>
    </row>
  </sheetData>
  <sortState xmlns:xlrd2="http://schemas.microsoft.com/office/spreadsheetml/2017/richdata2" ref="G8:H17">
    <sortCondition descending="1" ref="G13"/>
  </sortState>
  <mergeCells count="9">
    <mergeCell ref="A2:G2"/>
    <mergeCell ref="A22:F22"/>
    <mergeCell ref="A23:F23"/>
    <mergeCell ref="A21:F21"/>
    <mergeCell ref="A3:F3"/>
    <mergeCell ref="B6:C6"/>
    <mergeCell ref="D6:E6"/>
    <mergeCell ref="A19:F19"/>
    <mergeCell ref="A4:F4"/>
  </mergeCells>
  <hyperlinks>
    <hyperlink ref="A22:F22" r:id="rId1" display="Contact via enquiries@NHSDigital.nhs.uk or 0300 303 5678" xr:uid="{00000000-0004-0000-2200-000000000000}"/>
    <hyperlink ref="A25" location="Contents!A1" display="Return to Contents" xr:uid="{00000000-0004-0000-22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2">
    <pageSetUpPr fitToPage="1"/>
  </sheetPr>
  <dimension ref="A1:T45"/>
  <sheetViews>
    <sheetView showGridLines="0" workbookViewId="0"/>
  </sheetViews>
  <sheetFormatPr defaultColWidth="9.140625" defaultRowHeight="12.75" x14ac:dyDescent="0.2"/>
  <cols>
    <col min="1" max="1" width="40.42578125" style="109" customWidth="1"/>
    <col min="2" max="7" width="17.85546875" style="109" customWidth="1"/>
    <col min="8" max="9" width="9.140625" style="149" customWidth="1"/>
    <col min="10" max="12" width="9.140625" style="149"/>
    <col min="13" max="13" width="12.85546875" style="149" bestFit="1" customWidth="1"/>
    <col min="14" max="20" width="9.140625" style="149"/>
    <col min="21" max="16384" width="9.140625" style="109"/>
  </cols>
  <sheetData>
    <row r="1" spans="1:20" s="318" customFormat="1" ht="15" customHeight="1" x14ac:dyDescent="0.2">
      <c r="H1" s="149"/>
      <c r="I1" s="149"/>
      <c r="J1" s="149"/>
      <c r="K1" s="149"/>
      <c r="L1" s="149"/>
      <c r="M1" s="149"/>
      <c r="N1" s="149"/>
      <c r="O1" s="149"/>
      <c r="P1" s="149"/>
      <c r="Q1" s="149"/>
      <c r="R1" s="149"/>
      <c r="S1" s="149"/>
      <c r="T1" s="149"/>
    </row>
    <row r="2" spans="1:20" ht="56.25" customHeight="1" x14ac:dyDescent="0.35">
      <c r="A2" s="559" t="s">
        <v>996</v>
      </c>
      <c r="B2" s="625"/>
      <c r="C2" s="625"/>
      <c r="D2" s="625"/>
      <c r="E2" s="625"/>
      <c r="F2" s="625"/>
      <c r="G2" s="625"/>
      <c r="H2" s="625"/>
      <c r="I2" s="385"/>
    </row>
    <row r="3" spans="1:20" ht="15" customHeight="1" x14ac:dyDescent="0.2">
      <c r="A3" s="572" t="s">
        <v>1042</v>
      </c>
      <c r="B3" s="554"/>
      <c r="C3" s="554"/>
      <c r="D3" s="554"/>
      <c r="E3" s="554"/>
      <c r="F3" s="554"/>
      <c r="G3" s="554"/>
      <c r="H3" s="554"/>
    </row>
    <row r="4" spans="1:20" s="476" customFormat="1" ht="15" customHeight="1" x14ac:dyDescent="0.2">
      <c r="A4" s="558" t="s">
        <v>1050</v>
      </c>
      <c r="B4" s="558"/>
      <c r="C4" s="558"/>
      <c r="D4" s="558"/>
      <c r="E4" s="558"/>
      <c r="F4" s="558"/>
      <c r="I4" s="149"/>
      <c r="J4" s="149"/>
      <c r="K4" s="149"/>
      <c r="L4" s="149"/>
      <c r="M4" s="149"/>
      <c r="N4" s="149"/>
      <c r="O4" s="149"/>
      <c r="P4" s="149"/>
      <c r="Q4" s="149"/>
      <c r="R4" s="149"/>
      <c r="S4" s="149"/>
      <c r="T4" s="149"/>
    </row>
    <row r="5" spans="1:20" ht="13.5" thickBot="1" x14ac:dyDescent="0.25"/>
    <row r="6" spans="1:20" ht="15" customHeight="1" thickBot="1" x14ac:dyDescent="0.25">
      <c r="A6" s="106"/>
      <c r="B6" s="573" t="s">
        <v>621</v>
      </c>
      <c r="C6" s="626"/>
      <c r="D6" s="624"/>
      <c r="E6" s="573" t="s">
        <v>956</v>
      </c>
      <c r="F6" s="626"/>
      <c r="G6" s="624"/>
    </row>
    <row r="7" spans="1:20" ht="52.5" customHeight="1" thickBot="1" x14ac:dyDescent="0.25">
      <c r="A7" s="2" t="s">
        <v>143</v>
      </c>
      <c r="B7" s="3" t="s">
        <v>38</v>
      </c>
      <c r="C7" s="9" t="s">
        <v>39</v>
      </c>
      <c r="D7" s="4" t="s">
        <v>144</v>
      </c>
      <c r="E7" s="3" t="s">
        <v>38</v>
      </c>
      <c r="F7" s="9" t="s">
        <v>39</v>
      </c>
      <c r="G7" s="4" t="s">
        <v>144</v>
      </c>
    </row>
    <row r="8" spans="1:20" ht="15" customHeight="1" x14ac:dyDescent="0.2">
      <c r="A8" s="131" t="s">
        <v>145</v>
      </c>
      <c r="B8" s="239">
        <v>337837</v>
      </c>
      <c r="C8" s="59">
        <v>1.5876915031244679E-2</v>
      </c>
      <c r="D8" s="60">
        <v>1.8230205988479426E-2</v>
      </c>
      <c r="E8" s="239">
        <v>365496</v>
      </c>
      <c r="F8" s="59">
        <v>1.63402405247139E-2</v>
      </c>
      <c r="G8" s="60">
        <v>2.2506149695674101E-2</v>
      </c>
    </row>
    <row r="9" spans="1:20" ht="15" customHeight="1" x14ac:dyDescent="0.2">
      <c r="A9" s="131" t="s">
        <v>146</v>
      </c>
      <c r="B9" s="239">
        <v>174518</v>
      </c>
      <c r="C9" s="61">
        <v>8.2016104139651918E-3</v>
      </c>
      <c r="D9" s="60">
        <v>9.4172606573508892E-3</v>
      </c>
      <c r="E9" s="239">
        <v>170406</v>
      </c>
      <c r="F9" s="61">
        <v>7.6183461018845501E-3</v>
      </c>
      <c r="G9" s="60">
        <v>1.04930914292935E-2</v>
      </c>
    </row>
    <row r="10" spans="1:20" ht="15" customHeight="1" x14ac:dyDescent="0.2">
      <c r="A10" s="131" t="s">
        <v>147</v>
      </c>
      <c r="B10" s="239">
        <v>1424667</v>
      </c>
      <c r="C10" s="61">
        <v>6.6953344088475392E-2</v>
      </c>
      <c r="D10" s="60">
        <v>7.6877230365498803E-2</v>
      </c>
      <c r="E10" s="239">
        <v>1844279</v>
      </c>
      <c r="F10" s="61">
        <v>8.2452236015384095E-2</v>
      </c>
      <c r="G10" s="60">
        <v>0.11356518061644499</v>
      </c>
    </row>
    <row r="11" spans="1:20" ht="15" customHeight="1" x14ac:dyDescent="0.2">
      <c r="A11" s="131" t="s">
        <v>148</v>
      </c>
      <c r="B11" s="239">
        <v>28047</v>
      </c>
      <c r="C11" s="61">
        <v>1.3180907830738476E-3</v>
      </c>
      <c r="D11" s="60">
        <v>1.5134594119616338E-3</v>
      </c>
      <c r="E11" s="239">
        <v>46573</v>
      </c>
      <c r="F11" s="61">
        <v>2.0821404938973298E-3</v>
      </c>
      <c r="G11" s="60">
        <v>2.8678259400284302E-3</v>
      </c>
    </row>
    <row r="12" spans="1:20" ht="15" customHeight="1" x14ac:dyDescent="0.2">
      <c r="A12" s="131" t="s">
        <v>149</v>
      </c>
      <c r="B12" s="239">
        <v>36907</v>
      </c>
      <c r="C12" s="61">
        <v>1.7344734385462436E-3</v>
      </c>
      <c r="D12" s="60">
        <v>1.9915586878193042E-3</v>
      </c>
      <c r="E12" s="239">
        <v>36228</v>
      </c>
      <c r="F12" s="61">
        <v>1.6196462717220799E-3</v>
      </c>
      <c r="G12" s="60">
        <v>2.23081180416443E-3</v>
      </c>
    </row>
    <row r="13" spans="1:20" ht="15" customHeight="1" x14ac:dyDescent="0.2">
      <c r="A13" s="131" t="s">
        <v>150</v>
      </c>
      <c r="B13" s="239">
        <v>211943</v>
      </c>
      <c r="C13" s="61">
        <v>9.9604276691632083E-3</v>
      </c>
      <c r="D13" s="60">
        <v>1.1436771424729366E-2</v>
      </c>
      <c r="E13" s="239">
        <v>290753</v>
      </c>
      <c r="F13" s="61">
        <v>1.29987030043616E-2</v>
      </c>
      <c r="G13" s="60">
        <v>1.7903699472679099E-2</v>
      </c>
    </row>
    <row r="14" spans="1:20" ht="15" customHeight="1" x14ac:dyDescent="0.2">
      <c r="A14" s="131" t="s">
        <v>151</v>
      </c>
      <c r="B14" s="239">
        <v>0</v>
      </c>
      <c r="C14" s="61">
        <v>0</v>
      </c>
      <c r="D14" s="60">
        <v>0</v>
      </c>
      <c r="E14" s="239">
        <v>60</v>
      </c>
      <c r="F14" s="61">
        <v>2.7030719586020099E-2</v>
      </c>
      <c r="G14" s="60">
        <v>3.7230628304684002E-2</v>
      </c>
    </row>
    <row r="15" spans="1:20" ht="15" customHeight="1" x14ac:dyDescent="0.2">
      <c r="A15" s="131" t="s">
        <v>152</v>
      </c>
      <c r="B15" s="239">
        <v>611958</v>
      </c>
      <c r="C15" s="61">
        <v>2.8759446622751299E-2</v>
      </c>
      <c r="D15" s="60">
        <v>3.3022198268093467E-2</v>
      </c>
      <c r="E15" s="239">
        <v>604619</v>
      </c>
      <c r="F15" s="61">
        <v>2.6824217815867601E-6</v>
      </c>
      <c r="G15" s="60">
        <v>3.6946204110043501E-6</v>
      </c>
    </row>
    <row r="16" spans="1:20" ht="15" customHeight="1" x14ac:dyDescent="0.2">
      <c r="A16" s="131" t="s">
        <v>153</v>
      </c>
      <c r="B16" s="239">
        <v>46230</v>
      </c>
      <c r="C16" s="61">
        <v>2.1726151424930999E-3</v>
      </c>
      <c r="D16" s="60">
        <v>2.4946421583408682E-3</v>
      </c>
      <c r="E16" s="239">
        <v>42260</v>
      </c>
      <c r="F16" s="61">
        <v>1.88931907483094E-3</v>
      </c>
      <c r="G16" s="60">
        <v>2.60224430948407E-3</v>
      </c>
    </row>
    <row r="17" spans="1:7" ht="15" customHeight="1" x14ac:dyDescent="0.2">
      <c r="A17" s="131" t="s">
        <v>154</v>
      </c>
      <c r="B17" s="239">
        <v>14480</v>
      </c>
      <c r="C17" s="61">
        <v>6.8049896740861109E-4</v>
      </c>
      <c r="D17" s="60">
        <v>7.8136315061163252E-4</v>
      </c>
      <c r="E17" s="239">
        <v>13637</v>
      </c>
      <c r="F17" s="61">
        <v>6.0966976392497695E-4</v>
      </c>
      <c r="G17" s="60">
        <v>8.3972564241443896E-4</v>
      </c>
    </row>
    <row r="18" spans="1:7" ht="15" customHeight="1" x14ac:dyDescent="0.2">
      <c r="A18" s="131" t="s">
        <v>155</v>
      </c>
      <c r="B18" s="239">
        <v>791168</v>
      </c>
      <c r="C18" s="61">
        <v>3.7181561260133701E-2</v>
      </c>
      <c r="D18" s="60">
        <v>4.2692646487783432E-2</v>
      </c>
      <c r="E18" s="239">
        <v>955029</v>
      </c>
      <c r="F18" s="61">
        <v>4.2696509860783702E-2</v>
      </c>
      <c r="G18" s="60">
        <v>5.8807827275017897E-2</v>
      </c>
    </row>
    <row r="19" spans="1:7" ht="15" customHeight="1" x14ac:dyDescent="0.2">
      <c r="A19" s="131" t="s">
        <v>156</v>
      </c>
      <c r="B19" s="239">
        <v>2742</v>
      </c>
      <c r="C19" s="61">
        <v>1.2886244258524942E-4</v>
      </c>
      <c r="D19" s="60">
        <v>1.4796255241554532E-4</v>
      </c>
      <c r="E19" s="239">
        <v>543</v>
      </c>
      <c r="F19" s="61">
        <v>2.42759171233602E-5</v>
      </c>
      <c r="G19" s="60">
        <v>3.3436314719589402E-5</v>
      </c>
    </row>
    <row r="20" spans="1:7" ht="15" customHeight="1" x14ac:dyDescent="0.2">
      <c r="A20" s="131" t="s">
        <v>157</v>
      </c>
      <c r="B20" s="239">
        <v>1448385</v>
      </c>
      <c r="C20" s="61">
        <v>6.8067990118102287E-2</v>
      </c>
      <c r="D20" s="60">
        <v>7.8157090255430203E-2</v>
      </c>
      <c r="E20" s="239">
        <v>1397295</v>
      </c>
      <c r="F20" s="61">
        <v>6.2468909055037797E-2</v>
      </c>
      <c r="G20" s="60">
        <v>8.6041243786572102E-2</v>
      </c>
    </row>
    <row r="21" spans="1:7" ht="15" customHeight="1" x14ac:dyDescent="0.2">
      <c r="A21" s="131" t="s">
        <v>158</v>
      </c>
      <c r="B21" s="239">
        <v>3026</v>
      </c>
      <c r="C21" s="61">
        <v>1.4220924553718625E-4</v>
      </c>
      <c r="D21" s="60">
        <v>1.6328763078389503E-4</v>
      </c>
      <c r="E21" s="239">
        <v>606</v>
      </c>
      <c r="F21" s="61">
        <v>2.7092459994026201E-5</v>
      </c>
      <c r="G21" s="60">
        <v>3.7315666151144003E-5</v>
      </c>
    </row>
    <row r="22" spans="1:7" ht="15" customHeight="1" x14ac:dyDescent="0.2">
      <c r="A22" s="131" t="s">
        <v>159</v>
      </c>
      <c r="B22" s="239">
        <v>27008</v>
      </c>
      <c r="C22" s="61">
        <v>1.2692621624151774E-3</v>
      </c>
      <c r="D22" s="60">
        <v>1.4573933682126361E-3</v>
      </c>
      <c r="E22" s="239">
        <v>10233</v>
      </c>
      <c r="F22" s="61">
        <v>4.5748703484962098E-4</v>
      </c>
      <c r="G22" s="60">
        <v>6.3011751109679198E-4</v>
      </c>
    </row>
    <row r="23" spans="1:7" ht="15" customHeight="1" x14ac:dyDescent="0.2">
      <c r="A23" s="131" t="s">
        <v>160</v>
      </c>
      <c r="B23" s="239">
        <v>23288</v>
      </c>
      <c r="C23" s="61">
        <v>1.0944378420588215E-3</v>
      </c>
      <c r="D23" s="60">
        <v>1.2566564262046754E-3</v>
      </c>
      <c r="E23" s="239">
        <v>25133</v>
      </c>
      <c r="F23" s="61">
        <v>1.1236217772769999E-3</v>
      </c>
      <c r="G23" s="60">
        <v>1.5476149131628701E-3</v>
      </c>
    </row>
    <row r="24" spans="1:7" ht="15" customHeight="1" x14ac:dyDescent="0.2">
      <c r="A24" s="131" t="s">
        <v>161</v>
      </c>
      <c r="B24" s="239">
        <v>6829508</v>
      </c>
      <c r="C24" s="61">
        <v>0.32095808991083208</v>
      </c>
      <c r="D24" s="60">
        <v>0.36853079337067329</v>
      </c>
      <c r="E24" s="239">
        <v>4301059</v>
      </c>
      <c r="F24" s="61">
        <v>0.192287572424829</v>
      </c>
      <c r="G24" s="60">
        <v>0.26484633950556602</v>
      </c>
    </row>
    <row r="25" spans="1:7" ht="15" customHeight="1" x14ac:dyDescent="0.2">
      <c r="A25" s="131" t="s">
        <v>33</v>
      </c>
      <c r="B25" s="239">
        <v>1256237</v>
      </c>
      <c r="C25" s="61">
        <v>5.9037844013846083E-2</v>
      </c>
      <c r="D25" s="60">
        <v>6.7788487585283524E-2</v>
      </c>
      <c r="E25" s="239">
        <v>626612</v>
      </c>
      <c r="F25" s="61">
        <v>2.8013961290060702E-2</v>
      </c>
      <c r="G25" s="60">
        <v>3.8584891416337697E-2</v>
      </c>
    </row>
    <row r="26" spans="1:7" ht="15" customHeight="1" x14ac:dyDescent="0.2">
      <c r="A26" s="131" t="s">
        <v>162</v>
      </c>
      <c r="B26" s="239">
        <v>70401</v>
      </c>
      <c r="C26" s="61">
        <v>3.3085502627440348E-3</v>
      </c>
      <c r="D26" s="60">
        <v>3.7989466275006587E-3</v>
      </c>
      <c r="E26" s="239">
        <v>68856</v>
      </c>
      <c r="F26" s="61">
        <v>3.07834723654896E-3</v>
      </c>
      <c r="G26" s="60">
        <v>4.2399463836686E-3</v>
      </c>
    </row>
    <row r="27" spans="1:7" ht="15" customHeight="1" x14ac:dyDescent="0.2">
      <c r="A27" s="131" t="s">
        <v>163</v>
      </c>
      <c r="B27" s="239">
        <v>178538</v>
      </c>
      <c r="C27" s="61">
        <v>8.3905334698341581E-3</v>
      </c>
      <c r="D27" s="60">
        <v>9.6341860624240081E-3</v>
      </c>
      <c r="E27" s="239">
        <v>350633</v>
      </c>
      <c r="F27" s="61">
        <v>1.5675759942385199E-2</v>
      </c>
      <c r="G27" s="60">
        <v>2.1590930642861501E-2</v>
      </c>
    </row>
    <row r="28" spans="1:7" ht="15" customHeight="1" x14ac:dyDescent="0.2">
      <c r="A28" s="131" t="s">
        <v>164</v>
      </c>
      <c r="B28" s="239">
        <v>13077</v>
      </c>
      <c r="C28" s="61">
        <v>6.1456388099464132E-4</v>
      </c>
      <c r="D28" s="60">
        <v>7.0565510501024303E-4</v>
      </c>
      <c r="E28" s="239">
        <v>15562</v>
      </c>
      <c r="F28" s="61">
        <v>6.9573079608421903E-4</v>
      </c>
      <c r="G28" s="60">
        <v>9.5826138060082903E-4</v>
      </c>
    </row>
    <row r="29" spans="1:7" ht="15" customHeight="1" x14ac:dyDescent="0.2">
      <c r="A29" s="131" t="s">
        <v>165</v>
      </c>
      <c r="B29" s="239">
        <v>13039</v>
      </c>
      <c r="C29" s="61">
        <v>6.1277804116304413E-4</v>
      </c>
      <c r="D29" s="60">
        <v>7.0360456635532292E-4</v>
      </c>
      <c r="E29" s="239">
        <v>15858</v>
      </c>
      <c r="F29" s="61">
        <v>7.0896407687338003E-4</v>
      </c>
      <c r="G29" s="60">
        <v>9.7648817462845001E-4</v>
      </c>
    </row>
    <row r="30" spans="1:7" ht="15" customHeight="1" x14ac:dyDescent="0.2">
      <c r="A30" s="131" t="s">
        <v>166</v>
      </c>
      <c r="B30" s="239">
        <v>103758</v>
      </c>
      <c r="C30" s="61">
        <v>4.8761886643910683E-3</v>
      </c>
      <c r="D30" s="60">
        <v>5.5989418357155919E-3</v>
      </c>
      <c r="E30" s="239">
        <v>118445</v>
      </c>
      <c r="F30" s="61">
        <v>5.2953241320007199E-3</v>
      </c>
      <c r="G30" s="60">
        <v>7.2934885763568397E-3</v>
      </c>
    </row>
    <row r="31" spans="1:7" ht="15" customHeight="1" x14ac:dyDescent="0.2">
      <c r="A31" s="131" t="s">
        <v>167</v>
      </c>
      <c r="B31" s="239">
        <v>536806</v>
      </c>
      <c r="C31" s="61">
        <v>2.5227619385272574E-2</v>
      </c>
      <c r="D31" s="60">
        <v>2.8966880347184254E-2</v>
      </c>
      <c r="E31" s="239">
        <v>744383</v>
      </c>
      <c r="F31" s="61">
        <v>3.3279152884048299E-2</v>
      </c>
      <c r="G31" s="60">
        <v>4.5836877090077603E-2</v>
      </c>
    </row>
    <row r="32" spans="1:7" ht="15" customHeight="1" thickBot="1" x14ac:dyDescent="0.25">
      <c r="A32" s="131" t="s">
        <v>168</v>
      </c>
      <c r="B32" s="239">
        <v>4348148</v>
      </c>
      <c r="C32" s="61">
        <v>0.20434462873893766</v>
      </c>
      <c r="D32" s="60">
        <v>0.23463277766613733</v>
      </c>
      <c r="E32" s="239">
        <v>4195270</v>
      </c>
      <c r="F32" s="61">
        <v>0.18755806046062501</v>
      </c>
      <c r="G32" s="60">
        <v>0.258332169527904</v>
      </c>
    </row>
    <row r="33" spans="1:18" ht="15" customHeight="1" thickBot="1" x14ac:dyDescent="0.25">
      <c r="A33" s="5" t="s">
        <v>169</v>
      </c>
      <c r="B33" s="240">
        <v>18531716</v>
      </c>
      <c r="C33" s="66">
        <v>0.87091254159596931</v>
      </c>
      <c r="D33" s="67">
        <v>1</v>
      </c>
      <c r="E33" s="240">
        <v>16239828</v>
      </c>
      <c r="F33" s="66">
        <v>0.72603447260704201</v>
      </c>
      <c r="G33" s="67">
        <v>1</v>
      </c>
    </row>
    <row r="34" spans="1:18" ht="15" customHeight="1" x14ac:dyDescent="0.2">
      <c r="A34" s="36" t="s">
        <v>170</v>
      </c>
      <c r="B34" s="241">
        <v>2744806</v>
      </c>
      <c r="C34" s="68">
        <v>0.12899431275807735</v>
      </c>
      <c r="D34" s="62"/>
      <c r="E34" s="241">
        <v>6111238</v>
      </c>
      <c r="F34" s="68">
        <v>0.27321529872767819</v>
      </c>
      <c r="G34" s="62"/>
    </row>
    <row r="35" spans="1:18" ht="15" customHeight="1" thickBot="1" x14ac:dyDescent="0.25">
      <c r="A35" s="36" t="s">
        <v>171</v>
      </c>
      <c r="B35" s="241">
        <v>1982</v>
      </c>
      <c r="C35" s="68">
        <v>9.3145645953305741E-5</v>
      </c>
      <c r="D35" s="62"/>
      <c r="E35" s="241">
        <v>16781</v>
      </c>
      <c r="F35" s="68">
        <v>7.5022866528012279E-4</v>
      </c>
      <c r="G35" s="62"/>
    </row>
    <row r="36" spans="1:18" ht="15" customHeight="1" thickBot="1" x14ac:dyDescent="0.25">
      <c r="A36" s="5" t="s">
        <v>172</v>
      </c>
      <c r="B36" s="240">
        <v>2746788</v>
      </c>
      <c r="C36" s="66">
        <v>0.12908745840403066</v>
      </c>
      <c r="D36" s="69"/>
      <c r="E36" s="240">
        <v>6128019</v>
      </c>
      <c r="F36" s="66">
        <v>0.27396552739295832</v>
      </c>
      <c r="G36" s="69"/>
    </row>
    <row r="37" spans="1:18" ht="15" customHeight="1" thickBot="1" x14ac:dyDescent="0.25">
      <c r="A37" s="5" t="s">
        <v>48</v>
      </c>
      <c r="B37" s="240">
        <v>21278504</v>
      </c>
      <c r="C37" s="66">
        <v>1</v>
      </c>
      <c r="D37" s="69"/>
      <c r="E37" s="240">
        <v>22367847</v>
      </c>
      <c r="F37" s="66">
        <v>1</v>
      </c>
      <c r="G37" s="69"/>
    </row>
    <row r="39" spans="1:18" ht="17.100000000000001" customHeight="1" thickBot="1" x14ac:dyDescent="0.25">
      <c r="A39" s="594" t="s">
        <v>10</v>
      </c>
      <c r="B39" s="595"/>
      <c r="C39" s="595"/>
      <c r="D39" s="595"/>
      <c r="E39" s="595"/>
      <c r="F39" s="595"/>
      <c r="G39" s="595"/>
      <c r="H39" s="595"/>
    </row>
    <row r="40" spans="1:18" ht="17.100000000000001" customHeight="1" x14ac:dyDescent="0.2">
      <c r="A40" s="465" t="s">
        <v>1035</v>
      </c>
      <c r="B40" s="465"/>
      <c r="C40" s="465"/>
      <c r="D40" s="465"/>
      <c r="E40" s="465"/>
      <c r="F40" s="465"/>
      <c r="G40" s="465"/>
      <c r="H40" s="465"/>
    </row>
    <row r="41" spans="1:18" ht="17.100000000000001" customHeight="1" x14ac:dyDescent="0.2">
      <c r="A41" s="547" t="s">
        <v>587</v>
      </c>
      <c r="B41" s="547"/>
      <c r="C41" s="547"/>
      <c r="D41" s="547"/>
      <c r="E41" s="547"/>
      <c r="F41" s="547"/>
      <c r="G41" s="547"/>
      <c r="H41" s="386"/>
      <c r="I41" s="386"/>
      <c r="J41" s="386"/>
      <c r="K41" s="386"/>
      <c r="L41" s="386"/>
      <c r="M41" s="386"/>
      <c r="N41" s="386"/>
      <c r="O41" s="386"/>
      <c r="P41" s="386"/>
      <c r="Q41" s="386"/>
      <c r="R41" s="386"/>
    </row>
    <row r="42" spans="1:18" ht="17.100000000000001" customHeight="1" x14ac:dyDescent="0.2">
      <c r="A42" s="560" t="s">
        <v>441</v>
      </c>
      <c r="B42" s="561"/>
      <c r="C42" s="561"/>
      <c r="D42" s="561"/>
      <c r="E42" s="561"/>
      <c r="F42" s="561"/>
      <c r="G42" s="561"/>
      <c r="H42" s="561"/>
    </row>
    <row r="43" spans="1:18" ht="13.5" thickBot="1" x14ac:dyDescent="0.25">
      <c r="A43" s="551" t="s">
        <v>945</v>
      </c>
      <c r="B43" s="552"/>
      <c r="C43" s="552"/>
      <c r="D43" s="552"/>
      <c r="E43" s="552"/>
      <c r="F43" s="552"/>
      <c r="G43" s="552"/>
      <c r="H43" s="552"/>
    </row>
    <row r="44" spans="1:18" x14ac:dyDescent="0.2">
      <c r="A44" s="126"/>
    </row>
    <row r="45" spans="1:18" x14ac:dyDescent="0.2">
      <c r="A45" s="120" t="s">
        <v>470</v>
      </c>
    </row>
  </sheetData>
  <sortState xmlns:xlrd2="http://schemas.microsoft.com/office/spreadsheetml/2017/richdata2" ref="J8:M31">
    <sortCondition ref="L14"/>
  </sortState>
  <mergeCells count="9">
    <mergeCell ref="A2:H2"/>
    <mergeCell ref="A39:H39"/>
    <mergeCell ref="A42:H42"/>
    <mergeCell ref="A43:H43"/>
    <mergeCell ref="A41:G41"/>
    <mergeCell ref="A3:H3"/>
    <mergeCell ref="B6:D6"/>
    <mergeCell ref="E6:G6"/>
    <mergeCell ref="A4:F4"/>
  </mergeCells>
  <hyperlinks>
    <hyperlink ref="A42:H42" r:id="rId1" display="Contact via enquiries@NHSDigital.nhs.uk or 0300 303 5678" xr:uid="{00000000-0004-0000-2300-000000000000}"/>
    <hyperlink ref="A45" location="Contents!A1" display="Return to Contents" xr:uid="{00000000-0004-0000-2300-000001000000}"/>
  </hyperlinks>
  <pageMargins left="0.78740157480314965" right="0.78740157480314965" top="0.78740157480314965" bottom="0.78740157480314965" header="0.78740157480314965" footer="0.78740157480314965"/>
  <pageSetup paperSize="9" scale="79" fitToHeight="0" orientation="landscape" r:id="rId2"/>
  <headerFooter alignWithMargins="0">
    <oddFooter>&amp;L&amp;C&amp;R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3">
    <pageSetUpPr fitToPage="1"/>
  </sheetPr>
  <dimension ref="A1:R59"/>
  <sheetViews>
    <sheetView showGridLines="0" workbookViewId="0"/>
  </sheetViews>
  <sheetFormatPr defaultColWidth="9.140625" defaultRowHeight="12.75" x14ac:dyDescent="0.2"/>
  <cols>
    <col min="1" max="1" width="40.42578125" style="109" customWidth="1"/>
    <col min="2" max="7" width="17.85546875" style="109" customWidth="1"/>
    <col min="8" max="8" width="9.140625" style="109" customWidth="1"/>
    <col min="9" max="16384" width="9.140625" style="109"/>
  </cols>
  <sheetData>
    <row r="1" spans="1:12" s="318" customFormat="1" ht="15" customHeight="1" x14ac:dyDescent="0.2"/>
    <row r="2" spans="1:12" ht="56.25" customHeight="1" x14ac:dyDescent="0.2">
      <c r="A2" s="559" t="s">
        <v>997</v>
      </c>
      <c r="B2" s="559"/>
      <c r="C2" s="559"/>
      <c r="D2" s="559"/>
      <c r="E2" s="559"/>
      <c r="F2" s="559"/>
      <c r="G2" s="559"/>
      <c r="H2" s="559"/>
    </row>
    <row r="3" spans="1:12" x14ac:dyDescent="0.2">
      <c r="A3" s="558" t="s">
        <v>590</v>
      </c>
      <c r="B3" s="558"/>
      <c r="C3" s="558"/>
      <c r="D3" s="558"/>
      <c r="E3" s="558"/>
      <c r="F3" s="558"/>
      <c r="G3" s="558"/>
      <c r="H3" s="558"/>
    </row>
    <row r="4" spans="1:12" s="476" customFormat="1" x14ac:dyDescent="0.2">
      <c r="A4" s="558" t="s">
        <v>1050</v>
      </c>
      <c r="B4" s="558"/>
      <c r="C4" s="558"/>
      <c r="D4" s="558"/>
      <c r="E4" s="558"/>
      <c r="F4" s="558"/>
      <c r="G4" s="477"/>
      <c r="H4" s="477"/>
    </row>
    <row r="5" spans="1:12" ht="11.25" customHeight="1" thickBot="1" x14ac:dyDescent="0.25"/>
    <row r="6" spans="1:12" ht="15" customHeight="1" thickBot="1" x14ac:dyDescent="0.25">
      <c r="A6" s="106"/>
      <c r="B6" s="580" t="s">
        <v>621</v>
      </c>
      <c r="C6" s="626"/>
      <c r="D6" s="624"/>
      <c r="E6" s="580" t="s">
        <v>956</v>
      </c>
      <c r="F6" s="626"/>
      <c r="G6" s="624"/>
    </row>
    <row r="7" spans="1:12" ht="52.5" customHeight="1" thickBot="1" x14ac:dyDescent="0.25">
      <c r="A7" s="2" t="s">
        <v>173</v>
      </c>
      <c r="B7" s="3" t="s">
        <v>38</v>
      </c>
      <c r="C7" s="9" t="s">
        <v>39</v>
      </c>
      <c r="D7" s="4" t="s">
        <v>144</v>
      </c>
      <c r="E7" s="3" t="s">
        <v>38</v>
      </c>
      <c r="F7" s="9" t="s">
        <v>39</v>
      </c>
      <c r="G7" s="4" t="s">
        <v>144</v>
      </c>
      <c r="I7" s="384"/>
      <c r="J7" s="384"/>
    </row>
    <row r="8" spans="1:12" ht="15" customHeight="1" x14ac:dyDescent="0.2">
      <c r="A8" s="131" t="s">
        <v>174</v>
      </c>
      <c r="B8" s="239">
        <v>88429</v>
      </c>
      <c r="C8" s="80">
        <v>4.1557902754817723E-3</v>
      </c>
      <c r="D8" s="81">
        <v>5.9878309485453087E-3</v>
      </c>
      <c r="E8" s="239">
        <v>98712</v>
      </c>
      <c r="F8" s="435">
        <v>4.4131203150665297E-3</v>
      </c>
      <c r="G8" s="442">
        <v>6.1537448746845896E-3</v>
      </c>
      <c r="I8" s="384"/>
      <c r="J8" s="384"/>
      <c r="K8" s="141"/>
      <c r="L8" s="141"/>
    </row>
    <row r="9" spans="1:12" ht="15" customHeight="1" x14ac:dyDescent="0.2">
      <c r="A9" s="131" t="s">
        <v>175</v>
      </c>
      <c r="B9" s="239">
        <v>83009</v>
      </c>
      <c r="C9" s="80">
        <v>3.9010731205539636E-3</v>
      </c>
      <c r="D9" s="81">
        <v>5.620824155059964E-3</v>
      </c>
      <c r="E9" s="239">
        <v>57510</v>
      </c>
      <c r="F9" s="435">
        <v>2.5711012776509102E-3</v>
      </c>
      <c r="G9" s="443">
        <v>3.58519600193604E-3</v>
      </c>
      <c r="I9" s="384"/>
      <c r="J9" s="384"/>
      <c r="K9" s="141"/>
      <c r="L9" s="141"/>
    </row>
    <row r="10" spans="1:12" ht="15" customHeight="1" x14ac:dyDescent="0.2">
      <c r="A10" s="131" t="s">
        <v>176</v>
      </c>
      <c r="B10" s="239">
        <v>124776</v>
      </c>
      <c r="C10" s="80">
        <v>5.8639460744044792E-3</v>
      </c>
      <c r="D10" s="81">
        <v>8.4490110081046881E-3</v>
      </c>
      <c r="E10" s="239">
        <v>136866</v>
      </c>
      <c r="F10" s="435">
        <v>6.1188723259775497E-3</v>
      </c>
      <c r="G10" s="443">
        <v>8.5322802295423102E-3</v>
      </c>
      <c r="I10" s="384"/>
      <c r="J10" s="384"/>
      <c r="K10" s="141"/>
      <c r="L10" s="141"/>
    </row>
    <row r="11" spans="1:12" ht="15" customHeight="1" x14ac:dyDescent="0.2">
      <c r="A11" s="131" t="s">
        <v>177</v>
      </c>
      <c r="B11" s="239">
        <v>554769</v>
      </c>
      <c r="C11" s="80">
        <v>2.6071804671982578E-2</v>
      </c>
      <c r="D11" s="81">
        <v>3.75653121430021E-2</v>
      </c>
      <c r="E11" s="239">
        <v>645822</v>
      </c>
      <c r="F11" s="435">
        <v>2.8872783330465401E-2</v>
      </c>
      <c r="G11" s="443">
        <v>4.0260797293728702E-2</v>
      </c>
      <c r="I11" s="384"/>
      <c r="J11" s="384"/>
      <c r="K11" s="141"/>
      <c r="L11" s="141"/>
    </row>
    <row r="12" spans="1:12" ht="15" customHeight="1" x14ac:dyDescent="0.2">
      <c r="A12" s="131" t="s">
        <v>178</v>
      </c>
      <c r="B12" s="239">
        <v>283000</v>
      </c>
      <c r="C12" s="80">
        <v>1.3299807166894816E-2</v>
      </c>
      <c r="D12" s="81">
        <v>1.9162900840655469E-2</v>
      </c>
      <c r="E12" s="239">
        <v>243252</v>
      </c>
      <c r="F12" s="435">
        <v>1.0875074386909E-2</v>
      </c>
      <c r="G12" s="443">
        <v>1.51644252801764E-2</v>
      </c>
      <c r="I12" s="384"/>
      <c r="J12" s="384"/>
      <c r="K12" s="141"/>
      <c r="L12" s="141"/>
    </row>
    <row r="13" spans="1:12" ht="15" customHeight="1" x14ac:dyDescent="0.2">
      <c r="A13" s="131" t="s">
        <v>179</v>
      </c>
      <c r="B13" s="239">
        <v>143589</v>
      </c>
      <c r="C13" s="80">
        <v>6.7480777784002105E-3</v>
      </c>
      <c r="D13" s="81">
        <v>9.722903776709816E-3</v>
      </c>
      <c r="E13" s="239">
        <v>233811</v>
      </c>
      <c r="F13" s="435">
        <v>1.04529953195764E-2</v>
      </c>
      <c r="G13" s="443">
        <v>1.45758696297804E-2</v>
      </c>
      <c r="I13" s="384"/>
      <c r="J13" s="384"/>
      <c r="K13" s="141"/>
      <c r="L13" s="141"/>
    </row>
    <row r="14" spans="1:12" ht="15" customHeight="1" x14ac:dyDescent="0.2">
      <c r="A14" s="131" t="s">
        <v>180</v>
      </c>
      <c r="B14" s="239">
        <v>594540</v>
      </c>
      <c r="C14" s="80">
        <v>2.7940874038889198E-2</v>
      </c>
      <c r="D14" s="81">
        <v>4.0258342988704246E-2</v>
      </c>
      <c r="E14" s="239">
        <v>949793</v>
      </c>
      <c r="F14" s="435">
        <v>4.2462423853310498E-2</v>
      </c>
      <c r="G14" s="443">
        <v>5.9210468897006402E-2</v>
      </c>
      <c r="I14" s="384"/>
      <c r="J14" s="384"/>
      <c r="K14" s="141"/>
      <c r="L14" s="141"/>
    </row>
    <row r="15" spans="1:12" ht="15" customHeight="1" x14ac:dyDescent="0.2">
      <c r="A15" s="131" t="s">
        <v>181</v>
      </c>
      <c r="B15" s="239">
        <v>183142</v>
      </c>
      <c r="C15" s="80">
        <v>8.6069020641676691E-3</v>
      </c>
      <c r="D15" s="81">
        <v>1.2401173094555915E-2</v>
      </c>
      <c r="E15" s="239">
        <v>208032</v>
      </c>
      <c r="F15" s="435">
        <v>9.3004928011176102E-3</v>
      </c>
      <c r="G15" s="443">
        <v>1.2968796638406501E-2</v>
      </c>
      <c r="I15" s="384"/>
      <c r="J15" s="384"/>
      <c r="K15" s="141"/>
      <c r="L15" s="141"/>
    </row>
    <row r="16" spans="1:12" ht="15" customHeight="1" x14ac:dyDescent="0.2">
      <c r="A16" s="131" t="s">
        <v>182</v>
      </c>
      <c r="B16" s="239">
        <v>71683</v>
      </c>
      <c r="C16" s="80">
        <v>3.3687988591679188E-3</v>
      </c>
      <c r="D16" s="81">
        <v>4.8539018408505514E-3</v>
      </c>
      <c r="E16" s="239">
        <v>89790</v>
      </c>
      <c r="F16" s="435">
        <v>4.0142441961445799E-3</v>
      </c>
      <c r="G16" s="443">
        <v>5.59754388826008E-3</v>
      </c>
      <c r="I16" s="384"/>
      <c r="J16" s="384"/>
      <c r="K16" s="141"/>
      <c r="L16" s="141"/>
    </row>
    <row r="17" spans="1:12" ht="15" customHeight="1" x14ac:dyDescent="0.2">
      <c r="A17" s="131" t="s">
        <v>183</v>
      </c>
      <c r="B17" s="239">
        <v>3015969</v>
      </c>
      <c r="C17" s="80">
        <v>0.14173783081742963</v>
      </c>
      <c r="D17" s="81">
        <v>0.20422160736922557</v>
      </c>
      <c r="E17" s="239">
        <v>1988773</v>
      </c>
      <c r="F17" s="435">
        <v>8.8912133563860699E-2</v>
      </c>
      <c r="G17" s="443">
        <v>0.12398089042528899</v>
      </c>
      <c r="I17" s="384"/>
      <c r="J17" s="384"/>
      <c r="K17" s="141"/>
      <c r="L17" s="141"/>
    </row>
    <row r="18" spans="1:12" ht="15" customHeight="1" x14ac:dyDescent="0.2">
      <c r="A18" s="131" t="s">
        <v>184</v>
      </c>
      <c r="B18" s="239">
        <v>988998</v>
      </c>
      <c r="C18" s="80">
        <v>4.6478737414998722E-2</v>
      </c>
      <c r="D18" s="81">
        <v>6.6968447369634546E-2</v>
      </c>
      <c r="E18" s="239">
        <v>1147822</v>
      </c>
      <c r="F18" s="435">
        <v>5.13157122364079E-2</v>
      </c>
      <c r="G18" s="443">
        <v>7.1555674584145898E-2</v>
      </c>
      <c r="I18" s="384"/>
      <c r="J18" s="384"/>
      <c r="K18" s="141"/>
      <c r="L18" s="141"/>
    </row>
    <row r="19" spans="1:12" ht="15" customHeight="1" x14ac:dyDescent="0.2">
      <c r="A19" s="131" t="s">
        <v>185</v>
      </c>
      <c r="B19" s="239">
        <v>2459</v>
      </c>
      <c r="C19" s="80">
        <v>1.155626354183546E-4</v>
      </c>
      <c r="D19" s="81">
        <v>1.6650732567905229E-4</v>
      </c>
      <c r="E19" s="239">
        <v>668</v>
      </c>
      <c r="F19" s="435">
        <v>2.9864295834999199E-5</v>
      </c>
      <c r="G19" s="443">
        <v>4.1643382529877899E-5</v>
      </c>
      <c r="I19" s="384"/>
      <c r="J19" s="384"/>
      <c r="K19" s="141"/>
      <c r="L19" s="141"/>
    </row>
    <row r="20" spans="1:12" ht="15" customHeight="1" x14ac:dyDescent="0.2">
      <c r="A20" s="131" t="s">
        <v>186</v>
      </c>
      <c r="B20" s="239">
        <v>436170</v>
      </c>
      <c r="C20" s="80">
        <v>2.0498151561782727E-2</v>
      </c>
      <c r="D20" s="81">
        <v>2.9534566995295743E-2</v>
      </c>
      <c r="E20" s="239">
        <v>456567</v>
      </c>
      <c r="F20" s="435">
        <v>2.0411754425895299E-2</v>
      </c>
      <c r="G20" s="443">
        <v>2.8462566214848401E-2</v>
      </c>
      <c r="I20" s="384"/>
      <c r="J20" s="384"/>
      <c r="K20" s="141"/>
      <c r="L20" s="141"/>
    </row>
    <row r="21" spans="1:12" ht="15" customHeight="1" x14ac:dyDescent="0.2">
      <c r="A21" s="131" t="s">
        <v>187</v>
      </c>
      <c r="B21" s="239">
        <v>60298</v>
      </c>
      <c r="C21" s="80">
        <v>2.8337518464643945E-3</v>
      </c>
      <c r="D21" s="81">
        <v>4.0829844342397297E-3</v>
      </c>
      <c r="E21" s="239">
        <v>69860</v>
      </c>
      <c r="F21" s="435">
        <v>3.1232330943608499E-3</v>
      </c>
      <c r="G21" s="443">
        <v>4.35509985559471E-3</v>
      </c>
      <c r="I21" s="384"/>
      <c r="J21" s="384"/>
      <c r="K21" s="141"/>
      <c r="L21" s="141"/>
    </row>
    <row r="22" spans="1:12" ht="15" customHeight="1" x14ac:dyDescent="0.2">
      <c r="A22" s="131" t="s">
        <v>188</v>
      </c>
      <c r="B22" s="239">
        <v>159574</v>
      </c>
      <c r="C22" s="80">
        <v>7.4993054022970788E-3</v>
      </c>
      <c r="D22" s="81">
        <v>1.0805302963769454E-2</v>
      </c>
      <c r="E22" s="239">
        <v>168015</v>
      </c>
      <c r="F22" s="435">
        <v>7.5114515938883202E-3</v>
      </c>
      <c r="G22" s="443">
        <v>1.0474121131373399E-2</v>
      </c>
      <c r="I22" s="384"/>
      <c r="J22" s="384"/>
      <c r="K22" s="141"/>
      <c r="L22" s="141"/>
    </row>
    <row r="23" spans="1:12" ht="15" customHeight="1" x14ac:dyDescent="0.2">
      <c r="A23" s="131" t="s">
        <v>189</v>
      </c>
      <c r="B23" s="239">
        <v>887397</v>
      </c>
      <c r="C23" s="80">
        <v>4.1703918658943316E-2</v>
      </c>
      <c r="D23" s="81">
        <v>6.0088695114117109E-2</v>
      </c>
      <c r="E23" s="239">
        <v>1019153</v>
      </c>
      <c r="F23" s="435">
        <v>4.5563303432824803E-2</v>
      </c>
      <c r="G23" s="443">
        <v>6.3534398556096799E-2</v>
      </c>
      <c r="I23" s="384"/>
      <c r="J23" s="384"/>
      <c r="K23" s="141"/>
      <c r="L23" s="141"/>
    </row>
    <row r="24" spans="1:12" ht="15" customHeight="1" x14ac:dyDescent="0.2">
      <c r="A24" s="131" t="s">
        <v>190</v>
      </c>
      <c r="B24" s="239">
        <v>184008</v>
      </c>
      <c r="C24" s="80">
        <v>8.6476004140140679E-3</v>
      </c>
      <c r="D24" s="81">
        <v>1.2459812925396932E-2</v>
      </c>
      <c r="E24" s="239">
        <v>218443</v>
      </c>
      <c r="F24" s="435">
        <v>9.7659376872525992E-3</v>
      </c>
      <c r="G24" s="443">
        <v>1.36178224700211E-2</v>
      </c>
      <c r="I24" s="384"/>
      <c r="J24" s="384"/>
      <c r="K24" s="141"/>
      <c r="L24" s="141"/>
    </row>
    <row r="25" spans="1:12" ht="15" customHeight="1" x14ac:dyDescent="0.2">
      <c r="A25" s="131" t="s">
        <v>191</v>
      </c>
      <c r="B25" s="239">
        <v>66115</v>
      </c>
      <c r="C25" s="80">
        <v>3.1071263280538896E-3</v>
      </c>
      <c r="D25" s="81">
        <v>4.4768734596464183E-3</v>
      </c>
      <c r="E25" s="239">
        <v>98472</v>
      </c>
      <c r="F25" s="435">
        <v>4.4023906279401902E-3</v>
      </c>
      <c r="G25" s="443">
        <v>6.1387831803624802E-3</v>
      </c>
      <c r="I25" s="384"/>
      <c r="J25" s="384"/>
      <c r="K25" s="141"/>
      <c r="L25" s="141"/>
    </row>
    <row r="26" spans="1:12" ht="15" customHeight="1" x14ac:dyDescent="0.2">
      <c r="A26" s="131" t="s">
        <v>192</v>
      </c>
      <c r="B26" s="239">
        <v>443758</v>
      </c>
      <c r="C26" s="80">
        <v>2.0854755578681661E-2</v>
      </c>
      <c r="D26" s="81">
        <v>3.0048376506175228E-2</v>
      </c>
      <c r="E26" s="239">
        <v>434782</v>
      </c>
      <c r="F26" s="435">
        <v>1.9437811784030899E-2</v>
      </c>
      <c r="G26" s="443">
        <v>2.7104480753151701E-2</v>
      </c>
      <c r="I26" s="384"/>
      <c r="J26" s="384"/>
      <c r="K26" s="141"/>
      <c r="L26" s="141"/>
    </row>
    <row r="27" spans="1:12" ht="15" customHeight="1" x14ac:dyDescent="0.2">
      <c r="A27" s="131" t="s">
        <v>193</v>
      </c>
      <c r="B27" s="239">
        <v>300854</v>
      </c>
      <c r="C27" s="80">
        <v>1.413886991303524E-2</v>
      </c>
      <c r="D27" s="81">
        <v>2.037185642938007E-2</v>
      </c>
      <c r="E27" s="239">
        <v>265173</v>
      </c>
      <c r="F27" s="435">
        <v>1.18550971848118E-2</v>
      </c>
      <c r="G27" s="443">
        <v>1.65309890353223E-2</v>
      </c>
      <c r="I27" s="384"/>
      <c r="J27" s="384"/>
      <c r="K27" s="141"/>
      <c r="L27" s="141"/>
    </row>
    <row r="28" spans="1:12" ht="15" customHeight="1" x14ac:dyDescent="0.2">
      <c r="A28" s="131" t="s">
        <v>194</v>
      </c>
      <c r="B28" s="239">
        <v>765851</v>
      </c>
      <c r="C28" s="80">
        <v>3.5991768970224595E-2</v>
      </c>
      <c r="D28" s="81">
        <v>5.1858398486631915E-2</v>
      </c>
      <c r="E28" s="239">
        <v>992407</v>
      </c>
      <c r="F28" s="435">
        <v>4.4367569216652802E-2</v>
      </c>
      <c r="G28" s="443">
        <v>6.1867042404683402E-2</v>
      </c>
      <c r="I28" s="384"/>
      <c r="J28" s="384"/>
      <c r="K28" s="141"/>
      <c r="L28" s="141"/>
    </row>
    <row r="29" spans="1:12" ht="15" customHeight="1" x14ac:dyDescent="0.2">
      <c r="A29" s="131" t="s">
        <v>195</v>
      </c>
      <c r="B29" s="239">
        <v>336319</v>
      </c>
      <c r="C29" s="80">
        <v>1.5805575429550873E-2</v>
      </c>
      <c r="D29" s="81">
        <v>2.2773313243209917E-2</v>
      </c>
      <c r="E29" s="239">
        <v>349308</v>
      </c>
      <c r="F29" s="435">
        <v>1.56165231280418E-2</v>
      </c>
      <c r="G29" s="443">
        <v>2.17759980011176E-2</v>
      </c>
      <c r="I29" s="384"/>
      <c r="J29" s="384"/>
      <c r="K29" s="141"/>
      <c r="L29" s="141"/>
    </row>
    <row r="30" spans="1:12" ht="15" customHeight="1" x14ac:dyDescent="0.2">
      <c r="A30" s="131" t="s">
        <v>196</v>
      </c>
      <c r="B30" s="239">
        <v>295815</v>
      </c>
      <c r="C30" s="80">
        <v>1.3902058152208444E-2</v>
      </c>
      <c r="D30" s="81">
        <v>2.0030648452927551E-2</v>
      </c>
      <c r="E30" s="239">
        <v>355775</v>
      </c>
      <c r="F30" s="435">
        <v>1.59056434890671E-2</v>
      </c>
      <c r="G30" s="443">
        <v>2.2179153322705501E-2</v>
      </c>
      <c r="I30" s="384"/>
      <c r="J30" s="384"/>
      <c r="K30" s="141"/>
      <c r="L30" s="141"/>
    </row>
    <row r="31" spans="1:12" ht="15" customHeight="1" x14ac:dyDescent="0.2">
      <c r="A31" s="131" t="s">
        <v>197</v>
      </c>
      <c r="B31" s="239">
        <v>1681</v>
      </c>
      <c r="C31" s="80">
        <v>7.8999914655654364E-5</v>
      </c>
      <c r="D31" s="81">
        <v>1.1382627672488284E-4</v>
      </c>
      <c r="E31" s="239">
        <v>1495</v>
      </c>
      <c r="F31" s="435">
        <v>6.6837009391203402E-5</v>
      </c>
      <c r="G31" s="443">
        <v>9.3198887548154801E-5</v>
      </c>
      <c r="I31" s="384"/>
      <c r="J31" s="384"/>
      <c r="K31" s="141"/>
      <c r="L31" s="141"/>
    </row>
    <row r="32" spans="1:12" ht="15" customHeight="1" x14ac:dyDescent="0.2">
      <c r="A32" s="131" t="s">
        <v>198</v>
      </c>
      <c r="B32" s="239">
        <v>12474</v>
      </c>
      <c r="C32" s="80">
        <v>5.8622542261429654E-4</v>
      </c>
      <c r="D32" s="81">
        <v>8.4465733246055232E-4</v>
      </c>
      <c r="E32" s="239">
        <v>4308</v>
      </c>
      <c r="F32" s="435">
        <v>1.92597883917929E-4</v>
      </c>
      <c r="G32" s="443">
        <v>2.6856241308190703E-4</v>
      </c>
      <c r="I32" s="384"/>
      <c r="J32" s="384"/>
      <c r="K32" s="141"/>
      <c r="L32" s="141"/>
    </row>
    <row r="33" spans="1:12" ht="15" customHeight="1" x14ac:dyDescent="0.2">
      <c r="A33" s="131" t="s">
        <v>199</v>
      </c>
      <c r="B33" s="239">
        <v>623224</v>
      </c>
      <c r="C33" s="80">
        <v>2.928890113703482E-2</v>
      </c>
      <c r="D33" s="81">
        <v>4.2200635030094219E-2</v>
      </c>
      <c r="E33" s="239">
        <v>1061415</v>
      </c>
      <c r="F33" s="435">
        <v>4.7452711921715102E-2</v>
      </c>
      <c r="G33" s="443">
        <v>6.6169028245434594E-2</v>
      </c>
      <c r="I33" s="384"/>
      <c r="J33" s="384"/>
      <c r="K33" s="141"/>
      <c r="L33" s="141"/>
    </row>
    <row r="34" spans="1:12" ht="15" customHeight="1" x14ac:dyDescent="0.2">
      <c r="A34" s="131" t="s">
        <v>200</v>
      </c>
      <c r="B34" s="239">
        <v>37082</v>
      </c>
      <c r="C34" s="80">
        <v>1.7426977009285991E-3</v>
      </c>
      <c r="D34" s="81">
        <v>2.5109494310006576E-3</v>
      </c>
      <c r="E34" s="239">
        <v>25910</v>
      </c>
      <c r="F34" s="435">
        <v>1.1583591393485499E-3</v>
      </c>
      <c r="G34" s="443">
        <v>1.61523958285799E-3</v>
      </c>
      <c r="I34" s="384"/>
      <c r="J34" s="384"/>
      <c r="K34" s="141"/>
      <c r="L34" s="141"/>
    </row>
    <row r="35" spans="1:12" ht="15" customHeight="1" x14ac:dyDescent="0.2">
      <c r="A35" s="131" t="s">
        <v>201</v>
      </c>
      <c r="B35" s="239">
        <v>480152</v>
      </c>
      <c r="C35" s="80">
        <v>2.2565120179501342E-2</v>
      </c>
      <c r="D35" s="81">
        <v>3.2512739096969626E-2</v>
      </c>
      <c r="E35" s="239">
        <v>535436</v>
      </c>
      <c r="F35" s="435">
        <v>2.3937753150761399E-2</v>
      </c>
      <c r="G35" s="443">
        <v>3.3379290671059401E-2</v>
      </c>
      <c r="I35" s="384"/>
      <c r="J35" s="384"/>
      <c r="K35" s="141"/>
      <c r="L35" s="141"/>
    </row>
    <row r="36" spans="1:12" ht="15" customHeight="1" x14ac:dyDescent="0.2">
      <c r="A36" s="131" t="s">
        <v>202</v>
      </c>
      <c r="B36" s="239">
        <v>73100</v>
      </c>
      <c r="C36" s="80">
        <v>3.4353918865724772E-3</v>
      </c>
      <c r="D36" s="81">
        <v>4.949851771914893E-3</v>
      </c>
      <c r="E36" s="239">
        <v>81845</v>
      </c>
      <c r="F36" s="435">
        <v>3.6590468452328E-3</v>
      </c>
      <c r="G36" s="443">
        <v>5.1022494658051702E-3</v>
      </c>
      <c r="I36" s="384"/>
      <c r="J36" s="384"/>
      <c r="K36" s="141"/>
      <c r="L36" s="141"/>
    </row>
    <row r="37" spans="1:12" ht="15" customHeight="1" x14ac:dyDescent="0.2">
      <c r="A37" s="131" t="s">
        <v>203</v>
      </c>
      <c r="B37" s="239">
        <v>215735</v>
      </c>
      <c r="C37" s="80">
        <v>1.0138635686042591E-2</v>
      </c>
      <c r="D37" s="81">
        <v>1.4608156935896847E-2</v>
      </c>
      <c r="E37" s="239">
        <v>311370</v>
      </c>
      <c r="F37" s="435">
        <v>1.3920427835544501E-2</v>
      </c>
      <c r="G37" s="443">
        <v>1.94109281711498E-2</v>
      </c>
      <c r="I37" s="384"/>
      <c r="J37" s="384"/>
      <c r="K37" s="141"/>
      <c r="L37" s="141"/>
    </row>
    <row r="38" spans="1:12" ht="15" customHeight="1" x14ac:dyDescent="0.2">
      <c r="A38" s="131" t="s">
        <v>204</v>
      </c>
      <c r="B38" s="239">
        <v>209761</v>
      </c>
      <c r="C38" s="80">
        <v>9.857882866201496E-3</v>
      </c>
      <c r="D38" s="81">
        <v>1.4203636901896579E-2</v>
      </c>
      <c r="E38" s="239">
        <v>267592</v>
      </c>
      <c r="F38" s="435">
        <v>1.19632434896394E-2</v>
      </c>
      <c r="G38" s="443">
        <v>1.6681790446010598E-2</v>
      </c>
      <c r="I38" s="384"/>
      <c r="J38" s="384"/>
      <c r="K38" s="141"/>
      <c r="L38" s="141"/>
    </row>
    <row r="39" spans="1:12" ht="15" customHeight="1" x14ac:dyDescent="0.2">
      <c r="A39" s="131" t="s">
        <v>205</v>
      </c>
      <c r="B39" s="239">
        <v>913646</v>
      </c>
      <c r="C39" s="80">
        <v>4.293751102051159E-2</v>
      </c>
      <c r="D39" s="81">
        <v>6.18661049521608E-2</v>
      </c>
      <c r="E39" s="239">
        <v>1119302</v>
      </c>
      <c r="F39" s="435">
        <v>5.00406677495603E-2</v>
      </c>
      <c r="G39" s="443">
        <v>6.9777726575535007E-2</v>
      </c>
      <c r="I39" s="384"/>
      <c r="J39" s="384"/>
      <c r="K39" s="141"/>
      <c r="L39" s="141"/>
    </row>
    <row r="40" spans="1:12" ht="15" customHeight="1" x14ac:dyDescent="0.2">
      <c r="A40" s="131" t="s">
        <v>206</v>
      </c>
      <c r="B40" s="239">
        <v>86762</v>
      </c>
      <c r="C40" s="80">
        <v>4.0774483018167071E-3</v>
      </c>
      <c r="D40" s="81">
        <v>5.8749526598478787E-3</v>
      </c>
      <c r="E40" s="239">
        <v>112169</v>
      </c>
      <c r="F40" s="435">
        <v>5.0147428136467498E-3</v>
      </c>
      <c r="G40" s="443">
        <v>6.9926595434039998E-3</v>
      </c>
      <c r="I40" s="384"/>
      <c r="J40" s="384"/>
      <c r="K40" s="141"/>
      <c r="L40" s="141"/>
    </row>
    <row r="41" spans="1:12" ht="15" customHeight="1" x14ac:dyDescent="0.2">
      <c r="A41" s="131" t="s">
        <v>207</v>
      </c>
      <c r="B41" s="239">
        <v>50335</v>
      </c>
      <c r="C41" s="80">
        <v>2.3655328400906382E-3</v>
      </c>
      <c r="D41" s="81">
        <v>3.4083555258459116E-3</v>
      </c>
      <c r="E41" s="239">
        <v>53578</v>
      </c>
      <c r="F41" s="435">
        <v>2.3953132368975901E-3</v>
      </c>
      <c r="G41" s="443">
        <v>3.3400735766254399E-3</v>
      </c>
      <c r="I41" s="384"/>
      <c r="J41" s="384"/>
      <c r="K41" s="141"/>
      <c r="L41" s="141"/>
    </row>
    <row r="42" spans="1:12" ht="15" customHeight="1" x14ac:dyDescent="0.2">
      <c r="A42" s="131" t="s">
        <v>208</v>
      </c>
      <c r="B42" s="239">
        <v>703635</v>
      </c>
      <c r="C42" s="80">
        <v>3.3067879208049586E-2</v>
      </c>
      <c r="D42" s="81">
        <v>4.7645539692631134E-2</v>
      </c>
      <c r="E42" s="239">
        <v>535916</v>
      </c>
      <c r="F42" s="435">
        <v>2.3959212525014099E-2</v>
      </c>
      <c r="G42" s="443">
        <v>3.3409214059703603E-2</v>
      </c>
      <c r="I42" s="384"/>
      <c r="J42" s="384"/>
      <c r="K42" s="141"/>
      <c r="L42" s="141"/>
    </row>
    <row r="43" spans="1:12" ht="15" customHeight="1" x14ac:dyDescent="0.2">
      <c r="A43" s="131" t="s">
        <v>209</v>
      </c>
      <c r="B43" s="239">
        <v>781930</v>
      </c>
      <c r="C43" s="80">
        <v>3.6747414197915419E-2</v>
      </c>
      <c r="D43" s="81">
        <v>5.2947162736161589E-2</v>
      </c>
      <c r="E43" s="239">
        <v>1048088</v>
      </c>
      <c r="F43" s="435">
        <v>4.6856901336995001E-2</v>
      </c>
      <c r="G43" s="443">
        <v>6.5338217827806397E-2</v>
      </c>
      <c r="I43" s="384"/>
      <c r="J43" s="384"/>
      <c r="K43" s="141"/>
      <c r="L43" s="141"/>
    </row>
    <row r="44" spans="1:12" ht="15" customHeight="1" x14ac:dyDescent="0.2">
      <c r="A44" s="131" t="s">
        <v>210</v>
      </c>
      <c r="B44" s="239">
        <v>490346</v>
      </c>
      <c r="C44" s="80">
        <v>2.3044195212219808E-2</v>
      </c>
      <c r="D44" s="81">
        <v>3.3203009807816417E-2</v>
      </c>
      <c r="E44" s="239">
        <v>628136</v>
      </c>
      <c r="F44" s="435">
        <v>2.8082094803313001E-2</v>
      </c>
      <c r="G44" s="443">
        <v>3.9158245102975102E-2</v>
      </c>
      <c r="I44" s="384"/>
      <c r="J44" s="384"/>
      <c r="K44" s="141"/>
      <c r="L44" s="141"/>
    </row>
    <row r="45" spans="1:12" ht="15" customHeight="1" x14ac:dyDescent="0.2">
      <c r="A45" s="131" t="s">
        <v>211</v>
      </c>
      <c r="B45" s="239">
        <v>7659</v>
      </c>
      <c r="C45" s="80">
        <v>3.5994071763691658E-4</v>
      </c>
      <c r="D45" s="81">
        <v>5.1861716444727998E-4</v>
      </c>
      <c r="E45" s="239">
        <v>5294</v>
      </c>
      <c r="F45" s="435">
        <v>2.3667901519533799E-4</v>
      </c>
      <c r="G45" s="443">
        <v>3.3003004058858299E-4</v>
      </c>
      <c r="I45" s="384"/>
      <c r="J45" s="384"/>
      <c r="K45" s="141"/>
      <c r="L45" s="141"/>
    </row>
    <row r="46" spans="1:12" ht="15" customHeight="1" thickBot="1" x14ac:dyDescent="0.25">
      <c r="A46" s="131" t="s">
        <v>212</v>
      </c>
      <c r="B46" s="239">
        <v>10075</v>
      </c>
      <c r="C46" s="142">
        <v>4.7348253429846382E-4</v>
      </c>
      <c r="D46" s="143">
        <v>6.8221281261344113E-4</v>
      </c>
      <c r="E46" s="239">
        <v>20304</v>
      </c>
      <c r="F46" s="435">
        <v>9.0773153088895904E-4</v>
      </c>
      <c r="G46" s="444">
        <v>1.26575933965066E-3</v>
      </c>
      <c r="I46" s="384"/>
      <c r="J46" s="384"/>
      <c r="K46" s="141"/>
      <c r="L46" s="141"/>
    </row>
    <row r="47" spans="1:12" ht="15" customHeight="1" thickBot="1" x14ac:dyDescent="0.25">
      <c r="A47" s="47" t="s">
        <v>169</v>
      </c>
      <c r="B47" s="244">
        <v>14768119</v>
      </c>
      <c r="C47" s="507">
        <v>0.69403934599913608</v>
      </c>
      <c r="D47" s="508">
        <v>1</v>
      </c>
      <c r="E47" s="244">
        <v>16040964</v>
      </c>
      <c r="F47" s="507">
        <v>0.71714385385415058</v>
      </c>
      <c r="G47" s="508">
        <v>1</v>
      </c>
      <c r="K47" s="141"/>
      <c r="L47" s="141"/>
    </row>
    <row r="48" spans="1:12" ht="15" customHeight="1" x14ac:dyDescent="0.2">
      <c r="A48" s="36" t="s">
        <v>170</v>
      </c>
      <c r="B48" s="242">
        <v>5524866</v>
      </c>
      <c r="C48" s="144">
        <v>0.25964541492202647</v>
      </c>
      <c r="D48" s="65"/>
      <c r="E48" s="242">
        <v>6132159</v>
      </c>
      <c r="F48" s="144">
        <v>0.27415061449588779</v>
      </c>
      <c r="G48" s="65"/>
      <c r="K48" s="141"/>
      <c r="L48" s="141"/>
    </row>
    <row r="49" spans="1:18" ht="15" customHeight="1" thickBot="1" x14ac:dyDescent="0.25">
      <c r="A49" s="36" t="s">
        <v>171</v>
      </c>
      <c r="B49" s="243">
        <v>985519</v>
      </c>
      <c r="C49" s="142">
        <v>4.63152390788375E-2</v>
      </c>
      <c r="D49" s="63"/>
      <c r="E49" s="243">
        <v>194724</v>
      </c>
      <c r="F49" s="142">
        <v>8.7055316499616616E-3</v>
      </c>
      <c r="G49" s="63"/>
      <c r="K49" s="141"/>
      <c r="L49" s="141"/>
    </row>
    <row r="50" spans="1:18" ht="15" customHeight="1" thickBot="1" x14ac:dyDescent="0.25">
      <c r="A50" s="47" t="s">
        <v>172</v>
      </c>
      <c r="B50" s="244">
        <v>6510385</v>
      </c>
      <c r="C50" s="507">
        <v>0.30596065400086397</v>
      </c>
      <c r="D50" s="64"/>
      <c r="E50" s="244">
        <v>6326883</v>
      </c>
      <c r="F50" s="507">
        <v>0.28285614614584942</v>
      </c>
      <c r="G50" s="64"/>
      <c r="K50" s="141"/>
      <c r="L50" s="141"/>
    </row>
    <row r="51" spans="1:18" ht="15" customHeight="1" thickBot="1" x14ac:dyDescent="0.25">
      <c r="A51" s="47" t="s">
        <v>48</v>
      </c>
      <c r="B51" s="244">
        <v>21278504</v>
      </c>
      <c r="C51" s="507">
        <v>1</v>
      </c>
      <c r="D51" s="64"/>
      <c r="E51" s="244">
        <v>22367847</v>
      </c>
      <c r="F51" s="507">
        <v>1</v>
      </c>
      <c r="G51" s="64"/>
      <c r="K51" s="141"/>
      <c r="L51" s="141"/>
    </row>
    <row r="53" spans="1:18" ht="17.100000000000001" customHeight="1" thickBot="1" x14ac:dyDescent="0.25">
      <c r="A53" s="578" t="s">
        <v>10</v>
      </c>
      <c r="B53" s="578"/>
      <c r="C53" s="578"/>
      <c r="D53" s="578"/>
      <c r="E53" s="578"/>
      <c r="F53" s="578"/>
      <c r="G53" s="578"/>
      <c r="H53" s="578"/>
    </row>
    <row r="54" spans="1:18" ht="17.100000000000001" customHeight="1" x14ac:dyDescent="0.2">
      <c r="A54" s="465" t="s">
        <v>1035</v>
      </c>
      <c r="B54" s="465"/>
      <c r="C54" s="465"/>
      <c r="D54" s="465"/>
      <c r="E54" s="465"/>
      <c r="F54" s="465"/>
      <c r="G54" s="465"/>
      <c r="H54" s="465"/>
    </row>
    <row r="55" spans="1:18" ht="17.100000000000001" customHeight="1" x14ac:dyDescent="0.2">
      <c r="A55" s="547" t="s">
        <v>587</v>
      </c>
      <c r="B55" s="547"/>
      <c r="C55" s="547"/>
      <c r="D55" s="547"/>
      <c r="E55" s="547"/>
      <c r="F55" s="547"/>
      <c r="G55" s="547"/>
      <c r="H55" s="116"/>
      <c r="I55" s="116"/>
      <c r="J55" s="116"/>
      <c r="K55" s="116"/>
      <c r="L55" s="116"/>
      <c r="M55" s="116"/>
      <c r="N55" s="116"/>
      <c r="O55" s="116"/>
      <c r="P55" s="116"/>
      <c r="Q55" s="116"/>
      <c r="R55" s="116"/>
    </row>
    <row r="56" spans="1:18" ht="17.100000000000001" customHeight="1" x14ac:dyDescent="0.2">
      <c r="A56" s="549" t="s">
        <v>441</v>
      </c>
      <c r="B56" s="549"/>
      <c r="C56" s="549"/>
      <c r="D56" s="549"/>
      <c r="E56" s="549"/>
      <c r="F56" s="549"/>
      <c r="G56" s="549"/>
      <c r="H56" s="549"/>
    </row>
    <row r="57" spans="1:18" ht="13.5" thickBot="1" x14ac:dyDescent="0.25">
      <c r="A57" s="577" t="s">
        <v>945</v>
      </c>
      <c r="B57" s="577"/>
      <c r="C57" s="577"/>
      <c r="D57" s="577"/>
      <c r="E57" s="577"/>
      <c r="F57" s="577"/>
      <c r="G57" s="577"/>
      <c r="H57" s="577"/>
    </row>
    <row r="58" spans="1:18" x14ac:dyDescent="0.2">
      <c r="A58" s="126"/>
    </row>
    <row r="59" spans="1:18" x14ac:dyDescent="0.2">
      <c r="A59" s="120" t="s">
        <v>470</v>
      </c>
    </row>
  </sheetData>
  <sortState xmlns:xlrd2="http://schemas.microsoft.com/office/spreadsheetml/2017/richdata2" ref="I8:J46">
    <sortCondition ref="I15"/>
  </sortState>
  <mergeCells count="9">
    <mergeCell ref="A56:H56"/>
    <mergeCell ref="A57:H57"/>
    <mergeCell ref="A55:G55"/>
    <mergeCell ref="A2:H2"/>
    <mergeCell ref="A3:H3"/>
    <mergeCell ref="B6:D6"/>
    <mergeCell ref="E6:G6"/>
    <mergeCell ref="A53:H53"/>
    <mergeCell ref="A4:F4"/>
  </mergeCells>
  <hyperlinks>
    <hyperlink ref="A59" location="Contents!A1" display="Return to Contents" xr:uid="{00000000-0004-0000-2400-000000000000}"/>
    <hyperlink ref="A56:H56" r:id="rId1" display="Contact via enquiries@NHSDigital.nhs.uk or 0300 303 5678" xr:uid="{00000000-0004-0000-2400-000001000000}"/>
  </hyperlinks>
  <pageMargins left="0.78740157480314965" right="0.78740157480314965" top="0.78740157480314965" bottom="0.78740157480314965" header="0.78740157480314965" footer="0.78740157480314965"/>
  <pageSetup paperSize="9" scale="79" fitToHeight="0" orientation="landscape" r:id="rId2"/>
  <headerFooter alignWithMargins="0">
    <oddFooter>&amp;L&amp;C&amp;R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4">
    <pageSetUpPr fitToPage="1"/>
  </sheetPr>
  <dimension ref="A1:R82"/>
  <sheetViews>
    <sheetView showGridLines="0" workbookViewId="0"/>
  </sheetViews>
  <sheetFormatPr defaultColWidth="9.140625" defaultRowHeight="12.75" x14ac:dyDescent="0.2"/>
  <cols>
    <col min="1" max="1" width="40.42578125" style="109" customWidth="1"/>
    <col min="2" max="7" width="17.85546875" style="109" customWidth="1"/>
    <col min="8" max="8" width="9.140625" style="109" customWidth="1"/>
    <col min="9" max="16384" width="9.140625" style="109"/>
  </cols>
  <sheetData>
    <row r="1" spans="1:11" s="318" customFormat="1" ht="15" customHeight="1" x14ac:dyDescent="0.2"/>
    <row r="2" spans="1:11" ht="56.25" customHeight="1" x14ac:dyDescent="0.2">
      <c r="A2" s="559" t="s">
        <v>998</v>
      </c>
      <c r="B2" s="559"/>
      <c r="C2" s="559"/>
      <c r="D2" s="559"/>
      <c r="E2" s="559"/>
      <c r="F2" s="559"/>
      <c r="G2" s="559"/>
      <c r="H2" s="332"/>
    </row>
    <row r="3" spans="1:11" x14ac:dyDescent="0.2">
      <c r="A3" s="558" t="s">
        <v>590</v>
      </c>
      <c r="B3" s="558"/>
      <c r="C3" s="558"/>
      <c r="D3" s="558"/>
      <c r="E3" s="558"/>
      <c r="F3" s="558"/>
      <c r="G3" s="558"/>
      <c r="H3" s="558"/>
    </row>
    <row r="4" spans="1:11" s="476" customFormat="1" x14ac:dyDescent="0.2">
      <c r="A4" s="558" t="s">
        <v>1050</v>
      </c>
      <c r="B4" s="558"/>
      <c r="C4" s="558"/>
      <c r="D4" s="558"/>
      <c r="E4" s="558"/>
      <c r="F4" s="558"/>
      <c r="G4" s="477"/>
      <c r="H4" s="477"/>
    </row>
    <row r="5" spans="1:11" ht="11.25" customHeight="1" thickBot="1" x14ac:dyDescent="0.25"/>
    <row r="6" spans="1:11" ht="15" customHeight="1" thickBot="1" x14ac:dyDescent="0.25">
      <c r="A6" s="106"/>
      <c r="B6" s="627" t="s">
        <v>621</v>
      </c>
      <c r="C6" s="628"/>
      <c r="D6" s="629"/>
      <c r="E6" s="627" t="s">
        <v>956</v>
      </c>
      <c r="F6" s="628"/>
      <c r="G6" s="629"/>
    </row>
    <row r="7" spans="1:11" ht="52.5" customHeight="1" thickBot="1" x14ac:dyDescent="0.25">
      <c r="A7" s="2" t="s">
        <v>213</v>
      </c>
      <c r="B7" s="3" t="s">
        <v>38</v>
      </c>
      <c r="C7" s="9" t="s">
        <v>39</v>
      </c>
      <c r="D7" s="4" t="s">
        <v>144</v>
      </c>
      <c r="E7" s="3" t="s">
        <v>38</v>
      </c>
      <c r="F7" s="9" t="s">
        <v>39</v>
      </c>
      <c r="G7" s="4" t="s">
        <v>144</v>
      </c>
      <c r="I7" s="384"/>
      <c r="J7" s="141"/>
      <c r="K7" s="141"/>
    </row>
    <row r="8" spans="1:11" ht="15" customHeight="1" x14ac:dyDescent="0.2">
      <c r="A8" s="131" t="s">
        <v>214</v>
      </c>
      <c r="B8" s="239">
        <v>2437</v>
      </c>
      <c r="C8" s="80">
        <v>1.1452872814742991E-4</v>
      </c>
      <c r="D8" s="81">
        <v>1.2888522582891657E-4</v>
      </c>
      <c r="E8" s="239">
        <v>1799</v>
      </c>
      <c r="F8" s="435">
        <v>8.0427946417909599E-5</v>
      </c>
      <c r="G8" s="442">
        <v>9.6629774754329904E-5</v>
      </c>
      <c r="I8" s="384"/>
      <c r="J8" s="141"/>
      <c r="K8" s="141"/>
    </row>
    <row r="9" spans="1:11" ht="15" customHeight="1" x14ac:dyDescent="0.2">
      <c r="A9" s="131" t="s">
        <v>215</v>
      </c>
      <c r="B9" s="239">
        <v>77021</v>
      </c>
      <c r="C9" s="80">
        <v>3.6196623597222811E-3</v>
      </c>
      <c r="D9" s="81">
        <v>4.0733972008900219E-3</v>
      </c>
      <c r="E9" s="239">
        <v>87799</v>
      </c>
      <c r="F9" s="435">
        <v>3.9252325000255902E-3</v>
      </c>
      <c r="G9" s="443">
        <v>4.7159519697917802E-3</v>
      </c>
      <c r="I9" s="384"/>
      <c r="J9" s="141"/>
      <c r="K9" s="141"/>
    </row>
    <row r="10" spans="1:11" ht="15" customHeight="1" x14ac:dyDescent="0.2">
      <c r="A10" s="131" t="s">
        <v>216</v>
      </c>
      <c r="B10" s="239">
        <v>2285</v>
      </c>
      <c r="C10" s="80">
        <v>1.0738536882104117E-4</v>
      </c>
      <c r="D10" s="81">
        <v>1.208464263516924E-4</v>
      </c>
      <c r="E10" s="239">
        <v>2344</v>
      </c>
      <c r="F10" s="435">
        <v>1.04793277600656E-4</v>
      </c>
      <c r="G10" s="443">
        <v>1.2590338633916001E-4</v>
      </c>
      <c r="I10" s="384"/>
      <c r="J10" s="141"/>
      <c r="K10" s="141"/>
    </row>
    <row r="11" spans="1:11" ht="15" customHeight="1" x14ac:dyDescent="0.2">
      <c r="A11" s="131" t="s">
        <v>217</v>
      </c>
      <c r="B11" s="239">
        <v>101564</v>
      </c>
      <c r="C11" s="80">
        <v>4.7730799120088516E-3</v>
      </c>
      <c r="D11" s="81">
        <v>5.3713988822683967E-3</v>
      </c>
      <c r="E11" s="239">
        <v>37192</v>
      </c>
      <c r="F11" s="435">
        <v>1.66274384834624E-3</v>
      </c>
      <c r="G11" s="443">
        <v>1.9976957102073598E-3</v>
      </c>
      <c r="I11" s="384"/>
      <c r="J11" s="141"/>
      <c r="K11" s="141"/>
    </row>
    <row r="12" spans="1:11" ht="15" customHeight="1" x14ac:dyDescent="0.2">
      <c r="A12" s="131" t="s">
        <v>218</v>
      </c>
      <c r="B12" s="239">
        <v>17243</v>
      </c>
      <c r="C12" s="80">
        <v>8.1034832147974312E-4</v>
      </c>
      <c r="D12" s="81">
        <v>9.119277591169506E-4</v>
      </c>
      <c r="E12" s="239">
        <v>25488</v>
      </c>
      <c r="F12" s="435">
        <v>1.13949277281805E-3</v>
      </c>
      <c r="G12" s="443">
        <v>1.3690381872920299E-3</v>
      </c>
      <c r="I12" s="384"/>
      <c r="J12" s="141"/>
      <c r="K12" s="141"/>
    </row>
    <row r="13" spans="1:11" ht="15" customHeight="1" x14ac:dyDescent="0.2">
      <c r="A13" s="131" t="s">
        <v>219</v>
      </c>
      <c r="B13" s="239">
        <v>3864</v>
      </c>
      <c r="C13" s="80">
        <v>1.8159171340240837E-4</v>
      </c>
      <c r="D13" s="81">
        <v>2.0435474460522512E-4</v>
      </c>
      <c r="E13" s="239">
        <v>1491</v>
      </c>
      <c r="F13" s="435">
        <v>6.6658181272430901E-5</v>
      </c>
      <c r="G13" s="443">
        <v>8.0086155730242306E-5</v>
      </c>
      <c r="I13" s="384"/>
      <c r="J13" s="141"/>
      <c r="K13" s="141"/>
    </row>
    <row r="14" spans="1:11" ht="15" customHeight="1" x14ac:dyDescent="0.2">
      <c r="A14" s="131" t="s">
        <v>220</v>
      </c>
      <c r="B14" s="239">
        <v>1178</v>
      </c>
      <c r="C14" s="80">
        <v>5.5361034779512692E-5</v>
      </c>
      <c r="D14" s="81">
        <v>6.2300695948487366E-5</v>
      </c>
      <c r="E14" s="239">
        <v>1474</v>
      </c>
      <c r="F14" s="435">
        <v>6.5898161767647995E-5</v>
      </c>
      <c r="G14" s="443">
        <v>7.9173033900990694E-5</v>
      </c>
      <c r="I14" s="384"/>
      <c r="J14" s="141"/>
      <c r="K14" s="141"/>
    </row>
    <row r="15" spans="1:11" ht="15" customHeight="1" x14ac:dyDescent="0.2">
      <c r="A15" s="131" t="s">
        <v>221</v>
      </c>
      <c r="B15" s="239">
        <v>2307</v>
      </c>
      <c r="C15" s="80">
        <v>1.0841927609196587E-4</v>
      </c>
      <c r="D15" s="81">
        <v>1.2200993680234326E-4</v>
      </c>
      <c r="E15" s="239">
        <v>2395</v>
      </c>
      <c r="F15" s="435">
        <v>1.0707333611500501E-4</v>
      </c>
      <c r="G15" s="443">
        <v>1.2864275182691501E-4</v>
      </c>
      <c r="I15" s="384"/>
      <c r="J15" s="141"/>
      <c r="K15" s="141"/>
    </row>
    <row r="16" spans="1:11" ht="15" customHeight="1" x14ac:dyDescent="0.2">
      <c r="A16" s="131" t="s">
        <v>619</v>
      </c>
      <c r="B16" s="239">
        <v>5616</v>
      </c>
      <c r="C16" s="80">
        <v>2.6392832879604695E-4</v>
      </c>
      <c r="D16" s="81">
        <v>2.9701248594796696E-4</v>
      </c>
      <c r="E16" s="239">
        <v>6433</v>
      </c>
      <c r="F16" s="435">
        <v>2.8760032201579299E-4</v>
      </c>
      <c r="G16" s="443">
        <v>3.4553604279855698E-4</v>
      </c>
      <c r="I16" s="384"/>
      <c r="J16" s="141"/>
      <c r="K16" s="141"/>
    </row>
    <row r="17" spans="1:11" ht="15" customHeight="1" x14ac:dyDescent="0.2">
      <c r="A17" s="131" t="s">
        <v>222</v>
      </c>
      <c r="B17" s="239">
        <v>616</v>
      </c>
      <c r="C17" s="80">
        <v>2.8949403585891188E-5</v>
      </c>
      <c r="D17" s="81">
        <v>3.2578292618224294E-5</v>
      </c>
      <c r="E17" s="239">
        <v>584</v>
      </c>
      <c r="F17" s="435">
        <v>2.6108905340777801E-5</v>
      </c>
      <c r="G17" s="443">
        <v>3.1368420487231102E-5</v>
      </c>
      <c r="I17" s="384"/>
      <c r="J17" s="141"/>
      <c r="K17" s="141"/>
    </row>
    <row r="18" spans="1:11" ht="15" customHeight="1" x14ac:dyDescent="0.2">
      <c r="A18" s="131" t="s">
        <v>223</v>
      </c>
      <c r="B18" s="239">
        <v>1886</v>
      </c>
      <c r="C18" s="80">
        <v>8.8634050589270747E-5</v>
      </c>
      <c r="D18" s="81">
        <v>9.9744577723978939E-5</v>
      </c>
      <c r="E18" s="239">
        <v>1975</v>
      </c>
      <c r="F18" s="435">
        <v>8.8296383643897395E-5</v>
      </c>
      <c r="G18" s="443">
        <v>1.06083271339523E-4</v>
      </c>
      <c r="I18" s="384"/>
      <c r="J18" s="141"/>
      <c r="K18" s="141"/>
    </row>
    <row r="19" spans="1:11" ht="15" customHeight="1" x14ac:dyDescent="0.2">
      <c r="A19" s="131" t="s">
        <v>224</v>
      </c>
      <c r="B19" s="239">
        <v>13376</v>
      </c>
      <c r="C19" s="80">
        <v>6.2861562072220867E-4</v>
      </c>
      <c r="D19" s="81">
        <v>7.0741435399572755E-4</v>
      </c>
      <c r="E19" s="239">
        <v>13078</v>
      </c>
      <c r="F19" s="435">
        <v>5.8467853432652697E-4</v>
      </c>
      <c r="G19" s="443">
        <v>7.0245925193837002E-4</v>
      </c>
      <c r="I19" s="384"/>
      <c r="J19" s="141"/>
      <c r="K19" s="141"/>
    </row>
    <row r="20" spans="1:11" ht="15" customHeight="1" x14ac:dyDescent="0.2">
      <c r="A20" s="131" t="s">
        <v>225</v>
      </c>
      <c r="B20" s="239">
        <v>441214</v>
      </c>
      <c r="C20" s="80">
        <v>2.0735198301534731E-2</v>
      </c>
      <c r="D20" s="81">
        <v>2.3334413635157817E-2</v>
      </c>
      <c r="E20" s="239">
        <v>582994</v>
      </c>
      <c r="F20" s="435">
        <v>2.6063930068906501E-2</v>
      </c>
      <c r="G20" s="443">
        <v>3.13143851601589E-2</v>
      </c>
      <c r="I20" s="384"/>
      <c r="J20" s="141"/>
      <c r="K20" s="141"/>
    </row>
    <row r="21" spans="1:11" ht="15" customHeight="1" x14ac:dyDescent="0.2">
      <c r="A21" s="131" t="s">
        <v>226</v>
      </c>
      <c r="B21" s="239">
        <v>45791</v>
      </c>
      <c r="C21" s="80">
        <v>2.1519839928596483E-3</v>
      </c>
      <c r="D21" s="81">
        <v>2.4217412293524492E-3</v>
      </c>
      <c r="E21" s="239">
        <v>24092</v>
      </c>
      <c r="F21" s="435">
        <v>1.07708175936647E-3</v>
      </c>
      <c r="G21" s="443">
        <v>1.29405477119584E-3</v>
      </c>
      <c r="I21" s="384"/>
      <c r="J21" s="141"/>
      <c r="K21" s="141"/>
    </row>
    <row r="22" spans="1:11" ht="15" customHeight="1" x14ac:dyDescent="0.2">
      <c r="A22" s="131" t="s">
        <v>227</v>
      </c>
      <c r="B22" s="239">
        <v>8519</v>
      </c>
      <c r="C22" s="80">
        <v>4.0035709277306338E-4</v>
      </c>
      <c r="D22" s="81">
        <v>4.5054297859521556E-4</v>
      </c>
      <c r="E22" s="239">
        <v>9470</v>
      </c>
      <c r="F22" s="435">
        <v>4.2337557119377699E-4</v>
      </c>
      <c r="G22" s="443">
        <v>5.0866257194191495E-4</v>
      </c>
      <c r="I22" s="384"/>
      <c r="J22" s="141"/>
      <c r="K22" s="141"/>
    </row>
    <row r="23" spans="1:11" ht="15" customHeight="1" x14ac:dyDescent="0.2">
      <c r="A23" s="131" t="s">
        <v>228</v>
      </c>
      <c r="B23" s="239">
        <v>14380</v>
      </c>
      <c r="C23" s="80">
        <v>6.7579938890440796E-4</v>
      </c>
      <c r="D23" s="81">
        <v>7.6051274001633995E-4</v>
      </c>
      <c r="E23" s="239">
        <v>4716</v>
      </c>
      <c r="F23" s="435">
        <v>2.10838352032719E-4</v>
      </c>
      <c r="G23" s="443">
        <v>2.5331073804414698E-4</v>
      </c>
      <c r="I23" s="384"/>
      <c r="J23" s="141"/>
      <c r="K23" s="141"/>
    </row>
    <row r="24" spans="1:11" ht="15" customHeight="1" x14ac:dyDescent="0.2">
      <c r="A24" s="131" t="s">
        <v>229</v>
      </c>
      <c r="B24" s="239">
        <v>7761</v>
      </c>
      <c r="C24" s="80">
        <v>3.6473428771120373E-4</v>
      </c>
      <c r="D24" s="81">
        <v>4.1045475488642657E-4</v>
      </c>
      <c r="E24" s="239">
        <v>3616</v>
      </c>
      <c r="F24" s="435">
        <v>1.6166061937029501E-4</v>
      </c>
      <c r="G24" s="443">
        <v>1.94226384386691E-4</v>
      </c>
      <c r="I24" s="384"/>
      <c r="J24" s="141"/>
      <c r="K24" s="141"/>
    </row>
    <row r="25" spans="1:11" ht="15" customHeight="1" x14ac:dyDescent="0.2">
      <c r="A25" s="131" t="s">
        <v>230</v>
      </c>
      <c r="B25" s="239">
        <v>7008654</v>
      </c>
      <c r="C25" s="80">
        <v>0.32937719681797178</v>
      </c>
      <c r="D25" s="81">
        <v>0.37066555336345486</v>
      </c>
      <c r="E25" s="239">
        <v>5885896</v>
      </c>
      <c r="F25" s="435">
        <v>0.26314092724257299</v>
      </c>
      <c r="G25" s="443">
        <v>0.31614941895909499</v>
      </c>
      <c r="I25" s="384"/>
      <c r="J25" s="141"/>
      <c r="K25" s="141"/>
    </row>
    <row r="26" spans="1:11" ht="15" customHeight="1" x14ac:dyDescent="0.2">
      <c r="A26" s="131" t="s">
        <v>231</v>
      </c>
      <c r="B26" s="239">
        <v>18189</v>
      </c>
      <c r="C26" s="80">
        <v>8.5480633412950461E-4</v>
      </c>
      <c r="D26" s="81">
        <v>9.6195870849493791E-4</v>
      </c>
      <c r="E26" s="239">
        <v>5942</v>
      </c>
      <c r="F26" s="435">
        <v>2.6564917043647501E-4</v>
      </c>
      <c r="G26" s="443">
        <v>3.1916293584781998E-4</v>
      </c>
      <c r="I26" s="384"/>
      <c r="J26" s="141"/>
      <c r="K26" s="141"/>
    </row>
    <row r="27" spans="1:11" ht="15" customHeight="1" x14ac:dyDescent="0.2">
      <c r="A27" s="131" t="s">
        <v>232</v>
      </c>
      <c r="B27" s="239">
        <v>219053</v>
      </c>
      <c r="C27" s="80">
        <v>1.029456770081205E-2</v>
      </c>
      <c r="D27" s="81">
        <v>1.1585020670292025E-2</v>
      </c>
      <c r="E27" s="239">
        <v>280412</v>
      </c>
      <c r="F27" s="435">
        <v>1.2536387610305099E-2</v>
      </c>
      <c r="G27" s="443">
        <v>1.50617834343586E-2</v>
      </c>
      <c r="I27" s="384"/>
      <c r="J27" s="384"/>
      <c r="K27" s="141"/>
    </row>
    <row r="28" spans="1:11" ht="15" customHeight="1" x14ac:dyDescent="0.2">
      <c r="A28" s="131" t="s">
        <v>233</v>
      </c>
      <c r="B28" s="239">
        <v>875478</v>
      </c>
      <c r="C28" s="80">
        <v>4.1143775897027349E-2</v>
      </c>
      <c r="D28" s="81">
        <v>4.6301263741587294E-2</v>
      </c>
      <c r="E28" s="239">
        <v>946669</v>
      </c>
      <c r="F28" s="435">
        <v>4.2322759092549199E-2</v>
      </c>
      <c r="G28" s="443">
        <v>5.0848478175045501E-2</v>
      </c>
      <c r="I28" s="384"/>
      <c r="J28" s="141"/>
      <c r="K28" s="141"/>
    </row>
    <row r="29" spans="1:11" ht="15" customHeight="1" x14ac:dyDescent="0.2">
      <c r="A29" s="131" t="s">
        <v>620</v>
      </c>
      <c r="B29" s="239">
        <v>4897</v>
      </c>
      <c r="C29" s="80">
        <v>2.3013835935082653E-4</v>
      </c>
      <c r="D29" s="81">
        <v>2.5898684894715E-4</v>
      </c>
      <c r="E29" s="239">
        <v>5969</v>
      </c>
      <c r="F29" s="435">
        <v>2.6685626023818901E-4</v>
      </c>
      <c r="G29" s="443">
        <v>3.2061318816486702E-4</v>
      </c>
      <c r="I29" s="384"/>
      <c r="J29" s="141"/>
      <c r="K29" s="141"/>
    </row>
    <row r="30" spans="1:11" ht="15" customHeight="1" x14ac:dyDescent="0.2">
      <c r="A30" s="131" t="s">
        <v>234</v>
      </c>
      <c r="B30" s="239">
        <v>1123</v>
      </c>
      <c r="C30" s="80">
        <v>5.2776266602200979E-5</v>
      </c>
      <c r="D30" s="81">
        <v>5.93919198218602E-5</v>
      </c>
      <c r="E30" s="239">
        <v>1039</v>
      </c>
      <c r="F30" s="435">
        <v>4.6450603851143998E-5</v>
      </c>
      <c r="G30" s="443">
        <v>5.5807857681906002E-5</v>
      </c>
      <c r="I30" s="384"/>
      <c r="J30" s="141"/>
      <c r="K30" s="141"/>
    </row>
    <row r="31" spans="1:11" ht="15" customHeight="1" x14ac:dyDescent="0.2">
      <c r="A31" s="131" t="s">
        <v>235</v>
      </c>
      <c r="B31" s="239">
        <v>18279</v>
      </c>
      <c r="C31" s="80">
        <v>8.5903595478328744E-4</v>
      </c>
      <c r="D31" s="81">
        <v>9.6671852397487324E-4</v>
      </c>
      <c r="E31" s="239">
        <v>25082</v>
      </c>
      <c r="F31" s="435">
        <v>1.12134171876265E-3</v>
      </c>
      <c r="G31" s="443">
        <v>1.34723068948755E-3</v>
      </c>
      <c r="I31" s="384"/>
      <c r="J31" s="141"/>
      <c r="K31" s="141"/>
    </row>
    <row r="32" spans="1:11" ht="15" customHeight="1" x14ac:dyDescent="0.2">
      <c r="A32" s="131" t="s">
        <v>236</v>
      </c>
      <c r="B32" s="239">
        <v>78862</v>
      </c>
      <c r="C32" s="80">
        <v>3.7061815999846607E-3</v>
      </c>
      <c r="D32" s="81">
        <v>4.1707618708740329E-3</v>
      </c>
      <c r="E32" s="239">
        <v>102951</v>
      </c>
      <c r="F32" s="435">
        <v>4.6026334139356402E-3</v>
      </c>
      <c r="G32" s="443">
        <v>5.5298120848988504E-3</v>
      </c>
      <c r="I32" s="384"/>
      <c r="J32" s="141"/>
      <c r="K32" s="141"/>
    </row>
    <row r="33" spans="1:11" ht="15" customHeight="1" x14ac:dyDescent="0.2">
      <c r="A33" s="131" t="s">
        <v>237</v>
      </c>
      <c r="B33" s="239">
        <v>498</v>
      </c>
      <c r="C33" s="80">
        <v>2.3403900950931514E-5</v>
      </c>
      <c r="D33" s="81">
        <v>2.633764565564237E-5</v>
      </c>
      <c r="E33" s="239">
        <v>667</v>
      </c>
      <c r="F33" s="435">
        <v>2.9819588805306101E-5</v>
      </c>
      <c r="G33" s="443">
        <v>3.5826603535929999E-5</v>
      </c>
      <c r="I33" s="384"/>
      <c r="J33" s="141"/>
      <c r="K33" s="141"/>
    </row>
    <row r="34" spans="1:11" ht="15" customHeight="1" x14ac:dyDescent="0.2">
      <c r="A34" s="131" t="s">
        <v>238</v>
      </c>
      <c r="B34" s="239">
        <v>30813</v>
      </c>
      <c r="C34" s="80">
        <v>1.4480811245001059E-3</v>
      </c>
      <c r="D34" s="81">
        <v>1.6296021598138722E-3</v>
      </c>
      <c r="E34" s="239">
        <v>29241</v>
      </c>
      <c r="F34" s="435">
        <v>1.3072782552563101E-3</v>
      </c>
      <c r="G34" s="443">
        <v>1.5706232593615101E-3</v>
      </c>
      <c r="I34" s="384"/>
      <c r="J34" s="141"/>
      <c r="K34" s="141"/>
    </row>
    <row r="35" spans="1:11" ht="15" customHeight="1" x14ac:dyDescent="0.2">
      <c r="A35" s="131" t="s">
        <v>239</v>
      </c>
      <c r="B35" s="239">
        <v>1535292</v>
      </c>
      <c r="C35" s="80">
        <v>7.2152252808750095E-2</v>
      </c>
      <c r="D35" s="81">
        <v>8.1196740309121454E-2</v>
      </c>
      <c r="E35" s="239">
        <v>1777508</v>
      </c>
      <c r="F35" s="435">
        <v>7.9467102935745201E-2</v>
      </c>
      <c r="G35" s="443">
        <v>9.5475373909960803E-2</v>
      </c>
      <c r="I35" s="384"/>
      <c r="J35" s="141"/>
      <c r="K35" s="141"/>
    </row>
    <row r="36" spans="1:11" ht="15" customHeight="1" x14ac:dyDescent="0.2">
      <c r="A36" s="131" t="s">
        <v>240</v>
      </c>
      <c r="B36" s="239">
        <v>613</v>
      </c>
      <c r="C36" s="80">
        <v>2.8808416230765094E-5</v>
      </c>
      <c r="D36" s="81">
        <v>3.2419632102226453E-5</v>
      </c>
      <c r="E36" s="239">
        <v>176</v>
      </c>
      <c r="F36" s="435">
        <v>7.8684372259878197E-6</v>
      </c>
      <c r="G36" s="443">
        <v>9.4534965851929194E-6</v>
      </c>
      <c r="I36" s="384"/>
      <c r="J36" s="141"/>
      <c r="K36" s="141"/>
    </row>
    <row r="37" spans="1:11" ht="15" customHeight="1" x14ac:dyDescent="0.2">
      <c r="A37" s="131" t="s">
        <v>241</v>
      </c>
      <c r="B37" s="239">
        <v>12533</v>
      </c>
      <c r="C37" s="80">
        <v>5.889981739317764E-4</v>
      </c>
      <c r="D37" s="81">
        <v>6.62830749000333E-4</v>
      </c>
      <c r="E37" s="239">
        <v>15878</v>
      </c>
      <c r="F37" s="435">
        <v>7.0985821746724197E-4</v>
      </c>
      <c r="G37" s="443">
        <v>8.5285578852098399E-4</v>
      </c>
      <c r="I37" s="384"/>
      <c r="J37" s="141"/>
      <c r="K37" s="141"/>
    </row>
    <row r="38" spans="1:11" ht="15" customHeight="1" x14ac:dyDescent="0.2">
      <c r="A38" s="131" t="s">
        <v>242</v>
      </c>
      <c r="B38" s="239">
        <v>1487</v>
      </c>
      <c r="C38" s="80">
        <v>6.988273235750032E-5</v>
      </c>
      <c r="D38" s="81">
        <v>7.8642729096265468E-5</v>
      </c>
      <c r="E38" s="239">
        <v>1922</v>
      </c>
      <c r="F38" s="435">
        <v>8.5926911070162499E-5</v>
      </c>
      <c r="G38" s="443">
        <v>1.03236479754209E-4</v>
      </c>
      <c r="I38" s="384"/>
      <c r="J38" s="141"/>
      <c r="K38" s="141"/>
    </row>
    <row r="39" spans="1:11" ht="15" customHeight="1" x14ac:dyDescent="0.2">
      <c r="A39" s="131" t="s">
        <v>243</v>
      </c>
      <c r="B39" s="239">
        <v>89423</v>
      </c>
      <c r="C39" s="80">
        <v>4.2025040858135517E-3</v>
      </c>
      <c r="D39" s="81">
        <v>4.7292997740251159E-3</v>
      </c>
      <c r="E39" s="239">
        <v>97151</v>
      </c>
      <c r="F39" s="435">
        <v>4.3433326417155801E-3</v>
      </c>
      <c r="G39" s="443">
        <v>5.2182764019777098E-3</v>
      </c>
      <c r="I39" s="384"/>
      <c r="J39" s="384"/>
      <c r="K39" s="141"/>
    </row>
    <row r="40" spans="1:11" ht="15" customHeight="1" x14ac:dyDescent="0.2">
      <c r="A40" s="131" t="s">
        <v>244</v>
      </c>
      <c r="B40" s="239">
        <v>1793430</v>
      </c>
      <c r="C40" s="80">
        <v>8.428365076792993E-2</v>
      </c>
      <c r="D40" s="81">
        <v>9.4848843068672084E-2</v>
      </c>
      <c r="E40" s="239">
        <v>1633756</v>
      </c>
      <c r="F40" s="435">
        <v>7.3040378003300904E-2</v>
      </c>
      <c r="G40" s="443">
        <v>8.7754015721809395E-2</v>
      </c>
      <c r="I40" s="384"/>
      <c r="J40" s="141"/>
      <c r="K40" s="141"/>
    </row>
    <row r="41" spans="1:11" ht="15" customHeight="1" x14ac:dyDescent="0.2">
      <c r="A41" s="131" t="s">
        <v>245</v>
      </c>
      <c r="B41" s="239">
        <v>2043086</v>
      </c>
      <c r="C41" s="80">
        <v>9.601643047838325E-2</v>
      </c>
      <c r="D41" s="81">
        <v>0.10805235966265812</v>
      </c>
      <c r="E41" s="239">
        <v>3448594</v>
      </c>
      <c r="F41" s="435">
        <v>0.15417639435749</v>
      </c>
      <c r="G41" s="443">
        <v>0.185234497742709</v>
      </c>
      <c r="I41" s="384"/>
      <c r="J41" s="141"/>
      <c r="K41" s="141"/>
    </row>
    <row r="42" spans="1:11" ht="15" customHeight="1" x14ac:dyDescent="0.2">
      <c r="A42" s="131" t="s">
        <v>246</v>
      </c>
      <c r="B42" s="239">
        <v>13064</v>
      </c>
      <c r="C42" s="80">
        <v>6.1395293578909494E-4</v>
      </c>
      <c r="D42" s="81">
        <v>6.9091366033195169E-4</v>
      </c>
      <c r="E42" s="239">
        <v>119173</v>
      </c>
      <c r="F42" s="435">
        <v>5.3278708496173098E-3</v>
      </c>
      <c r="G42" s="443">
        <v>6.4011451621999796E-3</v>
      </c>
      <c r="I42" s="384"/>
      <c r="J42" s="141"/>
      <c r="K42" s="141"/>
    </row>
    <row r="43" spans="1:11" ht="15" customHeight="1" x14ac:dyDescent="0.2">
      <c r="A43" s="131" t="s">
        <v>247</v>
      </c>
      <c r="B43" s="239">
        <v>4531</v>
      </c>
      <c r="C43" s="80">
        <v>2.1293790202544315E-4</v>
      </c>
      <c r="D43" s="81">
        <v>2.396302659954128E-4</v>
      </c>
      <c r="E43" s="239">
        <v>439</v>
      </c>
      <c r="F43" s="435">
        <v>1.9626386035276399E-5</v>
      </c>
      <c r="G43" s="443">
        <v>2.3580028414202799E-5</v>
      </c>
      <c r="I43" s="384"/>
      <c r="J43" s="141"/>
      <c r="K43" s="141"/>
    </row>
    <row r="44" spans="1:11" ht="15" customHeight="1" x14ac:dyDescent="0.2">
      <c r="A44" s="131" t="s">
        <v>248</v>
      </c>
      <c r="B44" s="239">
        <v>319060</v>
      </c>
      <c r="C44" s="80">
        <v>1.4994475175510459E-2</v>
      </c>
      <c r="D44" s="81">
        <v>1.687407474475754E-2</v>
      </c>
      <c r="E44" s="239">
        <v>261567</v>
      </c>
      <c r="F44" s="435">
        <v>1.16938836357384E-2</v>
      </c>
      <c r="G44" s="443">
        <v>1.4049561030108799E-2</v>
      </c>
      <c r="I44" s="384"/>
      <c r="J44" s="141"/>
      <c r="K44" s="141"/>
    </row>
    <row r="45" spans="1:11" ht="15" customHeight="1" x14ac:dyDescent="0.2">
      <c r="A45" s="131" t="s">
        <v>249</v>
      </c>
      <c r="B45" s="239">
        <v>676664</v>
      </c>
      <c r="C45" s="80">
        <v>3.1800355889680963E-2</v>
      </c>
      <c r="D45" s="81">
        <v>3.5786619799055397E-2</v>
      </c>
      <c r="E45" s="239">
        <v>555820</v>
      </c>
      <c r="F45" s="435">
        <v>2.4849061244025899E-2</v>
      </c>
      <c r="G45" s="443">
        <v>2.9854786772624601E-2</v>
      </c>
      <c r="I45" s="384"/>
      <c r="J45" s="384"/>
      <c r="K45" s="141"/>
    </row>
    <row r="46" spans="1:11" ht="15" customHeight="1" x14ac:dyDescent="0.2">
      <c r="A46" s="131" t="s">
        <v>250</v>
      </c>
      <c r="B46" s="239">
        <v>1639</v>
      </c>
      <c r="C46" s="80">
        <v>7.7026091683889055E-5</v>
      </c>
      <c r="D46" s="81">
        <v>8.6681528573489644E-5</v>
      </c>
      <c r="E46" s="239">
        <v>1276</v>
      </c>
      <c r="F46" s="435">
        <v>5.7046169888411697E-5</v>
      </c>
      <c r="G46" s="443">
        <v>6.8537850242648705E-5</v>
      </c>
      <c r="I46" s="384"/>
      <c r="J46" s="141"/>
      <c r="K46" s="141"/>
    </row>
    <row r="47" spans="1:11" ht="15" customHeight="1" x14ac:dyDescent="0.2">
      <c r="A47" s="131" t="s">
        <v>251</v>
      </c>
      <c r="B47" s="239">
        <v>48</v>
      </c>
      <c r="C47" s="80">
        <v>2.2557976820174954E-6</v>
      </c>
      <c r="D47" s="81">
        <v>2.5385682559655298E-6</v>
      </c>
      <c r="E47" s="239">
        <v>23</v>
      </c>
      <c r="F47" s="435">
        <v>1.0282616829415901E-6</v>
      </c>
      <c r="G47" s="443">
        <v>1.23540012192862E-6</v>
      </c>
      <c r="I47" s="384"/>
      <c r="J47" s="141"/>
      <c r="K47" s="141"/>
    </row>
    <row r="48" spans="1:11" ht="15" customHeight="1" x14ac:dyDescent="0.2">
      <c r="A48" s="131" t="s">
        <v>252</v>
      </c>
      <c r="B48" s="239">
        <v>24456</v>
      </c>
      <c r="C48" s="80">
        <v>1.1493289189879138E-3</v>
      </c>
      <c r="D48" s="81">
        <v>1.2934005264144373E-3</v>
      </c>
      <c r="E48" s="239">
        <v>24771</v>
      </c>
      <c r="F48" s="435">
        <v>1.10743783252809E-3</v>
      </c>
      <c r="G48" s="443">
        <v>1.3305259313171199E-3</v>
      </c>
      <c r="I48" s="384"/>
      <c r="J48" s="384"/>
      <c r="K48" s="141"/>
    </row>
    <row r="49" spans="1:11" ht="15" customHeight="1" x14ac:dyDescent="0.2">
      <c r="A49" s="131" t="s">
        <v>253</v>
      </c>
      <c r="B49" s="239">
        <v>160825</v>
      </c>
      <c r="C49" s="80">
        <v>7.5580971293846598E-3</v>
      </c>
      <c r="D49" s="81">
        <v>8.5055258284511721E-3</v>
      </c>
      <c r="E49" s="239">
        <v>148338</v>
      </c>
      <c r="F49" s="435">
        <v>6.6317513706169399E-3</v>
      </c>
      <c r="G49" s="443">
        <v>7.9676862298542501E-3</v>
      </c>
      <c r="I49" s="384"/>
      <c r="J49" s="141"/>
      <c r="K49" s="141"/>
    </row>
    <row r="50" spans="1:11" ht="15" customHeight="1" x14ac:dyDescent="0.2">
      <c r="A50" s="131" t="s">
        <v>254</v>
      </c>
      <c r="B50" s="239">
        <v>2</v>
      </c>
      <c r="C50" s="80">
        <v>9.3991570084062303E-8</v>
      </c>
      <c r="D50" s="81">
        <v>1.0577367733189707E-7</v>
      </c>
      <c r="E50" s="239">
        <v>258</v>
      </c>
      <c r="F50" s="435">
        <v>1.1534413660823099E-5</v>
      </c>
      <c r="G50" s="443">
        <v>1.38579665851124E-5</v>
      </c>
      <c r="I50" s="384"/>
      <c r="J50" s="141"/>
      <c r="K50" s="141"/>
    </row>
    <row r="51" spans="1:11" ht="15" customHeight="1" x14ac:dyDescent="0.2">
      <c r="A51" s="131" t="s">
        <v>255</v>
      </c>
      <c r="B51" s="239">
        <v>599999</v>
      </c>
      <c r="C51" s="80">
        <v>2.8197424029433649E-2</v>
      </c>
      <c r="D51" s="81">
        <v>3.1732050312730457E-2</v>
      </c>
      <c r="E51" s="239">
        <v>723175</v>
      </c>
      <c r="F51" s="435">
        <v>3.2331006198316699E-2</v>
      </c>
      <c r="G51" s="443">
        <v>3.8843934051118703E-2</v>
      </c>
      <c r="I51" s="384"/>
      <c r="J51" s="141"/>
      <c r="K51" s="141"/>
    </row>
    <row r="52" spans="1:11" ht="15" customHeight="1" x14ac:dyDescent="0.2">
      <c r="A52" s="131" t="s">
        <v>256</v>
      </c>
      <c r="B52" s="239">
        <v>23816</v>
      </c>
      <c r="C52" s="80">
        <v>1.119251616561014E-3</v>
      </c>
      <c r="D52" s="81">
        <v>1.2595529496682303E-3</v>
      </c>
      <c r="E52" s="239">
        <v>13725</v>
      </c>
      <c r="F52" s="435">
        <v>6.1360398253797101E-4</v>
      </c>
      <c r="G52" s="443">
        <v>7.3721159449871001E-4</v>
      </c>
      <c r="I52" s="384"/>
      <c r="J52" s="141"/>
      <c r="K52" s="141"/>
    </row>
    <row r="53" spans="1:11" ht="15" customHeight="1" x14ac:dyDescent="0.2">
      <c r="A53" s="131" t="s">
        <v>257</v>
      </c>
      <c r="B53" s="239">
        <v>1703421</v>
      </c>
      <c r="C53" s="80">
        <v>8.0053607152081749E-2</v>
      </c>
      <c r="D53" s="81">
        <v>9.0088551607188719E-2</v>
      </c>
      <c r="E53" s="239">
        <v>734493</v>
      </c>
      <c r="F53" s="435">
        <v>3.2837000360383402E-2</v>
      </c>
      <c r="G53" s="443">
        <v>3.9451858337205201E-2</v>
      </c>
      <c r="I53" s="384"/>
      <c r="J53" s="141"/>
      <c r="K53" s="141"/>
    </row>
    <row r="54" spans="1:11" ht="15" customHeight="1" x14ac:dyDescent="0.2">
      <c r="A54" s="131" t="s">
        <v>258</v>
      </c>
      <c r="B54" s="239">
        <v>55508</v>
      </c>
      <c r="C54" s="80">
        <v>2.6086420361130652E-3</v>
      </c>
      <c r="D54" s="81">
        <v>2.9356426406694711E-3</v>
      </c>
      <c r="E54" s="239">
        <v>58438</v>
      </c>
      <c r="F54" s="435">
        <v>2.6125894012061202E-3</v>
      </c>
      <c r="G54" s="443">
        <v>3.1388831445767298E-3</v>
      </c>
      <c r="I54" s="384"/>
      <c r="J54" s="141"/>
      <c r="K54" s="141"/>
    </row>
    <row r="55" spans="1:11" ht="15" customHeight="1" x14ac:dyDescent="0.2">
      <c r="A55" s="131" t="s">
        <v>259</v>
      </c>
      <c r="B55" s="239">
        <v>17075</v>
      </c>
      <c r="C55" s="80">
        <v>8.0245302959268188E-4</v>
      </c>
      <c r="D55" s="81">
        <v>9.0304277022107123E-4</v>
      </c>
      <c r="E55" s="239">
        <v>11765</v>
      </c>
      <c r="F55" s="435">
        <v>5.2597820433947001E-4</v>
      </c>
      <c r="G55" s="443">
        <v>6.31934018890879E-4</v>
      </c>
      <c r="I55" s="384"/>
      <c r="J55" s="141"/>
      <c r="K55" s="141"/>
    </row>
    <row r="56" spans="1:11" ht="15" customHeight="1" x14ac:dyDescent="0.2">
      <c r="A56" s="131" t="s">
        <v>260</v>
      </c>
      <c r="B56" s="239">
        <v>102623</v>
      </c>
      <c r="C56" s="80">
        <v>4.8228484483683626E-3</v>
      </c>
      <c r="D56" s="81">
        <v>5.4274060444156362E-3</v>
      </c>
      <c r="E56" s="239">
        <v>122617</v>
      </c>
      <c r="F56" s="435">
        <v>5.4818418598803903E-3</v>
      </c>
      <c r="G56" s="443">
        <v>6.5861329021966002E-3</v>
      </c>
      <c r="I56" s="384"/>
      <c r="J56" s="141"/>
      <c r="K56" s="141"/>
    </row>
    <row r="57" spans="1:11" ht="15" customHeight="1" x14ac:dyDescent="0.2">
      <c r="A57" s="131" t="s">
        <v>261</v>
      </c>
      <c r="B57" s="239">
        <v>4227</v>
      </c>
      <c r="C57" s="80">
        <v>1.9865118337266568E-4</v>
      </c>
      <c r="D57" s="81">
        <v>2.2355266704096445E-4</v>
      </c>
      <c r="E57" s="239">
        <v>17635</v>
      </c>
      <c r="F57" s="435">
        <v>7.8840846863804102E-4</v>
      </c>
      <c r="G57" s="443">
        <v>9.4722961522657504E-4</v>
      </c>
      <c r="I57" s="384"/>
      <c r="J57" s="141"/>
      <c r="K57" s="141"/>
    </row>
    <row r="58" spans="1:11" ht="15" customHeight="1" x14ac:dyDescent="0.2">
      <c r="A58" s="131" t="s">
        <v>262</v>
      </c>
      <c r="B58" s="239">
        <v>257960</v>
      </c>
      <c r="C58" s="80">
        <v>1.2123032709442356E-2</v>
      </c>
      <c r="D58" s="81">
        <v>1.3642688902268083E-2</v>
      </c>
      <c r="E58" s="239">
        <v>305438</v>
      </c>
      <c r="F58" s="435">
        <v>1.36552257354049E-2</v>
      </c>
      <c r="G58" s="443">
        <v>1.6406006193114501E-2</v>
      </c>
      <c r="I58" s="384"/>
      <c r="J58" s="141"/>
      <c r="K58" s="141"/>
    </row>
    <row r="59" spans="1:11" ht="15" customHeight="1" x14ac:dyDescent="0.2">
      <c r="A59" s="131" t="s">
        <v>263</v>
      </c>
      <c r="B59" s="239">
        <v>62643</v>
      </c>
      <c r="C59" s="80">
        <v>2.9439569623879573E-3</v>
      </c>
      <c r="D59" s="81">
        <v>3.3129902345510141E-3</v>
      </c>
      <c r="E59" s="239">
        <v>80114</v>
      </c>
      <c r="F59" s="435">
        <v>3.5816589768340201E-3</v>
      </c>
      <c r="G59" s="443">
        <v>4.3031671899212802E-3</v>
      </c>
      <c r="I59" s="384"/>
      <c r="J59" s="384"/>
      <c r="K59" s="141"/>
    </row>
    <row r="60" spans="1:11" ht="15" customHeight="1" x14ac:dyDescent="0.2">
      <c r="A60" s="131" t="s">
        <v>264</v>
      </c>
      <c r="B60" s="239">
        <v>77530</v>
      </c>
      <c r="C60" s="80">
        <v>3.6435832143086751E-3</v>
      </c>
      <c r="D60" s="81">
        <v>4.1003166017709895E-3</v>
      </c>
      <c r="E60" s="239">
        <v>80997</v>
      </c>
      <c r="F60" s="435">
        <v>3.6211352840530399E-3</v>
      </c>
      <c r="G60" s="443">
        <v>4.3505958119935901E-3</v>
      </c>
      <c r="I60" s="384"/>
      <c r="J60" s="141"/>
      <c r="K60" s="141"/>
    </row>
    <row r="61" spans="1:11" ht="15" customHeight="1" x14ac:dyDescent="0.2">
      <c r="A61" s="131" t="s">
        <v>265</v>
      </c>
      <c r="B61" s="239">
        <v>21009</v>
      </c>
      <c r="C61" s="80">
        <v>9.8733444794803248E-4</v>
      </c>
      <c r="D61" s="81">
        <v>1.1110995935329126E-3</v>
      </c>
      <c r="E61" s="239">
        <v>31338</v>
      </c>
      <c r="F61" s="435">
        <v>1.40102889652276E-3</v>
      </c>
      <c r="G61" s="443">
        <v>1.68325952265214E-3</v>
      </c>
      <c r="I61" s="384"/>
      <c r="J61" s="141"/>
      <c r="K61" s="141"/>
    </row>
    <row r="62" spans="1:11" ht="15" customHeight="1" x14ac:dyDescent="0.2">
      <c r="A62" s="131" t="s">
        <v>266</v>
      </c>
      <c r="B62" s="239">
        <v>33565</v>
      </c>
      <c r="C62" s="80">
        <v>1.5774135249357756E-3</v>
      </c>
      <c r="D62" s="81">
        <v>1.7751467398225626E-3</v>
      </c>
      <c r="E62" s="239">
        <v>37000</v>
      </c>
      <c r="F62" s="435">
        <v>1.6541600986451699E-3</v>
      </c>
      <c r="G62" s="443">
        <v>1.98738280484169E-3</v>
      </c>
      <c r="I62" s="384"/>
      <c r="J62" s="141"/>
      <c r="K62" s="141"/>
    </row>
    <row r="63" spans="1:11" ht="15" customHeight="1" x14ac:dyDescent="0.2">
      <c r="A63" s="131" t="s">
        <v>267</v>
      </c>
      <c r="B63" s="239">
        <v>114351</v>
      </c>
      <c r="C63" s="80">
        <v>5.374015015341304E-3</v>
      </c>
      <c r="D63" s="81">
        <v>6.0476628882898805E-3</v>
      </c>
      <c r="E63" s="239">
        <v>47945</v>
      </c>
      <c r="F63" s="435">
        <v>2.14347853863628E-3</v>
      </c>
      <c r="G63" s="443">
        <v>2.5752721237333799E-3</v>
      </c>
      <c r="I63" s="384"/>
      <c r="J63" s="141"/>
      <c r="K63" s="141"/>
    </row>
    <row r="64" spans="1:11" ht="15" customHeight="1" thickBot="1" x14ac:dyDescent="0.25">
      <c r="A64" s="131" t="s">
        <v>268</v>
      </c>
      <c r="B64" s="239">
        <v>155512</v>
      </c>
      <c r="C64" s="142">
        <v>7.3084085234563483E-3</v>
      </c>
      <c r="D64" s="143">
        <v>8.2245380546189881E-3</v>
      </c>
      <c r="E64" s="239">
        <v>175312</v>
      </c>
      <c r="F64" s="435">
        <v>7.8376787895589606E-3</v>
      </c>
      <c r="G64" s="444">
        <v>9.4165420076326202E-3</v>
      </c>
      <c r="I64" s="384"/>
      <c r="J64" s="141"/>
      <c r="K64" s="141"/>
    </row>
    <row r="65" spans="1:18" ht="15" customHeight="1" thickBot="1" x14ac:dyDescent="0.25">
      <c r="A65" s="47" t="s">
        <v>169</v>
      </c>
      <c r="B65" s="244">
        <v>18908296</v>
      </c>
      <c r="C65" s="507">
        <v>0.88861021432709741</v>
      </c>
      <c r="D65" s="508">
        <v>1</v>
      </c>
      <c r="E65" s="244">
        <v>18617450</v>
      </c>
      <c r="F65" s="507">
        <v>0.83233088996003968</v>
      </c>
      <c r="G65" s="508">
        <v>1.0000000000000002</v>
      </c>
      <c r="J65" s="141"/>
      <c r="K65" s="141"/>
    </row>
    <row r="66" spans="1:18" ht="15" customHeight="1" x14ac:dyDescent="0.2">
      <c r="A66" s="36" t="s">
        <v>170</v>
      </c>
      <c r="B66" s="241">
        <v>2368683</v>
      </c>
      <c r="C66" s="80">
        <v>0.11131811710071347</v>
      </c>
      <c r="D66" s="62"/>
      <c r="E66" s="241">
        <v>3733537</v>
      </c>
      <c r="F66" s="80">
        <v>0.16691534951933459</v>
      </c>
      <c r="G66" s="62"/>
      <c r="K66" s="141"/>
    </row>
    <row r="67" spans="1:18" ht="15" customHeight="1" thickBot="1" x14ac:dyDescent="0.25">
      <c r="A67" s="36" t="s">
        <v>171</v>
      </c>
      <c r="B67" s="243">
        <v>1525</v>
      </c>
      <c r="C67" s="142">
        <v>7.16685721890975E-5</v>
      </c>
      <c r="D67" s="63"/>
      <c r="E67" s="243">
        <v>16860</v>
      </c>
      <c r="F67" s="142">
        <v>7.5376052062587869E-4</v>
      </c>
      <c r="G67" s="63"/>
      <c r="J67" s="141"/>
      <c r="K67" s="141"/>
    </row>
    <row r="68" spans="1:18" ht="15" customHeight="1" thickBot="1" x14ac:dyDescent="0.25">
      <c r="A68" s="47" t="s">
        <v>172</v>
      </c>
      <c r="B68" s="244">
        <v>2370208</v>
      </c>
      <c r="C68" s="507">
        <v>0.11138978567290257</v>
      </c>
      <c r="D68" s="64"/>
      <c r="E68" s="244">
        <v>3750397</v>
      </c>
      <c r="F68" s="507">
        <v>0.16766911003996049</v>
      </c>
      <c r="G68" s="64"/>
      <c r="J68" s="141"/>
      <c r="K68" s="141"/>
    </row>
    <row r="69" spans="1:18" ht="15" customHeight="1" thickBot="1" x14ac:dyDescent="0.25">
      <c r="A69" s="47" t="s">
        <v>48</v>
      </c>
      <c r="B69" s="244">
        <v>21278504</v>
      </c>
      <c r="C69" s="507">
        <v>1</v>
      </c>
      <c r="D69" s="64"/>
      <c r="E69" s="244">
        <v>22367847</v>
      </c>
      <c r="F69" s="507">
        <v>1</v>
      </c>
      <c r="G69" s="64"/>
    </row>
    <row r="71" spans="1:18" ht="17.100000000000001" customHeight="1" thickBot="1" x14ac:dyDescent="0.25">
      <c r="A71" s="578" t="s">
        <v>10</v>
      </c>
      <c r="B71" s="578"/>
      <c r="C71" s="578"/>
      <c r="D71" s="578"/>
      <c r="E71" s="578"/>
      <c r="F71" s="578"/>
      <c r="G71" s="578"/>
      <c r="H71" s="578"/>
    </row>
    <row r="72" spans="1:18" ht="17.100000000000001" customHeight="1" x14ac:dyDescent="0.2">
      <c r="A72" s="465" t="s">
        <v>1035</v>
      </c>
      <c r="B72" s="465"/>
      <c r="C72" s="465"/>
      <c r="D72" s="465"/>
      <c r="E72" s="465"/>
      <c r="F72" s="465"/>
      <c r="G72" s="465"/>
      <c r="H72" s="465"/>
    </row>
    <row r="73" spans="1:18" ht="17.100000000000001" customHeight="1" x14ac:dyDescent="0.2">
      <c r="A73" s="547" t="s">
        <v>587</v>
      </c>
      <c r="B73" s="547"/>
      <c r="C73" s="547"/>
      <c r="D73" s="547"/>
      <c r="E73" s="547"/>
      <c r="F73" s="547"/>
      <c r="G73" s="547"/>
      <c r="H73" s="116"/>
      <c r="I73" s="116"/>
      <c r="J73" s="116"/>
      <c r="K73" s="116"/>
      <c r="L73" s="116"/>
      <c r="M73" s="116"/>
      <c r="N73" s="116"/>
      <c r="O73" s="116"/>
      <c r="P73" s="116"/>
      <c r="Q73" s="116"/>
      <c r="R73" s="116"/>
    </row>
    <row r="74" spans="1:18" ht="17.100000000000001" customHeight="1" x14ac:dyDescent="0.2">
      <c r="A74" s="549" t="s">
        <v>441</v>
      </c>
      <c r="B74" s="549"/>
      <c r="C74" s="549"/>
      <c r="D74" s="549"/>
      <c r="E74" s="549"/>
      <c r="F74" s="549"/>
      <c r="G74" s="549"/>
      <c r="H74" s="549"/>
    </row>
    <row r="75" spans="1:18" ht="13.5" thickBot="1" x14ac:dyDescent="0.25">
      <c r="A75" s="577" t="s">
        <v>945</v>
      </c>
      <c r="B75" s="577"/>
      <c r="C75" s="577"/>
      <c r="D75" s="577"/>
      <c r="E75" s="577"/>
      <c r="F75" s="577"/>
      <c r="G75" s="577"/>
      <c r="H75" s="577"/>
    </row>
    <row r="76" spans="1:18" x14ac:dyDescent="0.2">
      <c r="A76" s="126"/>
    </row>
    <row r="77" spans="1:18" x14ac:dyDescent="0.2">
      <c r="A77" s="120" t="s">
        <v>470</v>
      </c>
    </row>
    <row r="82" spans="1:1" x14ac:dyDescent="0.2">
      <c r="A82" s="126"/>
    </row>
  </sheetData>
  <sortState xmlns:xlrd2="http://schemas.microsoft.com/office/spreadsheetml/2017/richdata2" ref="I8:J64">
    <sortCondition ref="I48"/>
  </sortState>
  <mergeCells count="9">
    <mergeCell ref="A2:G2"/>
    <mergeCell ref="A74:H74"/>
    <mergeCell ref="A75:H75"/>
    <mergeCell ref="A73:G73"/>
    <mergeCell ref="A3:H3"/>
    <mergeCell ref="B6:D6"/>
    <mergeCell ref="E6:G6"/>
    <mergeCell ref="A71:H71"/>
    <mergeCell ref="A4:F4"/>
  </mergeCells>
  <hyperlinks>
    <hyperlink ref="A77" location="Contents!A1" display="Return to Contents" xr:uid="{00000000-0004-0000-2500-000000000000}"/>
    <hyperlink ref="A74:H74" r:id="rId1" display="Contact via enquiries@NHSDigital.nhs.uk or 0300 303 5678" xr:uid="{00000000-0004-0000-2500-000001000000}"/>
  </hyperlinks>
  <pageMargins left="0.78740157480314965" right="0.78740157480314965" top="0.78740157480314965" bottom="0.78740157480314965" header="0.78740157480314965" footer="0.78740157480314965"/>
  <pageSetup paperSize="9" scale="79" fitToHeight="0" orientation="landscape" r:id="rId2"/>
  <headerFooter alignWithMargins="0">
    <oddFooter>&amp;L&amp;C&amp;R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5"/>
  <dimension ref="A1:R31"/>
  <sheetViews>
    <sheetView showGridLines="0" workbookViewId="0"/>
  </sheetViews>
  <sheetFormatPr defaultColWidth="9.140625" defaultRowHeight="12.75" x14ac:dyDescent="0.2"/>
  <cols>
    <col min="1" max="1" width="45.7109375" style="109" customWidth="1"/>
    <col min="2" max="5" width="17.85546875" style="109" customWidth="1"/>
    <col min="6" max="6" width="9.140625" style="109" customWidth="1"/>
    <col min="7" max="7" width="9.140625" style="147" customWidth="1"/>
    <col min="8" max="18" width="9.140625" style="147"/>
    <col min="19" max="16384" width="9.140625" style="109"/>
  </cols>
  <sheetData>
    <row r="1" spans="1:18" s="318" customFormat="1" ht="15" customHeight="1" x14ac:dyDescent="0.2">
      <c r="G1" s="147"/>
      <c r="H1" s="147"/>
      <c r="I1" s="147"/>
      <c r="J1" s="147"/>
      <c r="K1" s="147"/>
      <c r="L1" s="147"/>
      <c r="M1" s="147"/>
      <c r="N1" s="147"/>
      <c r="O1" s="147"/>
      <c r="P1" s="147"/>
      <c r="Q1" s="147"/>
      <c r="R1" s="147"/>
    </row>
    <row r="2" spans="1:18" ht="56.25" customHeight="1" x14ac:dyDescent="0.2">
      <c r="A2" s="559" t="s">
        <v>999</v>
      </c>
      <c r="B2" s="559"/>
      <c r="C2" s="559"/>
      <c r="D2" s="559"/>
      <c r="E2" s="559"/>
      <c r="F2" s="559"/>
    </row>
    <row r="3" spans="1:18" x14ac:dyDescent="0.2">
      <c r="A3" s="558" t="s">
        <v>590</v>
      </c>
      <c r="B3" s="558"/>
      <c r="C3" s="558"/>
      <c r="D3" s="558"/>
      <c r="E3" s="558"/>
      <c r="F3" s="125"/>
    </row>
    <row r="4" spans="1:18" s="476" customFormat="1" x14ac:dyDescent="0.2">
      <c r="A4" s="558" t="s">
        <v>1050</v>
      </c>
      <c r="B4" s="558"/>
      <c r="C4" s="558"/>
      <c r="D4" s="558"/>
      <c r="E4" s="558"/>
      <c r="F4" s="558"/>
      <c r="G4" s="147"/>
      <c r="H4" s="147"/>
      <c r="I4" s="147"/>
      <c r="J4" s="147"/>
      <c r="K4" s="147"/>
      <c r="L4" s="147"/>
      <c r="M4" s="147"/>
      <c r="N4" s="147"/>
      <c r="O4" s="147"/>
      <c r="P4" s="147"/>
      <c r="Q4" s="147"/>
      <c r="R4" s="147"/>
    </row>
    <row r="5" spans="1:18" ht="11.25" customHeight="1" thickBot="1" x14ac:dyDescent="0.25"/>
    <row r="6" spans="1:18" ht="15" customHeight="1" thickBot="1" x14ac:dyDescent="0.25">
      <c r="A6" s="106"/>
      <c r="B6" s="573" t="s">
        <v>621</v>
      </c>
      <c r="C6" s="624"/>
      <c r="D6" s="573" t="s">
        <v>956</v>
      </c>
      <c r="E6" s="624"/>
      <c r="G6" s="387"/>
      <c r="H6" s="387"/>
      <c r="I6" s="387"/>
      <c r="J6" s="387"/>
      <c r="K6" s="387"/>
      <c r="L6" s="387"/>
      <c r="M6" s="387"/>
      <c r="N6" s="387"/>
      <c r="O6" s="387"/>
      <c r="P6" s="387"/>
    </row>
    <row r="7" spans="1:18" ht="30" customHeight="1" thickBot="1" x14ac:dyDescent="0.25">
      <c r="A7" s="2" t="s">
        <v>269</v>
      </c>
      <c r="B7" s="3" t="s">
        <v>38</v>
      </c>
      <c r="C7" s="4" t="s">
        <v>39</v>
      </c>
      <c r="D7" s="3" t="s">
        <v>38</v>
      </c>
      <c r="E7" s="4" t="s">
        <v>39</v>
      </c>
      <c r="G7" s="387"/>
      <c r="H7" s="387"/>
      <c r="I7" s="387"/>
      <c r="J7" s="387"/>
      <c r="K7" s="387"/>
      <c r="L7" s="387"/>
      <c r="M7" s="387"/>
      <c r="N7" s="387"/>
      <c r="O7" s="387"/>
      <c r="P7" s="387"/>
    </row>
    <row r="8" spans="1:18" ht="30" customHeight="1" x14ac:dyDescent="0.2">
      <c r="A8" s="145" t="s">
        <v>701</v>
      </c>
      <c r="B8" s="245">
        <v>4053917</v>
      </c>
      <c r="C8" s="58">
        <v>0.19051701191023579</v>
      </c>
      <c r="D8" s="245">
        <v>3610047</v>
      </c>
      <c r="E8" s="58">
        <v>0.16139447842253199</v>
      </c>
      <c r="G8" s="387"/>
      <c r="H8" s="387"/>
      <c r="I8" s="387"/>
      <c r="J8" s="387"/>
      <c r="K8" s="387"/>
      <c r="L8" s="387"/>
      <c r="M8" s="387"/>
      <c r="N8" s="387"/>
      <c r="O8" s="387"/>
      <c r="P8" s="387"/>
    </row>
    <row r="9" spans="1:18" ht="30" customHeight="1" x14ac:dyDescent="0.2">
      <c r="A9" s="145" t="s">
        <v>702</v>
      </c>
      <c r="B9" s="245">
        <v>3583077</v>
      </c>
      <c r="C9" s="58">
        <v>0.16838951648104586</v>
      </c>
      <c r="D9" s="245">
        <v>3139801</v>
      </c>
      <c r="E9" s="58">
        <v>0.140371176537465</v>
      </c>
      <c r="G9" s="387"/>
      <c r="H9" s="387"/>
      <c r="I9" s="387"/>
      <c r="J9" s="387"/>
      <c r="K9" s="387"/>
      <c r="L9" s="387"/>
      <c r="M9" s="387"/>
      <c r="N9" s="387"/>
      <c r="O9" s="387"/>
      <c r="P9" s="387"/>
    </row>
    <row r="10" spans="1:18" ht="15" customHeight="1" x14ac:dyDescent="0.2">
      <c r="A10" s="145" t="s">
        <v>703</v>
      </c>
      <c r="B10" s="245">
        <v>8491670</v>
      </c>
      <c r="C10" s="58">
        <v>0.39907269796786465</v>
      </c>
      <c r="D10" s="245">
        <v>9767411</v>
      </c>
      <c r="E10" s="58">
        <v>0.43667193360183498</v>
      </c>
      <c r="G10" s="387"/>
      <c r="H10" s="387"/>
      <c r="I10" s="387"/>
      <c r="J10" s="387"/>
      <c r="K10" s="387"/>
      <c r="L10" s="387"/>
      <c r="M10" s="387"/>
      <c r="N10" s="387"/>
      <c r="O10" s="387"/>
      <c r="P10" s="387"/>
    </row>
    <row r="11" spans="1:18" ht="15" customHeight="1" x14ac:dyDescent="0.2">
      <c r="A11" s="145" t="s">
        <v>501</v>
      </c>
      <c r="B11" s="245">
        <v>2329889</v>
      </c>
      <c r="C11" s="58">
        <v>0.10949496261579292</v>
      </c>
      <c r="D11" s="245">
        <v>1928085</v>
      </c>
      <c r="E11" s="58">
        <v>8.6198953345845E-2</v>
      </c>
      <c r="I11" s="387"/>
      <c r="L11" s="387"/>
      <c r="M11" s="387"/>
      <c r="N11" s="387"/>
      <c r="O11" s="387"/>
      <c r="P11" s="387"/>
    </row>
    <row r="12" spans="1:18" ht="15" customHeight="1" x14ac:dyDescent="0.2">
      <c r="A12" s="131" t="s">
        <v>270</v>
      </c>
      <c r="B12" s="239">
        <v>712576</v>
      </c>
      <c r="C12" s="57">
        <v>3.3488068522110392E-2</v>
      </c>
      <c r="D12" s="239">
        <v>637467</v>
      </c>
      <c r="E12" s="57">
        <v>2.84992560973794E-2</v>
      </c>
      <c r="G12" s="387"/>
      <c r="H12" s="387"/>
      <c r="I12" s="387"/>
      <c r="J12" s="387"/>
      <c r="K12" s="387"/>
      <c r="L12" s="387"/>
      <c r="M12" s="387"/>
      <c r="N12" s="387"/>
      <c r="O12" s="387"/>
      <c r="P12" s="387"/>
    </row>
    <row r="13" spans="1:18" ht="15" customHeight="1" x14ac:dyDescent="0.2">
      <c r="A13" s="131" t="s">
        <v>271</v>
      </c>
      <c r="B13" s="239">
        <v>770048</v>
      </c>
      <c r="C13" s="57">
        <v>3.6189010280046001E-2</v>
      </c>
      <c r="D13" s="239">
        <v>657417</v>
      </c>
      <c r="E13" s="57">
        <v>2.9391161339756999E-2</v>
      </c>
      <c r="G13" s="387"/>
      <c r="H13" s="387"/>
      <c r="I13" s="387"/>
      <c r="J13" s="387"/>
      <c r="K13" s="387"/>
      <c r="L13" s="387"/>
      <c r="M13" s="387"/>
      <c r="N13" s="387"/>
      <c r="O13" s="387"/>
      <c r="P13" s="387"/>
    </row>
    <row r="14" spans="1:18" ht="15" customHeight="1" x14ac:dyDescent="0.2">
      <c r="A14" s="131" t="s">
        <v>272</v>
      </c>
      <c r="B14" s="239">
        <v>420155</v>
      </c>
      <c r="C14" s="57">
        <v>1.9745514064334599E-2</v>
      </c>
      <c r="D14" s="239">
        <v>326209</v>
      </c>
      <c r="E14" s="57">
        <v>1.4583835449160599E-2</v>
      </c>
      <c r="G14" s="387"/>
      <c r="H14" s="387"/>
      <c r="I14" s="387"/>
      <c r="J14" s="387"/>
      <c r="K14" s="387"/>
      <c r="L14" s="387"/>
      <c r="M14" s="387"/>
      <c r="N14" s="387"/>
      <c r="O14" s="387"/>
      <c r="P14" s="387"/>
    </row>
    <row r="15" spans="1:18" ht="15" customHeight="1" x14ac:dyDescent="0.2">
      <c r="A15" s="131" t="s">
        <v>273</v>
      </c>
      <c r="B15" s="239">
        <v>427110</v>
      </c>
      <c r="C15" s="57">
        <v>2.0072369749301926E-2</v>
      </c>
      <c r="D15" s="239">
        <v>306992</v>
      </c>
      <c r="E15" s="57">
        <v>1.3724700459548E-2</v>
      </c>
      <c r="G15" s="387"/>
      <c r="H15" s="387"/>
      <c r="I15" s="387"/>
      <c r="J15" s="387"/>
      <c r="K15" s="387"/>
      <c r="L15" s="387"/>
      <c r="M15" s="387"/>
      <c r="N15" s="387"/>
      <c r="O15" s="387"/>
      <c r="P15" s="387"/>
    </row>
    <row r="16" spans="1:18" ht="15" customHeight="1" x14ac:dyDescent="0.2">
      <c r="A16" s="145" t="s">
        <v>704</v>
      </c>
      <c r="B16" s="245">
        <v>2819951</v>
      </c>
      <c r="C16" s="58">
        <v>0.13252581102506078</v>
      </c>
      <c r="D16" s="245">
        <v>3922503</v>
      </c>
      <c r="E16" s="58">
        <v>0.17536345809232323</v>
      </c>
      <c r="I16" s="387"/>
      <c r="L16" s="387"/>
      <c r="M16" s="387"/>
      <c r="N16" s="387"/>
      <c r="O16" s="387"/>
      <c r="P16" s="387"/>
    </row>
    <row r="17" spans="1:17" ht="15" customHeight="1" x14ac:dyDescent="0.2">
      <c r="A17" s="131" t="s">
        <v>274</v>
      </c>
      <c r="B17" s="239">
        <v>573694</v>
      </c>
      <c r="C17" s="57">
        <v>2.696119990390302E-2</v>
      </c>
      <c r="D17" s="239">
        <v>424851</v>
      </c>
      <c r="E17" s="57">
        <v>1.8993826272148601E-2</v>
      </c>
      <c r="G17" s="387"/>
      <c r="H17" s="387"/>
      <c r="I17" s="387"/>
      <c r="J17" s="387"/>
      <c r="K17" s="387"/>
      <c r="L17" s="387"/>
      <c r="M17" s="387"/>
      <c r="N17" s="387"/>
      <c r="O17" s="387"/>
      <c r="P17" s="387"/>
    </row>
    <row r="18" spans="1:17" ht="15" customHeight="1" x14ac:dyDescent="0.2">
      <c r="A18" s="131" t="s">
        <v>276</v>
      </c>
      <c r="B18" s="239">
        <v>68372</v>
      </c>
      <c r="C18" s="57">
        <v>3.2131958148937539E-3</v>
      </c>
      <c r="D18" s="239">
        <v>29447</v>
      </c>
      <c r="E18" s="57">
        <v>1.31648790337309E-3</v>
      </c>
      <c r="G18" s="387"/>
      <c r="H18" s="387"/>
      <c r="I18" s="387"/>
      <c r="J18" s="387"/>
      <c r="K18" s="387"/>
      <c r="L18" s="387"/>
      <c r="M18" s="387"/>
      <c r="N18" s="387"/>
      <c r="O18" s="387"/>
      <c r="P18" s="387"/>
    </row>
    <row r="19" spans="1:17" ht="15" customHeight="1" x14ac:dyDescent="0.2">
      <c r="A19" s="131" t="s">
        <v>275</v>
      </c>
      <c r="B19" s="239">
        <v>543681</v>
      </c>
      <c r="C19" s="57">
        <v>2.5550715407436538E-2</v>
      </c>
      <c r="D19" s="239">
        <v>661375</v>
      </c>
      <c r="E19" s="57">
        <v>2.95681117632824E-2</v>
      </c>
      <c r="G19" s="387"/>
      <c r="H19" s="387"/>
      <c r="I19" s="387"/>
      <c r="J19" s="387"/>
      <c r="K19" s="387"/>
      <c r="L19" s="387"/>
      <c r="M19" s="387"/>
      <c r="N19" s="387"/>
      <c r="O19" s="387"/>
      <c r="P19" s="387"/>
    </row>
    <row r="20" spans="1:17" ht="15" customHeight="1" x14ac:dyDescent="0.2">
      <c r="A20" s="131" t="s">
        <v>277</v>
      </c>
      <c r="B20" s="239">
        <v>17664</v>
      </c>
      <c r="C20" s="57">
        <v>8.3013354698243823E-4</v>
      </c>
      <c r="D20" s="239">
        <v>14109</v>
      </c>
      <c r="E20" s="57">
        <v>6.3077148194012596E-4</v>
      </c>
      <c r="G20" s="387"/>
      <c r="H20" s="387"/>
      <c r="I20" s="387"/>
      <c r="J20" s="387"/>
      <c r="K20" s="387"/>
      <c r="L20" s="387"/>
      <c r="M20" s="387"/>
      <c r="N20" s="387"/>
      <c r="O20" s="387"/>
      <c r="P20" s="387"/>
    </row>
    <row r="21" spans="1:17" ht="15" customHeight="1" x14ac:dyDescent="0.2">
      <c r="A21" s="131" t="s">
        <v>33</v>
      </c>
      <c r="B21" s="239">
        <v>594475</v>
      </c>
      <c r="C21" s="57">
        <v>2.7937819312861469E-2</v>
      </c>
      <c r="D21" s="239">
        <v>546246</v>
      </c>
      <c r="E21" s="57">
        <v>2.4421036141743999E-2</v>
      </c>
      <c r="G21" s="387"/>
      <c r="H21" s="387"/>
      <c r="I21" s="387"/>
      <c r="J21" s="387"/>
      <c r="K21" s="387"/>
      <c r="L21" s="387"/>
      <c r="M21" s="387"/>
      <c r="N21" s="387"/>
      <c r="O21" s="387"/>
      <c r="P21" s="387"/>
    </row>
    <row r="22" spans="1:17" ht="15" customHeight="1" thickBot="1" x14ac:dyDescent="0.25">
      <c r="A22" s="131" t="s">
        <v>100</v>
      </c>
      <c r="B22" s="239">
        <v>1022065</v>
      </c>
      <c r="C22" s="57">
        <v>4.8032747038983567E-2</v>
      </c>
      <c r="D22" s="239">
        <v>2246475</v>
      </c>
      <c r="E22" s="57">
        <v>0.100433224529835</v>
      </c>
      <c r="G22" s="387"/>
      <c r="H22" s="387"/>
      <c r="I22" s="387"/>
      <c r="J22" s="387"/>
      <c r="K22" s="387"/>
      <c r="L22" s="387"/>
      <c r="M22" s="387"/>
      <c r="N22" s="387"/>
      <c r="O22" s="387"/>
      <c r="P22" s="387"/>
    </row>
    <row r="23" spans="1:17" ht="15" customHeight="1" thickBot="1" x14ac:dyDescent="0.25">
      <c r="A23" s="146" t="s">
        <v>48</v>
      </c>
      <c r="B23" s="225">
        <v>21278504</v>
      </c>
      <c r="C23" s="313"/>
      <c r="D23" s="225">
        <v>22367847</v>
      </c>
      <c r="E23" s="313"/>
      <c r="G23" s="387"/>
      <c r="H23" s="387"/>
      <c r="I23" s="387"/>
      <c r="J23" s="387"/>
      <c r="K23" s="387"/>
      <c r="L23" s="387"/>
      <c r="M23" s="387"/>
      <c r="N23" s="387"/>
      <c r="O23" s="387"/>
      <c r="P23" s="387"/>
    </row>
    <row r="24" spans="1:17" x14ac:dyDescent="0.2">
      <c r="G24" s="387"/>
      <c r="H24" s="387"/>
      <c r="I24" s="387"/>
      <c r="J24" s="387"/>
      <c r="K24" s="387"/>
      <c r="L24" s="387"/>
      <c r="M24" s="387"/>
      <c r="N24" s="387"/>
      <c r="O24" s="387"/>
      <c r="P24" s="387"/>
    </row>
    <row r="25" spans="1:17" ht="17.100000000000001" customHeight="1" thickBot="1" x14ac:dyDescent="0.25">
      <c r="A25" s="578" t="s">
        <v>10</v>
      </c>
      <c r="B25" s="578"/>
      <c r="C25" s="578"/>
      <c r="D25" s="578"/>
      <c r="E25" s="578"/>
      <c r="F25" s="578"/>
      <c r="G25" s="387"/>
      <c r="H25" s="387"/>
      <c r="I25" s="387"/>
      <c r="J25" s="387"/>
      <c r="K25" s="387"/>
      <c r="L25" s="387"/>
      <c r="M25" s="387"/>
      <c r="N25" s="387"/>
      <c r="O25" s="387"/>
      <c r="P25" s="387"/>
    </row>
    <row r="26" spans="1:17" ht="17.100000000000001" customHeight="1" x14ac:dyDescent="0.2">
      <c r="A26" s="465" t="s">
        <v>1035</v>
      </c>
      <c r="B26" s="465"/>
      <c r="C26" s="465"/>
      <c r="D26" s="465"/>
      <c r="E26" s="465"/>
      <c r="F26" s="465"/>
      <c r="G26" s="387"/>
      <c r="H26" s="387"/>
      <c r="I26" s="387"/>
      <c r="J26" s="387"/>
      <c r="K26" s="387"/>
      <c r="L26" s="387"/>
      <c r="M26" s="387"/>
      <c r="N26" s="387"/>
      <c r="O26" s="387"/>
      <c r="P26" s="387"/>
    </row>
    <row r="27" spans="1:17" ht="17.100000000000001" customHeight="1" x14ac:dyDescent="0.2">
      <c r="A27" s="547" t="s">
        <v>587</v>
      </c>
      <c r="B27" s="547"/>
      <c r="C27" s="547"/>
      <c r="D27" s="547"/>
      <c r="E27" s="547"/>
      <c r="F27" s="547"/>
      <c r="G27" s="122"/>
      <c r="H27" s="122"/>
      <c r="I27" s="122"/>
      <c r="J27" s="122"/>
      <c r="K27" s="122"/>
      <c r="L27" s="122"/>
      <c r="M27" s="122"/>
      <c r="N27" s="122"/>
      <c r="O27" s="122"/>
      <c r="P27" s="122"/>
      <c r="Q27" s="122"/>
    </row>
    <row r="28" spans="1:17" ht="17.100000000000001" customHeight="1" x14ac:dyDescent="0.2">
      <c r="A28" s="549" t="s">
        <v>441</v>
      </c>
      <c r="B28" s="549"/>
      <c r="C28" s="549"/>
      <c r="D28" s="549"/>
      <c r="E28" s="549"/>
      <c r="F28" s="549"/>
    </row>
    <row r="29" spans="1:17" ht="13.5" thickBot="1" x14ac:dyDescent="0.25">
      <c r="A29" s="577" t="s">
        <v>945</v>
      </c>
      <c r="B29" s="577"/>
      <c r="C29" s="577"/>
      <c r="D29" s="577"/>
      <c r="E29" s="577"/>
      <c r="F29" s="577"/>
    </row>
    <row r="30" spans="1:17" x14ac:dyDescent="0.2">
      <c r="A30" s="126"/>
      <c r="F30" s="126"/>
    </row>
    <row r="31" spans="1:17" x14ac:dyDescent="0.2">
      <c r="A31" s="120" t="s">
        <v>470</v>
      </c>
      <c r="F31" s="126"/>
    </row>
  </sheetData>
  <mergeCells count="9">
    <mergeCell ref="A28:F28"/>
    <mergeCell ref="A29:F29"/>
    <mergeCell ref="A27:F27"/>
    <mergeCell ref="A2:F2"/>
    <mergeCell ref="A3:E3"/>
    <mergeCell ref="B6:C6"/>
    <mergeCell ref="D6:E6"/>
    <mergeCell ref="A25:F25"/>
    <mergeCell ref="A4:F4"/>
  </mergeCells>
  <hyperlinks>
    <hyperlink ref="A31" location="Contents!A1" display="Return to Contents" xr:uid="{00000000-0004-0000-2600-000000000000}"/>
    <hyperlink ref="A28:F28" r:id="rId1" display="Contact via enquiries@NHSDigital.nhs.uk or 0300 303 5678" xr:uid="{00000000-0004-0000-2600-000001000000}"/>
  </hyperlinks>
  <pageMargins left="0.78740157480314965" right="0.78740157480314965" top="0.78740157480314965" bottom="0.78740157480314965" header="0.78740157480314965" footer="0.78740157480314965"/>
  <pageSetup paperSize="9" orientation="landscape" r:id="rId2"/>
  <headerFooter alignWithMargins="0">
    <oddFooter>&amp;L&amp;C&amp;R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8"/>
  <dimension ref="A1:R83"/>
  <sheetViews>
    <sheetView zoomScaleNormal="100" workbookViewId="0"/>
  </sheetViews>
  <sheetFormatPr defaultColWidth="9.140625" defaultRowHeight="14.25" x14ac:dyDescent="0.2"/>
  <cols>
    <col min="1" max="1" width="13.7109375" style="172" customWidth="1"/>
    <col min="2" max="6" width="14.5703125" style="172" customWidth="1"/>
    <col min="7" max="7" width="9.140625" style="172" customWidth="1"/>
    <col min="8" max="16384" width="9.140625" style="172"/>
  </cols>
  <sheetData>
    <row r="1" spans="1:7" ht="15" customHeight="1" x14ac:dyDescent="0.2"/>
    <row r="2" spans="1:7" ht="56.25" customHeight="1" x14ac:dyDescent="0.2">
      <c r="A2" s="585" t="s">
        <v>961</v>
      </c>
      <c r="B2" s="585"/>
      <c r="C2" s="585"/>
      <c r="D2" s="585"/>
      <c r="E2" s="585"/>
      <c r="F2" s="585"/>
      <c r="G2" s="585"/>
    </row>
    <row r="3" spans="1:7" x14ac:dyDescent="0.2">
      <c r="A3" s="632" t="s">
        <v>590</v>
      </c>
      <c r="B3" s="632"/>
      <c r="C3" s="632"/>
      <c r="D3" s="632"/>
      <c r="E3" s="632"/>
      <c r="F3" s="632"/>
      <c r="G3" s="632"/>
    </row>
    <row r="4" spans="1:7" x14ac:dyDescent="0.2">
      <c r="A4" s="558" t="s">
        <v>1050</v>
      </c>
      <c r="B4" s="558"/>
      <c r="C4" s="558"/>
      <c r="D4" s="558"/>
      <c r="E4" s="558"/>
      <c r="F4" s="558"/>
      <c r="G4" s="482"/>
    </row>
    <row r="5" spans="1:7" ht="15" thickBot="1" x14ac:dyDescent="0.25"/>
    <row r="6" spans="1:7" s="175" customFormat="1" ht="41.25" customHeight="1" thickBot="1" x14ac:dyDescent="0.25">
      <c r="A6" s="34" t="s">
        <v>513</v>
      </c>
      <c r="B6" s="177" t="s">
        <v>498</v>
      </c>
      <c r="C6" s="178" t="s">
        <v>499</v>
      </c>
      <c r="D6" s="178" t="s">
        <v>500</v>
      </c>
      <c r="E6" s="178" t="s">
        <v>501</v>
      </c>
      <c r="F6" s="179" t="s">
        <v>502</v>
      </c>
      <c r="G6" s="180"/>
    </row>
    <row r="7" spans="1:7" s="175" customFormat="1" ht="15" customHeight="1" x14ac:dyDescent="0.2">
      <c r="A7" s="256" t="s">
        <v>473</v>
      </c>
      <c r="B7" s="247">
        <v>13295</v>
      </c>
      <c r="C7" s="248">
        <v>19380</v>
      </c>
      <c r="D7" s="248">
        <v>83589</v>
      </c>
      <c r="E7" s="248">
        <v>13266</v>
      </c>
      <c r="F7" s="249">
        <v>117109</v>
      </c>
      <c r="G7" s="181"/>
    </row>
    <row r="8" spans="1:7" s="175" customFormat="1" ht="15" customHeight="1" x14ac:dyDescent="0.2">
      <c r="A8" s="257" t="s">
        <v>474</v>
      </c>
      <c r="B8" s="250">
        <v>23443</v>
      </c>
      <c r="C8" s="251">
        <v>60408</v>
      </c>
      <c r="D8" s="251">
        <v>232611</v>
      </c>
      <c r="E8" s="251">
        <v>38735</v>
      </c>
      <c r="F8" s="252">
        <v>189020</v>
      </c>
      <c r="G8" s="181"/>
    </row>
    <row r="9" spans="1:7" s="175" customFormat="1" ht="15" customHeight="1" x14ac:dyDescent="0.2">
      <c r="A9" s="257" t="s">
        <v>475</v>
      </c>
      <c r="B9" s="250">
        <v>30105</v>
      </c>
      <c r="C9" s="251">
        <v>84869</v>
      </c>
      <c r="D9" s="251">
        <v>339042</v>
      </c>
      <c r="E9" s="251">
        <v>55519</v>
      </c>
      <c r="F9" s="252">
        <v>213372</v>
      </c>
      <c r="G9" s="181"/>
    </row>
    <row r="10" spans="1:7" s="175" customFormat="1" ht="15" customHeight="1" x14ac:dyDescent="0.2">
      <c r="A10" s="257" t="s">
        <v>476</v>
      </c>
      <c r="B10" s="250">
        <v>33841</v>
      </c>
      <c r="C10" s="251">
        <v>98378</v>
      </c>
      <c r="D10" s="251">
        <v>381141</v>
      </c>
      <c r="E10" s="251">
        <v>64471</v>
      </c>
      <c r="F10" s="252">
        <v>199565</v>
      </c>
      <c r="G10" s="181"/>
    </row>
    <row r="11" spans="1:7" s="175" customFormat="1" ht="15" customHeight="1" x14ac:dyDescent="0.2">
      <c r="A11" s="257" t="s">
        <v>477</v>
      </c>
      <c r="B11" s="250">
        <v>35269</v>
      </c>
      <c r="C11" s="251">
        <v>107134</v>
      </c>
      <c r="D11" s="251">
        <v>402574</v>
      </c>
      <c r="E11" s="251">
        <v>71026</v>
      </c>
      <c r="F11" s="252">
        <v>184705</v>
      </c>
      <c r="G11" s="181"/>
    </row>
    <row r="12" spans="1:7" s="175" customFormat="1" ht="15" customHeight="1" x14ac:dyDescent="0.2">
      <c r="A12" s="257" t="s">
        <v>478</v>
      </c>
      <c r="B12" s="250">
        <v>35751</v>
      </c>
      <c r="C12" s="251">
        <v>113055</v>
      </c>
      <c r="D12" s="251">
        <v>414847</v>
      </c>
      <c r="E12" s="251">
        <v>77381</v>
      </c>
      <c r="F12" s="252">
        <v>171799</v>
      </c>
      <c r="G12" s="181"/>
    </row>
    <row r="13" spans="1:7" s="175" customFormat="1" ht="15" customHeight="1" x14ac:dyDescent="0.2">
      <c r="A13" s="257" t="s">
        <v>479</v>
      </c>
      <c r="B13" s="250">
        <v>36232</v>
      </c>
      <c r="C13" s="251">
        <v>116556</v>
      </c>
      <c r="D13" s="251">
        <v>417913</v>
      </c>
      <c r="E13" s="251">
        <v>81520</v>
      </c>
      <c r="F13" s="252">
        <v>159073</v>
      </c>
      <c r="G13" s="181"/>
    </row>
    <row r="14" spans="1:7" s="175" customFormat="1" ht="15" customHeight="1" x14ac:dyDescent="0.2">
      <c r="A14" s="257" t="s">
        <v>480</v>
      </c>
      <c r="B14" s="250">
        <v>37906</v>
      </c>
      <c r="C14" s="251">
        <v>118060</v>
      </c>
      <c r="D14" s="251">
        <v>416681</v>
      </c>
      <c r="E14" s="251">
        <v>85010</v>
      </c>
      <c r="F14" s="252">
        <v>153320</v>
      </c>
      <c r="G14" s="181"/>
    </row>
    <row r="15" spans="1:7" s="175" customFormat="1" ht="15" customHeight="1" x14ac:dyDescent="0.2">
      <c r="A15" s="257" t="s">
        <v>481</v>
      </c>
      <c r="B15" s="250">
        <v>39740</v>
      </c>
      <c r="C15" s="251">
        <v>120242</v>
      </c>
      <c r="D15" s="251">
        <v>413330</v>
      </c>
      <c r="E15" s="251">
        <v>86781</v>
      </c>
      <c r="F15" s="252">
        <v>141074</v>
      </c>
      <c r="G15" s="181"/>
    </row>
    <row r="16" spans="1:7" s="175" customFormat="1" ht="15" customHeight="1" x14ac:dyDescent="0.2">
      <c r="A16" s="257" t="s">
        <v>482</v>
      </c>
      <c r="B16" s="250">
        <v>42198</v>
      </c>
      <c r="C16" s="251">
        <v>122187</v>
      </c>
      <c r="D16" s="251">
        <v>406667</v>
      </c>
      <c r="E16" s="251">
        <v>86639</v>
      </c>
      <c r="F16" s="252">
        <v>132891</v>
      </c>
      <c r="G16" s="181"/>
    </row>
    <row r="17" spans="1:7" s="175" customFormat="1" ht="15" customHeight="1" x14ac:dyDescent="0.2">
      <c r="A17" s="257" t="s">
        <v>483</v>
      </c>
      <c r="B17" s="250">
        <v>45527</v>
      </c>
      <c r="C17" s="251">
        <v>123392</v>
      </c>
      <c r="D17" s="251">
        <v>396244</v>
      </c>
      <c r="E17" s="251">
        <v>86091</v>
      </c>
      <c r="F17" s="252">
        <v>126466</v>
      </c>
      <c r="G17" s="181"/>
    </row>
    <row r="18" spans="1:7" s="175" customFormat="1" ht="15" customHeight="1" x14ac:dyDescent="0.2">
      <c r="A18" s="257" t="s">
        <v>484</v>
      </c>
      <c r="B18" s="250">
        <v>50094</v>
      </c>
      <c r="C18" s="251">
        <v>124517</v>
      </c>
      <c r="D18" s="251">
        <v>387743</v>
      </c>
      <c r="E18" s="251">
        <v>84573</v>
      </c>
      <c r="F18" s="252">
        <v>121411</v>
      </c>
      <c r="G18" s="181"/>
    </row>
    <row r="19" spans="1:7" s="175" customFormat="1" ht="15" customHeight="1" x14ac:dyDescent="0.2">
      <c r="A19" s="257" t="s">
        <v>485</v>
      </c>
      <c r="B19" s="250">
        <v>55341</v>
      </c>
      <c r="C19" s="251">
        <v>126496</v>
      </c>
      <c r="D19" s="251">
        <v>380457</v>
      </c>
      <c r="E19" s="251">
        <v>83101</v>
      </c>
      <c r="F19" s="252">
        <v>116237</v>
      </c>
      <c r="G19" s="181"/>
    </row>
    <row r="20" spans="1:7" s="175" customFormat="1" ht="15" customHeight="1" x14ac:dyDescent="0.2">
      <c r="A20" s="257" t="s">
        <v>486</v>
      </c>
      <c r="B20" s="250">
        <v>60884</v>
      </c>
      <c r="C20" s="251">
        <v>126774</v>
      </c>
      <c r="D20" s="251">
        <v>370021</v>
      </c>
      <c r="E20" s="251">
        <v>80814</v>
      </c>
      <c r="F20" s="252">
        <v>112158</v>
      </c>
      <c r="G20" s="181"/>
    </row>
    <row r="21" spans="1:7" s="175" customFormat="1" ht="15" customHeight="1" x14ac:dyDescent="0.2">
      <c r="A21" s="257" t="s">
        <v>487</v>
      </c>
      <c r="B21" s="250">
        <v>68286</v>
      </c>
      <c r="C21" s="251">
        <v>126452</v>
      </c>
      <c r="D21" s="251">
        <v>358899</v>
      </c>
      <c r="E21" s="251">
        <v>77790</v>
      </c>
      <c r="F21" s="252">
        <v>108040</v>
      </c>
      <c r="G21" s="181"/>
    </row>
    <row r="22" spans="1:7" s="175" customFormat="1" ht="15" customHeight="1" x14ac:dyDescent="0.2">
      <c r="A22" s="257" t="s">
        <v>488</v>
      </c>
      <c r="B22" s="250">
        <v>74454</v>
      </c>
      <c r="C22" s="251">
        <v>124790</v>
      </c>
      <c r="D22" s="251">
        <v>347753</v>
      </c>
      <c r="E22" s="251">
        <v>74706</v>
      </c>
      <c r="F22" s="252">
        <v>104530</v>
      </c>
      <c r="G22" s="181"/>
    </row>
    <row r="23" spans="1:7" s="175" customFormat="1" ht="15" customHeight="1" x14ac:dyDescent="0.2">
      <c r="A23" s="257" t="s">
        <v>489</v>
      </c>
      <c r="B23" s="250">
        <v>82144</v>
      </c>
      <c r="C23" s="251">
        <v>124311</v>
      </c>
      <c r="D23" s="251">
        <v>336533</v>
      </c>
      <c r="E23" s="251">
        <v>71525</v>
      </c>
      <c r="F23" s="252">
        <v>100665</v>
      </c>
      <c r="G23" s="181"/>
    </row>
    <row r="24" spans="1:7" s="175" customFormat="1" ht="15" customHeight="1" x14ac:dyDescent="0.2">
      <c r="A24" s="257" t="s">
        <v>490</v>
      </c>
      <c r="B24" s="250">
        <v>91658</v>
      </c>
      <c r="C24" s="251">
        <v>123270</v>
      </c>
      <c r="D24" s="251">
        <v>327854</v>
      </c>
      <c r="E24" s="251">
        <v>68900</v>
      </c>
      <c r="F24" s="252">
        <v>98592</v>
      </c>
      <c r="G24" s="181"/>
    </row>
    <row r="25" spans="1:7" s="175" customFormat="1" ht="15" customHeight="1" x14ac:dyDescent="0.2">
      <c r="A25" s="257" t="s">
        <v>491</v>
      </c>
      <c r="B25" s="250">
        <v>104056</v>
      </c>
      <c r="C25" s="251">
        <v>127534</v>
      </c>
      <c r="D25" s="251">
        <v>332100</v>
      </c>
      <c r="E25" s="251">
        <v>69168</v>
      </c>
      <c r="F25" s="252">
        <v>100801</v>
      </c>
      <c r="G25" s="181"/>
    </row>
    <row r="26" spans="1:7" s="175" customFormat="1" ht="15" customHeight="1" x14ac:dyDescent="0.2">
      <c r="A26" s="257" t="s">
        <v>492</v>
      </c>
      <c r="B26" s="250">
        <v>118173</v>
      </c>
      <c r="C26" s="251">
        <v>125244</v>
      </c>
      <c r="D26" s="251">
        <v>322712</v>
      </c>
      <c r="E26" s="251">
        <v>65083</v>
      </c>
      <c r="F26" s="252">
        <v>98159</v>
      </c>
      <c r="G26" s="181"/>
    </row>
    <row r="27" spans="1:7" s="175" customFormat="1" ht="15" customHeight="1" x14ac:dyDescent="0.2">
      <c r="A27" s="257" t="s">
        <v>493</v>
      </c>
      <c r="B27" s="250">
        <v>138727</v>
      </c>
      <c r="C27" s="251">
        <v>123340</v>
      </c>
      <c r="D27" s="251">
        <v>319174</v>
      </c>
      <c r="E27" s="251">
        <v>62397</v>
      </c>
      <c r="F27" s="252">
        <v>97705</v>
      </c>
      <c r="G27" s="181"/>
    </row>
    <row r="28" spans="1:7" s="175" customFormat="1" ht="15" customHeight="1" x14ac:dyDescent="0.2">
      <c r="A28" s="257" t="s">
        <v>494</v>
      </c>
      <c r="B28" s="250">
        <v>165988</v>
      </c>
      <c r="C28" s="251">
        <v>121983</v>
      </c>
      <c r="D28" s="251">
        <v>317961</v>
      </c>
      <c r="E28" s="251">
        <v>60471</v>
      </c>
      <c r="F28" s="252">
        <v>97863</v>
      </c>
      <c r="G28" s="181"/>
    </row>
    <row r="29" spans="1:7" s="175" customFormat="1" ht="15" customHeight="1" x14ac:dyDescent="0.2">
      <c r="A29" s="257" t="s">
        <v>495</v>
      </c>
      <c r="B29" s="250">
        <v>233367</v>
      </c>
      <c r="C29" s="251">
        <v>133461</v>
      </c>
      <c r="D29" s="251">
        <v>354961</v>
      </c>
      <c r="E29" s="251">
        <v>64943</v>
      </c>
      <c r="F29" s="252">
        <v>111403</v>
      </c>
      <c r="G29" s="181"/>
    </row>
    <row r="30" spans="1:7" s="175" customFormat="1" ht="15" customHeight="1" x14ac:dyDescent="0.2">
      <c r="A30" s="257" t="s">
        <v>496</v>
      </c>
      <c r="B30" s="250">
        <v>608341</v>
      </c>
      <c r="C30" s="251">
        <v>211978</v>
      </c>
      <c r="D30" s="251">
        <v>607420</v>
      </c>
      <c r="E30" s="251">
        <v>103216</v>
      </c>
      <c r="F30" s="252">
        <v>218934</v>
      </c>
      <c r="G30" s="181"/>
    </row>
    <row r="31" spans="1:7" s="175" customFormat="1" ht="15" customHeight="1" thickBot="1" x14ac:dyDescent="0.25">
      <c r="A31" s="258" t="s">
        <v>497</v>
      </c>
      <c r="B31" s="253">
        <v>1374205</v>
      </c>
      <c r="C31" s="254">
        <v>297631</v>
      </c>
      <c r="D31" s="254">
        <v>975343</v>
      </c>
      <c r="E31" s="254">
        <v>142974</v>
      </c>
      <c r="F31" s="255">
        <v>392211</v>
      </c>
      <c r="G31" s="181"/>
    </row>
    <row r="32" spans="1:7" s="175" customFormat="1" x14ac:dyDescent="0.2">
      <c r="A32" s="180"/>
      <c r="B32" s="181"/>
      <c r="C32" s="181"/>
      <c r="D32" s="181"/>
      <c r="E32" s="181"/>
      <c r="F32" s="181"/>
      <c r="G32" s="181"/>
    </row>
    <row r="33" spans="1:18" ht="15" customHeight="1" thickBot="1" x14ac:dyDescent="0.25">
      <c r="A33" s="633" t="s">
        <v>10</v>
      </c>
      <c r="B33" s="633"/>
      <c r="C33" s="633"/>
      <c r="D33" s="633"/>
      <c r="E33" s="633"/>
      <c r="F33" s="633"/>
      <c r="G33" s="633"/>
    </row>
    <row r="34" spans="1:18" ht="16.5" customHeight="1" x14ac:dyDescent="0.2">
      <c r="A34" s="465" t="s">
        <v>1035</v>
      </c>
      <c r="B34" s="465"/>
      <c r="C34" s="465"/>
      <c r="D34" s="466"/>
      <c r="E34" s="466"/>
      <c r="F34" s="466"/>
      <c r="G34" s="466"/>
    </row>
    <row r="35" spans="1:18" ht="16.5" customHeight="1" x14ac:dyDescent="0.2">
      <c r="A35" s="547" t="s">
        <v>587</v>
      </c>
      <c r="B35" s="547"/>
      <c r="C35" s="547"/>
      <c r="D35" s="547"/>
      <c r="E35" s="547"/>
      <c r="F35" s="547"/>
      <c r="G35" s="547"/>
      <c r="H35" s="116"/>
      <c r="I35" s="116"/>
      <c r="J35" s="116"/>
      <c r="K35" s="116"/>
      <c r="L35" s="116"/>
      <c r="M35" s="116"/>
      <c r="N35" s="116"/>
      <c r="O35" s="116"/>
      <c r="P35" s="116"/>
      <c r="Q35" s="116"/>
      <c r="R35" s="116"/>
    </row>
    <row r="36" spans="1:18" ht="16.5" customHeight="1" x14ac:dyDescent="0.2">
      <c r="A36" s="603" t="s">
        <v>441</v>
      </c>
      <c r="B36" s="603"/>
      <c r="C36" s="603"/>
      <c r="D36" s="603"/>
      <c r="E36" s="603"/>
      <c r="F36" s="603"/>
      <c r="G36" s="603"/>
    </row>
    <row r="37" spans="1:18" ht="15" thickBot="1" x14ac:dyDescent="0.25">
      <c r="A37" s="631" t="s">
        <v>945</v>
      </c>
      <c r="B37" s="631"/>
      <c r="C37" s="631"/>
      <c r="D37" s="631"/>
      <c r="E37" s="631"/>
      <c r="F37" s="631"/>
      <c r="G37" s="631"/>
    </row>
    <row r="38" spans="1:18" x14ac:dyDescent="0.2">
      <c r="A38" s="175"/>
      <c r="B38" s="173"/>
      <c r="C38" s="173"/>
      <c r="D38" s="173"/>
      <c r="E38" s="173"/>
      <c r="F38" s="173"/>
      <c r="G38" s="173"/>
    </row>
    <row r="39" spans="1:18" x14ac:dyDescent="0.2">
      <c r="A39" s="630" t="s">
        <v>470</v>
      </c>
      <c r="B39" s="630"/>
      <c r="C39" s="173"/>
      <c r="D39" s="173"/>
      <c r="E39" s="173"/>
      <c r="F39" s="173"/>
      <c r="G39" s="174"/>
    </row>
    <row r="40" spans="1:18" x14ac:dyDescent="0.2">
      <c r="A40" s="180"/>
      <c r="B40" s="173"/>
      <c r="C40" s="173"/>
      <c r="D40" s="173"/>
      <c r="E40" s="173"/>
      <c r="F40" s="173"/>
    </row>
    <row r="41" spans="1:18" x14ac:dyDescent="0.2">
      <c r="A41" s="180"/>
      <c r="B41" s="174"/>
      <c r="C41" s="174"/>
      <c r="D41" s="174"/>
      <c r="E41" s="174"/>
      <c r="F41" s="174"/>
    </row>
    <row r="42" spans="1:18" x14ac:dyDescent="0.2">
      <c r="A42" s="180"/>
      <c r="B42" s="174"/>
      <c r="C42" s="174"/>
      <c r="D42" s="174"/>
      <c r="E42" s="174"/>
      <c r="F42" s="174"/>
    </row>
    <row r="43" spans="1:18" x14ac:dyDescent="0.2">
      <c r="A43" s="180"/>
      <c r="B43" s="174"/>
      <c r="C43" s="174"/>
      <c r="D43" s="174"/>
      <c r="E43" s="174"/>
      <c r="F43" s="174"/>
    </row>
    <row r="44" spans="1:18" x14ac:dyDescent="0.2">
      <c r="A44" s="180"/>
      <c r="B44" s="174"/>
      <c r="C44" s="174"/>
      <c r="D44" s="174"/>
      <c r="E44" s="174"/>
      <c r="F44" s="174"/>
    </row>
    <row r="45" spans="1:18" x14ac:dyDescent="0.2">
      <c r="A45" s="180"/>
      <c r="B45" s="174"/>
      <c r="C45" s="174"/>
      <c r="D45" s="174"/>
      <c r="E45" s="174"/>
      <c r="F45" s="174"/>
    </row>
    <row r="46" spans="1:18" x14ac:dyDescent="0.2">
      <c r="A46" s="180"/>
      <c r="B46" s="174"/>
      <c r="C46" s="174"/>
      <c r="D46" s="174"/>
      <c r="E46" s="174"/>
      <c r="F46" s="174"/>
    </row>
    <row r="47" spans="1:18" x14ac:dyDescent="0.2">
      <c r="A47" s="180"/>
    </row>
    <row r="48" spans="1:18" x14ac:dyDescent="0.2">
      <c r="A48" s="180"/>
    </row>
    <row r="49" spans="1:1" x14ac:dyDescent="0.2">
      <c r="A49" s="180"/>
    </row>
    <row r="50" spans="1:1" x14ac:dyDescent="0.2">
      <c r="A50" s="180"/>
    </row>
    <row r="51" spans="1:1" x14ac:dyDescent="0.2">
      <c r="A51" s="180"/>
    </row>
    <row r="52" spans="1:1" x14ac:dyDescent="0.2">
      <c r="A52" s="180"/>
    </row>
    <row r="53" spans="1:1" x14ac:dyDescent="0.2">
      <c r="A53" s="180"/>
    </row>
    <row r="54" spans="1:1" x14ac:dyDescent="0.2">
      <c r="A54" s="180"/>
    </row>
    <row r="55" spans="1:1" x14ac:dyDescent="0.2">
      <c r="A55" s="180"/>
    </row>
    <row r="56" spans="1:1" x14ac:dyDescent="0.2">
      <c r="A56" s="180"/>
    </row>
    <row r="57" spans="1:1" x14ac:dyDescent="0.2">
      <c r="A57" s="180"/>
    </row>
    <row r="58" spans="1:1" x14ac:dyDescent="0.2">
      <c r="A58" s="180"/>
    </row>
    <row r="59" spans="1:1" x14ac:dyDescent="0.2">
      <c r="A59" s="180"/>
    </row>
    <row r="60" spans="1:1" x14ac:dyDescent="0.2">
      <c r="A60" s="180"/>
    </row>
    <row r="61" spans="1:1" x14ac:dyDescent="0.2">
      <c r="A61" s="180"/>
    </row>
    <row r="62" spans="1:1" x14ac:dyDescent="0.2">
      <c r="A62" s="180"/>
    </row>
    <row r="63" spans="1:1" x14ac:dyDescent="0.2">
      <c r="A63" s="180"/>
    </row>
    <row r="64" spans="1:1" x14ac:dyDescent="0.2">
      <c r="A64" s="180"/>
    </row>
    <row r="67" spans="1:1" x14ac:dyDescent="0.2">
      <c r="A67" s="180"/>
    </row>
    <row r="68" spans="1:1" x14ac:dyDescent="0.2">
      <c r="A68" s="180"/>
    </row>
    <row r="69" spans="1:1" x14ac:dyDescent="0.2">
      <c r="A69" s="180"/>
    </row>
    <row r="70" spans="1:1" x14ac:dyDescent="0.2">
      <c r="A70" s="180"/>
    </row>
    <row r="71" spans="1:1" x14ac:dyDescent="0.2">
      <c r="A71" s="180"/>
    </row>
    <row r="72" spans="1:1" x14ac:dyDescent="0.2">
      <c r="A72" s="180"/>
    </row>
    <row r="73" spans="1:1" x14ac:dyDescent="0.2">
      <c r="A73" s="180"/>
    </row>
    <row r="77" spans="1:1" x14ac:dyDescent="0.2">
      <c r="A77" s="180"/>
    </row>
    <row r="78" spans="1:1" x14ac:dyDescent="0.2">
      <c r="A78" s="180"/>
    </row>
    <row r="79" spans="1:1" x14ac:dyDescent="0.2">
      <c r="A79" s="180"/>
    </row>
    <row r="80" spans="1:1" x14ac:dyDescent="0.2">
      <c r="A80" s="180"/>
    </row>
    <row r="81" spans="1:1" x14ac:dyDescent="0.2">
      <c r="A81" s="180"/>
    </row>
    <row r="82" spans="1:1" x14ac:dyDescent="0.2">
      <c r="A82" s="180"/>
    </row>
    <row r="83" spans="1:1" x14ac:dyDescent="0.2">
      <c r="A83" s="180"/>
    </row>
  </sheetData>
  <mergeCells count="8">
    <mergeCell ref="A39:B39"/>
    <mergeCell ref="A36:G36"/>
    <mergeCell ref="A37:G37"/>
    <mergeCell ref="A2:G2"/>
    <mergeCell ref="A3:G3"/>
    <mergeCell ref="A33:G33"/>
    <mergeCell ref="A35:G35"/>
    <mergeCell ref="A4:F4"/>
  </mergeCells>
  <hyperlinks>
    <hyperlink ref="A36:F36" r:id="rId1" display="Contact via enquiries@NHSDigital.nhs.uk or 0300 303 5678" xr:uid="{00000000-0004-0000-2700-000000000000}"/>
    <hyperlink ref="A39" location="Contents!A1" display="Return to Contents" xr:uid="{00000000-0004-0000-2700-000001000000}"/>
  </hyperlinks>
  <pageMargins left="0.7" right="0.7" top="0.75" bottom="0.75" header="0.3" footer="0.3"/>
  <pageSetup paperSize="9"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pageSetUpPr fitToPage="1"/>
  </sheetPr>
  <dimension ref="A1:L285"/>
  <sheetViews>
    <sheetView showGridLines="0" zoomScaleNormal="100" workbookViewId="0"/>
  </sheetViews>
  <sheetFormatPr defaultColWidth="9.140625" defaultRowHeight="12.75" x14ac:dyDescent="0.2"/>
  <cols>
    <col min="1" max="1" width="64.7109375" style="109" bestFit="1" customWidth="1"/>
    <col min="2" max="2" width="13.42578125" style="109" customWidth="1"/>
    <col min="3" max="8" width="17.85546875" style="109" customWidth="1"/>
    <col min="9" max="9" width="9.140625" style="109" customWidth="1"/>
    <col min="10" max="10" width="9.140625" style="147"/>
    <col min="11" max="16384" width="9.140625" style="109"/>
  </cols>
  <sheetData>
    <row r="1" spans="1:12" s="318" customFormat="1" ht="15" customHeight="1" x14ac:dyDescent="0.2">
      <c r="J1" s="147"/>
    </row>
    <row r="2" spans="1:12" ht="56.25" customHeight="1" x14ac:dyDescent="0.2">
      <c r="A2" s="570" t="s">
        <v>962</v>
      </c>
      <c r="B2" s="570"/>
      <c r="C2" s="570"/>
      <c r="D2" s="570"/>
      <c r="E2" s="570"/>
      <c r="F2" s="570"/>
      <c r="G2" s="570"/>
      <c r="H2" s="570"/>
      <c r="J2" s="148"/>
    </row>
    <row r="3" spans="1:12" x14ac:dyDescent="0.2">
      <c r="A3" s="572" t="s">
        <v>590</v>
      </c>
      <c r="B3" s="572"/>
      <c r="C3" s="572"/>
      <c r="D3" s="572"/>
      <c r="E3" s="572"/>
      <c r="F3" s="572"/>
      <c r="G3" s="572"/>
      <c r="H3" s="572"/>
      <c r="J3" s="148"/>
    </row>
    <row r="4" spans="1:12" s="476" customFormat="1" x14ac:dyDescent="0.2">
      <c r="A4" s="550" t="s">
        <v>1049</v>
      </c>
      <c r="B4" s="550"/>
      <c r="C4" s="550"/>
      <c r="D4" s="550"/>
      <c r="E4" s="550"/>
      <c r="F4" s="478"/>
      <c r="G4" s="478"/>
      <c r="H4" s="478"/>
      <c r="J4" s="148"/>
    </row>
    <row r="5" spans="1:12" ht="11.25" customHeight="1" thickBot="1" x14ac:dyDescent="0.25">
      <c r="E5" s="421"/>
      <c r="J5" s="148"/>
    </row>
    <row r="6" spans="1:12" ht="15" customHeight="1" thickBot="1" x14ac:dyDescent="0.25">
      <c r="A6" s="106"/>
      <c r="B6" s="106"/>
      <c r="C6" s="623" t="s">
        <v>4</v>
      </c>
      <c r="D6" s="626"/>
      <c r="E6" s="624"/>
      <c r="F6" s="623" t="s">
        <v>530</v>
      </c>
      <c r="G6" s="626"/>
      <c r="H6" s="624"/>
      <c r="J6" s="148"/>
    </row>
    <row r="7" spans="1:12" ht="60" customHeight="1" thickBot="1" x14ac:dyDescent="0.25">
      <c r="A7" s="10" t="s">
        <v>278</v>
      </c>
      <c r="B7" s="10" t="s">
        <v>279</v>
      </c>
      <c r="C7" s="3" t="s">
        <v>280</v>
      </c>
      <c r="D7" s="9" t="s">
        <v>281</v>
      </c>
      <c r="E7" s="4" t="s">
        <v>447</v>
      </c>
      <c r="F7" s="3" t="s">
        <v>280</v>
      </c>
      <c r="G7" s="9" t="s">
        <v>281</v>
      </c>
      <c r="H7" s="130" t="s">
        <v>447</v>
      </c>
    </row>
    <row r="8" spans="1:12" ht="15" customHeight="1" thickBot="1" x14ac:dyDescent="0.25">
      <c r="A8" s="55"/>
      <c r="B8" s="54" t="s">
        <v>282</v>
      </c>
      <c r="C8" s="472">
        <v>22119885</v>
      </c>
      <c r="D8" s="511">
        <v>18684876</v>
      </c>
      <c r="E8" s="509">
        <v>0.84470945486380244</v>
      </c>
      <c r="F8" s="470">
        <v>24826981</v>
      </c>
      <c r="G8" s="513">
        <v>21850869</v>
      </c>
      <c r="H8" s="516">
        <v>0.88012590012454595</v>
      </c>
      <c r="I8" s="149"/>
    </row>
    <row r="9" spans="1:12" ht="15" customHeight="1" x14ac:dyDescent="0.2">
      <c r="A9" s="84" t="s">
        <v>1152</v>
      </c>
      <c r="B9" s="92" t="s">
        <v>284</v>
      </c>
      <c r="C9" s="473">
        <v>170825</v>
      </c>
      <c r="D9" s="239">
        <v>121450</v>
      </c>
      <c r="E9" s="510">
        <v>0.71</v>
      </c>
      <c r="F9" s="471">
        <v>134899</v>
      </c>
      <c r="G9" s="514">
        <v>111733</v>
      </c>
      <c r="H9" s="517">
        <v>0.82827152165694329</v>
      </c>
      <c r="I9" s="149"/>
    </row>
    <row r="10" spans="1:12" ht="15" customHeight="1" x14ac:dyDescent="0.2">
      <c r="A10" s="84" t="s">
        <v>1153</v>
      </c>
      <c r="B10" s="92" t="s">
        <v>285</v>
      </c>
      <c r="C10" s="473">
        <v>61835</v>
      </c>
      <c r="D10" s="239">
        <v>55140</v>
      </c>
      <c r="E10" s="510">
        <v>0.89</v>
      </c>
      <c r="F10" s="471">
        <v>69460</v>
      </c>
      <c r="G10" s="514">
        <v>62986</v>
      </c>
      <c r="H10" s="517">
        <v>0.90679527785775982</v>
      </c>
      <c r="I10" s="149"/>
      <c r="L10" s="468"/>
    </row>
    <row r="11" spans="1:12" ht="15" customHeight="1" x14ac:dyDescent="0.2">
      <c r="A11" s="84" t="s">
        <v>1154</v>
      </c>
      <c r="B11" s="92" t="s">
        <v>286</v>
      </c>
      <c r="C11" s="473">
        <v>61300</v>
      </c>
      <c r="D11" s="239">
        <v>57815</v>
      </c>
      <c r="E11" s="510">
        <v>0.94</v>
      </c>
      <c r="F11" s="471">
        <v>61305</v>
      </c>
      <c r="G11" s="514">
        <v>57822</v>
      </c>
      <c r="H11" s="517">
        <v>0.94318571079031077</v>
      </c>
      <c r="I11" s="149"/>
      <c r="L11" s="468"/>
    </row>
    <row r="12" spans="1:12" ht="15" customHeight="1" x14ac:dyDescent="0.2">
      <c r="A12" s="84" t="s">
        <v>1053</v>
      </c>
      <c r="B12" s="92" t="s">
        <v>633</v>
      </c>
      <c r="C12" s="473">
        <v>20</v>
      </c>
      <c r="D12" s="239">
        <v>20</v>
      </c>
      <c r="E12" s="510" t="s">
        <v>1037</v>
      </c>
      <c r="F12" s="471"/>
      <c r="G12" s="514"/>
      <c r="H12" s="517"/>
      <c r="I12" s="149"/>
      <c r="L12" s="468"/>
    </row>
    <row r="13" spans="1:12" ht="15" customHeight="1" x14ac:dyDescent="0.2">
      <c r="A13" s="84" t="s">
        <v>1155</v>
      </c>
      <c r="B13" s="92" t="s">
        <v>287</v>
      </c>
      <c r="C13" s="473">
        <v>106030</v>
      </c>
      <c r="D13" s="239">
        <v>84015</v>
      </c>
      <c r="E13" s="510">
        <v>0.79</v>
      </c>
      <c r="F13" s="471">
        <v>105534</v>
      </c>
      <c r="G13" s="514">
        <v>83472</v>
      </c>
      <c r="H13" s="517">
        <v>0.79094888850986411</v>
      </c>
      <c r="I13" s="149"/>
      <c r="L13" s="468"/>
    </row>
    <row r="14" spans="1:12" ht="15" customHeight="1" x14ac:dyDescent="0.2">
      <c r="A14" s="84" t="s">
        <v>1054</v>
      </c>
      <c r="B14" s="92" t="s">
        <v>644</v>
      </c>
      <c r="C14" s="473">
        <v>40320</v>
      </c>
      <c r="D14" s="239">
        <v>40300</v>
      </c>
      <c r="E14" s="510">
        <v>1</v>
      </c>
      <c r="F14" s="471"/>
      <c r="G14" s="514"/>
      <c r="H14" s="517"/>
      <c r="I14" s="149"/>
      <c r="L14" s="468"/>
    </row>
    <row r="15" spans="1:12" ht="15" customHeight="1" x14ac:dyDescent="0.2">
      <c r="A15" s="84" t="s">
        <v>1055</v>
      </c>
      <c r="B15" s="92" t="s">
        <v>288</v>
      </c>
      <c r="C15" s="473">
        <v>43400</v>
      </c>
      <c r="D15" s="239">
        <v>42465</v>
      </c>
      <c r="E15" s="510">
        <v>0.98</v>
      </c>
      <c r="F15" s="471"/>
      <c r="G15" s="514"/>
      <c r="H15" s="517"/>
      <c r="I15" s="149"/>
      <c r="L15" s="468"/>
    </row>
    <row r="16" spans="1:12" ht="15" customHeight="1" x14ac:dyDescent="0.2">
      <c r="A16" s="84" t="s">
        <v>1056</v>
      </c>
      <c r="B16" s="92" t="s">
        <v>647</v>
      </c>
      <c r="C16" s="473"/>
      <c r="D16" s="239"/>
      <c r="E16" s="510" t="s">
        <v>1037</v>
      </c>
      <c r="F16" s="471">
        <v>68878</v>
      </c>
      <c r="G16" s="514">
        <v>68878</v>
      </c>
      <c r="H16" s="517">
        <v>1</v>
      </c>
      <c r="I16" s="149"/>
      <c r="L16" s="468"/>
    </row>
    <row r="17" spans="1:12" ht="15" customHeight="1" x14ac:dyDescent="0.2">
      <c r="A17" s="84" t="s">
        <v>1057</v>
      </c>
      <c r="B17" s="92" t="s">
        <v>648</v>
      </c>
      <c r="C17" s="473"/>
      <c r="D17" s="239"/>
      <c r="E17" s="510" t="s">
        <v>1037</v>
      </c>
      <c r="F17" s="471">
        <v>36092</v>
      </c>
      <c r="G17" s="514">
        <v>36092</v>
      </c>
      <c r="H17" s="517">
        <v>1</v>
      </c>
      <c r="I17" s="149"/>
      <c r="L17" s="468"/>
    </row>
    <row r="18" spans="1:12" ht="15" customHeight="1" x14ac:dyDescent="0.2">
      <c r="A18" s="84" t="s">
        <v>1156</v>
      </c>
      <c r="B18" s="92" t="s">
        <v>289</v>
      </c>
      <c r="C18" s="473">
        <v>218090</v>
      </c>
      <c r="D18" s="239">
        <v>160425</v>
      </c>
      <c r="E18" s="510">
        <v>0.74</v>
      </c>
      <c r="F18" s="471">
        <v>303592</v>
      </c>
      <c r="G18" s="514">
        <v>244861</v>
      </c>
      <c r="H18" s="517">
        <v>0.8065462858046325</v>
      </c>
      <c r="I18" s="149"/>
      <c r="L18" s="468"/>
    </row>
    <row r="19" spans="1:12" ht="15" customHeight="1" x14ac:dyDescent="0.2">
      <c r="A19" s="84" t="s">
        <v>1157</v>
      </c>
      <c r="B19" s="92" t="s">
        <v>290</v>
      </c>
      <c r="C19" s="473">
        <v>97135</v>
      </c>
      <c r="D19" s="239">
        <v>91930</v>
      </c>
      <c r="E19" s="510">
        <v>0.95</v>
      </c>
      <c r="F19" s="471">
        <v>97129</v>
      </c>
      <c r="G19" s="514">
        <v>91927</v>
      </c>
      <c r="H19" s="517">
        <v>0.94644236016019934</v>
      </c>
      <c r="I19" s="149"/>
      <c r="L19" s="468"/>
    </row>
    <row r="20" spans="1:12" ht="15" customHeight="1" x14ac:dyDescent="0.2">
      <c r="A20" s="84" t="s">
        <v>1158</v>
      </c>
      <c r="B20" s="92" t="s">
        <v>291</v>
      </c>
      <c r="C20" s="473">
        <v>456255</v>
      </c>
      <c r="D20" s="239">
        <v>376655</v>
      </c>
      <c r="E20" s="510">
        <v>0.83</v>
      </c>
      <c r="F20" s="471">
        <v>503863</v>
      </c>
      <c r="G20" s="514">
        <v>431215</v>
      </c>
      <c r="H20" s="517">
        <v>0.8558179505143263</v>
      </c>
      <c r="I20" s="149"/>
      <c r="L20" s="468"/>
    </row>
    <row r="21" spans="1:12" ht="15" customHeight="1" x14ac:dyDescent="0.2">
      <c r="A21" s="84" t="s">
        <v>1159</v>
      </c>
      <c r="B21" s="92" t="s">
        <v>292</v>
      </c>
      <c r="C21" s="473">
        <v>131430</v>
      </c>
      <c r="D21" s="239">
        <v>109435</v>
      </c>
      <c r="E21" s="510">
        <v>0.83</v>
      </c>
      <c r="F21" s="471">
        <v>152551</v>
      </c>
      <c r="G21" s="514">
        <v>142596</v>
      </c>
      <c r="H21" s="517">
        <v>0.93474313508269369</v>
      </c>
      <c r="I21" s="149"/>
      <c r="L21" s="468"/>
    </row>
    <row r="22" spans="1:12" ht="15" customHeight="1" x14ac:dyDescent="0.2">
      <c r="A22" s="84" t="s">
        <v>1058</v>
      </c>
      <c r="B22" s="92" t="s">
        <v>293</v>
      </c>
      <c r="C22" s="473">
        <v>47445</v>
      </c>
      <c r="D22" s="239">
        <v>45520</v>
      </c>
      <c r="E22" s="510">
        <v>0.96</v>
      </c>
      <c r="F22" s="471"/>
      <c r="G22" s="514"/>
      <c r="H22" s="517"/>
      <c r="I22" s="149"/>
      <c r="L22" s="468"/>
    </row>
    <row r="23" spans="1:12" ht="15" customHeight="1" x14ac:dyDescent="0.2">
      <c r="A23" s="84" t="s">
        <v>1059</v>
      </c>
      <c r="B23" s="92" t="s">
        <v>649</v>
      </c>
      <c r="C23" s="473"/>
      <c r="D23" s="239"/>
      <c r="E23" s="510" t="s">
        <v>1037</v>
      </c>
      <c r="F23" s="471">
        <v>54817</v>
      </c>
      <c r="G23" s="514">
        <v>54794</v>
      </c>
      <c r="H23" s="517">
        <v>0.99958042213182041</v>
      </c>
      <c r="I23" s="149"/>
      <c r="L23" s="468"/>
    </row>
    <row r="24" spans="1:12" ht="15" customHeight="1" x14ac:dyDescent="0.2">
      <c r="A24" s="84" t="s">
        <v>1160</v>
      </c>
      <c r="B24" s="92" t="s">
        <v>294</v>
      </c>
      <c r="C24" s="473">
        <v>77820</v>
      </c>
      <c r="D24" s="239">
        <v>68745</v>
      </c>
      <c r="E24" s="510">
        <v>0.88</v>
      </c>
      <c r="F24" s="471">
        <v>82972</v>
      </c>
      <c r="G24" s="514">
        <v>73935</v>
      </c>
      <c r="H24" s="517">
        <v>0.891083739092706</v>
      </c>
      <c r="I24" s="149"/>
      <c r="L24" s="468"/>
    </row>
    <row r="25" spans="1:12" ht="15" customHeight="1" x14ac:dyDescent="0.2">
      <c r="A25" s="84" t="s">
        <v>1060</v>
      </c>
      <c r="B25" s="92" t="s">
        <v>650</v>
      </c>
      <c r="C25" s="473"/>
      <c r="D25" s="239"/>
      <c r="E25" s="510" t="s">
        <v>1037</v>
      </c>
      <c r="F25" s="471">
        <v>21073</v>
      </c>
      <c r="G25" s="514">
        <v>21073</v>
      </c>
      <c r="H25" s="517">
        <v>1</v>
      </c>
      <c r="I25" s="149"/>
      <c r="L25" s="468"/>
    </row>
    <row r="26" spans="1:12" ht="15" customHeight="1" x14ac:dyDescent="0.2">
      <c r="A26" s="84" t="s">
        <v>1161</v>
      </c>
      <c r="B26" s="92" t="s">
        <v>295</v>
      </c>
      <c r="C26" s="473">
        <v>19700</v>
      </c>
      <c r="D26" s="239">
        <v>19305</v>
      </c>
      <c r="E26" s="510">
        <v>0.98</v>
      </c>
      <c r="F26" s="471">
        <v>26020</v>
      </c>
      <c r="G26" s="514">
        <v>26020</v>
      </c>
      <c r="H26" s="517">
        <v>1</v>
      </c>
      <c r="I26" s="149"/>
      <c r="L26" s="468"/>
    </row>
    <row r="27" spans="1:12" ht="15" customHeight="1" x14ac:dyDescent="0.2">
      <c r="A27" s="84" t="s">
        <v>1061</v>
      </c>
      <c r="B27" s="92" t="s">
        <v>651</v>
      </c>
      <c r="C27" s="473"/>
      <c r="D27" s="239"/>
      <c r="E27" s="510" t="s">
        <v>1037</v>
      </c>
      <c r="F27" s="471">
        <v>39068</v>
      </c>
      <c r="G27" s="514">
        <v>39068</v>
      </c>
      <c r="H27" s="517">
        <v>1</v>
      </c>
      <c r="I27" s="149"/>
      <c r="L27" s="468"/>
    </row>
    <row r="28" spans="1:12" ht="15" customHeight="1" x14ac:dyDescent="0.2">
      <c r="A28" s="84" t="s">
        <v>1162</v>
      </c>
      <c r="B28" s="92" t="s">
        <v>296</v>
      </c>
      <c r="C28" s="473">
        <v>60210</v>
      </c>
      <c r="D28" s="239">
        <v>53840</v>
      </c>
      <c r="E28" s="510">
        <v>0.89</v>
      </c>
      <c r="F28" s="471">
        <v>60228</v>
      </c>
      <c r="G28" s="514">
        <v>53833</v>
      </c>
      <c r="H28" s="517">
        <v>0.89382015009630067</v>
      </c>
      <c r="I28" s="149"/>
      <c r="L28" s="468"/>
    </row>
    <row r="29" spans="1:12" ht="15" customHeight="1" x14ac:dyDescent="0.2">
      <c r="A29" s="84" t="s">
        <v>1163</v>
      </c>
      <c r="B29" s="92" t="s">
        <v>297</v>
      </c>
      <c r="C29" s="473">
        <v>76850</v>
      </c>
      <c r="D29" s="239">
        <v>44245</v>
      </c>
      <c r="E29" s="510">
        <v>0.57999999999999996</v>
      </c>
      <c r="F29" s="471">
        <v>216636</v>
      </c>
      <c r="G29" s="514">
        <v>183903</v>
      </c>
      <c r="H29" s="517">
        <v>0.84890322938015839</v>
      </c>
      <c r="I29" s="149"/>
      <c r="L29" s="468"/>
    </row>
    <row r="30" spans="1:12" ht="15" customHeight="1" x14ac:dyDescent="0.2">
      <c r="A30" s="84" t="s">
        <v>1164</v>
      </c>
      <c r="B30" s="92" t="s">
        <v>298</v>
      </c>
      <c r="C30" s="473">
        <v>119040</v>
      </c>
      <c r="D30" s="239">
        <v>100560</v>
      </c>
      <c r="E30" s="510">
        <v>0.84</v>
      </c>
      <c r="F30" s="471">
        <v>119769</v>
      </c>
      <c r="G30" s="514">
        <v>101202</v>
      </c>
      <c r="H30" s="517">
        <v>0.8449765799163389</v>
      </c>
      <c r="I30" s="149"/>
      <c r="L30" s="468"/>
    </row>
    <row r="31" spans="1:12" ht="15" customHeight="1" x14ac:dyDescent="0.2">
      <c r="A31" s="84" t="s">
        <v>1062</v>
      </c>
      <c r="B31" s="92" t="s">
        <v>653</v>
      </c>
      <c r="C31" s="473"/>
      <c r="D31" s="239"/>
      <c r="E31" s="510" t="s">
        <v>1037</v>
      </c>
      <c r="F31" s="471">
        <v>40237</v>
      </c>
      <c r="G31" s="514">
        <v>40237</v>
      </c>
      <c r="H31" s="517">
        <v>1</v>
      </c>
      <c r="I31" s="149"/>
      <c r="L31" s="468"/>
    </row>
    <row r="32" spans="1:12" ht="15" customHeight="1" x14ac:dyDescent="0.2">
      <c r="A32" s="84" t="s">
        <v>1165</v>
      </c>
      <c r="B32" s="92" t="s">
        <v>299</v>
      </c>
      <c r="C32" s="473">
        <v>139180</v>
      </c>
      <c r="D32" s="239">
        <v>105775</v>
      </c>
      <c r="E32" s="510">
        <v>0.76</v>
      </c>
      <c r="F32" s="471">
        <v>139115</v>
      </c>
      <c r="G32" s="514">
        <v>111396</v>
      </c>
      <c r="H32" s="517">
        <v>0.80074758293498183</v>
      </c>
      <c r="I32" s="149"/>
      <c r="L32" s="468"/>
    </row>
    <row r="33" spans="1:12" ht="15" customHeight="1" x14ac:dyDescent="0.2">
      <c r="A33" s="84" t="s">
        <v>1063</v>
      </c>
      <c r="B33" s="92" t="s">
        <v>300</v>
      </c>
      <c r="C33" s="473">
        <v>28440</v>
      </c>
      <c r="D33" s="239">
        <v>28290</v>
      </c>
      <c r="E33" s="510">
        <v>0.99</v>
      </c>
      <c r="F33" s="471"/>
      <c r="G33" s="514"/>
      <c r="H33" s="517"/>
      <c r="I33" s="149"/>
      <c r="L33" s="468"/>
    </row>
    <row r="34" spans="1:12" ht="15" customHeight="1" x14ac:dyDescent="0.2">
      <c r="A34" s="84" t="s">
        <v>1064</v>
      </c>
      <c r="B34" s="92" t="s">
        <v>654</v>
      </c>
      <c r="C34" s="473"/>
      <c r="D34" s="239"/>
      <c r="E34" s="510" t="s">
        <v>1037</v>
      </c>
      <c r="F34" s="471">
        <v>20088</v>
      </c>
      <c r="G34" s="514">
        <v>20088</v>
      </c>
      <c r="H34" s="517">
        <v>1</v>
      </c>
      <c r="I34" s="149"/>
      <c r="L34" s="468"/>
    </row>
    <row r="35" spans="1:12" ht="15" customHeight="1" x14ac:dyDescent="0.2">
      <c r="A35" s="84" t="s">
        <v>1065</v>
      </c>
      <c r="B35" s="92" t="s">
        <v>642</v>
      </c>
      <c r="C35" s="473">
        <v>24770</v>
      </c>
      <c r="D35" s="239">
        <v>24345</v>
      </c>
      <c r="E35" s="510">
        <v>0.98</v>
      </c>
      <c r="F35" s="471"/>
      <c r="G35" s="514"/>
      <c r="H35" s="517"/>
      <c r="I35" s="149"/>
      <c r="L35" s="468"/>
    </row>
    <row r="36" spans="1:12" ht="15" customHeight="1" x14ac:dyDescent="0.2">
      <c r="A36" s="84" t="s">
        <v>1166</v>
      </c>
      <c r="B36" s="92" t="s">
        <v>301</v>
      </c>
      <c r="C36" s="473">
        <v>140825</v>
      </c>
      <c r="D36" s="239">
        <v>139400</v>
      </c>
      <c r="E36" s="510">
        <v>0.99</v>
      </c>
      <c r="F36" s="471">
        <v>141507</v>
      </c>
      <c r="G36" s="514">
        <v>140015</v>
      </c>
      <c r="H36" s="517">
        <v>0.98945635198258741</v>
      </c>
      <c r="I36" s="149"/>
      <c r="L36" s="468"/>
    </row>
    <row r="37" spans="1:12" ht="15" customHeight="1" x14ac:dyDescent="0.2">
      <c r="A37" s="84" t="s">
        <v>1066</v>
      </c>
      <c r="B37" s="92" t="s">
        <v>302</v>
      </c>
      <c r="C37" s="473">
        <v>19790</v>
      </c>
      <c r="D37" s="239">
        <v>19685</v>
      </c>
      <c r="E37" s="510">
        <v>0.99</v>
      </c>
      <c r="F37" s="471"/>
      <c r="G37" s="514"/>
      <c r="H37" s="517"/>
      <c r="I37" s="149"/>
      <c r="L37" s="468"/>
    </row>
    <row r="38" spans="1:12" ht="15" customHeight="1" x14ac:dyDescent="0.2">
      <c r="A38" s="84" t="s">
        <v>1167</v>
      </c>
      <c r="B38" s="92" t="s">
        <v>303</v>
      </c>
      <c r="C38" s="473">
        <v>173140</v>
      </c>
      <c r="D38" s="239">
        <v>136195</v>
      </c>
      <c r="E38" s="510">
        <v>0.79</v>
      </c>
      <c r="F38" s="471">
        <v>172659</v>
      </c>
      <c r="G38" s="514">
        <v>139826</v>
      </c>
      <c r="H38" s="517">
        <v>0.8098390469074882</v>
      </c>
      <c r="I38" s="149"/>
      <c r="L38" s="468"/>
    </row>
    <row r="39" spans="1:12" ht="15" customHeight="1" x14ac:dyDescent="0.2">
      <c r="A39" s="84" t="s">
        <v>1067</v>
      </c>
      <c r="B39" s="92" t="s">
        <v>655</v>
      </c>
      <c r="C39" s="473"/>
      <c r="D39" s="239"/>
      <c r="E39" s="510" t="s">
        <v>1037</v>
      </c>
      <c r="F39" s="471">
        <v>21202</v>
      </c>
      <c r="G39" s="514">
        <v>21181</v>
      </c>
      <c r="H39" s="517">
        <v>0.99900952740307514</v>
      </c>
      <c r="I39" s="149"/>
      <c r="L39" s="468"/>
    </row>
    <row r="40" spans="1:12" ht="15" customHeight="1" x14ac:dyDescent="0.2">
      <c r="A40" s="84" t="s">
        <v>1068</v>
      </c>
      <c r="B40" s="92" t="s">
        <v>656</v>
      </c>
      <c r="C40" s="473"/>
      <c r="D40" s="239"/>
      <c r="E40" s="510" t="s">
        <v>1037</v>
      </c>
      <c r="F40" s="471">
        <v>57231</v>
      </c>
      <c r="G40" s="514">
        <v>57146</v>
      </c>
      <c r="H40" s="517">
        <v>0.99851479093498274</v>
      </c>
      <c r="I40" s="149"/>
      <c r="L40" s="468"/>
    </row>
    <row r="41" spans="1:12" ht="15" customHeight="1" x14ac:dyDescent="0.2">
      <c r="A41" s="84" t="s">
        <v>1168</v>
      </c>
      <c r="B41" s="92" t="s">
        <v>304</v>
      </c>
      <c r="C41" s="473">
        <v>93160</v>
      </c>
      <c r="D41" s="239">
        <v>75370</v>
      </c>
      <c r="E41" s="510">
        <v>0.81</v>
      </c>
      <c r="F41" s="471">
        <v>155415</v>
      </c>
      <c r="G41" s="514">
        <v>137298</v>
      </c>
      <c r="H41" s="517">
        <v>0.8834282405173246</v>
      </c>
      <c r="I41" s="149"/>
      <c r="L41" s="468"/>
    </row>
    <row r="42" spans="1:12" ht="15" customHeight="1" x14ac:dyDescent="0.2">
      <c r="A42" s="84" t="s">
        <v>1069</v>
      </c>
      <c r="B42" s="92" t="s">
        <v>625</v>
      </c>
      <c r="C42" s="473">
        <v>25780</v>
      </c>
      <c r="D42" s="239">
        <v>24565</v>
      </c>
      <c r="E42" s="510">
        <v>0.95</v>
      </c>
      <c r="F42" s="471"/>
      <c r="G42" s="514"/>
      <c r="H42" s="517"/>
      <c r="I42" s="149"/>
      <c r="L42" s="468"/>
    </row>
    <row r="43" spans="1:12" ht="15" customHeight="1" x14ac:dyDescent="0.2">
      <c r="A43" s="84" t="s">
        <v>1169</v>
      </c>
      <c r="B43" s="92" t="s">
        <v>305</v>
      </c>
      <c r="C43" s="473"/>
      <c r="D43" s="239"/>
      <c r="E43" s="510" t="s">
        <v>1037</v>
      </c>
      <c r="F43" s="471">
        <v>31339</v>
      </c>
      <c r="G43" s="514">
        <v>29548</v>
      </c>
      <c r="H43" s="517">
        <v>0.94285076103257925</v>
      </c>
      <c r="I43" s="149"/>
      <c r="L43" s="468"/>
    </row>
    <row r="44" spans="1:12" ht="15" customHeight="1" x14ac:dyDescent="0.2">
      <c r="A44" s="84" t="s">
        <v>1170</v>
      </c>
      <c r="B44" s="92" t="s">
        <v>306</v>
      </c>
      <c r="C44" s="473">
        <v>150910</v>
      </c>
      <c r="D44" s="239">
        <v>137315</v>
      </c>
      <c r="E44" s="510">
        <v>0.91</v>
      </c>
      <c r="F44" s="471">
        <v>151658</v>
      </c>
      <c r="G44" s="514">
        <v>138444</v>
      </c>
      <c r="H44" s="517">
        <v>0.91286974640309115</v>
      </c>
      <c r="I44" s="149"/>
      <c r="L44" s="468"/>
    </row>
    <row r="45" spans="1:12" ht="15" customHeight="1" x14ac:dyDescent="0.2">
      <c r="A45" s="84" t="s">
        <v>1171</v>
      </c>
      <c r="B45" s="92" t="s">
        <v>307</v>
      </c>
      <c r="C45" s="473">
        <v>157580</v>
      </c>
      <c r="D45" s="239">
        <v>134385</v>
      </c>
      <c r="E45" s="510">
        <v>0.85</v>
      </c>
      <c r="F45" s="471">
        <v>162131</v>
      </c>
      <c r="G45" s="514">
        <v>139104</v>
      </c>
      <c r="H45" s="517">
        <v>0.85797287378724607</v>
      </c>
      <c r="I45" s="149"/>
      <c r="L45" s="468"/>
    </row>
    <row r="46" spans="1:12" ht="15" customHeight="1" x14ac:dyDescent="0.2">
      <c r="A46" s="84" t="s">
        <v>1172</v>
      </c>
      <c r="B46" s="92" t="s">
        <v>308</v>
      </c>
      <c r="C46" s="473">
        <v>218615</v>
      </c>
      <c r="D46" s="239">
        <v>215810</v>
      </c>
      <c r="E46" s="510">
        <v>0.99</v>
      </c>
      <c r="F46" s="471">
        <v>219144</v>
      </c>
      <c r="G46" s="514">
        <v>216761</v>
      </c>
      <c r="H46" s="517">
        <v>0.98912587157302956</v>
      </c>
      <c r="I46" s="149"/>
      <c r="L46" s="468"/>
    </row>
    <row r="47" spans="1:12" ht="15" customHeight="1" x14ac:dyDescent="0.2">
      <c r="A47" s="84" t="s">
        <v>1173</v>
      </c>
      <c r="B47" s="92" t="s">
        <v>309</v>
      </c>
      <c r="C47" s="473">
        <v>221045</v>
      </c>
      <c r="D47" s="239">
        <v>190265</v>
      </c>
      <c r="E47" s="510">
        <v>0.86</v>
      </c>
      <c r="F47" s="471">
        <v>326141</v>
      </c>
      <c r="G47" s="514">
        <v>309502</v>
      </c>
      <c r="H47" s="517">
        <v>0.94898218868526185</v>
      </c>
      <c r="I47" s="149"/>
      <c r="L47" s="468"/>
    </row>
    <row r="48" spans="1:12" ht="15" customHeight="1" x14ac:dyDescent="0.2">
      <c r="A48" s="84" t="s">
        <v>1174</v>
      </c>
      <c r="B48" s="92" t="s">
        <v>310</v>
      </c>
      <c r="C48" s="473">
        <v>90265</v>
      </c>
      <c r="D48" s="239">
        <v>81705</v>
      </c>
      <c r="E48" s="510">
        <v>0.91</v>
      </c>
      <c r="F48" s="471">
        <v>90237</v>
      </c>
      <c r="G48" s="514">
        <v>81800</v>
      </c>
      <c r="H48" s="517">
        <v>0.90650176756762746</v>
      </c>
      <c r="I48" s="149"/>
      <c r="L48" s="468"/>
    </row>
    <row r="49" spans="1:12" ht="15" customHeight="1" x14ac:dyDescent="0.2">
      <c r="A49" s="84" t="s">
        <v>1175</v>
      </c>
      <c r="B49" s="92" t="s">
        <v>311</v>
      </c>
      <c r="C49" s="473">
        <v>163725</v>
      </c>
      <c r="D49" s="239">
        <v>145125</v>
      </c>
      <c r="E49" s="510">
        <v>0.89</v>
      </c>
      <c r="F49" s="471">
        <v>163665</v>
      </c>
      <c r="G49" s="514">
        <v>145093</v>
      </c>
      <c r="H49" s="517">
        <v>0.88652430269147342</v>
      </c>
      <c r="I49" s="149"/>
      <c r="L49" s="468"/>
    </row>
    <row r="50" spans="1:12" ht="15" customHeight="1" x14ac:dyDescent="0.2">
      <c r="A50" s="84" t="s">
        <v>1070</v>
      </c>
      <c r="B50" s="92" t="s">
        <v>312</v>
      </c>
      <c r="C50" s="473">
        <v>26095</v>
      </c>
      <c r="D50" s="239">
        <v>12755</v>
      </c>
      <c r="E50" s="510">
        <v>0.49</v>
      </c>
      <c r="F50" s="471">
        <v>31404</v>
      </c>
      <c r="G50" s="514">
        <v>31375</v>
      </c>
      <c r="H50" s="517">
        <v>0.99907655075786528</v>
      </c>
      <c r="I50" s="149"/>
      <c r="L50" s="468"/>
    </row>
    <row r="51" spans="1:12" ht="15" customHeight="1" x14ac:dyDescent="0.2">
      <c r="A51" s="84" t="s">
        <v>1071</v>
      </c>
      <c r="B51" s="92" t="s">
        <v>657</v>
      </c>
      <c r="C51" s="473"/>
      <c r="D51" s="239"/>
      <c r="E51" s="510" t="s">
        <v>1037</v>
      </c>
      <c r="F51" s="471">
        <v>15391</v>
      </c>
      <c r="G51" s="514">
        <v>15390</v>
      </c>
      <c r="H51" s="517">
        <v>0.99993502696380998</v>
      </c>
      <c r="I51" s="149"/>
      <c r="L51" s="468"/>
    </row>
    <row r="52" spans="1:12" ht="15" customHeight="1" x14ac:dyDescent="0.2">
      <c r="A52" s="84" t="s">
        <v>1176</v>
      </c>
      <c r="B52" s="92" t="s">
        <v>313</v>
      </c>
      <c r="C52" s="473">
        <v>194140</v>
      </c>
      <c r="D52" s="239">
        <v>176605</v>
      </c>
      <c r="E52" s="510">
        <v>0.91</v>
      </c>
      <c r="F52" s="471"/>
      <c r="G52" s="514"/>
      <c r="H52" s="517"/>
      <c r="I52" s="149"/>
      <c r="L52" s="468"/>
    </row>
    <row r="53" spans="1:12" ht="15" customHeight="1" x14ac:dyDescent="0.2">
      <c r="A53" s="84" t="s">
        <v>1072</v>
      </c>
      <c r="B53" s="92" t="s">
        <v>658</v>
      </c>
      <c r="C53" s="473"/>
      <c r="D53" s="239"/>
      <c r="E53" s="510" t="s">
        <v>1037</v>
      </c>
      <c r="F53" s="471">
        <v>77429</v>
      </c>
      <c r="G53" s="514">
        <v>77424</v>
      </c>
      <c r="H53" s="517">
        <v>0.99993542471167129</v>
      </c>
      <c r="I53" s="149"/>
      <c r="L53" s="468"/>
    </row>
    <row r="54" spans="1:12" ht="15" customHeight="1" x14ac:dyDescent="0.2">
      <c r="A54" s="84" t="s">
        <v>1177</v>
      </c>
      <c r="B54" s="92" t="s">
        <v>314</v>
      </c>
      <c r="C54" s="473">
        <v>88035</v>
      </c>
      <c r="D54" s="239">
        <v>74280</v>
      </c>
      <c r="E54" s="510">
        <v>0.84</v>
      </c>
      <c r="F54" s="471">
        <v>80884</v>
      </c>
      <c r="G54" s="514">
        <v>67131</v>
      </c>
      <c r="H54" s="517">
        <v>0.82996637159388753</v>
      </c>
      <c r="I54" s="149"/>
      <c r="L54" s="468"/>
    </row>
    <row r="55" spans="1:12" ht="15" customHeight="1" x14ac:dyDescent="0.2">
      <c r="A55" s="84" t="s">
        <v>1178</v>
      </c>
      <c r="B55" s="92" t="s">
        <v>315</v>
      </c>
      <c r="C55" s="473">
        <v>230345</v>
      </c>
      <c r="D55" s="239">
        <v>207820</v>
      </c>
      <c r="E55" s="510">
        <v>0.9</v>
      </c>
      <c r="F55" s="471">
        <v>214904</v>
      </c>
      <c r="G55" s="514">
        <v>192556</v>
      </c>
      <c r="H55" s="517">
        <v>0.89600938093288163</v>
      </c>
      <c r="I55" s="149"/>
      <c r="L55" s="468"/>
    </row>
    <row r="56" spans="1:12" ht="15" customHeight="1" x14ac:dyDescent="0.2">
      <c r="A56" s="84" t="s">
        <v>1179</v>
      </c>
      <c r="B56" s="92" t="s">
        <v>641</v>
      </c>
      <c r="C56" s="473">
        <v>3890</v>
      </c>
      <c r="D56" s="239">
        <v>3830</v>
      </c>
      <c r="E56" s="510">
        <v>0.98</v>
      </c>
      <c r="F56" s="471"/>
      <c r="G56" s="514"/>
      <c r="H56" s="517"/>
      <c r="I56" s="149"/>
      <c r="L56" s="468"/>
    </row>
    <row r="57" spans="1:12" ht="15" customHeight="1" x14ac:dyDescent="0.2">
      <c r="A57" s="84" t="s">
        <v>1180</v>
      </c>
      <c r="B57" s="92" t="s">
        <v>316</v>
      </c>
      <c r="C57" s="473">
        <v>212730</v>
      </c>
      <c r="D57" s="239">
        <v>181135</v>
      </c>
      <c r="E57" s="510">
        <v>0.85</v>
      </c>
      <c r="F57" s="471">
        <v>214455</v>
      </c>
      <c r="G57" s="514">
        <v>182820</v>
      </c>
      <c r="H57" s="517">
        <v>0.85248653563684684</v>
      </c>
      <c r="I57" s="149"/>
      <c r="L57" s="468"/>
    </row>
    <row r="58" spans="1:12" ht="15" customHeight="1" x14ac:dyDescent="0.2">
      <c r="A58" s="84" t="s">
        <v>1181</v>
      </c>
      <c r="B58" s="92" t="s">
        <v>317</v>
      </c>
      <c r="C58" s="473">
        <v>21865</v>
      </c>
      <c r="D58" s="239">
        <v>21150</v>
      </c>
      <c r="E58" s="510">
        <v>0.97</v>
      </c>
      <c r="F58" s="471"/>
      <c r="G58" s="514"/>
      <c r="H58" s="517"/>
      <c r="I58" s="149"/>
      <c r="L58" s="468"/>
    </row>
    <row r="59" spans="1:12" ht="15" customHeight="1" x14ac:dyDescent="0.2">
      <c r="A59" s="84" t="s">
        <v>1182</v>
      </c>
      <c r="B59" s="92" t="s">
        <v>1003</v>
      </c>
      <c r="C59" s="473">
        <v>132290</v>
      </c>
      <c r="D59" s="239">
        <v>115135</v>
      </c>
      <c r="E59" s="510">
        <v>0.87</v>
      </c>
      <c r="F59" s="471">
        <v>132278</v>
      </c>
      <c r="G59" s="514">
        <v>115066</v>
      </c>
      <c r="H59" s="517">
        <v>0.86988010099941038</v>
      </c>
      <c r="I59" s="149"/>
      <c r="L59" s="468"/>
    </row>
    <row r="60" spans="1:12" ht="15" customHeight="1" x14ac:dyDescent="0.2">
      <c r="A60" s="84" t="s">
        <v>1183</v>
      </c>
      <c r="B60" s="92" t="s">
        <v>318</v>
      </c>
      <c r="C60" s="473">
        <v>256630</v>
      </c>
      <c r="D60" s="239">
        <v>213975</v>
      </c>
      <c r="E60" s="510">
        <v>0.83</v>
      </c>
      <c r="F60" s="471"/>
      <c r="G60" s="514"/>
      <c r="H60" s="517"/>
      <c r="I60" s="149"/>
      <c r="L60" s="468"/>
    </row>
    <row r="61" spans="1:12" ht="15" customHeight="1" x14ac:dyDescent="0.2">
      <c r="A61" s="84" t="s">
        <v>1184</v>
      </c>
      <c r="B61" s="92" t="s">
        <v>319</v>
      </c>
      <c r="C61" s="473">
        <v>70800</v>
      </c>
      <c r="D61" s="239">
        <v>70790</v>
      </c>
      <c r="E61" s="510">
        <v>1</v>
      </c>
      <c r="F61" s="471">
        <v>71315</v>
      </c>
      <c r="G61" s="514">
        <v>71304</v>
      </c>
      <c r="H61" s="517">
        <v>0.99984575475005255</v>
      </c>
      <c r="I61" s="149"/>
      <c r="L61" s="468"/>
    </row>
    <row r="62" spans="1:12" ht="15" customHeight="1" x14ac:dyDescent="0.2">
      <c r="A62" s="84" t="s">
        <v>1073</v>
      </c>
      <c r="B62" s="92" t="s">
        <v>659</v>
      </c>
      <c r="C62" s="473"/>
      <c r="D62" s="239"/>
      <c r="E62" s="510" t="s">
        <v>1037</v>
      </c>
      <c r="F62" s="471">
        <v>22329</v>
      </c>
      <c r="G62" s="514">
        <v>22248</v>
      </c>
      <c r="H62" s="517">
        <v>0.99637243047158408</v>
      </c>
      <c r="I62" s="149"/>
      <c r="L62" s="468"/>
    </row>
    <row r="63" spans="1:12" ht="15" customHeight="1" x14ac:dyDescent="0.2">
      <c r="A63" s="84" t="s">
        <v>1074</v>
      </c>
      <c r="B63" s="92" t="s">
        <v>1005</v>
      </c>
      <c r="C63" s="473">
        <v>43990</v>
      </c>
      <c r="D63" s="239">
        <v>42620</v>
      </c>
      <c r="E63" s="510">
        <v>0.97</v>
      </c>
      <c r="F63" s="471"/>
      <c r="G63" s="514"/>
      <c r="H63" s="517"/>
      <c r="I63" s="149"/>
      <c r="L63" s="468"/>
    </row>
    <row r="64" spans="1:12" ht="15" customHeight="1" x14ac:dyDescent="0.2">
      <c r="A64" s="84" t="s">
        <v>1185</v>
      </c>
      <c r="B64" s="92" t="s">
        <v>320</v>
      </c>
      <c r="C64" s="473">
        <v>175220</v>
      </c>
      <c r="D64" s="239">
        <v>161950</v>
      </c>
      <c r="E64" s="510">
        <v>0.92</v>
      </c>
      <c r="F64" s="471">
        <v>175464</v>
      </c>
      <c r="G64" s="514">
        <v>162493</v>
      </c>
      <c r="H64" s="517">
        <v>0.92607600419459257</v>
      </c>
      <c r="I64" s="149"/>
      <c r="L64" s="468"/>
    </row>
    <row r="65" spans="1:12" ht="15" customHeight="1" x14ac:dyDescent="0.2">
      <c r="A65" s="84" t="s">
        <v>1186</v>
      </c>
      <c r="B65" s="92" t="s">
        <v>321</v>
      </c>
      <c r="C65" s="473">
        <v>100635</v>
      </c>
      <c r="D65" s="239">
        <v>96045</v>
      </c>
      <c r="E65" s="510">
        <v>0.95</v>
      </c>
      <c r="F65" s="471">
        <v>100596</v>
      </c>
      <c r="G65" s="514">
        <v>96023</v>
      </c>
      <c r="H65" s="517">
        <v>0.95454093602131296</v>
      </c>
      <c r="I65" s="149"/>
      <c r="L65" s="468"/>
    </row>
    <row r="66" spans="1:12" ht="15" customHeight="1" x14ac:dyDescent="0.2">
      <c r="A66" s="84" t="s">
        <v>1075</v>
      </c>
      <c r="B66" s="92" t="s">
        <v>529</v>
      </c>
      <c r="C66" s="473">
        <v>68625</v>
      </c>
      <c r="D66" s="239">
        <v>68010</v>
      </c>
      <c r="E66" s="510">
        <v>0.99</v>
      </c>
      <c r="F66" s="471"/>
      <c r="G66" s="514"/>
      <c r="H66" s="517"/>
      <c r="I66" s="149"/>
      <c r="L66" s="468"/>
    </row>
    <row r="67" spans="1:12" ht="15" customHeight="1" x14ac:dyDescent="0.2">
      <c r="A67" s="84" t="s">
        <v>1187</v>
      </c>
      <c r="B67" s="92" t="s">
        <v>322</v>
      </c>
      <c r="C67" s="473">
        <v>137960</v>
      </c>
      <c r="D67" s="239">
        <v>112850</v>
      </c>
      <c r="E67" s="510">
        <v>0.82</v>
      </c>
      <c r="F67" s="471">
        <v>162468</v>
      </c>
      <c r="G67" s="514">
        <v>139479</v>
      </c>
      <c r="H67" s="517">
        <v>0.8585013664229264</v>
      </c>
      <c r="I67" s="149"/>
      <c r="L67" s="468"/>
    </row>
    <row r="68" spans="1:12" ht="15" customHeight="1" x14ac:dyDescent="0.2">
      <c r="A68" s="84" t="s">
        <v>1076</v>
      </c>
      <c r="B68" s="92" t="s">
        <v>660</v>
      </c>
      <c r="C68" s="473"/>
      <c r="D68" s="239"/>
      <c r="E68" s="510" t="s">
        <v>1037</v>
      </c>
      <c r="F68" s="471">
        <v>51137</v>
      </c>
      <c r="G68" s="514">
        <v>50886</v>
      </c>
      <c r="H68" s="517">
        <v>0.99509161663765966</v>
      </c>
      <c r="I68" s="149"/>
      <c r="L68" s="468"/>
    </row>
    <row r="69" spans="1:12" ht="15" customHeight="1" x14ac:dyDescent="0.2">
      <c r="A69" s="84" t="s">
        <v>1188</v>
      </c>
      <c r="B69" s="92" t="s">
        <v>323</v>
      </c>
      <c r="C69" s="473">
        <v>49535</v>
      </c>
      <c r="D69" s="239">
        <v>40895</v>
      </c>
      <c r="E69" s="510">
        <v>0.83</v>
      </c>
      <c r="F69" s="471">
        <v>49550</v>
      </c>
      <c r="G69" s="514">
        <v>40892</v>
      </c>
      <c r="H69" s="517">
        <v>0.82526740665993947</v>
      </c>
      <c r="I69" s="149"/>
      <c r="L69" s="468"/>
    </row>
    <row r="70" spans="1:12" ht="15" customHeight="1" x14ac:dyDescent="0.2">
      <c r="A70" s="84" t="s">
        <v>1189</v>
      </c>
      <c r="B70" s="92" t="s">
        <v>324</v>
      </c>
      <c r="C70" s="473">
        <v>218115</v>
      </c>
      <c r="D70" s="239">
        <v>152965</v>
      </c>
      <c r="E70" s="510">
        <v>0.7</v>
      </c>
      <c r="F70" s="471">
        <v>220738</v>
      </c>
      <c r="G70" s="514">
        <v>173889</v>
      </c>
      <c r="H70" s="517">
        <v>0.78776196214516758</v>
      </c>
      <c r="I70" s="149"/>
      <c r="L70" s="468"/>
    </row>
    <row r="71" spans="1:12" ht="15" customHeight="1" x14ac:dyDescent="0.2">
      <c r="A71" s="84" t="s">
        <v>1190</v>
      </c>
      <c r="B71" s="92" t="s">
        <v>325</v>
      </c>
      <c r="C71" s="473">
        <v>178795</v>
      </c>
      <c r="D71" s="239">
        <v>141905</v>
      </c>
      <c r="E71" s="510">
        <v>0.79</v>
      </c>
      <c r="F71" s="471">
        <v>192854</v>
      </c>
      <c r="G71" s="514">
        <v>156420</v>
      </c>
      <c r="H71" s="517">
        <v>0.81107988426478062</v>
      </c>
      <c r="I71" s="149"/>
      <c r="L71" s="468"/>
    </row>
    <row r="72" spans="1:12" ht="15" customHeight="1" x14ac:dyDescent="0.2">
      <c r="A72" s="84" t="s">
        <v>1077</v>
      </c>
      <c r="B72" s="92" t="s">
        <v>635</v>
      </c>
      <c r="C72" s="473">
        <v>25715</v>
      </c>
      <c r="D72" s="239">
        <v>25640</v>
      </c>
      <c r="E72" s="510">
        <v>1</v>
      </c>
      <c r="F72" s="471"/>
      <c r="G72" s="514"/>
      <c r="H72" s="517"/>
      <c r="I72" s="149"/>
      <c r="L72" s="468"/>
    </row>
    <row r="73" spans="1:12" ht="15" customHeight="1" x14ac:dyDescent="0.2">
      <c r="A73" s="84" t="s">
        <v>1191</v>
      </c>
      <c r="B73" s="92" t="s">
        <v>326</v>
      </c>
      <c r="C73" s="473">
        <v>128140</v>
      </c>
      <c r="D73" s="239">
        <v>105035</v>
      </c>
      <c r="E73" s="510">
        <v>0.82</v>
      </c>
      <c r="F73" s="471">
        <v>129387</v>
      </c>
      <c r="G73" s="514">
        <v>117619</v>
      </c>
      <c r="H73" s="517">
        <v>0.90904804964950114</v>
      </c>
      <c r="I73" s="149"/>
      <c r="L73" s="468"/>
    </row>
    <row r="74" spans="1:12" ht="15" customHeight="1" x14ac:dyDescent="0.2">
      <c r="A74" s="84" t="s">
        <v>1078</v>
      </c>
      <c r="B74" s="92" t="s">
        <v>661</v>
      </c>
      <c r="C74" s="473"/>
      <c r="D74" s="239"/>
      <c r="E74" s="510" t="s">
        <v>1037</v>
      </c>
      <c r="F74" s="471">
        <v>14960</v>
      </c>
      <c r="G74" s="514">
        <v>14960</v>
      </c>
      <c r="H74" s="517">
        <v>1</v>
      </c>
      <c r="I74" s="149"/>
      <c r="L74" s="468"/>
    </row>
    <row r="75" spans="1:12" ht="15" customHeight="1" x14ac:dyDescent="0.2">
      <c r="A75" s="84" t="s">
        <v>1079</v>
      </c>
      <c r="B75" s="92" t="s">
        <v>662</v>
      </c>
      <c r="C75" s="473"/>
      <c r="D75" s="239"/>
      <c r="E75" s="510" t="s">
        <v>1037</v>
      </c>
      <c r="F75" s="471">
        <v>13645</v>
      </c>
      <c r="G75" s="514">
        <v>13645</v>
      </c>
      <c r="H75" s="517">
        <v>1</v>
      </c>
      <c r="I75" s="149"/>
      <c r="L75" s="468"/>
    </row>
    <row r="76" spans="1:12" ht="15" customHeight="1" x14ac:dyDescent="0.2">
      <c r="A76" s="84" t="s">
        <v>1192</v>
      </c>
      <c r="B76" s="92" t="s">
        <v>1006</v>
      </c>
      <c r="C76" s="473">
        <v>155835</v>
      </c>
      <c r="D76" s="239">
        <v>141190</v>
      </c>
      <c r="E76" s="510">
        <v>0.91</v>
      </c>
      <c r="F76" s="471">
        <v>176958</v>
      </c>
      <c r="G76" s="514">
        <v>162243</v>
      </c>
      <c r="H76" s="517">
        <v>0.9168446750076289</v>
      </c>
      <c r="I76" s="149"/>
      <c r="L76" s="468"/>
    </row>
    <row r="77" spans="1:12" ht="15" customHeight="1" x14ac:dyDescent="0.2">
      <c r="A77" s="84" t="s">
        <v>1080</v>
      </c>
      <c r="B77" s="92" t="s">
        <v>663</v>
      </c>
      <c r="C77" s="473"/>
      <c r="D77" s="239"/>
      <c r="E77" s="510" t="s">
        <v>1037</v>
      </c>
      <c r="F77" s="471">
        <v>30590</v>
      </c>
      <c r="G77" s="514">
        <v>30590</v>
      </c>
      <c r="H77" s="517">
        <v>1</v>
      </c>
      <c r="I77" s="149"/>
      <c r="L77" s="468"/>
    </row>
    <row r="78" spans="1:12" ht="15" customHeight="1" x14ac:dyDescent="0.2">
      <c r="A78" s="84" t="s">
        <v>1081</v>
      </c>
      <c r="B78" s="92" t="s">
        <v>664</v>
      </c>
      <c r="C78" s="473"/>
      <c r="D78" s="239"/>
      <c r="E78" s="510" t="s">
        <v>1037</v>
      </c>
      <c r="F78" s="471">
        <v>14487</v>
      </c>
      <c r="G78" s="514">
        <v>14481</v>
      </c>
      <c r="H78" s="517">
        <v>0.99958583557672398</v>
      </c>
      <c r="I78" s="149"/>
      <c r="L78" s="468"/>
    </row>
    <row r="79" spans="1:12" ht="15" customHeight="1" x14ac:dyDescent="0.2">
      <c r="A79" s="84" t="s">
        <v>1082</v>
      </c>
      <c r="B79" s="92" t="s">
        <v>665</v>
      </c>
      <c r="C79" s="473"/>
      <c r="D79" s="239"/>
      <c r="E79" s="510" t="s">
        <v>1037</v>
      </c>
      <c r="F79" s="471">
        <v>18263</v>
      </c>
      <c r="G79" s="514">
        <v>18263</v>
      </c>
      <c r="H79" s="517">
        <v>1</v>
      </c>
      <c r="I79" s="149"/>
      <c r="L79" s="468"/>
    </row>
    <row r="80" spans="1:12" ht="15" customHeight="1" x14ac:dyDescent="0.2">
      <c r="A80" s="84" t="s">
        <v>1193</v>
      </c>
      <c r="B80" s="92" t="s">
        <v>327</v>
      </c>
      <c r="C80" s="473">
        <v>244795</v>
      </c>
      <c r="D80" s="239">
        <v>211635</v>
      </c>
      <c r="E80" s="510">
        <v>0.86</v>
      </c>
      <c r="F80" s="471">
        <v>243060</v>
      </c>
      <c r="G80" s="514">
        <v>211779</v>
      </c>
      <c r="H80" s="517">
        <v>0.87130338188101708</v>
      </c>
      <c r="I80" s="149"/>
      <c r="L80" s="468"/>
    </row>
    <row r="81" spans="1:12" ht="15" customHeight="1" x14ac:dyDescent="0.2">
      <c r="A81" s="84" t="s">
        <v>1083</v>
      </c>
      <c r="B81" s="92" t="s">
        <v>328</v>
      </c>
      <c r="C81" s="473">
        <v>6075</v>
      </c>
      <c r="D81" s="239">
        <v>3090</v>
      </c>
      <c r="E81" s="510">
        <v>0.51</v>
      </c>
      <c r="F81" s="471">
        <v>7155</v>
      </c>
      <c r="G81" s="514">
        <v>7138</v>
      </c>
      <c r="H81" s="517">
        <v>0.99762403913347308</v>
      </c>
      <c r="I81" s="149"/>
      <c r="L81" s="468"/>
    </row>
    <row r="82" spans="1:12" ht="15" customHeight="1" x14ac:dyDescent="0.2">
      <c r="A82" s="84" t="s">
        <v>1194</v>
      </c>
      <c r="B82" s="92" t="s">
        <v>1007</v>
      </c>
      <c r="C82" s="473">
        <v>123885</v>
      </c>
      <c r="D82" s="239">
        <v>116490</v>
      </c>
      <c r="E82" s="510">
        <v>0.94</v>
      </c>
      <c r="F82" s="471">
        <v>123890</v>
      </c>
      <c r="G82" s="514">
        <v>116493</v>
      </c>
      <c r="H82" s="517">
        <v>0.94029380902413429</v>
      </c>
      <c r="I82" s="149"/>
      <c r="L82" s="468"/>
    </row>
    <row r="83" spans="1:12" ht="15" customHeight="1" x14ac:dyDescent="0.2">
      <c r="A83" s="84" t="s">
        <v>1195</v>
      </c>
      <c r="B83" s="92" t="s">
        <v>329</v>
      </c>
      <c r="C83" s="473">
        <v>85220</v>
      </c>
      <c r="D83" s="239">
        <v>72045</v>
      </c>
      <c r="E83" s="510">
        <v>0.85</v>
      </c>
      <c r="F83" s="471">
        <v>85333</v>
      </c>
      <c r="G83" s="514">
        <v>72149</v>
      </c>
      <c r="H83" s="517">
        <v>0.84549939648201755</v>
      </c>
      <c r="I83" s="149"/>
      <c r="L83" s="468"/>
    </row>
    <row r="84" spans="1:12" ht="15" customHeight="1" x14ac:dyDescent="0.2">
      <c r="A84" s="84" t="s">
        <v>1196</v>
      </c>
      <c r="B84" s="92" t="s">
        <v>330</v>
      </c>
      <c r="C84" s="473">
        <v>73995</v>
      </c>
      <c r="D84" s="239">
        <v>73200</v>
      </c>
      <c r="E84" s="510">
        <v>0.99</v>
      </c>
      <c r="F84" s="471">
        <v>73665</v>
      </c>
      <c r="G84" s="514">
        <v>72866</v>
      </c>
      <c r="H84" s="517">
        <v>0.9891536007601982</v>
      </c>
      <c r="I84" s="149"/>
      <c r="L84" s="468"/>
    </row>
    <row r="85" spans="1:12" ht="15" customHeight="1" x14ac:dyDescent="0.2">
      <c r="A85" s="84" t="s">
        <v>1197</v>
      </c>
      <c r="B85" s="92" t="s">
        <v>331</v>
      </c>
      <c r="C85" s="473">
        <v>150650</v>
      </c>
      <c r="D85" s="239">
        <v>134925</v>
      </c>
      <c r="E85" s="510">
        <v>0.9</v>
      </c>
      <c r="F85" s="471">
        <v>150686</v>
      </c>
      <c r="G85" s="514">
        <v>134914</v>
      </c>
      <c r="H85" s="517">
        <v>0.89533201491843972</v>
      </c>
      <c r="I85" s="149"/>
      <c r="L85" s="468"/>
    </row>
    <row r="86" spans="1:12" ht="15" customHeight="1" x14ac:dyDescent="0.2">
      <c r="A86" s="84" t="s">
        <v>1084</v>
      </c>
      <c r="B86" s="92" t="s">
        <v>1009</v>
      </c>
      <c r="C86" s="473">
        <v>14920</v>
      </c>
      <c r="D86" s="239">
        <v>14885</v>
      </c>
      <c r="E86" s="510">
        <v>1</v>
      </c>
      <c r="F86" s="471">
        <v>11998</v>
      </c>
      <c r="G86" s="514">
        <v>11966</v>
      </c>
      <c r="H86" s="517">
        <v>0.99733288881480242</v>
      </c>
      <c r="I86" s="149"/>
      <c r="L86" s="468"/>
    </row>
    <row r="87" spans="1:12" ht="15" customHeight="1" x14ac:dyDescent="0.2">
      <c r="A87" s="84" t="s">
        <v>1198</v>
      </c>
      <c r="B87" s="92" t="s">
        <v>332</v>
      </c>
      <c r="C87" s="473">
        <v>109055</v>
      </c>
      <c r="D87" s="239">
        <v>93805</v>
      </c>
      <c r="E87" s="510">
        <v>0.86</v>
      </c>
      <c r="F87" s="471">
        <v>140051</v>
      </c>
      <c r="G87" s="514">
        <v>124084</v>
      </c>
      <c r="H87" s="517">
        <v>0.88599153165632516</v>
      </c>
      <c r="I87" s="149"/>
      <c r="L87" s="468"/>
    </row>
    <row r="88" spans="1:12" ht="15" customHeight="1" x14ac:dyDescent="0.2">
      <c r="A88" s="84" t="s">
        <v>1199</v>
      </c>
      <c r="B88" s="92" t="s">
        <v>1010</v>
      </c>
      <c r="C88" s="473">
        <v>176545</v>
      </c>
      <c r="D88" s="239">
        <v>144605</v>
      </c>
      <c r="E88" s="510">
        <v>0.82</v>
      </c>
      <c r="F88" s="471">
        <v>211177</v>
      </c>
      <c r="G88" s="514">
        <v>182587</v>
      </c>
      <c r="H88" s="517">
        <v>0.86461593828873406</v>
      </c>
      <c r="I88" s="149"/>
      <c r="L88" s="468"/>
    </row>
    <row r="89" spans="1:12" ht="15" customHeight="1" x14ac:dyDescent="0.2">
      <c r="A89" s="84" t="s">
        <v>1200</v>
      </c>
      <c r="B89" s="92" t="s">
        <v>1011</v>
      </c>
      <c r="C89" s="473">
        <v>126430</v>
      </c>
      <c r="D89" s="239">
        <v>105485</v>
      </c>
      <c r="E89" s="510">
        <v>0.83</v>
      </c>
      <c r="F89" s="471">
        <v>126419</v>
      </c>
      <c r="G89" s="514">
        <v>105685</v>
      </c>
      <c r="H89" s="517">
        <v>0.83598984329887116</v>
      </c>
      <c r="I89" s="149"/>
      <c r="L89" s="468"/>
    </row>
    <row r="90" spans="1:12" ht="15" customHeight="1" x14ac:dyDescent="0.2">
      <c r="A90" s="84" t="s">
        <v>1085</v>
      </c>
      <c r="B90" s="92" t="s">
        <v>666</v>
      </c>
      <c r="C90" s="473"/>
      <c r="D90" s="239"/>
      <c r="E90" s="510" t="s">
        <v>1037</v>
      </c>
      <c r="F90" s="471">
        <v>42924</v>
      </c>
      <c r="G90" s="514">
        <v>40340</v>
      </c>
      <c r="H90" s="517">
        <v>0.93980057776535275</v>
      </c>
      <c r="I90" s="149"/>
      <c r="L90" s="468"/>
    </row>
    <row r="91" spans="1:12" ht="15" customHeight="1" x14ac:dyDescent="0.2">
      <c r="A91" s="84" t="s">
        <v>1201</v>
      </c>
      <c r="B91" s="92" t="s">
        <v>333</v>
      </c>
      <c r="C91" s="473">
        <v>51710</v>
      </c>
      <c r="D91" s="239">
        <v>48310</v>
      </c>
      <c r="E91" s="510">
        <v>0.93</v>
      </c>
      <c r="F91" s="471">
        <v>60966</v>
      </c>
      <c r="G91" s="514">
        <v>57621</v>
      </c>
      <c r="H91" s="517">
        <v>0.94513335301643542</v>
      </c>
      <c r="I91" s="149"/>
      <c r="L91" s="468"/>
    </row>
    <row r="92" spans="1:12" ht="15" customHeight="1" x14ac:dyDescent="0.2">
      <c r="A92" s="84" t="s">
        <v>1086</v>
      </c>
      <c r="B92" s="92" t="s">
        <v>334</v>
      </c>
      <c r="C92" s="473"/>
      <c r="D92" s="239"/>
      <c r="E92" s="510" t="s">
        <v>1037</v>
      </c>
      <c r="F92" s="471">
        <v>7004</v>
      </c>
      <c r="G92" s="514">
        <v>6936</v>
      </c>
      <c r="H92" s="517">
        <v>0.99029126213592233</v>
      </c>
      <c r="I92" s="149"/>
      <c r="L92" s="468"/>
    </row>
    <row r="93" spans="1:12" ht="15" customHeight="1" x14ac:dyDescent="0.2">
      <c r="A93" s="84" t="s">
        <v>1087</v>
      </c>
      <c r="B93" s="92" t="s">
        <v>667</v>
      </c>
      <c r="C93" s="473"/>
      <c r="D93" s="239"/>
      <c r="E93" s="510" t="s">
        <v>1037</v>
      </c>
      <c r="F93" s="471">
        <v>23340</v>
      </c>
      <c r="G93" s="514">
        <v>23338</v>
      </c>
      <c r="H93" s="517">
        <v>0.99991431019708654</v>
      </c>
      <c r="I93" s="149"/>
      <c r="L93" s="468"/>
    </row>
    <row r="94" spans="1:12" ht="15" customHeight="1" x14ac:dyDescent="0.2">
      <c r="A94" s="84" t="s">
        <v>1088</v>
      </c>
      <c r="B94" s="92" t="s">
        <v>453</v>
      </c>
      <c r="C94" s="473">
        <v>22440</v>
      </c>
      <c r="D94" s="239">
        <v>22435</v>
      </c>
      <c r="E94" s="510">
        <v>1</v>
      </c>
      <c r="F94" s="471"/>
      <c r="G94" s="514"/>
      <c r="H94" s="517"/>
      <c r="I94" s="149"/>
      <c r="L94" s="468"/>
    </row>
    <row r="95" spans="1:12" ht="15" customHeight="1" x14ac:dyDescent="0.2">
      <c r="A95" s="84" t="s">
        <v>1202</v>
      </c>
      <c r="B95" s="92" t="s">
        <v>1012</v>
      </c>
      <c r="C95" s="473"/>
      <c r="D95" s="239"/>
      <c r="E95" s="510" t="s">
        <v>1037</v>
      </c>
      <c r="F95" s="471">
        <v>71467</v>
      </c>
      <c r="G95" s="514">
        <v>59387</v>
      </c>
      <c r="H95" s="517">
        <v>0.83097093763555208</v>
      </c>
      <c r="I95" s="149"/>
      <c r="L95" s="468"/>
    </row>
    <row r="96" spans="1:12" ht="15" customHeight="1" x14ac:dyDescent="0.2">
      <c r="A96" s="84" t="s">
        <v>1203</v>
      </c>
      <c r="B96" s="92" t="s">
        <v>335</v>
      </c>
      <c r="C96" s="473">
        <v>11565</v>
      </c>
      <c r="D96" s="239">
        <v>11490</v>
      </c>
      <c r="E96" s="510">
        <v>0.99</v>
      </c>
      <c r="F96" s="471">
        <v>11357</v>
      </c>
      <c r="G96" s="514">
        <v>11277</v>
      </c>
      <c r="H96" s="517">
        <v>0.9929558862375627</v>
      </c>
      <c r="I96" s="149"/>
      <c r="L96" s="468"/>
    </row>
    <row r="97" spans="1:12" ht="15" customHeight="1" x14ac:dyDescent="0.2">
      <c r="A97" s="84" t="s">
        <v>1204</v>
      </c>
      <c r="B97" s="92" t="s">
        <v>336</v>
      </c>
      <c r="C97" s="473">
        <v>124250</v>
      </c>
      <c r="D97" s="239">
        <v>86035</v>
      </c>
      <c r="E97" s="510">
        <v>0.69</v>
      </c>
      <c r="F97" s="471">
        <v>125845</v>
      </c>
      <c r="G97" s="514">
        <v>118728</v>
      </c>
      <c r="H97" s="517">
        <v>0.94344630299177556</v>
      </c>
      <c r="I97" s="149"/>
      <c r="L97" s="468"/>
    </row>
    <row r="98" spans="1:12" ht="15" customHeight="1" x14ac:dyDescent="0.2">
      <c r="A98" s="84" t="s">
        <v>1089</v>
      </c>
      <c r="B98" s="92" t="s">
        <v>636</v>
      </c>
      <c r="C98" s="473">
        <v>25</v>
      </c>
      <c r="D98" s="239">
        <v>25</v>
      </c>
      <c r="E98" s="510" t="s">
        <v>1037</v>
      </c>
      <c r="F98" s="471"/>
      <c r="G98" s="514"/>
      <c r="H98" s="517"/>
      <c r="I98" s="149"/>
      <c r="L98" s="468"/>
    </row>
    <row r="99" spans="1:12" ht="15" customHeight="1" x14ac:dyDescent="0.2">
      <c r="A99" s="84" t="s">
        <v>1090</v>
      </c>
      <c r="B99" s="92" t="s">
        <v>624</v>
      </c>
      <c r="C99" s="473">
        <v>20480</v>
      </c>
      <c r="D99" s="239">
        <v>19500</v>
      </c>
      <c r="E99" s="510">
        <v>0.95</v>
      </c>
      <c r="F99" s="471"/>
      <c r="G99" s="514"/>
      <c r="H99" s="517"/>
      <c r="I99" s="149"/>
      <c r="L99" s="468"/>
    </row>
    <row r="100" spans="1:12" ht="15" customHeight="1" x14ac:dyDescent="0.2">
      <c r="A100" s="84" t="s">
        <v>1205</v>
      </c>
      <c r="B100" s="92" t="s">
        <v>337</v>
      </c>
      <c r="C100" s="473">
        <v>149205</v>
      </c>
      <c r="D100" s="239">
        <v>147595</v>
      </c>
      <c r="E100" s="510">
        <v>0.99</v>
      </c>
      <c r="F100" s="471">
        <v>51985</v>
      </c>
      <c r="G100" s="514">
        <v>51971</v>
      </c>
      <c r="H100" s="517">
        <v>0.99973069154563821</v>
      </c>
      <c r="I100" s="149"/>
      <c r="L100" s="468"/>
    </row>
    <row r="101" spans="1:12" ht="15" customHeight="1" x14ac:dyDescent="0.2">
      <c r="A101" s="84" t="s">
        <v>1206</v>
      </c>
      <c r="B101" s="92" t="s">
        <v>338</v>
      </c>
      <c r="C101" s="473">
        <v>137495</v>
      </c>
      <c r="D101" s="239">
        <v>112755</v>
      </c>
      <c r="E101" s="510">
        <v>0.82</v>
      </c>
      <c r="F101" s="471"/>
      <c r="G101" s="514"/>
      <c r="H101" s="517"/>
      <c r="I101" s="149"/>
      <c r="L101" s="468"/>
    </row>
    <row r="102" spans="1:12" ht="15" customHeight="1" x14ac:dyDescent="0.2">
      <c r="A102" s="84" t="s">
        <v>1207</v>
      </c>
      <c r="B102" s="92" t="s">
        <v>1013</v>
      </c>
      <c r="C102" s="473">
        <v>8275</v>
      </c>
      <c r="D102" s="239">
        <v>8265</v>
      </c>
      <c r="E102" s="510">
        <v>1</v>
      </c>
      <c r="F102" s="471">
        <v>8201</v>
      </c>
      <c r="G102" s="514">
        <v>8197</v>
      </c>
      <c r="H102" s="517">
        <v>0.99951225460309723</v>
      </c>
      <c r="I102" s="149"/>
      <c r="L102" s="468"/>
    </row>
    <row r="103" spans="1:12" ht="15" customHeight="1" x14ac:dyDescent="0.2">
      <c r="A103" s="84" t="s">
        <v>1208</v>
      </c>
      <c r="B103" s="92" t="s">
        <v>339</v>
      </c>
      <c r="C103" s="473">
        <v>246735</v>
      </c>
      <c r="D103" s="239">
        <v>204190</v>
      </c>
      <c r="E103" s="510">
        <v>0.83</v>
      </c>
      <c r="F103" s="471">
        <v>290675</v>
      </c>
      <c r="G103" s="514">
        <v>256245</v>
      </c>
      <c r="H103" s="517">
        <v>0.88155156102175969</v>
      </c>
      <c r="I103" s="149"/>
      <c r="L103" s="468"/>
    </row>
    <row r="104" spans="1:12" ht="15" customHeight="1" x14ac:dyDescent="0.2">
      <c r="A104" s="84" t="s">
        <v>1209</v>
      </c>
      <c r="B104" s="92" t="s">
        <v>340</v>
      </c>
      <c r="C104" s="473"/>
      <c r="D104" s="239"/>
      <c r="E104" s="510" t="s">
        <v>1037</v>
      </c>
      <c r="F104" s="471">
        <v>24860</v>
      </c>
      <c r="G104" s="514">
        <v>22432</v>
      </c>
      <c r="H104" s="517">
        <v>0.90233306516492362</v>
      </c>
      <c r="I104" s="149"/>
      <c r="L104" s="468"/>
    </row>
    <row r="105" spans="1:12" ht="15" customHeight="1" x14ac:dyDescent="0.2">
      <c r="A105" s="84" t="s">
        <v>1210</v>
      </c>
      <c r="B105" s="92" t="s">
        <v>1014</v>
      </c>
      <c r="C105" s="473">
        <v>48415</v>
      </c>
      <c r="D105" s="239">
        <v>37635</v>
      </c>
      <c r="E105" s="510">
        <v>0.78</v>
      </c>
      <c r="F105" s="471">
        <v>55618</v>
      </c>
      <c r="G105" s="514">
        <v>44962</v>
      </c>
      <c r="H105" s="517">
        <v>0.80840735013844434</v>
      </c>
      <c r="I105" s="149"/>
      <c r="L105" s="468"/>
    </row>
    <row r="106" spans="1:12" ht="15" customHeight="1" x14ac:dyDescent="0.2">
      <c r="A106" s="84" t="s">
        <v>1211</v>
      </c>
      <c r="B106" s="92" t="s">
        <v>341</v>
      </c>
      <c r="C106" s="473">
        <v>79745</v>
      </c>
      <c r="D106" s="239">
        <v>71130</v>
      </c>
      <c r="E106" s="510">
        <v>0.89</v>
      </c>
      <c r="F106" s="471">
        <v>81074</v>
      </c>
      <c r="G106" s="514">
        <v>72341</v>
      </c>
      <c r="H106" s="517">
        <v>0.89228359276710167</v>
      </c>
      <c r="I106" s="149"/>
      <c r="L106" s="468"/>
    </row>
    <row r="107" spans="1:12" ht="15" customHeight="1" x14ac:dyDescent="0.2">
      <c r="A107" s="84" t="s">
        <v>1212</v>
      </c>
      <c r="B107" s="92" t="s">
        <v>342</v>
      </c>
      <c r="C107" s="473">
        <v>79995</v>
      </c>
      <c r="D107" s="239">
        <v>79845</v>
      </c>
      <c r="E107" s="510">
        <v>1</v>
      </c>
      <c r="F107" s="471">
        <v>79789</v>
      </c>
      <c r="G107" s="514">
        <v>79557</v>
      </c>
      <c r="H107" s="517">
        <v>0.99709233102307337</v>
      </c>
      <c r="I107" s="149"/>
      <c r="L107" s="468"/>
    </row>
    <row r="108" spans="1:12" ht="15" customHeight="1" x14ac:dyDescent="0.2">
      <c r="A108" s="84" t="s">
        <v>1213</v>
      </c>
      <c r="B108" s="92" t="s">
        <v>343</v>
      </c>
      <c r="C108" s="473">
        <v>92115</v>
      </c>
      <c r="D108" s="239">
        <v>73105</v>
      </c>
      <c r="E108" s="510">
        <v>0.79</v>
      </c>
      <c r="F108" s="471">
        <v>93334</v>
      </c>
      <c r="G108" s="514">
        <v>76105</v>
      </c>
      <c r="H108" s="517">
        <v>0.81540488996507166</v>
      </c>
      <c r="I108" s="149"/>
      <c r="L108" s="468"/>
    </row>
    <row r="109" spans="1:12" ht="15" customHeight="1" x14ac:dyDescent="0.2">
      <c r="A109" s="84" t="s">
        <v>1214</v>
      </c>
      <c r="B109" s="92" t="s">
        <v>344</v>
      </c>
      <c r="C109" s="473">
        <v>237240</v>
      </c>
      <c r="D109" s="239">
        <v>170865</v>
      </c>
      <c r="E109" s="510">
        <v>0.72</v>
      </c>
      <c r="F109" s="471">
        <v>282057</v>
      </c>
      <c r="G109" s="514">
        <v>214556</v>
      </c>
      <c r="H109" s="517">
        <v>0.76068312433302487</v>
      </c>
      <c r="I109" s="149"/>
      <c r="L109" s="468"/>
    </row>
    <row r="110" spans="1:12" ht="15" customHeight="1" x14ac:dyDescent="0.2">
      <c r="A110" s="84" t="s">
        <v>1091</v>
      </c>
      <c r="B110" s="92" t="s">
        <v>679</v>
      </c>
      <c r="C110" s="473"/>
      <c r="D110" s="239"/>
      <c r="E110" s="510" t="s">
        <v>1037</v>
      </c>
      <c r="F110" s="471">
        <v>9065</v>
      </c>
      <c r="G110" s="514">
        <v>9060</v>
      </c>
      <c r="H110" s="517">
        <v>0.99944842801985656</v>
      </c>
      <c r="I110" s="149"/>
      <c r="L110" s="468"/>
    </row>
    <row r="111" spans="1:12" ht="15" customHeight="1" x14ac:dyDescent="0.2">
      <c r="A111" s="84" t="s">
        <v>1215</v>
      </c>
      <c r="B111" s="92" t="s">
        <v>345</v>
      </c>
      <c r="C111" s="473">
        <v>123005</v>
      </c>
      <c r="D111" s="239">
        <v>97635</v>
      </c>
      <c r="E111" s="510">
        <v>0.79</v>
      </c>
      <c r="F111" s="471">
        <v>127482</v>
      </c>
      <c r="G111" s="514">
        <v>113762</v>
      </c>
      <c r="H111" s="517">
        <v>0.89237696302223057</v>
      </c>
      <c r="I111" s="149"/>
      <c r="L111" s="468"/>
    </row>
    <row r="112" spans="1:12" ht="15" customHeight="1" x14ac:dyDescent="0.2">
      <c r="A112" s="84" t="s">
        <v>1092</v>
      </c>
      <c r="B112" s="92" t="s">
        <v>1016</v>
      </c>
      <c r="C112" s="473">
        <v>48600</v>
      </c>
      <c r="D112" s="239">
        <v>48430</v>
      </c>
      <c r="E112" s="510">
        <v>1</v>
      </c>
      <c r="F112" s="471"/>
      <c r="G112" s="514"/>
      <c r="H112" s="517"/>
      <c r="I112" s="149"/>
      <c r="L112" s="468"/>
    </row>
    <row r="113" spans="1:12" ht="15" customHeight="1" x14ac:dyDescent="0.2">
      <c r="A113" s="84" t="s">
        <v>1216</v>
      </c>
      <c r="B113" s="92" t="s">
        <v>346</v>
      </c>
      <c r="C113" s="473">
        <v>117350</v>
      </c>
      <c r="D113" s="239">
        <v>89790</v>
      </c>
      <c r="E113" s="510">
        <v>0.77</v>
      </c>
      <c r="F113" s="471">
        <v>157005</v>
      </c>
      <c r="G113" s="514">
        <v>129793</v>
      </c>
      <c r="H113" s="517">
        <v>0.82668067895926878</v>
      </c>
      <c r="I113" s="149"/>
      <c r="L113" s="468"/>
    </row>
    <row r="114" spans="1:12" ht="15" customHeight="1" x14ac:dyDescent="0.2">
      <c r="A114" s="84" t="s">
        <v>1093</v>
      </c>
      <c r="B114" s="92" t="s">
        <v>668</v>
      </c>
      <c r="C114" s="473"/>
      <c r="D114" s="239"/>
      <c r="E114" s="510" t="s">
        <v>1037</v>
      </c>
      <c r="F114" s="471">
        <v>2348</v>
      </c>
      <c r="G114" s="514">
        <v>2348</v>
      </c>
      <c r="H114" s="517">
        <v>1</v>
      </c>
      <c r="I114" s="149"/>
      <c r="L114" s="468"/>
    </row>
    <row r="115" spans="1:12" ht="15" customHeight="1" x14ac:dyDescent="0.2">
      <c r="A115" s="84" t="s">
        <v>1094</v>
      </c>
      <c r="B115" s="92" t="s">
        <v>669</v>
      </c>
      <c r="C115" s="473"/>
      <c r="D115" s="239"/>
      <c r="E115" s="510" t="s">
        <v>1037</v>
      </c>
      <c r="F115" s="471">
        <v>29549</v>
      </c>
      <c r="G115" s="514">
        <v>29430</v>
      </c>
      <c r="H115" s="517">
        <v>0.99597279095739277</v>
      </c>
      <c r="I115" s="149"/>
      <c r="L115" s="468"/>
    </row>
    <row r="116" spans="1:12" ht="15" customHeight="1" x14ac:dyDescent="0.2">
      <c r="A116" s="84" t="s">
        <v>1217</v>
      </c>
      <c r="B116" s="92" t="s">
        <v>347</v>
      </c>
      <c r="C116" s="473">
        <v>221190</v>
      </c>
      <c r="D116" s="239">
        <v>183955</v>
      </c>
      <c r="E116" s="510">
        <v>0.83</v>
      </c>
      <c r="F116" s="471">
        <v>247404</v>
      </c>
      <c r="G116" s="514">
        <v>209457</v>
      </c>
      <c r="H116" s="517">
        <v>0.84661929475675413</v>
      </c>
      <c r="I116" s="149"/>
      <c r="L116" s="468"/>
    </row>
    <row r="117" spans="1:12" ht="15" customHeight="1" x14ac:dyDescent="0.2">
      <c r="A117" s="84" t="s">
        <v>1218</v>
      </c>
      <c r="B117" s="92" t="s">
        <v>348</v>
      </c>
      <c r="C117" s="473">
        <v>222285</v>
      </c>
      <c r="D117" s="239">
        <v>173225</v>
      </c>
      <c r="E117" s="510">
        <v>0.78</v>
      </c>
      <c r="F117" s="471">
        <v>301943</v>
      </c>
      <c r="G117" s="514">
        <v>263152</v>
      </c>
      <c r="H117" s="517">
        <v>0.87152873224416527</v>
      </c>
      <c r="I117" s="149"/>
      <c r="L117" s="468"/>
    </row>
    <row r="118" spans="1:12" ht="15" customHeight="1" x14ac:dyDescent="0.2">
      <c r="A118" s="84" t="s">
        <v>1219</v>
      </c>
      <c r="B118" s="92" t="s">
        <v>349</v>
      </c>
      <c r="C118" s="473">
        <v>112350</v>
      </c>
      <c r="D118" s="239">
        <v>110180</v>
      </c>
      <c r="E118" s="510">
        <v>0.98</v>
      </c>
      <c r="F118" s="471">
        <v>128405</v>
      </c>
      <c r="G118" s="514">
        <v>125981</v>
      </c>
      <c r="H118" s="517">
        <v>0.98112223044273972</v>
      </c>
      <c r="I118" s="149"/>
      <c r="L118" s="468"/>
    </row>
    <row r="119" spans="1:12" ht="15" customHeight="1" x14ac:dyDescent="0.2">
      <c r="A119" s="84" t="s">
        <v>1220</v>
      </c>
      <c r="B119" s="92" t="s">
        <v>350</v>
      </c>
      <c r="C119" s="473">
        <v>13180</v>
      </c>
      <c r="D119" s="239">
        <v>12885</v>
      </c>
      <c r="E119" s="510">
        <v>0.98</v>
      </c>
      <c r="F119" s="471">
        <v>13191</v>
      </c>
      <c r="G119" s="514">
        <v>12906</v>
      </c>
      <c r="H119" s="517">
        <v>0.97839435979076639</v>
      </c>
      <c r="I119" s="149"/>
      <c r="L119" s="468"/>
    </row>
    <row r="120" spans="1:12" ht="15" customHeight="1" x14ac:dyDescent="0.2">
      <c r="A120" s="84" t="s">
        <v>1095</v>
      </c>
      <c r="B120" s="92" t="s">
        <v>670</v>
      </c>
      <c r="C120" s="473"/>
      <c r="D120" s="239"/>
      <c r="E120" s="510" t="s">
        <v>1037</v>
      </c>
      <c r="F120" s="471">
        <v>39522</v>
      </c>
      <c r="G120" s="514">
        <v>39519</v>
      </c>
      <c r="H120" s="517">
        <v>0.99992409291027784</v>
      </c>
      <c r="I120" s="149"/>
      <c r="L120" s="468"/>
    </row>
    <row r="121" spans="1:12" ht="15" customHeight="1" x14ac:dyDescent="0.2">
      <c r="A121" s="84" t="s">
        <v>1221</v>
      </c>
      <c r="B121" s="92" t="s">
        <v>351</v>
      </c>
      <c r="C121" s="473">
        <v>145425</v>
      </c>
      <c r="D121" s="239">
        <v>84825</v>
      </c>
      <c r="E121" s="510">
        <v>0.57999999999999996</v>
      </c>
      <c r="F121" s="471">
        <v>356083</v>
      </c>
      <c r="G121" s="514">
        <v>316940</v>
      </c>
      <c r="H121" s="517">
        <v>0.89007338176773387</v>
      </c>
      <c r="I121" s="149"/>
      <c r="L121" s="468"/>
    </row>
    <row r="122" spans="1:12" ht="15" customHeight="1" x14ac:dyDescent="0.2">
      <c r="A122" s="84" t="s">
        <v>1096</v>
      </c>
      <c r="B122" s="92" t="s">
        <v>438</v>
      </c>
      <c r="C122" s="473"/>
      <c r="D122" s="239"/>
      <c r="E122" s="510" t="s">
        <v>1037</v>
      </c>
      <c r="F122" s="471">
        <v>51830</v>
      </c>
      <c r="G122" s="514">
        <v>50327</v>
      </c>
      <c r="H122" s="517">
        <v>0.97100135056916848</v>
      </c>
      <c r="I122" s="149"/>
      <c r="L122" s="468"/>
    </row>
    <row r="123" spans="1:12" ht="15" customHeight="1" x14ac:dyDescent="0.2">
      <c r="A123" s="84" t="s">
        <v>1222</v>
      </c>
      <c r="B123" s="92" t="s">
        <v>352</v>
      </c>
      <c r="C123" s="473">
        <v>108180</v>
      </c>
      <c r="D123" s="239">
        <v>105175</v>
      </c>
      <c r="E123" s="510">
        <v>0.97</v>
      </c>
      <c r="F123" s="471">
        <v>151310</v>
      </c>
      <c r="G123" s="514">
        <v>148382</v>
      </c>
      <c r="H123" s="517">
        <v>0.98064899874429978</v>
      </c>
      <c r="I123" s="149"/>
      <c r="L123" s="468"/>
    </row>
    <row r="124" spans="1:12" ht="15" customHeight="1" x14ac:dyDescent="0.2">
      <c r="A124" s="84" t="s">
        <v>1097</v>
      </c>
      <c r="B124" s="92" t="s">
        <v>637</v>
      </c>
      <c r="C124" s="473">
        <v>655</v>
      </c>
      <c r="D124" s="239">
        <v>550</v>
      </c>
      <c r="E124" s="510">
        <v>0.84</v>
      </c>
      <c r="F124" s="471"/>
      <c r="G124" s="514"/>
      <c r="H124" s="517"/>
      <c r="I124" s="149"/>
      <c r="L124" s="468"/>
    </row>
    <row r="125" spans="1:12" ht="15" customHeight="1" x14ac:dyDescent="0.2">
      <c r="A125" s="84" t="s">
        <v>1223</v>
      </c>
      <c r="B125" s="92" t="s">
        <v>353</v>
      </c>
      <c r="C125" s="473">
        <v>181870</v>
      </c>
      <c r="D125" s="239">
        <v>166280</v>
      </c>
      <c r="E125" s="510">
        <v>0.91</v>
      </c>
      <c r="F125" s="471">
        <v>181878</v>
      </c>
      <c r="G125" s="514">
        <v>166327</v>
      </c>
      <c r="H125" s="517">
        <v>0.91449763027963804</v>
      </c>
      <c r="I125" s="149"/>
      <c r="L125" s="468"/>
    </row>
    <row r="126" spans="1:12" ht="15" customHeight="1" x14ac:dyDescent="0.2">
      <c r="A126" s="84" t="s">
        <v>1098</v>
      </c>
      <c r="B126" s="92" t="s">
        <v>628</v>
      </c>
      <c r="C126" s="473">
        <v>12600</v>
      </c>
      <c r="D126" s="239">
        <v>12415</v>
      </c>
      <c r="E126" s="510">
        <v>0.99</v>
      </c>
      <c r="F126" s="471"/>
      <c r="G126" s="514"/>
      <c r="H126" s="517"/>
      <c r="I126" s="149"/>
      <c r="L126" s="468"/>
    </row>
    <row r="127" spans="1:12" ht="15" customHeight="1" x14ac:dyDescent="0.2">
      <c r="A127" s="84" t="s">
        <v>1224</v>
      </c>
      <c r="B127" s="92" t="s">
        <v>646</v>
      </c>
      <c r="C127" s="473">
        <v>372290</v>
      </c>
      <c r="D127" s="239">
        <v>314005</v>
      </c>
      <c r="E127" s="510">
        <v>0.84</v>
      </c>
      <c r="F127" s="471">
        <v>410854</v>
      </c>
      <c r="G127" s="514">
        <v>352130</v>
      </c>
      <c r="H127" s="517">
        <v>0.85706844767240919</v>
      </c>
      <c r="I127" s="149"/>
      <c r="L127" s="468"/>
    </row>
    <row r="128" spans="1:12" ht="15" customHeight="1" x14ac:dyDescent="0.2">
      <c r="A128" s="84" t="s">
        <v>1099</v>
      </c>
      <c r="B128" s="92" t="s">
        <v>671</v>
      </c>
      <c r="C128" s="473"/>
      <c r="D128" s="239"/>
      <c r="E128" s="510" t="s">
        <v>1037</v>
      </c>
      <c r="F128" s="471">
        <v>4227</v>
      </c>
      <c r="G128" s="514">
        <v>4227</v>
      </c>
      <c r="H128" s="517">
        <v>1</v>
      </c>
      <c r="I128" s="149"/>
      <c r="L128" s="468"/>
    </row>
    <row r="129" spans="1:12" ht="15" customHeight="1" x14ac:dyDescent="0.2">
      <c r="A129" s="84" t="s">
        <v>1100</v>
      </c>
      <c r="B129" s="92" t="s">
        <v>456</v>
      </c>
      <c r="C129" s="473">
        <v>8825</v>
      </c>
      <c r="D129" s="239">
        <v>8495</v>
      </c>
      <c r="E129" s="510">
        <v>0.96</v>
      </c>
      <c r="F129" s="471">
        <v>7321</v>
      </c>
      <c r="G129" s="514">
        <v>7173</v>
      </c>
      <c r="H129" s="517">
        <v>0.979784182488731</v>
      </c>
      <c r="I129" s="149"/>
      <c r="L129" s="468"/>
    </row>
    <row r="130" spans="1:12" ht="15" customHeight="1" x14ac:dyDescent="0.2">
      <c r="A130" s="84" t="s">
        <v>1225</v>
      </c>
      <c r="B130" s="92" t="s">
        <v>354</v>
      </c>
      <c r="C130" s="473">
        <v>125945</v>
      </c>
      <c r="D130" s="239">
        <v>100900</v>
      </c>
      <c r="E130" s="510">
        <v>0.8</v>
      </c>
      <c r="F130" s="471">
        <v>125959</v>
      </c>
      <c r="G130" s="514">
        <v>100449</v>
      </c>
      <c r="H130" s="517">
        <v>0.79747378115100942</v>
      </c>
      <c r="I130" s="149"/>
      <c r="L130" s="468"/>
    </row>
    <row r="131" spans="1:12" ht="15" customHeight="1" x14ac:dyDescent="0.2">
      <c r="A131" s="84" t="s">
        <v>1101</v>
      </c>
      <c r="B131" s="92" t="s">
        <v>457</v>
      </c>
      <c r="C131" s="473">
        <v>7415</v>
      </c>
      <c r="D131" s="239">
        <v>7205</v>
      </c>
      <c r="E131" s="510">
        <v>0.97</v>
      </c>
      <c r="F131" s="471">
        <v>6296</v>
      </c>
      <c r="G131" s="514">
        <v>6201</v>
      </c>
      <c r="H131" s="517">
        <v>0.98491105463786532</v>
      </c>
      <c r="I131" s="149"/>
      <c r="L131" s="468"/>
    </row>
    <row r="132" spans="1:12" ht="15" customHeight="1" x14ac:dyDescent="0.2">
      <c r="A132" s="84" t="s">
        <v>1226</v>
      </c>
      <c r="B132" s="92" t="s">
        <v>1018</v>
      </c>
      <c r="C132" s="473">
        <v>144635</v>
      </c>
      <c r="D132" s="239">
        <v>143025</v>
      </c>
      <c r="E132" s="510">
        <v>0.99</v>
      </c>
      <c r="F132" s="471">
        <v>28687</v>
      </c>
      <c r="G132" s="514">
        <v>28687</v>
      </c>
      <c r="H132" s="517">
        <v>1</v>
      </c>
      <c r="I132" s="149"/>
      <c r="L132" s="468"/>
    </row>
    <row r="133" spans="1:12" ht="15" customHeight="1" x14ac:dyDescent="0.2">
      <c r="A133" s="84" t="s">
        <v>1227</v>
      </c>
      <c r="B133" s="92" t="s">
        <v>355</v>
      </c>
      <c r="C133" s="473">
        <v>96460</v>
      </c>
      <c r="D133" s="239">
        <v>81435</v>
      </c>
      <c r="E133" s="510">
        <v>0.84</v>
      </c>
      <c r="F133" s="471">
        <v>92299</v>
      </c>
      <c r="G133" s="514">
        <v>77171</v>
      </c>
      <c r="H133" s="517">
        <v>0.83609789921884314</v>
      </c>
      <c r="I133" s="149"/>
      <c r="L133" s="468"/>
    </row>
    <row r="134" spans="1:12" ht="15" customHeight="1" x14ac:dyDescent="0.2">
      <c r="A134" s="84" t="s">
        <v>1228</v>
      </c>
      <c r="B134" s="92" t="s">
        <v>356</v>
      </c>
      <c r="C134" s="473">
        <v>106965</v>
      </c>
      <c r="D134" s="239">
        <v>87160</v>
      </c>
      <c r="E134" s="510">
        <v>0.81</v>
      </c>
      <c r="F134" s="471">
        <v>106880</v>
      </c>
      <c r="G134" s="514">
        <v>88430</v>
      </c>
      <c r="H134" s="517">
        <v>0.82737649700598803</v>
      </c>
      <c r="I134" s="149"/>
      <c r="L134" s="468"/>
    </row>
    <row r="135" spans="1:12" ht="15" customHeight="1" x14ac:dyDescent="0.2">
      <c r="A135" s="84" t="s">
        <v>1229</v>
      </c>
      <c r="B135" s="92" t="s">
        <v>1019</v>
      </c>
      <c r="C135" s="473">
        <v>254050</v>
      </c>
      <c r="D135" s="239">
        <v>218135</v>
      </c>
      <c r="E135" s="510">
        <v>0.86</v>
      </c>
      <c r="F135" s="471">
        <v>254419</v>
      </c>
      <c r="G135" s="514">
        <v>218445</v>
      </c>
      <c r="H135" s="517">
        <v>0.85860332758166646</v>
      </c>
      <c r="I135" s="149"/>
      <c r="L135" s="468"/>
    </row>
    <row r="136" spans="1:12" ht="15" customHeight="1" x14ac:dyDescent="0.2">
      <c r="A136" s="84" t="s">
        <v>1230</v>
      </c>
      <c r="B136" s="92" t="s">
        <v>357</v>
      </c>
      <c r="C136" s="473">
        <v>87535</v>
      </c>
      <c r="D136" s="239">
        <v>74935</v>
      </c>
      <c r="E136" s="510">
        <v>0.86</v>
      </c>
      <c r="F136" s="471">
        <v>144727</v>
      </c>
      <c r="G136" s="514">
        <v>132289</v>
      </c>
      <c r="H136" s="517">
        <v>0.91405888327679008</v>
      </c>
      <c r="I136" s="149"/>
      <c r="L136" s="468"/>
    </row>
    <row r="137" spans="1:12" ht="15" customHeight="1" x14ac:dyDescent="0.2">
      <c r="A137" s="84" t="s">
        <v>1102</v>
      </c>
      <c r="B137" s="92" t="s">
        <v>672</v>
      </c>
      <c r="C137" s="473"/>
      <c r="D137" s="239"/>
      <c r="E137" s="510" t="s">
        <v>1037</v>
      </c>
      <c r="F137" s="471">
        <v>20371</v>
      </c>
      <c r="G137" s="514">
        <v>20371</v>
      </c>
      <c r="H137" s="517">
        <v>1</v>
      </c>
      <c r="I137" s="149"/>
      <c r="L137" s="468"/>
    </row>
    <row r="138" spans="1:12" ht="15" customHeight="1" x14ac:dyDescent="0.2">
      <c r="A138" s="84" t="s">
        <v>1231</v>
      </c>
      <c r="B138" s="92" t="s">
        <v>358</v>
      </c>
      <c r="C138" s="473">
        <v>94925</v>
      </c>
      <c r="D138" s="239">
        <v>93410</v>
      </c>
      <c r="E138" s="510">
        <v>0.98</v>
      </c>
      <c r="F138" s="471">
        <v>94991</v>
      </c>
      <c r="G138" s="514">
        <v>93472</v>
      </c>
      <c r="H138" s="517">
        <v>0.9840090113800255</v>
      </c>
      <c r="I138" s="149"/>
      <c r="L138" s="468"/>
    </row>
    <row r="139" spans="1:12" ht="15" customHeight="1" x14ac:dyDescent="0.2">
      <c r="A139" s="84" t="s">
        <v>1103</v>
      </c>
      <c r="B139" s="92" t="s">
        <v>673</v>
      </c>
      <c r="C139" s="473"/>
      <c r="D139" s="239"/>
      <c r="E139" s="510" t="s">
        <v>1037</v>
      </c>
      <c r="F139" s="471">
        <v>4736</v>
      </c>
      <c r="G139" s="514">
        <v>4736</v>
      </c>
      <c r="H139" s="517">
        <v>1</v>
      </c>
      <c r="I139" s="149"/>
      <c r="L139" s="468"/>
    </row>
    <row r="140" spans="1:12" ht="15" customHeight="1" x14ac:dyDescent="0.2">
      <c r="A140" s="84" t="s">
        <v>1232</v>
      </c>
      <c r="B140" s="92" t="s">
        <v>359</v>
      </c>
      <c r="C140" s="473">
        <v>141960</v>
      </c>
      <c r="D140" s="239">
        <v>109910</v>
      </c>
      <c r="E140" s="510">
        <v>0.77</v>
      </c>
      <c r="F140" s="471">
        <v>141926</v>
      </c>
      <c r="G140" s="514">
        <v>110706</v>
      </c>
      <c r="H140" s="517">
        <v>0.78002621084226986</v>
      </c>
      <c r="I140" s="149"/>
      <c r="L140" s="468"/>
    </row>
    <row r="141" spans="1:12" ht="15" customHeight="1" x14ac:dyDescent="0.2">
      <c r="A141" s="84" t="s">
        <v>1233</v>
      </c>
      <c r="B141" s="92" t="s">
        <v>1020</v>
      </c>
      <c r="C141" s="473">
        <v>93225</v>
      </c>
      <c r="D141" s="239">
        <v>73880</v>
      </c>
      <c r="E141" s="510">
        <v>0.79</v>
      </c>
      <c r="F141" s="471">
        <v>93435</v>
      </c>
      <c r="G141" s="514">
        <v>74543</v>
      </c>
      <c r="H141" s="517">
        <v>0.79780596136351478</v>
      </c>
      <c r="I141" s="149"/>
      <c r="L141" s="468"/>
    </row>
    <row r="142" spans="1:12" ht="15" customHeight="1" x14ac:dyDescent="0.2">
      <c r="A142" s="84" t="s">
        <v>1234</v>
      </c>
      <c r="B142" s="92" t="s">
        <v>360</v>
      </c>
      <c r="C142" s="473">
        <v>94945</v>
      </c>
      <c r="D142" s="239">
        <v>83645</v>
      </c>
      <c r="E142" s="510">
        <v>0.88</v>
      </c>
      <c r="F142" s="471">
        <v>115268</v>
      </c>
      <c r="G142" s="514">
        <v>103825</v>
      </c>
      <c r="H142" s="517">
        <v>0.90072700142277129</v>
      </c>
      <c r="I142" s="149"/>
      <c r="L142" s="468"/>
    </row>
    <row r="143" spans="1:12" ht="15" customHeight="1" x14ac:dyDescent="0.2">
      <c r="A143" s="84" t="s">
        <v>1235</v>
      </c>
      <c r="B143" s="92" t="s">
        <v>361</v>
      </c>
      <c r="C143" s="473">
        <v>108725</v>
      </c>
      <c r="D143" s="239">
        <v>105070</v>
      </c>
      <c r="E143" s="510">
        <v>0.97</v>
      </c>
      <c r="F143" s="471">
        <v>58773</v>
      </c>
      <c r="G143" s="514">
        <v>58338</v>
      </c>
      <c r="H143" s="517">
        <v>0.99259864223367877</v>
      </c>
      <c r="I143" s="149"/>
      <c r="L143" s="468"/>
    </row>
    <row r="144" spans="1:12" ht="15" customHeight="1" x14ac:dyDescent="0.2">
      <c r="A144" s="84" t="s">
        <v>1236</v>
      </c>
      <c r="B144" s="92" t="s">
        <v>362</v>
      </c>
      <c r="C144" s="473">
        <v>180615</v>
      </c>
      <c r="D144" s="239">
        <v>155335</v>
      </c>
      <c r="E144" s="510">
        <v>0.86</v>
      </c>
      <c r="F144" s="471">
        <v>182311</v>
      </c>
      <c r="G144" s="514">
        <v>156726</v>
      </c>
      <c r="H144" s="517">
        <v>0.8596628837535859</v>
      </c>
      <c r="I144" s="149"/>
      <c r="L144" s="468"/>
    </row>
    <row r="145" spans="1:12" ht="15" customHeight="1" x14ac:dyDescent="0.2">
      <c r="A145" s="84" t="s">
        <v>1104</v>
      </c>
      <c r="B145" s="92" t="s">
        <v>363</v>
      </c>
      <c r="C145" s="473">
        <v>15395</v>
      </c>
      <c r="D145" s="239">
        <v>245</v>
      </c>
      <c r="E145" s="510">
        <v>0.02</v>
      </c>
      <c r="F145" s="471"/>
      <c r="G145" s="514"/>
      <c r="H145" s="517"/>
      <c r="I145" s="149"/>
      <c r="L145" s="468"/>
    </row>
    <row r="146" spans="1:12" ht="15" customHeight="1" x14ac:dyDescent="0.2">
      <c r="A146" s="84" t="s">
        <v>1237</v>
      </c>
      <c r="B146" s="92" t="s">
        <v>364</v>
      </c>
      <c r="C146" s="473">
        <v>179235</v>
      </c>
      <c r="D146" s="239">
        <v>171470</v>
      </c>
      <c r="E146" s="510">
        <v>0.96</v>
      </c>
      <c r="F146" s="471">
        <v>175584</v>
      </c>
      <c r="G146" s="514">
        <v>170630</v>
      </c>
      <c r="H146" s="517">
        <v>0.9717855841078914</v>
      </c>
      <c r="I146" s="149"/>
      <c r="L146" s="468"/>
    </row>
    <row r="147" spans="1:12" ht="15" customHeight="1" x14ac:dyDescent="0.2">
      <c r="A147" s="84" t="s">
        <v>1238</v>
      </c>
      <c r="B147" s="92" t="s">
        <v>372</v>
      </c>
      <c r="C147" s="473">
        <v>160490</v>
      </c>
      <c r="D147" s="239">
        <v>133720</v>
      </c>
      <c r="E147" s="510">
        <v>0.83</v>
      </c>
      <c r="F147" s="471">
        <v>160130</v>
      </c>
      <c r="G147" s="514">
        <v>133412</v>
      </c>
      <c r="H147" s="517">
        <v>0.83314806719540369</v>
      </c>
      <c r="I147" s="149"/>
      <c r="L147" s="468"/>
    </row>
    <row r="148" spans="1:12" ht="15" customHeight="1" x14ac:dyDescent="0.2">
      <c r="A148" s="84" t="s">
        <v>1239</v>
      </c>
      <c r="B148" s="92" t="s">
        <v>283</v>
      </c>
      <c r="C148" s="473">
        <v>46410</v>
      </c>
      <c r="D148" s="239">
        <v>13125</v>
      </c>
      <c r="E148" s="510">
        <v>0.28000000000000003</v>
      </c>
      <c r="F148" s="471">
        <v>70373</v>
      </c>
      <c r="G148" s="514">
        <v>69643</v>
      </c>
      <c r="H148" s="517">
        <v>0.98962670342318793</v>
      </c>
      <c r="I148" s="149"/>
      <c r="L148" s="468"/>
    </row>
    <row r="149" spans="1:12" ht="15" customHeight="1" x14ac:dyDescent="0.2">
      <c r="A149" s="84" t="s">
        <v>1240</v>
      </c>
      <c r="B149" s="92" t="s">
        <v>365</v>
      </c>
      <c r="C149" s="473">
        <v>133200</v>
      </c>
      <c r="D149" s="239">
        <v>115015</v>
      </c>
      <c r="E149" s="510">
        <v>0.86</v>
      </c>
      <c r="F149" s="471">
        <v>133471</v>
      </c>
      <c r="G149" s="514">
        <v>115170</v>
      </c>
      <c r="H149" s="517">
        <v>0.86288407219545815</v>
      </c>
      <c r="I149" s="149"/>
      <c r="L149" s="468"/>
    </row>
    <row r="150" spans="1:12" ht="15" customHeight="1" x14ac:dyDescent="0.2">
      <c r="A150" s="84" t="s">
        <v>1241</v>
      </c>
      <c r="B150" s="92" t="s">
        <v>366</v>
      </c>
      <c r="C150" s="473">
        <v>58965</v>
      </c>
      <c r="D150" s="239">
        <v>49260</v>
      </c>
      <c r="E150" s="510">
        <v>0.84</v>
      </c>
      <c r="F150" s="471">
        <v>59713</v>
      </c>
      <c r="G150" s="514">
        <v>50554</v>
      </c>
      <c r="H150" s="517">
        <v>0.8466163147053406</v>
      </c>
      <c r="I150" s="149"/>
      <c r="L150" s="468"/>
    </row>
    <row r="151" spans="1:12" ht="15" customHeight="1" x14ac:dyDescent="0.2">
      <c r="A151" s="84" t="s">
        <v>1105</v>
      </c>
      <c r="B151" s="92" t="s">
        <v>674</v>
      </c>
      <c r="C151" s="473"/>
      <c r="D151" s="239"/>
      <c r="E151" s="510" t="s">
        <v>1037</v>
      </c>
      <c r="F151" s="471">
        <v>52347</v>
      </c>
      <c r="G151" s="514">
        <v>51036</v>
      </c>
      <c r="H151" s="517">
        <v>0.97495558484726919</v>
      </c>
      <c r="I151" s="149"/>
      <c r="L151" s="468"/>
    </row>
    <row r="152" spans="1:12" ht="15" customHeight="1" x14ac:dyDescent="0.2">
      <c r="A152" s="84" t="s">
        <v>1242</v>
      </c>
      <c r="B152" s="92" t="s">
        <v>1021</v>
      </c>
      <c r="C152" s="473">
        <v>144515</v>
      </c>
      <c r="D152" s="239">
        <v>122075</v>
      </c>
      <c r="E152" s="510">
        <v>0.84</v>
      </c>
      <c r="F152" s="471">
        <v>144847</v>
      </c>
      <c r="G152" s="514">
        <v>123160</v>
      </c>
      <c r="H152" s="517">
        <v>0.85027649865029997</v>
      </c>
      <c r="I152" s="149"/>
      <c r="L152" s="468"/>
    </row>
    <row r="153" spans="1:12" ht="15" customHeight="1" x14ac:dyDescent="0.2">
      <c r="A153" s="84" t="s">
        <v>1243</v>
      </c>
      <c r="B153" s="92" t="s">
        <v>367</v>
      </c>
      <c r="C153" s="473">
        <v>215785</v>
      </c>
      <c r="D153" s="239">
        <v>206925</v>
      </c>
      <c r="E153" s="510">
        <v>0.96</v>
      </c>
      <c r="F153" s="471">
        <v>217687</v>
      </c>
      <c r="G153" s="514">
        <v>209001</v>
      </c>
      <c r="H153" s="517">
        <v>0.96009867378391911</v>
      </c>
      <c r="I153" s="149"/>
      <c r="L153" s="468"/>
    </row>
    <row r="154" spans="1:12" ht="15" customHeight="1" x14ac:dyDescent="0.2">
      <c r="A154" s="84" t="s">
        <v>1106</v>
      </c>
      <c r="B154" s="92" t="s">
        <v>675</v>
      </c>
      <c r="C154" s="473"/>
      <c r="D154" s="239"/>
      <c r="E154" s="510" t="s">
        <v>1037</v>
      </c>
      <c r="F154" s="471">
        <v>57145</v>
      </c>
      <c r="G154" s="514">
        <v>57145</v>
      </c>
      <c r="H154" s="517">
        <v>1</v>
      </c>
      <c r="I154" s="149"/>
      <c r="L154" s="468"/>
    </row>
    <row r="155" spans="1:12" ht="15" customHeight="1" x14ac:dyDescent="0.2">
      <c r="A155" s="84" t="s">
        <v>1107</v>
      </c>
      <c r="B155" s="92" t="s">
        <v>676</v>
      </c>
      <c r="C155" s="473"/>
      <c r="D155" s="239"/>
      <c r="E155" s="510" t="s">
        <v>1037</v>
      </c>
      <c r="F155" s="471">
        <v>56168</v>
      </c>
      <c r="G155" s="514">
        <v>56004</v>
      </c>
      <c r="H155" s="517">
        <v>0.99708018800740639</v>
      </c>
      <c r="I155" s="149"/>
      <c r="L155" s="468"/>
    </row>
    <row r="156" spans="1:12" ht="15" customHeight="1" x14ac:dyDescent="0.2">
      <c r="A156" s="84" t="s">
        <v>1244</v>
      </c>
      <c r="B156" s="92" t="s">
        <v>368</v>
      </c>
      <c r="C156" s="473">
        <v>206615</v>
      </c>
      <c r="D156" s="239">
        <v>150280</v>
      </c>
      <c r="E156" s="510">
        <v>0.73</v>
      </c>
      <c r="F156" s="471">
        <v>206692</v>
      </c>
      <c r="G156" s="514">
        <v>150254</v>
      </c>
      <c r="H156" s="517">
        <v>0.72694637431540654</v>
      </c>
      <c r="I156" s="149"/>
      <c r="L156" s="468"/>
    </row>
    <row r="157" spans="1:12" ht="15" customHeight="1" x14ac:dyDescent="0.2">
      <c r="A157" s="84" t="s">
        <v>1108</v>
      </c>
      <c r="B157" s="92" t="s">
        <v>461</v>
      </c>
      <c r="C157" s="473">
        <v>37575</v>
      </c>
      <c r="D157" s="239">
        <v>35720</v>
      </c>
      <c r="E157" s="510">
        <v>0.95</v>
      </c>
      <c r="F157" s="471">
        <v>25696</v>
      </c>
      <c r="G157" s="514">
        <v>25412</v>
      </c>
      <c r="H157" s="517">
        <v>0.98894769613947697</v>
      </c>
      <c r="I157" s="149"/>
      <c r="L157" s="468"/>
    </row>
    <row r="158" spans="1:12" ht="15" customHeight="1" x14ac:dyDescent="0.2">
      <c r="A158" s="84" t="s">
        <v>1109</v>
      </c>
      <c r="B158" s="92" t="s">
        <v>677</v>
      </c>
      <c r="C158" s="473"/>
      <c r="D158" s="239"/>
      <c r="E158" s="510" t="s">
        <v>1037</v>
      </c>
      <c r="F158" s="471">
        <v>3633</v>
      </c>
      <c r="G158" s="514">
        <v>3633</v>
      </c>
      <c r="H158" s="517">
        <v>1</v>
      </c>
      <c r="I158" s="149"/>
      <c r="L158" s="468"/>
    </row>
    <row r="159" spans="1:12" ht="15" customHeight="1" x14ac:dyDescent="0.2">
      <c r="A159" s="84" t="s">
        <v>1110</v>
      </c>
      <c r="B159" s="92" t="s">
        <v>462</v>
      </c>
      <c r="C159" s="473">
        <v>4310</v>
      </c>
      <c r="D159" s="239">
        <v>4130</v>
      </c>
      <c r="E159" s="510">
        <v>0.96</v>
      </c>
      <c r="F159" s="471">
        <v>3472</v>
      </c>
      <c r="G159" s="514">
        <v>3449</v>
      </c>
      <c r="H159" s="517">
        <v>0.99337557603686633</v>
      </c>
      <c r="I159" s="149"/>
      <c r="L159" s="468"/>
    </row>
    <row r="160" spans="1:12" ht="15" customHeight="1" x14ac:dyDescent="0.2">
      <c r="A160" s="84" t="s">
        <v>1111</v>
      </c>
      <c r="B160" s="92" t="s">
        <v>678</v>
      </c>
      <c r="C160" s="473"/>
      <c r="D160" s="239"/>
      <c r="E160" s="510" t="s">
        <v>1037</v>
      </c>
      <c r="F160" s="471">
        <v>1699</v>
      </c>
      <c r="G160" s="514">
        <v>1699</v>
      </c>
      <c r="H160" s="517">
        <v>1</v>
      </c>
      <c r="I160" s="149"/>
      <c r="L160" s="468"/>
    </row>
    <row r="161" spans="1:12" ht="15" customHeight="1" x14ac:dyDescent="0.2">
      <c r="A161" s="84" t="s">
        <v>1112</v>
      </c>
      <c r="B161" s="92" t="s">
        <v>463</v>
      </c>
      <c r="C161" s="473">
        <v>67590</v>
      </c>
      <c r="D161" s="239">
        <v>65585</v>
      </c>
      <c r="E161" s="510">
        <v>0.97</v>
      </c>
      <c r="F161" s="471"/>
      <c r="G161" s="514"/>
      <c r="H161" s="517"/>
      <c r="I161" s="149"/>
      <c r="L161" s="468"/>
    </row>
    <row r="162" spans="1:12" ht="15" customHeight="1" x14ac:dyDescent="0.2">
      <c r="A162" s="84" t="s">
        <v>1245</v>
      </c>
      <c r="B162" s="92" t="s">
        <v>369</v>
      </c>
      <c r="C162" s="473">
        <v>39680</v>
      </c>
      <c r="D162" s="239">
        <v>34530</v>
      </c>
      <c r="E162" s="510">
        <v>0.87</v>
      </c>
      <c r="F162" s="471">
        <v>34450</v>
      </c>
      <c r="G162" s="514">
        <v>33336</v>
      </c>
      <c r="H162" s="517">
        <v>0.96766328011611036</v>
      </c>
      <c r="I162" s="149"/>
      <c r="L162" s="468"/>
    </row>
    <row r="163" spans="1:12" ht="15" customHeight="1" x14ac:dyDescent="0.2">
      <c r="A163" s="84" t="s">
        <v>1246</v>
      </c>
      <c r="B163" s="92" t="s">
        <v>370</v>
      </c>
      <c r="C163" s="473">
        <v>142835</v>
      </c>
      <c r="D163" s="239">
        <v>121975</v>
      </c>
      <c r="E163" s="510">
        <v>0.85</v>
      </c>
      <c r="F163" s="471">
        <v>160714</v>
      </c>
      <c r="G163" s="514">
        <v>140126</v>
      </c>
      <c r="H163" s="517">
        <v>0.87189666114961983</v>
      </c>
      <c r="I163" s="149"/>
      <c r="L163" s="468"/>
    </row>
    <row r="164" spans="1:12" ht="15" customHeight="1" x14ac:dyDescent="0.2">
      <c r="A164" s="84" t="s">
        <v>1113</v>
      </c>
      <c r="B164" s="92" t="s">
        <v>680</v>
      </c>
      <c r="C164" s="473"/>
      <c r="D164" s="239"/>
      <c r="E164" s="510" t="s">
        <v>1037</v>
      </c>
      <c r="F164" s="471">
        <v>9444</v>
      </c>
      <c r="G164" s="514">
        <v>9444</v>
      </c>
      <c r="H164" s="517">
        <v>1</v>
      </c>
      <c r="I164" s="149"/>
      <c r="L164" s="468"/>
    </row>
    <row r="165" spans="1:12" ht="15" customHeight="1" x14ac:dyDescent="0.2">
      <c r="A165" s="84" t="s">
        <v>1114</v>
      </c>
      <c r="B165" s="92" t="s">
        <v>681</v>
      </c>
      <c r="C165" s="473"/>
      <c r="D165" s="239"/>
      <c r="E165" s="510" t="s">
        <v>1037</v>
      </c>
      <c r="F165" s="471">
        <v>3655</v>
      </c>
      <c r="G165" s="514">
        <v>3655</v>
      </c>
      <c r="H165" s="517">
        <v>1</v>
      </c>
      <c r="I165" s="149"/>
      <c r="L165" s="468"/>
    </row>
    <row r="166" spans="1:12" ht="15" customHeight="1" x14ac:dyDescent="0.2">
      <c r="A166" s="84" t="s">
        <v>1115</v>
      </c>
      <c r="B166" s="92" t="s">
        <v>640</v>
      </c>
      <c r="C166" s="473">
        <v>7960</v>
      </c>
      <c r="D166" s="239">
        <v>7920</v>
      </c>
      <c r="E166" s="510">
        <v>0.99</v>
      </c>
      <c r="F166" s="471"/>
      <c r="G166" s="514"/>
      <c r="H166" s="517"/>
      <c r="I166" s="149"/>
      <c r="L166" s="468"/>
    </row>
    <row r="167" spans="1:12" ht="15" customHeight="1" x14ac:dyDescent="0.2">
      <c r="A167" s="84" t="s">
        <v>1247</v>
      </c>
      <c r="B167" s="92" t="s">
        <v>371</v>
      </c>
      <c r="C167" s="473">
        <v>340235</v>
      </c>
      <c r="D167" s="239">
        <v>280730</v>
      </c>
      <c r="E167" s="510">
        <v>0.83</v>
      </c>
      <c r="F167" s="471">
        <v>394437</v>
      </c>
      <c r="G167" s="514">
        <v>334919</v>
      </c>
      <c r="H167" s="517">
        <v>0.84910644792451018</v>
      </c>
      <c r="I167" s="149"/>
      <c r="L167" s="468"/>
    </row>
    <row r="168" spans="1:12" ht="15" customHeight="1" x14ac:dyDescent="0.2">
      <c r="A168" s="84" t="s">
        <v>1248</v>
      </c>
      <c r="B168" s="92" t="s">
        <v>682</v>
      </c>
      <c r="C168" s="473"/>
      <c r="D168" s="239"/>
      <c r="E168" s="510" t="s">
        <v>1037</v>
      </c>
      <c r="F168" s="471">
        <v>42218</v>
      </c>
      <c r="G168" s="514">
        <v>42218</v>
      </c>
      <c r="H168" s="517">
        <v>1</v>
      </c>
      <c r="I168" s="149"/>
      <c r="L168" s="468"/>
    </row>
    <row r="169" spans="1:12" ht="15" customHeight="1" x14ac:dyDescent="0.2">
      <c r="A169" s="84" t="s">
        <v>1249</v>
      </c>
      <c r="B169" s="92" t="s">
        <v>374</v>
      </c>
      <c r="C169" s="473">
        <v>90785</v>
      </c>
      <c r="D169" s="239">
        <v>80650</v>
      </c>
      <c r="E169" s="510">
        <v>0.89</v>
      </c>
      <c r="F169" s="471">
        <v>91063</v>
      </c>
      <c r="G169" s="514">
        <v>81006</v>
      </c>
      <c r="H169" s="517">
        <v>0.8895599749623887</v>
      </c>
      <c r="I169" s="149"/>
      <c r="L169" s="468"/>
    </row>
    <row r="170" spans="1:12" ht="15" customHeight="1" x14ac:dyDescent="0.2">
      <c r="A170" s="84" t="s">
        <v>1250</v>
      </c>
      <c r="B170" s="92" t="s">
        <v>375</v>
      </c>
      <c r="C170" s="473">
        <v>152460</v>
      </c>
      <c r="D170" s="239">
        <v>118210</v>
      </c>
      <c r="E170" s="510">
        <v>0.78</v>
      </c>
      <c r="F170" s="471">
        <v>152433</v>
      </c>
      <c r="G170" s="514">
        <v>118202</v>
      </c>
      <c r="H170" s="517">
        <v>0.77543576522144153</v>
      </c>
      <c r="I170" s="149"/>
      <c r="L170" s="468"/>
    </row>
    <row r="171" spans="1:12" ht="15" customHeight="1" x14ac:dyDescent="0.2">
      <c r="A171" s="84" t="s">
        <v>1116</v>
      </c>
      <c r="B171" s="92" t="s">
        <v>683</v>
      </c>
      <c r="C171" s="473"/>
      <c r="D171" s="239"/>
      <c r="E171" s="510" t="s">
        <v>1037</v>
      </c>
      <c r="F171" s="471">
        <v>23339</v>
      </c>
      <c r="G171" s="514">
        <v>23339</v>
      </c>
      <c r="H171" s="517">
        <v>1</v>
      </c>
      <c r="I171" s="149"/>
      <c r="L171" s="468"/>
    </row>
    <row r="172" spans="1:12" ht="15" customHeight="1" x14ac:dyDescent="0.2">
      <c r="A172" s="84" t="s">
        <v>1251</v>
      </c>
      <c r="B172" s="92" t="s">
        <v>376</v>
      </c>
      <c r="C172" s="473">
        <v>12200</v>
      </c>
      <c r="D172" s="239">
        <v>12160</v>
      </c>
      <c r="E172" s="510">
        <v>1</v>
      </c>
      <c r="F172" s="471">
        <v>12252</v>
      </c>
      <c r="G172" s="514">
        <v>12212</v>
      </c>
      <c r="H172" s="517">
        <v>0.99673522690173033</v>
      </c>
      <c r="I172" s="149"/>
      <c r="L172" s="468"/>
    </row>
    <row r="173" spans="1:12" ht="15" customHeight="1" x14ac:dyDescent="0.2">
      <c r="A173" s="84" t="s">
        <v>1117</v>
      </c>
      <c r="B173" s="92" t="s">
        <v>684</v>
      </c>
      <c r="C173" s="473"/>
      <c r="D173" s="239"/>
      <c r="E173" s="510" t="s">
        <v>1037</v>
      </c>
      <c r="F173" s="471">
        <v>12881</v>
      </c>
      <c r="G173" s="514">
        <v>12862</v>
      </c>
      <c r="H173" s="517">
        <v>0.9985249592422949</v>
      </c>
      <c r="I173" s="149"/>
      <c r="L173" s="468"/>
    </row>
    <row r="174" spans="1:12" ht="15" customHeight="1" x14ac:dyDescent="0.2">
      <c r="A174" s="84" t="s">
        <v>1252</v>
      </c>
      <c r="B174" s="92" t="s">
        <v>377</v>
      </c>
      <c r="C174" s="473">
        <v>135250</v>
      </c>
      <c r="D174" s="239">
        <v>123330</v>
      </c>
      <c r="E174" s="510">
        <v>0.91</v>
      </c>
      <c r="F174" s="471">
        <v>141546</v>
      </c>
      <c r="G174" s="514">
        <v>130077</v>
      </c>
      <c r="H174" s="517">
        <v>0.91897333728964437</v>
      </c>
      <c r="I174" s="149"/>
      <c r="L174" s="468"/>
    </row>
    <row r="175" spans="1:12" ht="15" customHeight="1" x14ac:dyDescent="0.2">
      <c r="A175" s="84" t="s">
        <v>1253</v>
      </c>
      <c r="B175" s="92" t="s">
        <v>1022</v>
      </c>
      <c r="C175" s="473">
        <v>205470</v>
      </c>
      <c r="D175" s="239">
        <v>190260</v>
      </c>
      <c r="E175" s="510">
        <v>0.93</v>
      </c>
      <c r="F175" s="471">
        <v>215558</v>
      </c>
      <c r="G175" s="514">
        <v>200109</v>
      </c>
      <c r="H175" s="517">
        <v>0.92833019419367413</v>
      </c>
      <c r="I175" s="149"/>
      <c r="L175" s="468"/>
    </row>
    <row r="176" spans="1:12" ht="15" customHeight="1" x14ac:dyDescent="0.2">
      <c r="A176" s="84" t="s">
        <v>1254</v>
      </c>
      <c r="B176" s="92" t="s">
        <v>378</v>
      </c>
      <c r="C176" s="473">
        <v>117690</v>
      </c>
      <c r="D176" s="239">
        <v>105320</v>
      </c>
      <c r="E176" s="510">
        <v>0.89</v>
      </c>
      <c r="F176" s="471">
        <v>143721</v>
      </c>
      <c r="G176" s="514">
        <v>131613</v>
      </c>
      <c r="H176" s="517">
        <v>0.91575343895464123</v>
      </c>
      <c r="I176" s="149"/>
      <c r="L176" s="468"/>
    </row>
    <row r="177" spans="1:12" ht="15" customHeight="1" x14ac:dyDescent="0.2">
      <c r="A177" s="84" t="s">
        <v>1255</v>
      </c>
      <c r="B177" s="92" t="s">
        <v>379</v>
      </c>
      <c r="C177" s="473">
        <v>281680</v>
      </c>
      <c r="D177" s="239">
        <v>245940</v>
      </c>
      <c r="E177" s="510">
        <v>0.87</v>
      </c>
      <c r="F177" s="471">
        <v>281599</v>
      </c>
      <c r="G177" s="514">
        <v>245950</v>
      </c>
      <c r="H177" s="517">
        <v>0.87340509021693968</v>
      </c>
      <c r="I177" s="149"/>
      <c r="L177" s="468"/>
    </row>
    <row r="178" spans="1:12" ht="15" customHeight="1" x14ac:dyDescent="0.2">
      <c r="A178" s="84" t="s">
        <v>1256</v>
      </c>
      <c r="B178" s="92" t="s">
        <v>380</v>
      </c>
      <c r="C178" s="473">
        <v>112470</v>
      </c>
      <c r="D178" s="239">
        <v>81315</v>
      </c>
      <c r="E178" s="510">
        <v>0.72</v>
      </c>
      <c r="F178" s="471">
        <v>238684</v>
      </c>
      <c r="G178" s="514">
        <v>207471</v>
      </c>
      <c r="H178" s="517">
        <v>0.86922877109483665</v>
      </c>
      <c r="I178" s="149"/>
      <c r="L178" s="468"/>
    </row>
    <row r="179" spans="1:12" ht="15" customHeight="1" x14ac:dyDescent="0.2">
      <c r="A179" s="84" t="s">
        <v>1118</v>
      </c>
      <c r="B179" s="92" t="s">
        <v>631</v>
      </c>
      <c r="C179" s="473">
        <v>21660</v>
      </c>
      <c r="D179" s="239">
        <v>21045</v>
      </c>
      <c r="E179" s="510">
        <v>0.97</v>
      </c>
      <c r="F179" s="471"/>
      <c r="G179" s="514"/>
      <c r="H179" s="517"/>
      <c r="I179" s="149"/>
      <c r="L179" s="468"/>
    </row>
    <row r="180" spans="1:12" ht="15" customHeight="1" x14ac:dyDescent="0.2">
      <c r="A180" s="84" t="s">
        <v>1257</v>
      </c>
      <c r="B180" s="92" t="s">
        <v>381</v>
      </c>
      <c r="C180" s="473">
        <v>82290</v>
      </c>
      <c r="D180" s="239">
        <v>73680</v>
      </c>
      <c r="E180" s="510">
        <v>0.9</v>
      </c>
      <c r="F180" s="471">
        <v>74876</v>
      </c>
      <c r="G180" s="514">
        <v>66518</v>
      </c>
      <c r="H180" s="517">
        <v>0.88837544740637853</v>
      </c>
      <c r="I180" s="149"/>
      <c r="L180" s="468"/>
    </row>
    <row r="181" spans="1:12" ht="15" customHeight="1" x14ac:dyDescent="0.2">
      <c r="A181" s="84" t="s">
        <v>1258</v>
      </c>
      <c r="B181" s="92" t="s">
        <v>382</v>
      </c>
      <c r="C181" s="473">
        <v>90735</v>
      </c>
      <c r="D181" s="239">
        <v>70645</v>
      </c>
      <c r="E181" s="510">
        <v>0.78</v>
      </c>
      <c r="F181" s="471">
        <v>87648</v>
      </c>
      <c r="G181" s="514">
        <v>70619</v>
      </c>
      <c r="H181" s="517">
        <v>0.80571148229280765</v>
      </c>
      <c r="I181" s="149"/>
      <c r="L181" s="468"/>
    </row>
    <row r="182" spans="1:12" ht="15" customHeight="1" x14ac:dyDescent="0.2">
      <c r="A182" s="84" t="s">
        <v>1259</v>
      </c>
      <c r="B182" s="92" t="s">
        <v>383</v>
      </c>
      <c r="C182" s="473">
        <v>101640</v>
      </c>
      <c r="D182" s="239">
        <v>84320</v>
      </c>
      <c r="E182" s="510">
        <v>0.83</v>
      </c>
      <c r="F182" s="471">
        <v>107287</v>
      </c>
      <c r="G182" s="514">
        <v>89764</v>
      </c>
      <c r="H182" s="517">
        <v>0.8366717309646089</v>
      </c>
      <c r="I182" s="149"/>
      <c r="L182" s="468"/>
    </row>
    <row r="183" spans="1:12" ht="15" customHeight="1" x14ac:dyDescent="0.2">
      <c r="A183" s="84" t="s">
        <v>1260</v>
      </c>
      <c r="B183" s="92" t="s">
        <v>384</v>
      </c>
      <c r="C183" s="473">
        <v>49125</v>
      </c>
      <c r="D183" s="239">
        <v>42780</v>
      </c>
      <c r="E183" s="510">
        <v>0.87</v>
      </c>
      <c r="F183" s="471">
        <v>57093</v>
      </c>
      <c r="G183" s="514">
        <v>50778</v>
      </c>
      <c r="H183" s="517">
        <v>0.88939099364195262</v>
      </c>
      <c r="I183" s="149"/>
      <c r="L183" s="468"/>
    </row>
    <row r="184" spans="1:12" ht="15" customHeight="1" x14ac:dyDescent="0.2">
      <c r="A184" s="84" t="s">
        <v>1119</v>
      </c>
      <c r="B184" s="92" t="s">
        <v>685</v>
      </c>
      <c r="C184" s="473"/>
      <c r="D184" s="239"/>
      <c r="E184" s="510" t="s">
        <v>1037</v>
      </c>
      <c r="F184" s="471">
        <v>15106</v>
      </c>
      <c r="G184" s="514">
        <v>15106</v>
      </c>
      <c r="H184" s="517">
        <v>1</v>
      </c>
      <c r="I184" s="149"/>
      <c r="L184" s="468"/>
    </row>
    <row r="185" spans="1:12" ht="15" customHeight="1" x14ac:dyDescent="0.2">
      <c r="A185" s="84" t="s">
        <v>1261</v>
      </c>
      <c r="B185" s="92" t="s">
        <v>1023</v>
      </c>
      <c r="C185" s="473">
        <v>212285</v>
      </c>
      <c r="D185" s="239">
        <v>173380</v>
      </c>
      <c r="E185" s="510">
        <v>0.82</v>
      </c>
      <c r="F185" s="471">
        <v>214318</v>
      </c>
      <c r="G185" s="514">
        <v>174702</v>
      </c>
      <c r="H185" s="517">
        <v>0.81515318358700617</v>
      </c>
      <c r="I185" s="149"/>
      <c r="L185" s="468"/>
    </row>
    <row r="186" spans="1:12" ht="15" customHeight="1" x14ac:dyDescent="0.2">
      <c r="A186" s="84" t="s">
        <v>1120</v>
      </c>
      <c r="B186" s="92" t="s">
        <v>627</v>
      </c>
      <c r="C186" s="473">
        <v>29250</v>
      </c>
      <c r="D186" s="239">
        <v>28110</v>
      </c>
      <c r="E186" s="510">
        <v>0.96</v>
      </c>
      <c r="F186" s="471"/>
      <c r="G186" s="514"/>
      <c r="H186" s="517"/>
      <c r="I186" s="149"/>
      <c r="L186" s="468"/>
    </row>
    <row r="187" spans="1:12" ht="15" customHeight="1" x14ac:dyDescent="0.2">
      <c r="A187" s="84" t="s">
        <v>1121</v>
      </c>
      <c r="B187" s="92" t="s">
        <v>385</v>
      </c>
      <c r="C187" s="473">
        <v>54770</v>
      </c>
      <c r="D187" s="239">
        <v>54605</v>
      </c>
      <c r="E187" s="510">
        <v>1</v>
      </c>
      <c r="F187" s="471"/>
      <c r="G187" s="514"/>
      <c r="H187" s="517"/>
      <c r="I187" s="149"/>
      <c r="L187" s="468"/>
    </row>
    <row r="188" spans="1:12" ht="15" customHeight="1" x14ac:dyDescent="0.2">
      <c r="A188" s="84" t="s">
        <v>1122</v>
      </c>
      <c r="B188" s="92" t="s">
        <v>686</v>
      </c>
      <c r="C188" s="473"/>
      <c r="D188" s="239"/>
      <c r="E188" s="510" t="s">
        <v>1037</v>
      </c>
      <c r="F188" s="471">
        <v>42335</v>
      </c>
      <c r="G188" s="514">
        <v>42335</v>
      </c>
      <c r="H188" s="517">
        <v>1</v>
      </c>
      <c r="I188" s="149"/>
      <c r="L188" s="468"/>
    </row>
    <row r="189" spans="1:12" ht="15" customHeight="1" x14ac:dyDescent="0.2">
      <c r="A189" s="84" t="s">
        <v>1262</v>
      </c>
      <c r="B189" s="92" t="s">
        <v>386</v>
      </c>
      <c r="C189" s="473">
        <v>58915</v>
      </c>
      <c r="D189" s="239">
        <v>57440</v>
      </c>
      <c r="E189" s="510">
        <v>0.97</v>
      </c>
      <c r="F189" s="471">
        <v>58930</v>
      </c>
      <c r="G189" s="514">
        <v>57439</v>
      </c>
      <c r="H189" s="517">
        <v>0.97469879518072289</v>
      </c>
      <c r="I189" s="149"/>
      <c r="L189" s="468"/>
    </row>
    <row r="190" spans="1:12" ht="15" customHeight="1" x14ac:dyDescent="0.2">
      <c r="A190" s="84" t="s">
        <v>1263</v>
      </c>
      <c r="B190" s="92" t="s">
        <v>387</v>
      </c>
      <c r="C190" s="473">
        <v>153095</v>
      </c>
      <c r="D190" s="239">
        <v>122425</v>
      </c>
      <c r="E190" s="510">
        <v>0.8</v>
      </c>
      <c r="F190" s="471">
        <v>221012</v>
      </c>
      <c r="G190" s="514">
        <v>192964</v>
      </c>
      <c r="H190" s="517">
        <v>0.87309286373590578</v>
      </c>
      <c r="I190" s="149"/>
      <c r="L190" s="468"/>
    </row>
    <row r="191" spans="1:12" ht="15" customHeight="1" x14ac:dyDescent="0.2">
      <c r="A191" s="84" t="s">
        <v>1264</v>
      </c>
      <c r="B191" s="92" t="s">
        <v>643</v>
      </c>
      <c r="C191" s="473">
        <v>10055</v>
      </c>
      <c r="D191" s="239">
        <v>10050</v>
      </c>
      <c r="E191" s="510">
        <v>1</v>
      </c>
      <c r="F191" s="471"/>
      <c r="G191" s="514"/>
      <c r="H191" s="517"/>
      <c r="I191" s="149"/>
      <c r="L191" s="468"/>
    </row>
    <row r="192" spans="1:12" ht="15" customHeight="1" x14ac:dyDescent="0.2">
      <c r="A192" s="84" t="s">
        <v>1265</v>
      </c>
      <c r="B192" s="92" t="s">
        <v>388</v>
      </c>
      <c r="C192" s="473">
        <v>130205</v>
      </c>
      <c r="D192" s="239">
        <v>121665</v>
      </c>
      <c r="E192" s="510">
        <v>0.93</v>
      </c>
      <c r="F192" s="471">
        <v>159098</v>
      </c>
      <c r="G192" s="514">
        <v>149915</v>
      </c>
      <c r="H192" s="517">
        <v>0.94228085833888542</v>
      </c>
      <c r="I192" s="149"/>
      <c r="L192" s="468"/>
    </row>
    <row r="193" spans="1:12" ht="15" customHeight="1" x14ac:dyDescent="0.2">
      <c r="A193" s="84" t="s">
        <v>1266</v>
      </c>
      <c r="B193" s="92" t="s">
        <v>389</v>
      </c>
      <c r="C193" s="473">
        <v>121930</v>
      </c>
      <c r="D193" s="239">
        <v>82695</v>
      </c>
      <c r="E193" s="510">
        <v>0.68</v>
      </c>
      <c r="F193" s="471">
        <v>136918</v>
      </c>
      <c r="G193" s="514">
        <v>97266</v>
      </c>
      <c r="H193" s="517">
        <v>0.71039600344731879</v>
      </c>
      <c r="I193" s="149"/>
      <c r="L193" s="468"/>
    </row>
    <row r="194" spans="1:12" ht="15" customHeight="1" x14ac:dyDescent="0.2">
      <c r="A194" s="84" t="s">
        <v>1267</v>
      </c>
      <c r="B194" s="92" t="s">
        <v>390</v>
      </c>
      <c r="C194" s="473">
        <v>27595</v>
      </c>
      <c r="D194" s="239">
        <v>27325</v>
      </c>
      <c r="E194" s="510">
        <v>0.99</v>
      </c>
      <c r="F194" s="471">
        <v>27671</v>
      </c>
      <c r="G194" s="514">
        <v>27637</v>
      </c>
      <c r="H194" s="517">
        <v>0.99877127678797295</v>
      </c>
      <c r="I194" s="149"/>
      <c r="L194" s="468"/>
    </row>
    <row r="195" spans="1:12" ht="15" customHeight="1" x14ac:dyDescent="0.2">
      <c r="A195" s="84" t="s">
        <v>1123</v>
      </c>
      <c r="B195" s="92" t="s">
        <v>638</v>
      </c>
      <c r="C195" s="473">
        <v>23280</v>
      </c>
      <c r="D195" s="239">
        <v>23205</v>
      </c>
      <c r="E195" s="510">
        <v>1</v>
      </c>
      <c r="F195" s="471"/>
      <c r="G195" s="514"/>
      <c r="H195" s="517"/>
      <c r="I195" s="149"/>
      <c r="L195" s="468"/>
    </row>
    <row r="196" spans="1:12" ht="15" customHeight="1" x14ac:dyDescent="0.2">
      <c r="A196" s="84" t="s">
        <v>1124</v>
      </c>
      <c r="B196" s="92" t="s">
        <v>687</v>
      </c>
      <c r="C196" s="473"/>
      <c r="D196" s="239"/>
      <c r="E196" s="510" t="s">
        <v>1037</v>
      </c>
      <c r="F196" s="471">
        <v>7700</v>
      </c>
      <c r="G196" s="514">
        <v>7700</v>
      </c>
      <c r="H196" s="517">
        <v>1</v>
      </c>
      <c r="I196" s="149"/>
      <c r="L196" s="468"/>
    </row>
    <row r="197" spans="1:12" ht="15" customHeight="1" x14ac:dyDescent="0.2">
      <c r="A197" s="84" t="s">
        <v>1268</v>
      </c>
      <c r="B197" s="92" t="s">
        <v>391</v>
      </c>
      <c r="C197" s="473">
        <v>82140</v>
      </c>
      <c r="D197" s="239">
        <v>81640</v>
      </c>
      <c r="E197" s="510">
        <v>0.99</v>
      </c>
      <c r="F197" s="471">
        <v>92221</v>
      </c>
      <c r="G197" s="514">
        <v>91542</v>
      </c>
      <c r="H197" s="517">
        <v>0.99263725181899998</v>
      </c>
      <c r="I197" s="149"/>
      <c r="L197" s="468"/>
    </row>
    <row r="198" spans="1:12" ht="15" customHeight="1" x14ac:dyDescent="0.2">
      <c r="A198" s="84" t="s">
        <v>1125</v>
      </c>
      <c r="B198" s="92" t="s">
        <v>688</v>
      </c>
      <c r="C198" s="473"/>
      <c r="D198" s="239"/>
      <c r="E198" s="510" t="s">
        <v>1037</v>
      </c>
      <c r="F198" s="471">
        <v>71719</v>
      </c>
      <c r="G198" s="514">
        <v>71719</v>
      </c>
      <c r="H198" s="517">
        <v>1</v>
      </c>
      <c r="I198" s="149"/>
      <c r="L198" s="468"/>
    </row>
    <row r="199" spans="1:12" ht="15" customHeight="1" x14ac:dyDescent="0.2">
      <c r="A199" s="84" t="s">
        <v>1269</v>
      </c>
      <c r="B199" s="92" t="s">
        <v>393</v>
      </c>
      <c r="C199" s="473">
        <v>155530</v>
      </c>
      <c r="D199" s="239">
        <v>148125</v>
      </c>
      <c r="E199" s="510">
        <v>0.95</v>
      </c>
      <c r="F199" s="471">
        <v>155840</v>
      </c>
      <c r="G199" s="514">
        <v>148429</v>
      </c>
      <c r="H199" s="517">
        <v>0.95244481519507185</v>
      </c>
      <c r="I199" s="149"/>
      <c r="L199" s="468"/>
    </row>
    <row r="200" spans="1:12" ht="15" customHeight="1" x14ac:dyDescent="0.2">
      <c r="A200" s="84" t="s">
        <v>1270</v>
      </c>
      <c r="B200" s="92" t="s">
        <v>394</v>
      </c>
      <c r="C200" s="473">
        <v>70905</v>
      </c>
      <c r="D200" s="239">
        <v>67010</v>
      </c>
      <c r="E200" s="510">
        <v>0.95</v>
      </c>
      <c r="F200" s="471">
        <v>70775</v>
      </c>
      <c r="G200" s="514">
        <v>66935</v>
      </c>
      <c r="H200" s="517">
        <v>0.94574355351465911</v>
      </c>
      <c r="I200" s="149"/>
      <c r="L200" s="468"/>
    </row>
    <row r="201" spans="1:12" ht="15" customHeight="1" x14ac:dyDescent="0.2">
      <c r="A201" s="84" t="s">
        <v>1271</v>
      </c>
      <c r="B201" s="92" t="s">
        <v>395</v>
      </c>
      <c r="C201" s="473">
        <v>78645</v>
      </c>
      <c r="D201" s="239">
        <v>74105</v>
      </c>
      <c r="E201" s="510">
        <v>0.94</v>
      </c>
      <c r="F201" s="471">
        <v>79453</v>
      </c>
      <c r="G201" s="514">
        <v>74878</v>
      </c>
      <c r="H201" s="517">
        <v>0.94241878846613725</v>
      </c>
      <c r="I201" s="149"/>
      <c r="L201" s="468"/>
    </row>
    <row r="202" spans="1:12" ht="15" customHeight="1" x14ac:dyDescent="0.2">
      <c r="A202" s="84" t="s">
        <v>1272</v>
      </c>
      <c r="B202" s="92" t="s">
        <v>466</v>
      </c>
      <c r="C202" s="473">
        <v>20930</v>
      </c>
      <c r="D202" s="239">
        <v>20770</v>
      </c>
      <c r="E202" s="510">
        <v>0.99</v>
      </c>
      <c r="F202" s="471">
        <v>18762</v>
      </c>
      <c r="G202" s="514">
        <v>18654</v>
      </c>
      <c r="H202" s="517">
        <v>0.99424368404221297</v>
      </c>
      <c r="I202" s="149"/>
      <c r="L202" s="468"/>
    </row>
    <row r="203" spans="1:12" ht="15" customHeight="1" x14ac:dyDescent="0.2">
      <c r="A203" s="84" t="s">
        <v>1273</v>
      </c>
      <c r="B203" s="92" t="s">
        <v>396</v>
      </c>
      <c r="C203" s="473">
        <v>52155</v>
      </c>
      <c r="D203" s="239">
        <v>26670</v>
      </c>
      <c r="E203" s="510">
        <v>0.51</v>
      </c>
      <c r="F203" s="471">
        <v>52665</v>
      </c>
      <c r="G203" s="514">
        <v>52479</v>
      </c>
      <c r="H203" s="517">
        <v>0.99646824266590717</v>
      </c>
      <c r="I203" s="149"/>
      <c r="L203" s="468"/>
    </row>
    <row r="204" spans="1:12" ht="15" customHeight="1" x14ac:dyDescent="0.2">
      <c r="A204" s="84" t="s">
        <v>1274</v>
      </c>
      <c r="B204" s="92" t="s">
        <v>397</v>
      </c>
      <c r="C204" s="473">
        <v>104710</v>
      </c>
      <c r="D204" s="239">
        <v>91115</v>
      </c>
      <c r="E204" s="510">
        <v>0.87</v>
      </c>
      <c r="F204" s="471">
        <v>104645</v>
      </c>
      <c r="G204" s="514">
        <v>91089</v>
      </c>
      <c r="H204" s="517">
        <v>0.87045726026088199</v>
      </c>
      <c r="I204" s="149"/>
      <c r="L204" s="468"/>
    </row>
    <row r="205" spans="1:12" ht="15" customHeight="1" x14ac:dyDescent="0.2">
      <c r="A205" s="84" t="s">
        <v>1275</v>
      </c>
      <c r="B205" s="92" t="s">
        <v>398</v>
      </c>
      <c r="C205" s="473">
        <v>8690</v>
      </c>
      <c r="D205" s="239">
        <v>8680</v>
      </c>
      <c r="E205" s="510">
        <v>1</v>
      </c>
      <c r="F205" s="471">
        <v>8647</v>
      </c>
      <c r="G205" s="514">
        <v>8643</v>
      </c>
      <c r="H205" s="517">
        <v>0.99953741181912803</v>
      </c>
      <c r="I205" s="149"/>
      <c r="L205" s="468"/>
    </row>
    <row r="206" spans="1:12" ht="15" customHeight="1" x14ac:dyDescent="0.2">
      <c r="A206" s="84" t="s">
        <v>1276</v>
      </c>
      <c r="B206" s="92" t="s">
        <v>399</v>
      </c>
      <c r="C206" s="473">
        <v>83180</v>
      </c>
      <c r="D206" s="239">
        <v>68710</v>
      </c>
      <c r="E206" s="510">
        <v>0.83</v>
      </c>
      <c r="F206" s="471">
        <v>121152</v>
      </c>
      <c r="G206" s="514">
        <v>106135</v>
      </c>
      <c r="H206" s="517">
        <v>0.87604826994189122</v>
      </c>
      <c r="I206" s="149"/>
      <c r="L206" s="468"/>
    </row>
    <row r="207" spans="1:12" ht="15" customHeight="1" x14ac:dyDescent="0.2">
      <c r="A207" s="84" t="s">
        <v>1126</v>
      </c>
      <c r="B207" s="92" t="s">
        <v>689</v>
      </c>
      <c r="C207" s="473"/>
      <c r="D207" s="239"/>
      <c r="E207" s="510" t="s">
        <v>1037</v>
      </c>
      <c r="F207" s="471">
        <v>6788</v>
      </c>
      <c r="G207" s="514">
        <v>6788</v>
      </c>
      <c r="H207" s="517">
        <v>1</v>
      </c>
      <c r="I207" s="149"/>
      <c r="L207" s="468"/>
    </row>
    <row r="208" spans="1:12" ht="15" customHeight="1" x14ac:dyDescent="0.2">
      <c r="A208" s="84" t="s">
        <v>1277</v>
      </c>
      <c r="B208" s="92" t="s">
        <v>400</v>
      </c>
      <c r="C208" s="473">
        <v>169385</v>
      </c>
      <c r="D208" s="239">
        <v>140640</v>
      </c>
      <c r="E208" s="510">
        <v>0.83</v>
      </c>
      <c r="F208" s="471">
        <v>176483</v>
      </c>
      <c r="G208" s="514">
        <v>155977</v>
      </c>
      <c r="H208" s="517">
        <v>0.88380750553877707</v>
      </c>
      <c r="I208" s="149"/>
      <c r="L208" s="468"/>
    </row>
    <row r="209" spans="1:12" ht="15" customHeight="1" x14ac:dyDescent="0.2">
      <c r="A209" s="84" t="s">
        <v>1278</v>
      </c>
      <c r="B209" s="92" t="s">
        <v>401</v>
      </c>
      <c r="C209" s="473">
        <v>115735</v>
      </c>
      <c r="D209" s="239">
        <v>86050</v>
      </c>
      <c r="E209" s="510">
        <v>0.74</v>
      </c>
      <c r="F209" s="471"/>
      <c r="G209" s="514"/>
      <c r="H209" s="517"/>
      <c r="I209" s="149"/>
      <c r="L209" s="468"/>
    </row>
    <row r="210" spans="1:12" ht="15" customHeight="1" x14ac:dyDescent="0.2">
      <c r="A210" s="84" t="s">
        <v>1279</v>
      </c>
      <c r="B210" s="92" t="s">
        <v>402</v>
      </c>
      <c r="C210" s="473">
        <v>59810</v>
      </c>
      <c r="D210" s="239">
        <v>28605</v>
      </c>
      <c r="E210" s="510">
        <v>0.48</v>
      </c>
      <c r="F210" s="471"/>
      <c r="G210" s="514"/>
      <c r="H210" s="517"/>
      <c r="I210" s="149"/>
      <c r="L210" s="468"/>
    </row>
    <row r="211" spans="1:12" ht="15" customHeight="1" x14ac:dyDescent="0.2">
      <c r="A211" s="84" t="s">
        <v>1151</v>
      </c>
      <c r="B211" s="92" t="s">
        <v>629</v>
      </c>
      <c r="C211" s="473">
        <v>54505</v>
      </c>
      <c r="D211" s="239">
        <v>51170</v>
      </c>
      <c r="E211" s="510">
        <v>0.94</v>
      </c>
      <c r="F211" s="471"/>
      <c r="G211" s="514"/>
      <c r="H211" s="517"/>
      <c r="I211" s="149"/>
      <c r="L211" s="468"/>
    </row>
    <row r="212" spans="1:12" ht="15" customHeight="1" x14ac:dyDescent="0.2">
      <c r="A212" s="84" t="s">
        <v>1280</v>
      </c>
      <c r="B212" s="92" t="s">
        <v>403</v>
      </c>
      <c r="C212" s="473">
        <v>99415</v>
      </c>
      <c r="D212" s="239">
        <v>76410</v>
      </c>
      <c r="E212" s="510">
        <v>0.77</v>
      </c>
      <c r="F212" s="471">
        <v>99188</v>
      </c>
      <c r="G212" s="514">
        <v>76136</v>
      </c>
      <c r="H212" s="517">
        <v>0.76759285397427113</v>
      </c>
      <c r="I212" s="149"/>
      <c r="L212" s="468"/>
    </row>
    <row r="213" spans="1:12" ht="15" customHeight="1" x14ac:dyDescent="0.2">
      <c r="A213" s="84" t="s">
        <v>1127</v>
      </c>
      <c r="B213" s="92" t="s">
        <v>690</v>
      </c>
      <c r="C213" s="473"/>
      <c r="D213" s="239"/>
      <c r="E213" s="510" t="s">
        <v>1037</v>
      </c>
      <c r="F213" s="471">
        <v>33261</v>
      </c>
      <c r="G213" s="514">
        <v>33261</v>
      </c>
      <c r="H213" s="517">
        <v>1</v>
      </c>
      <c r="I213" s="149"/>
      <c r="L213" s="468"/>
    </row>
    <row r="214" spans="1:12" ht="15" customHeight="1" x14ac:dyDescent="0.2">
      <c r="A214" s="84" t="s">
        <v>1281</v>
      </c>
      <c r="B214" s="92" t="s">
        <v>404</v>
      </c>
      <c r="C214" s="473">
        <v>105260</v>
      </c>
      <c r="D214" s="239">
        <v>97765</v>
      </c>
      <c r="E214" s="510">
        <v>0.93</v>
      </c>
      <c r="F214" s="471">
        <v>105367</v>
      </c>
      <c r="G214" s="514">
        <v>97910</v>
      </c>
      <c r="H214" s="517">
        <v>0.92922831626600355</v>
      </c>
      <c r="I214" s="149"/>
      <c r="L214" s="468"/>
    </row>
    <row r="215" spans="1:12" ht="15" customHeight="1" x14ac:dyDescent="0.2">
      <c r="A215" s="84" t="s">
        <v>1282</v>
      </c>
      <c r="B215" s="92" t="s">
        <v>405</v>
      </c>
      <c r="C215" s="473">
        <v>115410</v>
      </c>
      <c r="D215" s="239">
        <v>113795</v>
      </c>
      <c r="E215" s="510">
        <v>0.99</v>
      </c>
      <c r="F215" s="471">
        <v>115960</v>
      </c>
      <c r="G215" s="514">
        <v>114624</v>
      </c>
      <c r="H215" s="517">
        <v>0.98847878578820281</v>
      </c>
      <c r="I215" s="149"/>
      <c r="L215" s="468"/>
    </row>
    <row r="216" spans="1:12" ht="15" customHeight="1" x14ac:dyDescent="0.2">
      <c r="A216" s="84" t="s">
        <v>1283</v>
      </c>
      <c r="B216" s="92" t="s">
        <v>406</v>
      </c>
      <c r="C216" s="473">
        <v>89545</v>
      </c>
      <c r="D216" s="239">
        <v>77365</v>
      </c>
      <c r="E216" s="510">
        <v>0.86</v>
      </c>
      <c r="F216" s="471"/>
      <c r="G216" s="514"/>
      <c r="H216" s="517"/>
      <c r="I216" s="149"/>
      <c r="L216" s="468"/>
    </row>
    <row r="217" spans="1:12" ht="15" customHeight="1" x14ac:dyDescent="0.2">
      <c r="A217" s="84" t="s">
        <v>1284</v>
      </c>
      <c r="B217" s="92" t="s">
        <v>407</v>
      </c>
      <c r="C217" s="473">
        <v>75505</v>
      </c>
      <c r="D217" s="239">
        <v>66935</v>
      </c>
      <c r="E217" s="510">
        <v>0.89</v>
      </c>
      <c r="F217" s="471">
        <v>75430</v>
      </c>
      <c r="G217" s="514">
        <v>67036</v>
      </c>
      <c r="H217" s="517">
        <v>0.88871801670422912</v>
      </c>
      <c r="I217" s="149"/>
      <c r="L217" s="468"/>
    </row>
    <row r="218" spans="1:12" ht="15" customHeight="1" x14ac:dyDescent="0.2">
      <c r="A218" s="84" t="s">
        <v>1128</v>
      </c>
      <c r="B218" s="92" t="s">
        <v>691</v>
      </c>
      <c r="C218" s="473"/>
      <c r="D218" s="239"/>
      <c r="E218" s="510" t="s">
        <v>1037</v>
      </c>
      <c r="F218" s="471">
        <v>2247</v>
      </c>
      <c r="G218" s="514">
        <v>2246</v>
      </c>
      <c r="H218" s="517">
        <v>0.99955496217178463</v>
      </c>
      <c r="I218" s="149"/>
      <c r="L218" s="468"/>
    </row>
    <row r="219" spans="1:12" ht="15" customHeight="1" x14ac:dyDescent="0.2">
      <c r="A219" s="84" t="s">
        <v>1129</v>
      </c>
      <c r="B219" s="92" t="s">
        <v>692</v>
      </c>
      <c r="C219" s="473"/>
      <c r="D219" s="239"/>
      <c r="E219" s="510" t="s">
        <v>1037</v>
      </c>
      <c r="F219" s="471">
        <v>9879</v>
      </c>
      <c r="G219" s="514">
        <v>9879</v>
      </c>
      <c r="H219" s="517">
        <v>1</v>
      </c>
      <c r="I219" s="149"/>
      <c r="L219" s="468"/>
    </row>
    <row r="220" spans="1:12" ht="15" customHeight="1" x14ac:dyDescent="0.2">
      <c r="A220" s="84" t="s">
        <v>1285</v>
      </c>
      <c r="B220" s="92" t="s">
        <v>409</v>
      </c>
      <c r="C220" s="473">
        <v>107520</v>
      </c>
      <c r="D220" s="239">
        <v>79555</v>
      </c>
      <c r="E220" s="510">
        <v>0.74</v>
      </c>
      <c r="F220" s="471">
        <v>174606</v>
      </c>
      <c r="G220" s="514">
        <v>146615</v>
      </c>
      <c r="H220" s="517">
        <v>0.83969050319003924</v>
      </c>
      <c r="I220" s="149"/>
      <c r="L220" s="468"/>
    </row>
    <row r="221" spans="1:12" ht="15" customHeight="1" x14ac:dyDescent="0.2">
      <c r="A221" s="84" t="s">
        <v>1286</v>
      </c>
      <c r="B221" s="92" t="s">
        <v>410</v>
      </c>
      <c r="C221" s="473">
        <v>97195</v>
      </c>
      <c r="D221" s="239">
        <v>69145</v>
      </c>
      <c r="E221" s="510">
        <v>0.71</v>
      </c>
      <c r="F221" s="471">
        <v>164736</v>
      </c>
      <c r="G221" s="514">
        <v>135724</v>
      </c>
      <c r="H221" s="517">
        <v>0.82388791763791769</v>
      </c>
      <c r="I221" s="149"/>
      <c r="L221" s="468"/>
    </row>
    <row r="222" spans="1:12" ht="15" customHeight="1" x14ac:dyDescent="0.2">
      <c r="A222" s="84" t="s">
        <v>1130</v>
      </c>
      <c r="B222" s="92" t="s">
        <v>693</v>
      </c>
      <c r="C222" s="473"/>
      <c r="D222" s="239"/>
      <c r="E222" s="510" t="s">
        <v>1037</v>
      </c>
      <c r="F222" s="471">
        <v>40530</v>
      </c>
      <c r="G222" s="514">
        <v>40530</v>
      </c>
      <c r="H222" s="517">
        <v>1</v>
      </c>
      <c r="I222" s="149"/>
      <c r="L222" s="468"/>
    </row>
    <row r="223" spans="1:12" ht="15" customHeight="1" x14ac:dyDescent="0.2">
      <c r="A223" s="84" t="s">
        <v>1287</v>
      </c>
      <c r="B223" s="92" t="s">
        <v>411</v>
      </c>
      <c r="C223" s="473">
        <v>219780</v>
      </c>
      <c r="D223" s="239">
        <v>208565</v>
      </c>
      <c r="E223" s="510">
        <v>0.95</v>
      </c>
      <c r="F223" s="471">
        <v>241827</v>
      </c>
      <c r="G223" s="514">
        <v>230897</v>
      </c>
      <c r="H223" s="517">
        <v>0.95480240006285488</v>
      </c>
      <c r="I223" s="149"/>
      <c r="L223" s="468"/>
    </row>
    <row r="224" spans="1:12" ht="15" customHeight="1" x14ac:dyDescent="0.2">
      <c r="A224" s="84" t="s">
        <v>1131</v>
      </c>
      <c r="B224" s="92" t="s">
        <v>694</v>
      </c>
      <c r="C224" s="473"/>
      <c r="D224" s="239"/>
      <c r="E224" s="510" t="s">
        <v>1037</v>
      </c>
      <c r="F224" s="471">
        <v>43274</v>
      </c>
      <c r="G224" s="514">
        <v>43274</v>
      </c>
      <c r="H224" s="517">
        <v>1</v>
      </c>
      <c r="I224" s="149"/>
      <c r="L224" s="468"/>
    </row>
    <row r="225" spans="1:12" ht="15" customHeight="1" x14ac:dyDescent="0.2">
      <c r="A225" s="84" t="s">
        <v>1288</v>
      </c>
      <c r="B225" s="92" t="s">
        <v>412</v>
      </c>
      <c r="C225" s="473">
        <v>106640</v>
      </c>
      <c r="D225" s="239">
        <v>79545</v>
      </c>
      <c r="E225" s="510">
        <v>0.75</v>
      </c>
      <c r="F225" s="471">
        <v>106539</v>
      </c>
      <c r="G225" s="514">
        <v>79257</v>
      </c>
      <c r="H225" s="517">
        <v>0.74392475994706164</v>
      </c>
      <c r="I225" s="149"/>
      <c r="L225" s="468"/>
    </row>
    <row r="226" spans="1:12" ht="15" customHeight="1" x14ac:dyDescent="0.2">
      <c r="A226" s="84" t="s">
        <v>1289</v>
      </c>
      <c r="B226" s="92" t="s">
        <v>413</v>
      </c>
      <c r="C226" s="473">
        <v>68090</v>
      </c>
      <c r="D226" s="239">
        <v>56080</v>
      </c>
      <c r="E226" s="510">
        <v>0.82</v>
      </c>
      <c r="F226" s="471">
        <v>68673</v>
      </c>
      <c r="G226" s="514">
        <v>56645</v>
      </c>
      <c r="H226" s="517">
        <v>0.82485110596595457</v>
      </c>
      <c r="I226" s="149"/>
      <c r="L226" s="468"/>
    </row>
    <row r="227" spans="1:12" ht="15" customHeight="1" x14ac:dyDescent="0.2">
      <c r="A227" s="84" t="s">
        <v>1132</v>
      </c>
      <c r="B227" s="92" t="s">
        <v>695</v>
      </c>
      <c r="C227" s="473"/>
      <c r="D227" s="239"/>
      <c r="E227" s="510" t="s">
        <v>1037</v>
      </c>
      <c r="F227" s="471">
        <v>17910</v>
      </c>
      <c r="G227" s="514">
        <v>17910</v>
      </c>
      <c r="H227" s="517">
        <v>1</v>
      </c>
      <c r="I227" s="149"/>
      <c r="L227" s="468"/>
    </row>
    <row r="228" spans="1:12" ht="15" customHeight="1" x14ac:dyDescent="0.2">
      <c r="A228" s="84" t="s">
        <v>1290</v>
      </c>
      <c r="B228" s="92" t="s">
        <v>414</v>
      </c>
      <c r="C228" s="473">
        <v>100975</v>
      </c>
      <c r="D228" s="239">
        <v>86105</v>
      </c>
      <c r="E228" s="510">
        <v>0.85</v>
      </c>
      <c r="F228" s="471">
        <v>100970</v>
      </c>
      <c r="G228" s="514">
        <v>86465</v>
      </c>
      <c r="H228" s="517">
        <v>0.85634346835693775</v>
      </c>
      <c r="I228" s="149"/>
      <c r="L228" s="468"/>
    </row>
    <row r="229" spans="1:12" ht="15" customHeight="1" x14ac:dyDescent="0.2">
      <c r="A229" s="84" t="s">
        <v>1291</v>
      </c>
      <c r="B229" s="92" t="s">
        <v>415</v>
      </c>
      <c r="C229" s="473">
        <v>95305</v>
      </c>
      <c r="D229" s="239">
        <v>86925</v>
      </c>
      <c r="E229" s="510">
        <v>0.91</v>
      </c>
      <c r="F229" s="471">
        <v>103492</v>
      </c>
      <c r="G229" s="514">
        <v>96100</v>
      </c>
      <c r="H229" s="517">
        <v>0.92857418930931857</v>
      </c>
      <c r="I229" s="149"/>
      <c r="L229" s="468"/>
    </row>
    <row r="230" spans="1:12" ht="15" customHeight="1" x14ac:dyDescent="0.2">
      <c r="A230" s="84" t="s">
        <v>1292</v>
      </c>
      <c r="B230" s="92" t="s">
        <v>416</v>
      </c>
      <c r="C230" s="473">
        <v>191740</v>
      </c>
      <c r="D230" s="239">
        <v>166305</v>
      </c>
      <c r="E230" s="510">
        <v>0.87</v>
      </c>
      <c r="F230" s="471">
        <v>240694</v>
      </c>
      <c r="G230" s="514">
        <v>219328</v>
      </c>
      <c r="H230" s="517">
        <v>0.91123168836780311</v>
      </c>
      <c r="I230" s="149"/>
      <c r="L230" s="468"/>
    </row>
    <row r="231" spans="1:12" ht="15" customHeight="1" x14ac:dyDescent="0.2">
      <c r="A231" s="84" t="s">
        <v>1133</v>
      </c>
      <c r="B231" s="92" t="s">
        <v>634</v>
      </c>
      <c r="C231" s="473">
        <v>41110</v>
      </c>
      <c r="D231" s="239">
        <v>41055</v>
      </c>
      <c r="E231" s="510">
        <v>1</v>
      </c>
      <c r="F231" s="471">
        <v>40934</v>
      </c>
      <c r="G231" s="514">
        <v>40930</v>
      </c>
      <c r="H231" s="517">
        <v>0.99990228172179607</v>
      </c>
      <c r="I231" s="149"/>
      <c r="L231" s="468"/>
    </row>
    <row r="232" spans="1:12" ht="15" customHeight="1" x14ac:dyDescent="0.2">
      <c r="A232" s="84" t="s">
        <v>1293</v>
      </c>
      <c r="B232" s="92" t="s">
        <v>392</v>
      </c>
      <c r="C232" s="473">
        <v>111910</v>
      </c>
      <c r="D232" s="239">
        <v>94710</v>
      </c>
      <c r="E232" s="510">
        <v>0.85</v>
      </c>
      <c r="F232" s="471">
        <v>112826</v>
      </c>
      <c r="G232" s="514">
        <v>96303</v>
      </c>
      <c r="H232" s="517">
        <v>0.85355325900058499</v>
      </c>
      <c r="I232" s="149"/>
      <c r="L232" s="468"/>
    </row>
    <row r="233" spans="1:12" ht="15" customHeight="1" x14ac:dyDescent="0.2">
      <c r="A233" s="84" t="s">
        <v>1134</v>
      </c>
      <c r="B233" s="92" t="s">
        <v>1025</v>
      </c>
      <c r="C233" s="473">
        <v>13340</v>
      </c>
      <c r="D233" s="239">
        <v>13180</v>
      </c>
      <c r="E233" s="510">
        <v>0.99</v>
      </c>
      <c r="F233" s="471"/>
      <c r="G233" s="514"/>
      <c r="H233" s="517"/>
      <c r="I233" s="149"/>
      <c r="L233" s="468"/>
    </row>
    <row r="234" spans="1:12" ht="15" customHeight="1" x14ac:dyDescent="0.2">
      <c r="A234" s="84" t="s">
        <v>1135</v>
      </c>
      <c r="B234" s="92" t="s">
        <v>623</v>
      </c>
      <c r="C234" s="473">
        <v>94570</v>
      </c>
      <c r="D234" s="239">
        <v>90055</v>
      </c>
      <c r="E234" s="510">
        <v>0.95</v>
      </c>
      <c r="F234" s="471"/>
      <c r="G234" s="514"/>
      <c r="H234" s="517"/>
      <c r="I234" s="149"/>
      <c r="L234" s="468"/>
    </row>
    <row r="235" spans="1:12" ht="15" customHeight="1" x14ac:dyDescent="0.2">
      <c r="A235" s="84" t="s">
        <v>1136</v>
      </c>
      <c r="B235" s="92" t="s">
        <v>622</v>
      </c>
      <c r="C235" s="473">
        <v>69570</v>
      </c>
      <c r="D235" s="239">
        <v>67880</v>
      </c>
      <c r="E235" s="510">
        <v>0.98</v>
      </c>
      <c r="F235" s="471"/>
      <c r="G235" s="514"/>
      <c r="H235" s="517"/>
      <c r="I235" s="149"/>
      <c r="L235" s="468"/>
    </row>
    <row r="236" spans="1:12" ht="15" customHeight="1" x14ac:dyDescent="0.2">
      <c r="A236" s="84" t="s">
        <v>1294</v>
      </c>
      <c r="B236" s="92" t="s">
        <v>418</v>
      </c>
      <c r="C236" s="473">
        <v>147040</v>
      </c>
      <c r="D236" s="239">
        <v>96900</v>
      </c>
      <c r="E236" s="510">
        <v>0.66</v>
      </c>
      <c r="F236" s="471">
        <v>166701</v>
      </c>
      <c r="G236" s="514">
        <v>116272</v>
      </c>
      <c r="H236" s="517">
        <v>0.69748831740661421</v>
      </c>
      <c r="I236" s="149"/>
      <c r="L236" s="468"/>
    </row>
    <row r="237" spans="1:12" ht="15" customHeight="1" x14ac:dyDescent="0.2">
      <c r="A237" s="84" t="s">
        <v>1295</v>
      </c>
      <c r="B237" s="92" t="s">
        <v>419</v>
      </c>
      <c r="C237" s="473">
        <v>142075</v>
      </c>
      <c r="D237" s="239">
        <v>118875</v>
      </c>
      <c r="E237" s="510">
        <v>0.84</v>
      </c>
      <c r="F237" s="471">
        <v>142352</v>
      </c>
      <c r="G237" s="514">
        <v>119459</v>
      </c>
      <c r="H237" s="517">
        <v>0.83918034168820954</v>
      </c>
      <c r="I237" s="149"/>
      <c r="L237" s="468"/>
    </row>
    <row r="238" spans="1:12" ht="15" customHeight="1" x14ac:dyDescent="0.2">
      <c r="A238" s="84" t="s">
        <v>1296</v>
      </c>
      <c r="B238" s="92" t="s">
        <v>420</v>
      </c>
      <c r="C238" s="473">
        <v>151195</v>
      </c>
      <c r="D238" s="239">
        <v>130430</v>
      </c>
      <c r="E238" s="510">
        <v>0.86</v>
      </c>
      <c r="F238" s="471">
        <v>151272</v>
      </c>
      <c r="G238" s="514">
        <v>130503</v>
      </c>
      <c r="H238" s="517">
        <v>0.8627042678089798</v>
      </c>
      <c r="I238" s="149"/>
      <c r="L238" s="468"/>
    </row>
    <row r="239" spans="1:12" ht="15" customHeight="1" x14ac:dyDescent="0.2">
      <c r="A239" s="84" t="s">
        <v>1297</v>
      </c>
      <c r="B239" s="92" t="s">
        <v>1026</v>
      </c>
      <c r="C239" s="473">
        <v>408230</v>
      </c>
      <c r="D239" s="239">
        <v>313045</v>
      </c>
      <c r="E239" s="510">
        <v>0.77</v>
      </c>
      <c r="F239" s="471">
        <v>336878</v>
      </c>
      <c r="G239" s="514">
        <v>253772</v>
      </c>
      <c r="H239" s="517">
        <v>0.75330535089854489</v>
      </c>
      <c r="I239" s="149"/>
      <c r="L239" s="468"/>
    </row>
    <row r="240" spans="1:12" ht="15" customHeight="1" x14ac:dyDescent="0.2">
      <c r="A240" s="84" t="s">
        <v>1298</v>
      </c>
      <c r="B240" s="92" t="s">
        <v>421</v>
      </c>
      <c r="C240" s="473">
        <v>141260</v>
      </c>
      <c r="D240" s="239">
        <v>122020</v>
      </c>
      <c r="E240" s="510">
        <v>0.86</v>
      </c>
      <c r="F240" s="471">
        <v>141315</v>
      </c>
      <c r="G240" s="514">
        <v>122086</v>
      </c>
      <c r="H240" s="517">
        <v>0.86392810388139973</v>
      </c>
      <c r="I240" s="149"/>
      <c r="L240" s="468"/>
    </row>
    <row r="241" spans="1:12" ht="15" customHeight="1" x14ac:dyDescent="0.2">
      <c r="A241" s="84" t="s">
        <v>1299</v>
      </c>
      <c r="B241" s="92" t="s">
        <v>422</v>
      </c>
      <c r="C241" s="473">
        <v>240895</v>
      </c>
      <c r="D241" s="239">
        <v>209050</v>
      </c>
      <c r="E241" s="510">
        <v>0.87</v>
      </c>
      <c r="F241" s="471">
        <v>242949</v>
      </c>
      <c r="G241" s="514">
        <v>211142</v>
      </c>
      <c r="H241" s="517">
        <v>0.86907951874673284</v>
      </c>
      <c r="I241" s="149"/>
      <c r="L241" s="468"/>
    </row>
    <row r="242" spans="1:12" ht="15" customHeight="1" x14ac:dyDescent="0.2">
      <c r="A242" s="84" t="s">
        <v>1300</v>
      </c>
      <c r="B242" s="92" t="s">
        <v>423</v>
      </c>
      <c r="C242" s="473">
        <v>249790</v>
      </c>
      <c r="D242" s="239">
        <v>192000</v>
      </c>
      <c r="E242" s="510">
        <v>0.77</v>
      </c>
      <c r="F242" s="471">
        <v>251610</v>
      </c>
      <c r="G242" s="514">
        <v>193703</v>
      </c>
      <c r="H242" s="517">
        <v>0.76985413934263347</v>
      </c>
      <c r="I242" s="149"/>
      <c r="L242" s="468"/>
    </row>
    <row r="243" spans="1:12" ht="15" customHeight="1" x14ac:dyDescent="0.2">
      <c r="A243" s="84" t="s">
        <v>1301</v>
      </c>
      <c r="B243" s="92" t="s">
        <v>424</v>
      </c>
      <c r="C243" s="473">
        <v>115780</v>
      </c>
      <c r="D243" s="239">
        <v>96925</v>
      </c>
      <c r="E243" s="510">
        <v>0.84</v>
      </c>
      <c r="F243" s="471">
        <v>120143</v>
      </c>
      <c r="G243" s="514">
        <v>102160</v>
      </c>
      <c r="H243" s="517">
        <v>0.85032003529127786</v>
      </c>
      <c r="I243" s="149"/>
      <c r="L243" s="468"/>
    </row>
    <row r="244" spans="1:12" ht="15" customHeight="1" x14ac:dyDescent="0.2">
      <c r="A244" s="84" t="s">
        <v>1302</v>
      </c>
      <c r="B244" s="92" t="s">
        <v>425</v>
      </c>
      <c r="C244" s="473">
        <v>227250</v>
      </c>
      <c r="D244" s="239">
        <v>183945</v>
      </c>
      <c r="E244" s="510">
        <v>0.81</v>
      </c>
      <c r="F244" s="471">
        <v>263897</v>
      </c>
      <c r="G244" s="514">
        <v>219909</v>
      </c>
      <c r="H244" s="517">
        <v>0.83331375498774141</v>
      </c>
      <c r="I244" s="149"/>
      <c r="L244" s="468"/>
    </row>
    <row r="245" spans="1:12" ht="15" customHeight="1" x14ac:dyDescent="0.2">
      <c r="A245" s="84" t="s">
        <v>1303</v>
      </c>
      <c r="B245" s="92" t="s">
        <v>373</v>
      </c>
      <c r="C245" s="473">
        <v>153335</v>
      </c>
      <c r="D245" s="239">
        <v>123915</v>
      </c>
      <c r="E245" s="510">
        <v>0.81</v>
      </c>
      <c r="F245" s="471"/>
      <c r="G245" s="514"/>
      <c r="H245" s="517"/>
      <c r="I245" s="149"/>
      <c r="L245" s="468"/>
    </row>
    <row r="246" spans="1:12" ht="15" customHeight="1" x14ac:dyDescent="0.2">
      <c r="A246" s="84" t="s">
        <v>1137</v>
      </c>
      <c r="B246" s="92" t="s">
        <v>639</v>
      </c>
      <c r="C246" s="473">
        <v>38710</v>
      </c>
      <c r="D246" s="239">
        <v>38250</v>
      </c>
      <c r="E246" s="510">
        <v>0.99</v>
      </c>
      <c r="F246" s="471"/>
      <c r="G246" s="514"/>
      <c r="H246" s="517"/>
      <c r="I246" s="149"/>
      <c r="L246" s="468"/>
    </row>
    <row r="247" spans="1:12" ht="15" customHeight="1" x14ac:dyDescent="0.2">
      <c r="A247" s="84" t="s">
        <v>1138</v>
      </c>
      <c r="B247" s="92" t="s">
        <v>696</v>
      </c>
      <c r="C247" s="473"/>
      <c r="D247" s="239"/>
      <c r="E247" s="510" t="s">
        <v>1037</v>
      </c>
      <c r="F247" s="471">
        <v>115415</v>
      </c>
      <c r="G247" s="514">
        <v>113897</v>
      </c>
      <c r="H247" s="517">
        <v>0.98684746350127794</v>
      </c>
      <c r="I247" s="149"/>
      <c r="L247" s="468"/>
    </row>
    <row r="248" spans="1:12" ht="15" customHeight="1" x14ac:dyDescent="0.2">
      <c r="A248" s="84" t="s">
        <v>1139</v>
      </c>
      <c r="B248" s="92" t="s">
        <v>1028</v>
      </c>
      <c r="C248" s="473">
        <v>18160</v>
      </c>
      <c r="D248" s="239">
        <v>17865</v>
      </c>
      <c r="E248" s="510">
        <v>0.98</v>
      </c>
      <c r="F248" s="471"/>
      <c r="G248" s="514"/>
      <c r="H248" s="517"/>
      <c r="I248" s="149"/>
      <c r="L248" s="468"/>
    </row>
    <row r="249" spans="1:12" ht="15" customHeight="1" x14ac:dyDescent="0.2">
      <c r="A249" s="84" t="s">
        <v>1140</v>
      </c>
      <c r="B249" s="92" t="s">
        <v>652</v>
      </c>
      <c r="C249" s="473"/>
      <c r="D249" s="239"/>
      <c r="E249" s="510" t="s">
        <v>1037</v>
      </c>
      <c r="F249" s="471">
        <v>1478</v>
      </c>
      <c r="G249" s="514">
        <v>1478</v>
      </c>
      <c r="H249" s="517">
        <v>1</v>
      </c>
      <c r="I249" s="149"/>
      <c r="L249" s="468"/>
    </row>
    <row r="250" spans="1:12" ht="15" customHeight="1" x14ac:dyDescent="0.2">
      <c r="A250" s="84" t="s">
        <v>1304</v>
      </c>
      <c r="B250" s="92" t="s">
        <v>426</v>
      </c>
      <c r="C250" s="473">
        <v>79205</v>
      </c>
      <c r="D250" s="239">
        <v>56795</v>
      </c>
      <c r="E250" s="510">
        <v>0.72</v>
      </c>
      <c r="F250" s="471">
        <v>118180</v>
      </c>
      <c r="G250" s="514">
        <v>96110</v>
      </c>
      <c r="H250" s="517">
        <v>0.81325097309189376</v>
      </c>
      <c r="I250" s="149"/>
      <c r="L250" s="468"/>
    </row>
    <row r="251" spans="1:12" ht="15" customHeight="1" x14ac:dyDescent="0.2">
      <c r="A251" s="84" t="s">
        <v>1141</v>
      </c>
      <c r="B251" s="92" t="s">
        <v>697</v>
      </c>
      <c r="C251" s="473"/>
      <c r="D251" s="239"/>
      <c r="E251" s="510" t="s">
        <v>1037</v>
      </c>
      <c r="F251" s="471">
        <v>38294</v>
      </c>
      <c r="G251" s="514">
        <v>38294</v>
      </c>
      <c r="H251" s="517">
        <v>1</v>
      </c>
      <c r="I251" s="149"/>
      <c r="L251" s="468"/>
    </row>
    <row r="252" spans="1:12" s="391" customFormat="1" ht="15" customHeight="1" x14ac:dyDescent="0.2">
      <c r="A252" s="84" t="s">
        <v>1305</v>
      </c>
      <c r="B252" s="92" t="s">
        <v>427</v>
      </c>
      <c r="C252" s="473">
        <v>113395</v>
      </c>
      <c r="D252" s="239">
        <v>92525</v>
      </c>
      <c r="E252" s="510">
        <v>0.82</v>
      </c>
      <c r="F252" s="471">
        <v>113349</v>
      </c>
      <c r="G252" s="514">
        <v>93482</v>
      </c>
      <c r="H252" s="517">
        <v>0.82472717006766716</v>
      </c>
      <c r="I252" s="149"/>
      <c r="J252" s="147"/>
      <c r="L252" s="468"/>
    </row>
    <row r="253" spans="1:12" ht="15" customHeight="1" x14ac:dyDescent="0.2">
      <c r="A253" s="84" t="s">
        <v>1142</v>
      </c>
      <c r="B253" s="92" t="s">
        <v>626</v>
      </c>
      <c r="C253" s="473">
        <v>29855</v>
      </c>
      <c r="D253" s="239">
        <v>28430</v>
      </c>
      <c r="E253" s="510">
        <v>0.95</v>
      </c>
      <c r="F253" s="471"/>
      <c r="G253" s="514"/>
      <c r="H253" s="517"/>
      <c r="I253" s="149"/>
      <c r="L253" s="468"/>
    </row>
    <row r="254" spans="1:12" ht="15" customHeight="1" x14ac:dyDescent="0.2">
      <c r="A254" s="84" t="s">
        <v>1306</v>
      </c>
      <c r="B254" s="92" t="s">
        <v>428</v>
      </c>
      <c r="C254" s="473">
        <v>149710</v>
      </c>
      <c r="D254" s="239">
        <v>118845</v>
      </c>
      <c r="E254" s="510">
        <v>0.79</v>
      </c>
      <c r="F254" s="471">
        <v>150794</v>
      </c>
      <c r="G254" s="514">
        <v>121985</v>
      </c>
      <c r="H254" s="517">
        <v>0.80895128453386744</v>
      </c>
      <c r="I254" s="149"/>
      <c r="L254" s="468"/>
    </row>
    <row r="255" spans="1:12" ht="15" customHeight="1" x14ac:dyDescent="0.2">
      <c r="A255" s="84" t="s">
        <v>1307</v>
      </c>
      <c r="B255" s="92" t="s">
        <v>429</v>
      </c>
      <c r="C255" s="473">
        <v>73690</v>
      </c>
      <c r="D255" s="239">
        <v>66790</v>
      </c>
      <c r="E255" s="510">
        <v>0.91</v>
      </c>
      <c r="F255" s="471">
        <v>74635</v>
      </c>
      <c r="G255" s="514">
        <v>67705</v>
      </c>
      <c r="H255" s="517">
        <v>0.90714812085482688</v>
      </c>
      <c r="I255" s="149"/>
      <c r="L255" s="468"/>
    </row>
    <row r="256" spans="1:12" ht="15" customHeight="1" x14ac:dyDescent="0.2">
      <c r="A256" s="84" t="s">
        <v>1308</v>
      </c>
      <c r="B256" s="92" t="s">
        <v>1029</v>
      </c>
      <c r="C256" s="473">
        <v>144045</v>
      </c>
      <c r="D256" s="239">
        <v>135120</v>
      </c>
      <c r="E256" s="510">
        <v>0.94</v>
      </c>
      <c r="F256" s="471">
        <v>145302</v>
      </c>
      <c r="G256" s="514">
        <v>136171</v>
      </c>
      <c r="H256" s="517">
        <v>0.93715846994535523</v>
      </c>
      <c r="I256" s="149"/>
      <c r="L256" s="468"/>
    </row>
    <row r="257" spans="1:12" ht="15" customHeight="1" x14ac:dyDescent="0.2">
      <c r="A257" s="84" t="s">
        <v>1309</v>
      </c>
      <c r="B257" s="92" t="s">
        <v>430</v>
      </c>
      <c r="C257" s="473">
        <v>48710</v>
      </c>
      <c r="D257" s="239">
        <v>42040</v>
      </c>
      <c r="E257" s="510">
        <v>0.86</v>
      </c>
      <c r="F257" s="471">
        <v>49468</v>
      </c>
      <c r="G257" s="514">
        <v>42922</v>
      </c>
      <c r="H257" s="517">
        <v>0.86767203040349317</v>
      </c>
      <c r="I257" s="149"/>
      <c r="L257" s="468"/>
    </row>
    <row r="258" spans="1:12" x14ac:dyDescent="0.2">
      <c r="A258" s="84" t="s">
        <v>1143</v>
      </c>
      <c r="B258" s="92" t="s">
        <v>698</v>
      </c>
      <c r="C258" s="473"/>
      <c r="D258" s="239"/>
      <c r="E258" s="510" t="s">
        <v>1037</v>
      </c>
      <c r="F258" s="471">
        <v>34177</v>
      </c>
      <c r="G258" s="514">
        <v>34177</v>
      </c>
      <c r="H258" s="517">
        <v>1</v>
      </c>
      <c r="I258" s="149"/>
      <c r="L258" s="468"/>
    </row>
    <row r="259" spans="1:12" x14ac:dyDescent="0.2">
      <c r="A259" s="84" t="s">
        <v>1310</v>
      </c>
      <c r="B259" s="92" t="s">
        <v>417</v>
      </c>
      <c r="C259" s="473">
        <v>108655</v>
      </c>
      <c r="D259" s="239">
        <v>95575</v>
      </c>
      <c r="E259" s="510">
        <v>0.88</v>
      </c>
      <c r="F259" s="471">
        <v>108646</v>
      </c>
      <c r="G259" s="514">
        <v>95508</v>
      </c>
      <c r="H259" s="517">
        <v>0.87907516153378862</v>
      </c>
      <c r="I259" s="149"/>
      <c r="L259" s="468"/>
    </row>
    <row r="260" spans="1:12" x14ac:dyDescent="0.2">
      <c r="A260" s="84" t="s">
        <v>1144</v>
      </c>
      <c r="B260" s="92" t="s">
        <v>1031</v>
      </c>
      <c r="C260" s="473">
        <v>15045</v>
      </c>
      <c r="D260" s="239">
        <v>14860</v>
      </c>
      <c r="E260" s="510">
        <v>0.99</v>
      </c>
      <c r="F260" s="471"/>
      <c r="G260" s="514"/>
      <c r="H260" s="517"/>
      <c r="I260" s="149"/>
      <c r="L260" s="468"/>
    </row>
    <row r="261" spans="1:12" x14ac:dyDescent="0.2">
      <c r="A261" s="84" t="s">
        <v>1145</v>
      </c>
      <c r="B261" s="92" t="s">
        <v>1032</v>
      </c>
      <c r="C261" s="473"/>
      <c r="D261" s="239"/>
      <c r="E261" s="510" t="s">
        <v>1037</v>
      </c>
      <c r="F261" s="471">
        <v>36486</v>
      </c>
      <c r="G261" s="514">
        <v>36104</v>
      </c>
      <c r="H261" s="517">
        <v>0.98953023077344737</v>
      </c>
      <c r="I261" s="149"/>
      <c r="L261" s="468"/>
    </row>
    <row r="262" spans="1:12" x14ac:dyDescent="0.2">
      <c r="A262" s="84" t="s">
        <v>1311</v>
      </c>
      <c r="B262" s="92" t="s">
        <v>439</v>
      </c>
      <c r="C262" s="473">
        <v>87770</v>
      </c>
      <c r="D262" s="239">
        <v>0</v>
      </c>
      <c r="E262" s="510">
        <v>0</v>
      </c>
      <c r="F262" s="471">
        <v>51682</v>
      </c>
      <c r="G262" s="514">
        <v>51517</v>
      </c>
      <c r="H262" s="517">
        <v>0.99680739909446225</v>
      </c>
      <c r="I262" s="149"/>
      <c r="L262" s="468"/>
    </row>
    <row r="263" spans="1:12" x14ac:dyDescent="0.2">
      <c r="A263" s="84" t="s">
        <v>1312</v>
      </c>
      <c r="B263" s="92" t="s">
        <v>431</v>
      </c>
      <c r="C263" s="473">
        <v>90520</v>
      </c>
      <c r="D263" s="239">
        <v>63625</v>
      </c>
      <c r="E263" s="510">
        <v>0.7</v>
      </c>
      <c r="F263" s="471">
        <v>127990</v>
      </c>
      <c r="G263" s="514">
        <v>101107</v>
      </c>
      <c r="H263" s="517">
        <v>0.78996015313696377</v>
      </c>
      <c r="I263" s="149"/>
      <c r="L263" s="468"/>
    </row>
    <row r="264" spans="1:12" x14ac:dyDescent="0.2">
      <c r="A264" s="84" t="s">
        <v>1146</v>
      </c>
      <c r="B264" s="92" t="s">
        <v>632</v>
      </c>
      <c r="C264" s="473">
        <v>15</v>
      </c>
      <c r="D264" s="239">
        <v>15</v>
      </c>
      <c r="E264" s="510" t="s">
        <v>1037</v>
      </c>
      <c r="F264" s="471"/>
      <c r="G264" s="514"/>
      <c r="H264" s="517"/>
      <c r="I264" s="149"/>
      <c r="L264" s="468"/>
    </row>
    <row r="265" spans="1:12" x14ac:dyDescent="0.2">
      <c r="A265" s="84" t="s">
        <v>1147</v>
      </c>
      <c r="B265" s="92" t="s">
        <v>645</v>
      </c>
      <c r="C265" s="473">
        <v>39925</v>
      </c>
      <c r="D265" s="239">
        <v>39750</v>
      </c>
      <c r="E265" s="510">
        <v>1</v>
      </c>
      <c r="F265" s="471"/>
      <c r="G265" s="514"/>
      <c r="H265" s="517"/>
      <c r="I265" s="149"/>
      <c r="L265" s="468"/>
    </row>
    <row r="266" spans="1:12" x14ac:dyDescent="0.2">
      <c r="A266" s="84" t="s">
        <v>1313</v>
      </c>
      <c r="B266" s="92" t="s">
        <v>1033</v>
      </c>
      <c r="C266" s="473">
        <v>197820</v>
      </c>
      <c r="D266" s="239">
        <v>151350</v>
      </c>
      <c r="E266" s="510">
        <v>0.77</v>
      </c>
      <c r="F266" s="471">
        <v>194971</v>
      </c>
      <c r="G266" s="514">
        <v>148029</v>
      </c>
      <c r="H266" s="517">
        <v>0.75923598894194522</v>
      </c>
      <c r="I266" s="149"/>
      <c r="L266" s="468"/>
    </row>
    <row r="267" spans="1:12" x14ac:dyDescent="0.2">
      <c r="A267" s="84" t="s">
        <v>1148</v>
      </c>
      <c r="B267" s="92" t="s">
        <v>699</v>
      </c>
      <c r="C267" s="473"/>
      <c r="D267" s="239"/>
      <c r="E267" s="510" t="s">
        <v>1037</v>
      </c>
      <c r="F267" s="471">
        <v>5480</v>
      </c>
      <c r="G267" s="514">
        <v>5480</v>
      </c>
      <c r="H267" s="517">
        <v>1</v>
      </c>
      <c r="I267" s="149"/>
      <c r="L267" s="468"/>
    </row>
    <row r="268" spans="1:12" x14ac:dyDescent="0.2">
      <c r="A268" s="84" t="s">
        <v>1314</v>
      </c>
      <c r="B268" s="92" t="s">
        <v>432</v>
      </c>
      <c r="C268" s="473">
        <v>94040</v>
      </c>
      <c r="D268" s="239">
        <v>77230</v>
      </c>
      <c r="E268" s="510">
        <v>0.82</v>
      </c>
      <c r="F268" s="471">
        <v>94076</v>
      </c>
      <c r="G268" s="514">
        <v>77211</v>
      </c>
      <c r="H268" s="517">
        <v>0.82073004804626049</v>
      </c>
      <c r="I268" s="149"/>
      <c r="L268" s="468"/>
    </row>
    <row r="269" spans="1:12" x14ac:dyDescent="0.2">
      <c r="A269" s="84" t="s">
        <v>1315</v>
      </c>
      <c r="B269" s="92" t="s">
        <v>433</v>
      </c>
      <c r="C269" s="473">
        <v>61060</v>
      </c>
      <c r="D269" s="239">
        <v>43245</v>
      </c>
      <c r="E269" s="510">
        <v>0.71</v>
      </c>
      <c r="F269" s="471">
        <v>63775</v>
      </c>
      <c r="G269" s="514">
        <v>48536</v>
      </c>
      <c r="H269" s="517">
        <v>0.76105056840454721</v>
      </c>
      <c r="I269" s="149"/>
      <c r="L269" s="468"/>
    </row>
    <row r="270" spans="1:12" x14ac:dyDescent="0.2">
      <c r="A270" s="84" t="s">
        <v>1149</v>
      </c>
      <c r="B270" s="92" t="s">
        <v>434</v>
      </c>
      <c r="C270" s="473">
        <v>18470</v>
      </c>
      <c r="D270" s="239">
        <v>18430</v>
      </c>
      <c r="E270" s="510">
        <v>1</v>
      </c>
      <c r="F270" s="471">
        <v>20131</v>
      </c>
      <c r="G270" s="514">
        <v>20084</v>
      </c>
      <c r="H270" s="517">
        <v>0.9976652923352044</v>
      </c>
      <c r="I270" s="149"/>
      <c r="L270" s="468"/>
    </row>
    <row r="271" spans="1:12" x14ac:dyDescent="0.2">
      <c r="A271" s="84" t="s">
        <v>1316</v>
      </c>
      <c r="B271" s="92" t="s">
        <v>435</v>
      </c>
      <c r="C271" s="473">
        <v>55545</v>
      </c>
      <c r="D271" s="239">
        <v>50845</v>
      </c>
      <c r="E271" s="510">
        <v>0.92</v>
      </c>
      <c r="F271" s="471">
        <v>55876</v>
      </c>
      <c r="G271" s="514">
        <v>54377</v>
      </c>
      <c r="H271" s="517">
        <v>0.9731727396377694</v>
      </c>
      <c r="I271" s="149"/>
      <c r="L271" s="468"/>
    </row>
    <row r="272" spans="1:12" x14ac:dyDescent="0.2">
      <c r="A272" s="84" t="s">
        <v>1150</v>
      </c>
      <c r="B272" s="92" t="s">
        <v>630</v>
      </c>
      <c r="C272" s="473">
        <v>9500</v>
      </c>
      <c r="D272" s="239">
        <v>9335</v>
      </c>
      <c r="E272" s="510">
        <v>0.98</v>
      </c>
      <c r="F272" s="471"/>
      <c r="G272" s="514"/>
      <c r="H272" s="517"/>
      <c r="I272" s="149"/>
      <c r="L272" s="468"/>
    </row>
    <row r="273" spans="1:12" ht="13.5" thickBot="1" x14ac:dyDescent="0.25">
      <c r="A273" s="84" t="s">
        <v>1317</v>
      </c>
      <c r="B273" s="92" t="s">
        <v>436</v>
      </c>
      <c r="C273" s="473">
        <v>131340</v>
      </c>
      <c r="D273" s="512">
        <v>104785</v>
      </c>
      <c r="E273" s="510">
        <v>0.8</v>
      </c>
      <c r="F273" s="471">
        <v>205078</v>
      </c>
      <c r="G273" s="515">
        <v>179836</v>
      </c>
      <c r="H273" s="517">
        <v>0.8769151249768381</v>
      </c>
      <c r="I273" s="149"/>
      <c r="L273" s="468"/>
    </row>
    <row r="274" spans="1:12" x14ac:dyDescent="0.2">
      <c r="A274" s="150"/>
      <c r="B274" s="150"/>
      <c r="C274" s="150"/>
      <c r="D274" s="150"/>
      <c r="E274" s="150"/>
      <c r="F274" s="150"/>
      <c r="G274" s="150"/>
      <c r="H274" s="150"/>
    </row>
    <row r="275" spans="1:12" ht="108" customHeight="1" x14ac:dyDescent="0.2">
      <c r="A275" s="634" t="s">
        <v>1051</v>
      </c>
      <c r="B275" s="634"/>
      <c r="C275" s="634"/>
      <c r="D275" s="634"/>
      <c r="E275" s="634"/>
      <c r="F275" s="634"/>
      <c r="G275" s="634"/>
      <c r="H275" s="634"/>
    </row>
    <row r="276" spans="1:12" ht="15" customHeight="1" x14ac:dyDescent="0.2">
      <c r="A276" s="110" t="s">
        <v>1320</v>
      </c>
      <c r="B276" s="110"/>
      <c r="C276" s="110"/>
      <c r="D276" s="110"/>
      <c r="E276" s="110"/>
      <c r="F276" s="110"/>
      <c r="G276" s="110"/>
      <c r="H276" s="110"/>
    </row>
    <row r="277" spans="1:12" x14ac:dyDescent="0.2">
      <c r="A277" s="546" t="s">
        <v>957</v>
      </c>
      <c r="B277" s="546"/>
      <c r="C277" s="546"/>
      <c r="D277" s="546"/>
      <c r="E277" s="546"/>
      <c r="F277" s="546"/>
      <c r="G277" s="546"/>
      <c r="H277" s="546"/>
    </row>
    <row r="278" spans="1:12" s="476" customFormat="1" x14ac:dyDescent="0.2">
      <c r="A278" s="475"/>
      <c r="B278" s="475"/>
      <c r="C278" s="475"/>
      <c r="D278" s="475"/>
      <c r="E278" s="475"/>
      <c r="F278" s="475"/>
      <c r="G278" s="475"/>
      <c r="H278" s="475"/>
      <c r="J278" s="147"/>
    </row>
    <row r="279" spans="1:12" ht="13.5" thickBot="1" x14ac:dyDescent="0.25">
      <c r="A279" s="111" t="s">
        <v>10</v>
      </c>
      <c r="B279" s="111"/>
      <c r="C279" s="111"/>
      <c r="D279" s="111"/>
      <c r="E279" s="111"/>
      <c r="F279" s="111"/>
      <c r="G279" s="111"/>
      <c r="H279" s="111"/>
      <c r="I279" s="151"/>
    </row>
    <row r="280" spans="1:12" ht="15" customHeight="1" x14ac:dyDescent="0.2">
      <c r="A280" s="445" t="s">
        <v>1035</v>
      </c>
      <c r="B280" s="445"/>
      <c r="C280" s="445"/>
      <c r="D280" s="445"/>
      <c r="E280" s="445"/>
      <c r="F280" s="445"/>
      <c r="G280" s="445"/>
      <c r="H280" s="445"/>
      <c r="I280" s="445"/>
    </row>
    <row r="281" spans="1:12" ht="15" customHeight="1" x14ac:dyDescent="0.2">
      <c r="A281" s="547" t="s">
        <v>587</v>
      </c>
      <c r="B281" s="547"/>
      <c r="C281" s="547"/>
      <c r="D281" s="547"/>
      <c r="E281" s="547"/>
      <c r="F281" s="547"/>
      <c r="G281" s="547"/>
      <c r="H281" s="116"/>
      <c r="I281" s="116"/>
      <c r="J281" s="116"/>
    </row>
    <row r="282" spans="1:12" ht="15" customHeight="1" x14ac:dyDescent="0.2">
      <c r="A282" s="549" t="s">
        <v>441</v>
      </c>
      <c r="B282" s="549"/>
      <c r="C282" s="549"/>
      <c r="D282" s="549"/>
      <c r="E282" s="549"/>
      <c r="F282" s="549"/>
      <c r="G282" s="549"/>
      <c r="H282" s="549"/>
      <c r="I282" s="549"/>
    </row>
    <row r="283" spans="1:12" ht="13.5" thickBot="1" x14ac:dyDescent="0.25">
      <c r="A283" s="577" t="s">
        <v>945</v>
      </c>
      <c r="B283" s="577"/>
      <c r="C283" s="577"/>
      <c r="D283" s="577"/>
      <c r="E283" s="577"/>
      <c r="F283" s="577"/>
      <c r="G283" s="577"/>
      <c r="H283" s="577"/>
      <c r="I283" s="577"/>
    </row>
    <row r="284" spans="1:12" x14ac:dyDescent="0.2">
      <c r="A284" s="152"/>
      <c r="B284" s="153"/>
      <c r="C284" s="153"/>
      <c r="D284" s="153"/>
      <c r="E284" s="153"/>
      <c r="F284" s="153"/>
      <c r="G284" s="153"/>
      <c r="H284" s="153"/>
    </row>
    <row r="285" spans="1:12" x14ac:dyDescent="0.2">
      <c r="A285" s="154" t="s">
        <v>470</v>
      </c>
    </row>
  </sheetData>
  <mergeCells count="10">
    <mergeCell ref="A283:I283"/>
    <mergeCell ref="A277:H277"/>
    <mergeCell ref="A281:G281"/>
    <mergeCell ref="A275:H275"/>
    <mergeCell ref="A2:H2"/>
    <mergeCell ref="A3:H3"/>
    <mergeCell ref="C6:E6"/>
    <mergeCell ref="F6:H6"/>
    <mergeCell ref="A282:I282"/>
    <mergeCell ref="A4:E4"/>
  </mergeCells>
  <hyperlinks>
    <hyperlink ref="A285" location="Contents!A1" display="Return to Contents" xr:uid="{00000000-0004-0000-2800-000001000000}"/>
    <hyperlink ref="A282:I282" r:id="rId1" display="Contact via enquiries@NHSDigital.nhs.uk or 0300 303 5678" xr:uid="{00000000-0004-0000-2800-000002000000}"/>
    <hyperlink ref="A277" r:id="rId2" xr:uid="{FA4EAE50-952B-49B1-B41F-5F8EDAF7DFF4}"/>
  </hyperlinks>
  <pageMargins left="0.78740157480314965" right="0.78740157480314965" top="0.78740157480314965" bottom="0.78740157480314965" header="0.78740157480314965" footer="0.78740157480314965"/>
  <pageSetup paperSize="9" scale="64" fitToHeight="0" orientation="landscape" r:id="rId3"/>
  <headerFooter alignWithMargins="0">
    <oddFooter>&amp;L&amp;C&amp;R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0">
    <pageSetUpPr fitToPage="1"/>
  </sheetPr>
  <dimension ref="A1:Q43"/>
  <sheetViews>
    <sheetView showGridLines="0" workbookViewId="0"/>
  </sheetViews>
  <sheetFormatPr defaultColWidth="9.140625" defaultRowHeight="12.75" x14ac:dyDescent="0.2"/>
  <cols>
    <col min="1" max="1" width="27" style="49" customWidth="1"/>
    <col min="2" max="5" width="16.140625" style="49" customWidth="1"/>
    <col min="6" max="6" width="13.42578125" style="49" customWidth="1"/>
    <col min="7" max="9" width="17.7109375" style="49" customWidth="1"/>
    <col min="10" max="10" width="9.140625" style="49" customWidth="1"/>
    <col min="11" max="16384" width="9.140625" style="49"/>
  </cols>
  <sheetData>
    <row r="1" spans="1:12" ht="15" customHeight="1" x14ac:dyDescent="0.2"/>
    <row r="2" spans="1:12" ht="56.25" customHeight="1" x14ac:dyDescent="0.35">
      <c r="A2" s="605" t="s">
        <v>963</v>
      </c>
      <c r="B2" s="606"/>
      <c r="C2" s="606"/>
      <c r="D2" s="606"/>
      <c r="E2" s="606"/>
      <c r="F2" s="606"/>
      <c r="G2" s="48"/>
      <c r="H2" s="48"/>
      <c r="I2" s="48"/>
      <c r="J2" s="48"/>
    </row>
    <row r="3" spans="1:12" x14ac:dyDescent="0.2">
      <c r="A3" s="607" t="s">
        <v>590</v>
      </c>
      <c r="B3" s="608"/>
      <c r="C3" s="608"/>
      <c r="D3" s="608"/>
      <c r="E3" s="608"/>
      <c r="F3" s="608"/>
      <c r="G3" s="48"/>
      <c r="H3" s="48"/>
      <c r="I3" s="48"/>
      <c r="J3" s="48"/>
    </row>
    <row r="4" spans="1:12" x14ac:dyDescent="0.2">
      <c r="A4" s="558" t="s">
        <v>1050</v>
      </c>
      <c r="B4" s="558"/>
      <c r="C4" s="558"/>
      <c r="D4" s="558"/>
      <c r="E4" s="558"/>
      <c r="F4" s="558"/>
      <c r="G4" s="480"/>
      <c r="H4" s="480"/>
      <c r="I4" s="480"/>
      <c r="J4" s="480"/>
    </row>
    <row r="5" spans="1:12" ht="11.25" customHeight="1" thickBot="1" x14ac:dyDescent="0.25">
      <c r="A5" s="115"/>
      <c r="B5" s="48"/>
      <c r="C5" s="48"/>
      <c r="D5" s="48"/>
      <c r="E5" s="48"/>
      <c r="F5" s="48"/>
      <c r="G5" s="48"/>
      <c r="H5" s="48"/>
      <c r="I5" s="48"/>
      <c r="J5" s="48"/>
    </row>
    <row r="6" spans="1:12" ht="16.5" customHeight="1" thickBot="1" x14ac:dyDescent="0.25">
      <c r="A6" s="615" t="s">
        <v>472</v>
      </c>
      <c r="B6" s="636" t="s">
        <v>508</v>
      </c>
      <c r="C6" s="638" t="s">
        <v>509</v>
      </c>
      <c r="D6" s="640" t="s">
        <v>510</v>
      </c>
      <c r="E6" s="641"/>
      <c r="F6" s="641"/>
      <c r="G6" s="641"/>
      <c r="H6" s="641"/>
      <c r="I6" s="642"/>
      <c r="J6" s="48"/>
    </row>
    <row r="7" spans="1:12" ht="41.25" customHeight="1" thickBot="1" x14ac:dyDescent="0.25">
      <c r="A7" s="635"/>
      <c r="B7" s="637"/>
      <c r="C7" s="639"/>
      <c r="D7" s="187" t="s">
        <v>48</v>
      </c>
      <c r="E7" s="188" t="s">
        <v>498</v>
      </c>
      <c r="F7" s="189" t="s">
        <v>499</v>
      </c>
      <c r="G7" s="189" t="s">
        <v>500</v>
      </c>
      <c r="H7" s="189" t="s">
        <v>501</v>
      </c>
      <c r="I7" s="190" t="s">
        <v>502</v>
      </c>
      <c r="J7" s="419"/>
    </row>
    <row r="8" spans="1:12" ht="15" customHeight="1" x14ac:dyDescent="0.2">
      <c r="A8" s="39" t="s">
        <v>473</v>
      </c>
      <c r="B8" s="263">
        <v>9389266</v>
      </c>
      <c r="C8" s="264">
        <v>2353313</v>
      </c>
      <c r="D8" s="265">
        <v>246639</v>
      </c>
      <c r="E8" s="266">
        <v>13295</v>
      </c>
      <c r="F8" s="246">
        <v>19380</v>
      </c>
      <c r="G8" s="246">
        <v>83589</v>
      </c>
      <c r="H8" s="246">
        <v>13266</v>
      </c>
      <c r="I8" s="267">
        <v>117109</v>
      </c>
      <c r="J8" s="419"/>
    </row>
    <row r="9" spans="1:12" ht="15" customHeight="1" x14ac:dyDescent="0.2">
      <c r="A9" s="38" t="s">
        <v>474</v>
      </c>
      <c r="B9" s="268">
        <v>3896348</v>
      </c>
      <c r="C9" s="269">
        <v>1898136</v>
      </c>
      <c r="D9" s="265">
        <v>544217</v>
      </c>
      <c r="E9" s="266">
        <v>23443</v>
      </c>
      <c r="F9" s="246">
        <v>60408</v>
      </c>
      <c r="G9" s="246">
        <v>232611</v>
      </c>
      <c r="H9" s="246">
        <v>38735</v>
      </c>
      <c r="I9" s="267">
        <v>189020</v>
      </c>
      <c r="J9" s="419"/>
    </row>
    <row r="10" spans="1:12" ht="15" customHeight="1" x14ac:dyDescent="0.2">
      <c r="A10" s="38" t="s">
        <v>475</v>
      </c>
      <c r="B10" s="268">
        <v>2073327</v>
      </c>
      <c r="C10" s="269">
        <v>1691427</v>
      </c>
      <c r="D10" s="265">
        <v>722907</v>
      </c>
      <c r="E10" s="266">
        <v>30105</v>
      </c>
      <c r="F10" s="246">
        <v>84869</v>
      </c>
      <c r="G10" s="246">
        <v>339042</v>
      </c>
      <c r="H10" s="246">
        <v>55519</v>
      </c>
      <c r="I10" s="267">
        <v>213372</v>
      </c>
      <c r="J10" s="419"/>
      <c r="L10" s="53"/>
    </row>
    <row r="11" spans="1:12" ht="15" customHeight="1" x14ac:dyDescent="0.2">
      <c r="A11" s="38" t="s">
        <v>476</v>
      </c>
      <c r="B11" s="268">
        <v>1245400</v>
      </c>
      <c r="C11" s="269">
        <v>1493489</v>
      </c>
      <c r="D11" s="265">
        <v>777396</v>
      </c>
      <c r="E11" s="266">
        <v>33841</v>
      </c>
      <c r="F11" s="246">
        <v>98378</v>
      </c>
      <c r="G11" s="246">
        <v>381141</v>
      </c>
      <c r="H11" s="246">
        <v>64471</v>
      </c>
      <c r="I11" s="267">
        <v>199565</v>
      </c>
      <c r="J11" s="419"/>
      <c r="L11" s="53"/>
    </row>
    <row r="12" spans="1:12" ht="15" customHeight="1" x14ac:dyDescent="0.2">
      <c r="A12" s="38" t="s">
        <v>477</v>
      </c>
      <c r="B12" s="268">
        <v>788249</v>
      </c>
      <c r="C12" s="269">
        <v>1339319</v>
      </c>
      <c r="D12" s="265">
        <v>800708</v>
      </c>
      <c r="E12" s="266">
        <v>35269</v>
      </c>
      <c r="F12" s="246">
        <v>107134</v>
      </c>
      <c r="G12" s="246">
        <v>402574</v>
      </c>
      <c r="H12" s="246">
        <v>71026</v>
      </c>
      <c r="I12" s="267">
        <v>184705</v>
      </c>
      <c r="J12" s="419"/>
    </row>
    <row r="13" spans="1:12" ht="15" customHeight="1" x14ac:dyDescent="0.2">
      <c r="A13" s="38" t="s">
        <v>478</v>
      </c>
      <c r="B13" s="268">
        <v>536525</v>
      </c>
      <c r="C13" s="269">
        <v>1255406</v>
      </c>
      <c r="D13" s="265">
        <v>812833</v>
      </c>
      <c r="E13" s="266">
        <v>35751</v>
      </c>
      <c r="F13" s="246">
        <v>113055</v>
      </c>
      <c r="G13" s="246">
        <v>414847</v>
      </c>
      <c r="H13" s="246">
        <v>77381</v>
      </c>
      <c r="I13" s="267">
        <v>171799</v>
      </c>
      <c r="J13" s="419"/>
    </row>
    <row r="14" spans="1:12" ht="15" customHeight="1" x14ac:dyDescent="0.2">
      <c r="A14" s="38" t="s">
        <v>479</v>
      </c>
      <c r="B14" s="268">
        <v>346670</v>
      </c>
      <c r="C14" s="269">
        <v>1117944</v>
      </c>
      <c r="D14" s="265">
        <v>811294</v>
      </c>
      <c r="E14" s="266">
        <v>36232</v>
      </c>
      <c r="F14" s="246">
        <v>116556</v>
      </c>
      <c r="G14" s="246">
        <v>417913</v>
      </c>
      <c r="H14" s="246">
        <v>81520</v>
      </c>
      <c r="I14" s="267">
        <v>159073</v>
      </c>
      <c r="J14" s="419"/>
    </row>
    <row r="15" spans="1:12" ht="15" customHeight="1" x14ac:dyDescent="0.2">
      <c r="A15" s="38" t="s">
        <v>480</v>
      </c>
      <c r="B15" s="268">
        <v>241352</v>
      </c>
      <c r="C15" s="269">
        <v>1011471</v>
      </c>
      <c r="D15" s="265">
        <v>810977</v>
      </c>
      <c r="E15" s="266">
        <v>37906</v>
      </c>
      <c r="F15" s="246">
        <v>118060</v>
      </c>
      <c r="G15" s="246">
        <v>416681</v>
      </c>
      <c r="H15" s="246">
        <v>85010</v>
      </c>
      <c r="I15" s="267">
        <v>153320</v>
      </c>
      <c r="J15" s="419"/>
    </row>
    <row r="16" spans="1:12" ht="15" customHeight="1" x14ac:dyDescent="0.2">
      <c r="A16" s="38" t="s">
        <v>481</v>
      </c>
      <c r="B16" s="268">
        <v>173701</v>
      </c>
      <c r="C16" s="269">
        <v>920949</v>
      </c>
      <c r="D16" s="265">
        <v>801167</v>
      </c>
      <c r="E16" s="266">
        <v>39740</v>
      </c>
      <c r="F16" s="246">
        <v>120242</v>
      </c>
      <c r="G16" s="246">
        <v>413330</v>
      </c>
      <c r="H16" s="246">
        <v>86781</v>
      </c>
      <c r="I16" s="267">
        <v>141074</v>
      </c>
      <c r="J16" s="419"/>
    </row>
    <row r="17" spans="1:10" ht="15" customHeight="1" x14ac:dyDescent="0.2">
      <c r="A17" s="38" t="s">
        <v>482</v>
      </c>
      <c r="B17" s="268">
        <v>129492</v>
      </c>
      <c r="C17" s="269">
        <v>835785</v>
      </c>
      <c r="D17" s="265">
        <v>790582</v>
      </c>
      <c r="E17" s="266">
        <v>42198</v>
      </c>
      <c r="F17" s="246">
        <v>122187</v>
      </c>
      <c r="G17" s="246">
        <v>406667</v>
      </c>
      <c r="H17" s="246">
        <v>86639</v>
      </c>
      <c r="I17" s="267">
        <v>132891</v>
      </c>
      <c r="J17" s="419"/>
    </row>
    <row r="18" spans="1:10" ht="15" customHeight="1" x14ac:dyDescent="0.2">
      <c r="A18" s="38" t="s">
        <v>483</v>
      </c>
      <c r="B18" s="268">
        <v>99058</v>
      </c>
      <c r="C18" s="269">
        <v>759387</v>
      </c>
      <c r="D18" s="265">
        <v>777720</v>
      </c>
      <c r="E18" s="266">
        <v>45527</v>
      </c>
      <c r="F18" s="246">
        <v>123392</v>
      </c>
      <c r="G18" s="246">
        <v>396244</v>
      </c>
      <c r="H18" s="246">
        <v>86091</v>
      </c>
      <c r="I18" s="267">
        <v>126466</v>
      </c>
      <c r="J18" s="419"/>
    </row>
    <row r="19" spans="1:10" ht="15" customHeight="1" x14ac:dyDescent="0.2">
      <c r="A19" s="38" t="s">
        <v>484</v>
      </c>
      <c r="B19" s="268">
        <v>77937</v>
      </c>
      <c r="C19" s="269">
        <v>712165</v>
      </c>
      <c r="D19" s="265">
        <v>768338</v>
      </c>
      <c r="E19" s="266">
        <v>50094</v>
      </c>
      <c r="F19" s="246">
        <v>124517</v>
      </c>
      <c r="G19" s="246">
        <v>387743</v>
      </c>
      <c r="H19" s="246">
        <v>84573</v>
      </c>
      <c r="I19" s="267">
        <v>121411</v>
      </c>
      <c r="J19" s="419"/>
    </row>
    <row r="20" spans="1:10" ht="15" customHeight="1" x14ac:dyDescent="0.2">
      <c r="A20" s="38" t="s">
        <v>485</v>
      </c>
      <c r="B20" s="268">
        <v>62348</v>
      </c>
      <c r="C20" s="269">
        <v>622252</v>
      </c>
      <c r="D20" s="265">
        <v>761632</v>
      </c>
      <c r="E20" s="266">
        <v>55341</v>
      </c>
      <c r="F20" s="246">
        <v>126496</v>
      </c>
      <c r="G20" s="246">
        <v>380457</v>
      </c>
      <c r="H20" s="246">
        <v>83101</v>
      </c>
      <c r="I20" s="267">
        <v>116237</v>
      </c>
      <c r="J20" s="419"/>
    </row>
    <row r="21" spans="1:10" ht="15" customHeight="1" x14ac:dyDescent="0.2">
      <c r="A21" s="38" t="s">
        <v>486</v>
      </c>
      <c r="B21" s="268">
        <v>50930</v>
      </c>
      <c r="C21" s="269">
        <v>552595</v>
      </c>
      <c r="D21" s="265">
        <v>750651</v>
      </c>
      <c r="E21" s="266">
        <v>60884</v>
      </c>
      <c r="F21" s="246">
        <v>126774</v>
      </c>
      <c r="G21" s="246">
        <v>370021</v>
      </c>
      <c r="H21" s="246">
        <v>80814</v>
      </c>
      <c r="I21" s="267">
        <v>112158</v>
      </c>
      <c r="J21" s="419"/>
    </row>
    <row r="22" spans="1:10" ht="15" customHeight="1" x14ac:dyDescent="0.2">
      <c r="A22" s="38" t="s">
        <v>487</v>
      </c>
      <c r="B22" s="268">
        <v>42591</v>
      </c>
      <c r="C22" s="269">
        <v>487769</v>
      </c>
      <c r="D22" s="265">
        <v>739467</v>
      </c>
      <c r="E22" s="266">
        <v>68286</v>
      </c>
      <c r="F22" s="246">
        <v>126452</v>
      </c>
      <c r="G22" s="246">
        <v>358899</v>
      </c>
      <c r="H22" s="246">
        <v>77790</v>
      </c>
      <c r="I22" s="267">
        <v>108040</v>
      </c>
      <c r="J22" s="419"/>
    </row>
    <row r="23" spans="1:10" ht="15" customHeight="1" x14ac:dyDescent="0.2">
      <c r="A23" s="38" t="s">
        <v>488</v>
      </c>
      <c r="B23" s="268">
        <v>36068</v>
      </c>
      <c r="C23" s="269">
        <v>427433</v>
      </c>
      <c r="D23" s="265">
        <v>726233</v>
      </c>
      <c r="E23" s="266">
        <v>74454</v>
      </c>
      <c r="F23" s="246">
        <v>124790</v>
      </c>
      <c r="G23" s="246">
        <v>347753</v>
      </c>
      <c r="H23" s="246">
        <v>74706</v>
      </c>
      <c r="I23" s="267">
        <v>104530</v>
      </c>
      <c r="J23" s="419"/>
    </row>
    <row r="24" spans="1:10" ht="15" customHeight="1" x14ac:dyDescent="0.2">
      <c r="A24" s="38" t="s">
        <v>489</v>
      </c>
      <c r="B24" s="268">
        <v>31401</v>
      </c>
      <c r="C24" s="269">
        <v>373761</v>
      </c>
      <c r="D24" s="265">
        <v>715178</v>
      </c>
      <c r="E24" s="266">
        <v>82144</v>
      </c>
      <c r="F24" s="246">
        <v>124311</v>
      </c>
      <c r="G24" s="246">
        <v>336533</v>
      </c>
      <c r="H24" s="246">
        <v>71525</v>
      </c>
      <c r="I24" s="267">
        <v>100665</v>
      </c>
      <c r="J24" s="419"/>
    </row>
    <row r="25" spans="1:10" ht="15" customHeight="1" x14ac:dyDescent="0.2">
      <c r="A25" s="38" t="s">
        <v>490</v>
      </c>
      <c r="B25" s="268">
        <v>27771</v>
      </c>
      <c r="C25" s="269">
        <v>334534</v>
      </c>
      <c r="D25" s="265">
        <v>710274</v>
      </c>
      <c r="E25" s="266">
        <v>91658</v>
      </c>
      <c r="F25" s="246">
        <v>123270</v>
      </c>
      <c r="G25" s="246">
        <v>327854</v>
      </c>
      <c r="H25" s="246">
        <v>68900</v>
      </c>
      <c r="I25" s="267">
        <v>98592</v>
      </c>
      <c r="J25" s="419"/>
    </row>
    <row r="26" spans="1:10" ht="15" customHeight="1" x14ac:dyDescent="0.2">
      <c r="A26" s="38" t="s">
        <v>491</v>
      </c>
      <c r="B26" s="268">
        <v>24170</v>
      </c>
      <c r="C26" s="269">
        <v>287506</v>
      </c>
      <c r="D26" s="265">
        <v>733659</v>
      </c>
      <c r="E26" s="266">
        <v>104056</v>
      </c>
      <c r="F26" s="246">
        <v>127534</v>
      </c>
      <c r="G26" s="246">
        <v>332100</v>
      </c>
      <c r="H26" s="246">
        <v>69168</v>
      </c>
      <c r="I26" s="267">
        <v>100801</v>
      </c>
      <c r="J26" s="419"/>
    </row>
    <row r="27" spans="1:10" ht="15" customHeight="1" x14ac:dyDescent="0.2">
      <c r="A27" s="38" t="s">
        <v>492</v>
      </c>
      <c r="B27" s="268">
        <v>22135</v>
      </c>
      <c r="C27" s="269">
        <v>242713</v>
      </c>
      <c r="D27" s="265">
        <v>729371</v>
      </c>
      <c r="E27" s="266">
        <v>118173</v>
      </c>
      <c r="F27" s="246">
        <v>125244</v>
      </c>
      <c r="G27" s="246">
        <v>322712</v>
      </c>
      <c r="H27" s="246">
        <v>65083</v>
      </c>
      <c r="I27" s="267">
        <v>98159</v>
      </c>
      <c r="J27" s="419"/>
    </row>
    <row r="28" spans="1:10" ht="15" customHeight="1" x14ac:dyDescent="0.2">
      <c r="A28" s="38" t="s">
        <v>493</v>
      </c>
      <c r="B28" s="268">
        <v>20010</v>
      </c>
      <c r="C28" s="269">
        <v>204732</v>
      </c>
      <c r="D28" s="265">
        <v>741343</v>
      </c>
      <c r="E28" s="266">
        <v>138727</v>
      </c>
      <c r="F28" s="246">
        <v>123340</v>
      </c>
      <c r="G28" s="246">
        <v>319174</v>
      </c>
      <c r="H28" s="246">
        <v>62397</v>
      </c>
      <c r="I28" s="267">
        <v>97705</v>
      </c>
      <c r="J28" s="419"/>
    </row>
    <row r="29" spans="1:10" ht="15" customHeight="1" x14ac:dyDescent="0.2">
      <c r="A29" s="38" t="s">
        <v>494</v>
      </c>
      <c r="B29" s="268">
        <v>18624</v>
      </c>
      <c r="C29" s="269">
        <v>170382</v>
      </c>
      <c r="D29" s="265">
        <v>764266</v>
      </c>
      <c r="E29" s="266">
        <v>165988</v>
      </c>
      <c r="F29" s="246">
        <v>121983</v>
      </c>
      <c r="G29" s="246">
        <v>317961</v>
      </c>
      <c r="H29" s="246">
        <v>60471</v>
      </c>
      <c r="I29" s="267">
        <v>97863</v>
      </c>
      <c r="J29" s="419"/>
    </row>
    <row r="30" spans="1:10" ht="15" customHeight="1" x14ac:dyDescent="0.2">
      <c r="A30" s="38" t="s">
        <v>495</v>
      </c>
      <c r="B30" s="268">
        <v>19086</v>
      </c>
      <c r="C30" s="269">
        <v>142773</v>
      </c>
      <c r="D30" s="265">
        <v>898135</v>
      </c>
      <c r="E30" s="266">
        <v>233367</v>
      </c>
      <c r="F30" s="246">
        <v>133461</v>
      </c>
      <c r="G30" s="246">
        <v>354961</v>
      </c>
      <c r="H30" s="246">
        <v>64943</v>
      </c>
      <c r="I30" s="267">
        <v>111403</v>
      </c>
      <c r="J30" s="419"/>
    </row>
    <row r="31" spans="1:10" ht="15" customHeight="1" x14ac:dyDescent="0.2">
      <c r="A31" s="38" t="s">
        <v>496</v>
      </c>
      <c r="B31" s="268">
        <v>26757</v>
      </c>
      <c r="C31" s="269">
        <v>121661</v>
      </c>
      <c r="D31" s="265">
        <v>1749889</v>
      </c>
      <c r="E31" s="266">
        <v>608341</v>
      </c>
      <c r="F31" s="246">
        <v>211978</v>
      </c>
      <c r="G31" s="246">
        <v>607420</v>
      </c>
      <c r="H31" s="246">
        <v>103216</v>
      </c>
      <c r="I31" s="267">
        <v>218934</v>
      </c>
      <c r="J31" s="419"/>
    </row>
    <row r="32" spans="1:10" ht="15" customHeight="1" x14ac:dyDescent="0.2">
      <c r="A32" s="38" t="s">
        <v>497</v>
      </c>
      <c r="B32" s="268">
        <v>302075</v>
      </c>
      <c r="C32" s="269">
        <v>708059</v>
      </c>
      <c r="D32" s="265">
        <v>3182364</v>
      </c>
      <c r="E32" s="266">
        <v>1374205</v>
      </c>
      <c r="F32" s="246">
        <v>297631</v>
      </c>
      <c r="G32" s="246">
        <v>975343</v>
      </c>
      <c r="H32" s="246">
        <v>142974</v>
      </c>
      <c r="I32" s="267">
        <v>392211</v>
      </c>
      <c r="J32" s="419"/>
    </row>
    <row r="33" spans="1:17" ht="15" customHeight="1" thickBot="1" x14ac:dyDescent="0.25">
      <c r="A33" s="340" t="s">
        <v>8</v>
      </c>
      <c r="B33" s="273">
        <v>2438594</v>
      </c>
      <c r="C33" s="274">
        <v>2054924</v>
      </c>
      <c r="D33" s="388">
        <v>252645</v>
      </c>
      <c r="E33" s="341">
        <v>501</v>
      </c>
      <c r="F33" s="342">
        <v>3513</v>
      </c>
      <c r="G33" s="342">
        <v>11345</v>
      </c>
      <c r="H33" s="342">
        <v>7671</v>
      </c>
      <c r="I33" s="343">
        <v>229615</v>
      </c>
      <c r="J33" s="419"/>
    </row>
    <row r="34" spans="1:17" ht="15" customHeight="1" x14ac:dyDescent="0.2">
      <c r="A34" s="39" t="s">
        <v>517</v>
      </c>
      <c r="B34" s="270">
        <v>33</v>
      </c>
      <c r="C34" s="271">
        <v>85</v>
      </c>
      <c r="D34" s="389">
        <v>176</v>
      </c>
      <c r="E34" s="272"/>
      <c r="F34" s="272"/>
      <c r="G34" s="272"/>
      <c r="H34" s="272"/>
      <c r="I34" s="272"/>
      <c r="J34" s="419"/>
    </row>
    <row r="35" spans="1:17" ht="15" customHeight="1" thickBot="1" x14ac:dyDescent="0.25">
      <c r="A35" s="38" t="s">
        <v>518</v>
      </c>
      <c r="B35" s="273">
        <v>11</v>
      </c>
      <c r="C35" s="274">
        <v>60</v>
      </c>
      <c r="D35" s="275">
        <v>150</v>
      </c>
      <c r="E35" s="272"/>
      <c r="F35" s="272"/>
      <c r="G35" s="272"/>
      <c r="H35" s="272"/>
      <c r="I35" s="272"/>
      <c r="J35" s="419"/>
    </row>
    <row r="36" spans="1:17" x14ac:dyDescent="0.2">
      <c r="A36" s="191"/>
      <c r="B36" s="191"/>
      <c r="C36" s="191"/>
      <c r="D36" s="191"/>
      <c r="E36" s="192"/>
      <c r="F36" s="115"/>
      <c r="G36" s="48"/>
      <c r="H36" s="48"/>
      <c r="I36" s="48"/>
      <c r="J36" s="48"/>
    </row>
    <row r="37" spans="1:17" ht="16.5" customHeight="1" thickBot="1" x14ac:dyDescent="0.25">
      <c r="A37" s="602" t="s">
        <v>10</v>
      </c>
      <c r="B37" s="602"/>
      <c r="C37" s="602"/>
      <c r="D37" s="602"/>
      <c r="E37" s="602"/>
      <c r="F37" s="602"/>
      <c r="G37" s="602"/>
      <c r="H37" s="602"/>
      <c r="I37" s="602"/>
      <c r="J37" s="602"/>
    </row>
    <row r="38" spans="1:17" ht="16.5" customHeight="1" x14ac:dyDescent="0.2">
      <c r="A38" s="445" t="s">
        <v>1035</v>
      </c>
      <c r="B38" s="445"/>
      <c r="C38" s="445"/>
      <c r="D38" s="445"/>
      <c r="E38" s="445"/>
      <c r="F38" s="445"/>
      <c r="G38" s="445"/>
      <c r="H38" s="445"/>
      <c r="I38" s="445"/>
      <c r="J38" s="445"/>
    </row>
    <row r="39" spans="1:17" ht="16.5" customHeight="1" x14ac:dyDescent="0.2">
      <c r="A39" s="547" t="s">
        <v>587</v>
      </c>
      <c r="B39" s="547"/>
      <c r="C39" s="547"/>
      <c r="D39" s="547"/>
      <c r="E39" s="547"/>
      <c r="F39" s="547"/>
      <c r="G39" s="116"/>
      <c r="H39" s="116"/>
      <c r="I39" s="116"/>
      <c r="J39" s="116"/>
      <c r="K39" s="116"/>
      <c r="L39" s="116"/>
      <c r="M39" s="116"/>
      <c r="N39" s="116"/>
      <c r="O39" s="116"/>
      <c r="P39" s="116"/>
      <c r="Q39" s="116"/>
    </row>
    <row r="40" spans="1:17" ht="16.5" customHeight="1" x14ac:dyDescent="0.2">
      <c r="A40" s="603" t="s">
        <v>441</v>
      </c>
      <c r="B40" s="603"/>
      <c r="C40" s="603"/>
      <c r="D40" s="603"/>
      <c r="E40" s="603"/>
      <c r="F40" s="603"/>
      <c r="G40" s="603"/>
      <c r="H40" s="603"/>
      <c r="I40" s="603"/>
      <c r="J40" s="603"/>
    </row>
    <row r="41" spans="1:17" ht="13.5" thickBot="1" x14ac:dyDescent="0.25">
      <c r="A41" s="604" t="s">
        <v>945</v>
      </c>
      <c r="B41" s="604"/>
      <c r="C41" s="604"/>
      <c r="D41" s="604"/>
      <c r="E41" s="604"/>
      <c r="F41" s="604"/>
      <c r="G41" s="604"/>
      <c r="H41" s="604"/>
      <c r="I41" s="604"/>
      <c r="J41" s="604"/>
    </row>
    <row r="42" spans="1:17" x14ac:dyDescent="0.2">
      <c r="A42" s="48"/>
      <c r="B42" s="48"/>
      <c r="C42" s="48"/>
      <c r="D42" s="48"/>
      <c r="E42" s="48"/>
      <c r="F42" s="48"/>
      <c r="G42" s="48"/>
      <c r="H42" s="48"/>
      <c r="I42" s="48"/>
      <c r="J42" s="48"/>
    </row>
    <row r="43" spans="1:17" x14ac:dyDescent="0.2">
      <c r="A43" s="176" t="s">
        <v>470</v>
      </c>
      <c r="B43" s="48"/>
      <c r="C43" s="48"/>
      <c r="D43" s="48"/>
      <c r="E43" s="48"/>
      <c r="F43" s="48"/>
      <c r="G43" s="48"/>
      <c r="H43" s="48"/>
      <c r="I43" s="48"/>
      <c r="J43" s="48"/>
    </row>
  </sheetData>
  <mergeCells count="11">
    <mergeCell ref="A41:J41"/>
    <mergeCell ref="A40:J40"/>
    <mergeCell ref="A37:J37"/>
    <mergeCell ref="A39:F39"/>
    <mergeCell ref="A2:F2"/>
    <mergeCell ref="A3:F3"/>
    <mergeCell ref="A6:A7"/>
    <mergeCell ref="B6:B7"/>
    <mergeCell ref="C6:C7"/>
    <mergeCell ref="D6:I6"/>
    <mergeCell ref="A4:F4"/>
  </mergeCells>
  <hyperlinks>
    <hyperlink ref="A40:F40" r:id="rId1" display="Contact via enquiries@NHSDigital.nhs.uk or 0300 303 5678" xr:uid="{00000000-0004-0000-2900-000000000000}"/>
    <hyperlink ref="A43" location="Contents!A1" display="Return to Contents" xr:uid="{00000000-0004-0000-2900-000001000000}"/>
  </hyperlinks>
  <pageMargins left="0.7" right="0.7" top="0.75" bottom="0.75" header="0.3" footer="0.3"/>
  <pageSetup paperSize="9" scale="73" fitToHeight="0" orientation="landscap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1">
    <pageSetUpPr fitToPage="1"/>
  </sheetPr>
  <dimension ref="A1:AB184"/>
  <sheetViews>
    <sheetView zoomScaleNormal="100" workbookViewId="0">
      <pane xSplit="1" ySplit="7" topLeftCell="B8" activePane="bottomRight" state="frozen"/>
      <selection activeCell="A4" sqref="A4"/>
      <selection pane="topRight" activeCell="A4" sqref="A4"/>
      <selection pane="bottomLeft" activeCell="A4" sqref="A4"/>
      <selection pane="bottomRight" activeCell="B8" sqref="B8"/>
    </sheetView>
  </sheetViews>
  <sheetFormatPr defaultColWidth="9.140625" defaultRowHeight="12.75" x14ac:dyDescent="0.2"/>
  <cols>
    <col min="1" max="1" width="21.42578125" style="15" customWidth="1"/>
    <col min="2" max="2" width="17.140625" style="15" customWidth="1"/>
    <col min="3" max="18" width="10.7109375" style="15" customWidth="1"/>
    <col min="19" max="19" width="9.140625" style="15"/>
    <col min="20" max="28" width="9.140625" style="390"/>
    <col min="29" max="16384" width="9.140625" style="15"/>
  </cols>
  <sheetData>
    <row r="1" spans="1:18" ht="15" customHeight="1" x14ac:dyDescent="0.2"/>
    <row r="2" spans="1:18" ht="30" customHeight="1" x14ac:dyDescent="0.35">
      <c r="A2" s="605" t="s">
        <v>1000</v>
      </c>
      <c r="B2" s="606"/>
      <c r="C2" s="606"/>
      <c r="D2" s="606"/>
      <c r="E2" s="606"/>
      <c r="F2" s="606"/>
      <c r="G2" s="606"/>
      <c r="H2" s="606"/>
      <c r="I2" s="606"/>
      <c r="J2" s="606"/>
      <c r="K2" s="606"/>
      <c r="L2" s="606"/>
      <c r="M2" s="606"/>
      <c r="N2" s="606"/>
      <c r="O2" s="606"/>
      <c r="P2" s="606"/>
      <c r="Q2" s="14"/>
      <c r="R2" s="14"/>
    </row>
    <row r="3" spans="1:18" x14ac:dyDescent="0.2">
      <c r="A3" s="607" t="s">
        <v>590</v>
      </c>
      <c r="B3" s="652"/>
      <c r="C3" s="652"/>
      <c r="D3" s="652"/>
      <c r="E3" s="652"/>
      <c r="F3" s="652"/>
      <c r="G3" s="652"/>
      <c r="H3" s="652"/>
      <c r="I3" s="652"/>
      <c r="J3" s="652"/>
      <c r="K3" s="652"/>
      <c r="L3" s="652"/>
      <c r="M3" s="652"/>
      <c r="N3" s="652"/>
      <c r="O3" s="652"/>
      <c r="P3" s="652"/>
      <c r="Q3" s="14"/>
      <c r="R3" s="14"/>
    </row>
    <row r="4" spans="1:18" x14ac:dyDescent="0.2">
      <c r="A4" s="558" t="s">
        <v>1050</v>
      </c>
      <c r="B4" s="558"/>
      <c r="C4" s="558"/>
      <c r="D4" s="558"/>
      <c r="E4" s="558"/>
      <c r="F4" s="558"/>
      <c r="G4" s="483"/>
      <c r="H4" s="483"/>
      <c r="I4" s="483"/>
      <c r="J4" s="483"/>
      <c r="K4" s="483"/>
      <c r="L4" s="483"/>
      <c r="M4" s="483"/>
      <c r="N4" s="483"/>
      <c r="O4" s="483"/>
      <c r="P4" s="483"/>
      <c r="Q4" s="483"/>
      <c r="R4" s="483"/>
    </row>
    <row r="5" spans="1:18" ht="11.25" customHeight="1" thickBot="1" x14ac:dyDescent="0.25">
      <c r="A5" s="14"/>
      <c r="B5" s="14"/>
      <c r="C5" s="14"/>
      <c r="D5" s="14"/>
      <c r="E5" s="14"/>
      <c r="F5" s="14"/>
      <c r="G5" s="14"/>
      <c r="H5" s="14"/>
      <c r="I5" s="14"/>
      <c r="J5" s="14"/>
      <c r="K5" s="14"/>
      <c r="L5" s="14"/>
      <c r="M5" s="14"/>
      <c r="N5" s="14"/>
      <c r="O5" s="14"/>
      <c r="P5" s="14"/>
      <c r="Q5" s="14"/>
      <c r="R5" s="14"/>
    </row>
    <row r="6" spans="1:18" ht="13.5" thickBot="1" x14ac:dyDescent="0.25">
      <c r="A6" s="24"/>
      <c r="B6" s="25"/>
      <c r="C6" s="653" t="s">
        <v>621</v>
      </c>
      <c r="D6" s="654"/>
      <c r="E6" s="654"/>
      <c r="F6" s="655"/>
      <c r="G6" s="653" t="s">
        <v>956</v>
      </c>
      <c r="H6" s="654"/>
      <c r="I6" s="654"/>
      <c r="J6" s="655"/>
      <c r="K6" s="653" t="s">
        <v>621</v>
      </c>
      <c r="L6" s="654"/>
      <c r="M6" s="654"/>
      <c r="N6" s="655"/>
      <c r="O6" s="653" t="s">
        <v>956</v>
      </c>
      <c r="P6" s="654"/>
      <c r="Q6" s="654"/>
      <c r="R6" s="655"/>
    </row>
    <row r="7" spans="1:18" ht="30" customHeight="1" thickBot="1" x14ac:dyDescent="0.25">
      <c r="A7" s="26" t="s">
        <v>87</v>
      </c>
      <c r="B7" s="13" t="s">
        <v>471</v>
      </c>
      <c r="C7" s="28" t="s">
        <v>511</v>
      </c>
      <c r="D7" s="28" t="s">
        <v>139</v>
      </c>
      <c r="E7" s="28" t="s">
        <v>512</v>
      </c>
      <c r="F7" s="29" t="s">
        <v>137</v>
      </c>
      <c r="G7" s="28" t="s">
        <v>511</v>
      </c>
      <c r="H7" s="28" t="s">
        <v>139</v>
      </c>
      <c r="I7" s="28" t="s">
        <v>512</v>
      </c>
      <c r="J7" s="29" t="s">
        <v>137</v>
      </c>
      <c r="K7" s="50" t="s">
        <v>511</v>
      </c>
      <c r="L7" s="50" t="s">
        <v>139</v>
      </c>
      <c r="M7" s="50" t="s">
        <v>512</v>
      </c>
      <c r="N7" s="51" t="s">
        <v>137</v>
      </c>
      <c r="O7" s="50" t="s">
        <v>511</v>
      </c>
      <c r="P7" s="50" t="s">
        <v>139</v>
      </c>
      <c r="Q7" s="50" t="s">
        <v>512</v>
      </c>
      <c r="R7" s="51" t="s">
        <v>137</v>
      </c>
    </row>
    <row r="8" spans="1:18" ht="15" customHeight="1" x14ac:dyDescent="0.2">
      <c r="A8" s="656" t="s">
        <v>88</v>
      </c>
      <c r="B8" s="309" t="s">
        <v>111</v>
      </c>
      <c r="C8" s="276">
        <v>410</v>
      </c>
      <c r="D8" s="276">
        <v>692</v>
      </c>
      <c r="E8" s="276">
        <v>716</v>
      </c>
      <c r="F8" s="277">
        <v>148</v>
      </c>
      <c r="G8" s="276">
        <v>146</v>
      </c>
      <c r="H8" s="276">
        <v>469</v>
      </c>
      <c r="I8" s="276">
        <v>636</v>
      </c>
      <c r="J8" s="277">
        <v>57</v>
      </c>
      <c r="K8" s="72">
        <v>2.1288748117763122E-3</v>
      </c>
      <c r="L8" s="73">
        <v>6.1694274557352498E-3</v>
      </c>
      <c r="M8" s="73">
        <v>6.9592263206492682E-3</v>
      </c>
      <c r="N8" s="74">
        <v>5.2144623818818571E-4</v>
      </c>
      <c r="O8" s="72">
        <v>2.1270706158306499E-3</v>
      </c>
      <c r="P8" s="73">
        <v>5.3272450532724502E-3</v>
      </c>
      <c r="Q8" s="73">
        <v>6.2032440235255098E-3</v>
      </c>
      <c r="R8" s="74">
        <v>5.1549188778555501E-4</v>
      </c>
    </row>
    <row r="9" spans="1:18" ht="15" customHeight="1" x14ac:dyDescent="0.2">
      <c r="A9" s="648"/>
      <c r="B9" s="310" t="s">
        <v>112</v>
      </c>
      <c r="C9" s="278">
        <v>281</v>
      </c>
      <c r="D9" s="278">
        <v>625</v>
      </c>
      <c r="E9" s="278">
        <v>627</v>
      </c>
      <c r="F9" s="279">
        <v>100</v>
      </c>
      <c r="G9" s="278">
        <v>94</v>
      </c>
      <c r="H9" s="278">
        <v>410</v>
      </c>
      <c r="I9" s="278">
        <v>515</v>
      </c>
      <c r="J9" s="279">
        <v>26</v>
      </c>
      <c r="K9" s="75">
        <v>1.4590581027052287E-3</v>
      </c>
      <c r="L9" s="76">
        <v>5.5720984968707097E-3</v>
      </c>
      <c r="M9" s="76">
        <v>6.0941828254847648E-3</v>
      </c>
      <c r="N9" s="56">
        <v>3.523285393163417E-4</v>
      </c>
      <c r="O9" s="75">
        <v>1.36948382115124E-3</v>
      </c>
      <c r="P9" s="76">
        <v>4.6570798973170702E-3</v>
      </c>
      <c r="Q9" s="76">
        <v>5.0230670945214401E-3</v>
      </c>
      <c r="R9" s="56">
        <v>2.3513665056885001E-4</v>
      </c>
    </row>
    <row r="10" spans="1:18" ht="15" customHeight="1" x14ac:dyDescent="0.2">
      <c r="A10" s="648"/>
      <c r="B10" s="310" t="s">
        <v>113</v>
      </c>
      <c r="C10" s="278">
        <v>201</v>
      </c>
      <c r="D10" s="278">
        <v>545</v>
      </c>
      <c r="E10" s="278">
        <v>534</v>
      </c>
      <c r="F10" s="279">
        <v>55</v>
      </c>
      <c r="G10" s="278">
        <v>74</v>
      </c>
      <c r="H10" s="278">
        <v>342</v>
      </c>
      <c r="I10" s="278">
        <v>470</v>
      </c>
      <c r="J10" s="279">
        <v>25</v>
      </c>
      <c r="K10" s="75">
        <v>1.043667895529363E-3</v>
      </c>
      <c r="L10" s="76">
        <v>4.8588698892712591E-3</v>
      </c>
      <c r="M10" s="76">
        <v>5.1902609709870247E-3</v>
      </c>
      <c r="N10" s="56">
        <v>1.9378069662398794E-4</v>
      </c>
      <c r="O10" s="75">
        <v>1.0781042847360801E-3</v>
      </c>
      <c r="P10" s="76">
        <v>3.8846861582498499E-3</v>
      </c>
      <c r="Q10" s="76">
        <v>4.584158319272E-3</v>
      </c>
      <c r="R10" s="56">
        <v>2.2609293323927899E-4</v>
      </c>
    </row>
    <row r="11" spans="1:18" ht="15" customHeight="1" x14ac:dyDescent="0.2">
      <c r="A11" s="648"/>
      <c r="B11" s="310" t="s">
        <v>114</v>
      </c>
      <c r="C11" s="278">
        <v>134</v>
      </c>
      <c r="D11" s="278">
        <v>477</v>
      </c>
      <c r="E11" s="278">
        <v>464</v>
      </c>
      <c r="F11" s="279">
        <v>50</v>
      </c>
      <c r="G11" s="278">
        <v>34</v>
      </c>
      <c r="H11" s="278">
        <v>245</v>
      </c>
      <c r="I11" s="278">
        <v>365</v>
      </c>
      <c r="J11" s="279">
        <v>13</v>
      </c>
      <c r="K11" s="75">
        <v>6.9577859701957525E-4</v>
      </c>
      <c r="L11" s="76">
        <v>4.2526255728117255E-3</v>
      </c>
      <c r="M11" s="76">
        <v>4.5098896826553918E-3</v>
      </c>
      <c r="N11" s="56">
        <v>1.7616426965817085E-4</v>
      </c>
      <c r="O11" s="75">
        <v>4.9534521190576801E-4</v>
      </c>
      <c r="P11" s="76">
        <v>2.7828892069333699E-3</v>
      </c>
      <c r="Q11" s="76">
        <v>3.5600378436899602E-3</v>
      </c>
      <c r="R11" s="56">
        <v>1.17568325284425E-4</v>
      </c>
    </row>
    <row r="12" spans="1:18" ht="15" customHeight="1" x14ac:dyDescent="0.2">
      <c r="A12" s="648"/>
      <c r="B12" s="310" t="s">
        <v>115</v>
      </c>
      <c r="C12" s="278">
        <v>102</v>
      </c>
      <c r="D12" s="278">
        <v>409</v>
      </c>
      <c r="E12" s="278">
        <v>394</v>
      </c>
      <c r="F12" s="279">
        <v>49</v>
      </c>
      <c r="G12" s="278">
        <v>42</v>
      </c>
      <c r="H12" s="278">
        <v>235</v>
      </c>
      <c r="I12" s="278">
        <v>315</v>
      </c>
      <c r="J12" s="279">
        <v>11</v>
      </c>
      <c r="K12" s="75">
        <v>5.2962251414922893E-4</v>
      </c>
      <c r="L12" s="76">
        <v>3.6463812563521923E-3</v>
      </c>
      <c r="M12" s="76">
        <v>3.8295183943237595E-3</v>
      </c>
      <c r="N12" s="56">
        <v>1.7264098426500744E-4</v>
      </c>
      <c r="O12" s="75">
        <v>6.1189702647183105E-4</v>
      </c>
      <c r="P12" s="76">
        <v>2.6693018923646598E-3</v>
      </c>
      <c r="Q12" s="76">
        <v>3.0723614267461302E-3</v>
      </c>
      <c r="R12" s="56">
        <v>9.9480890625282606E-5</v>
      </c>
    </row>
    <row r="13" spans="1:18" ht="15" customHeight="1" x14ac:dyDescent="0.2">
      <c r="A13" s="648"/>
      <c r="B13" s="310" t="s">
        <v>116</v>
      </c>
      <c r="C13" s="278">
        <v>116</v>
      </c>
      <c r="D13" s="278">
        <v>304</v>
      </c>
      <c r="E13" s="278">
        <v>306</v>
      </c>
      <c r="F13" s="279">
        <v>63</v>
      </c>
      <c r="G13" s="278">
        <v>30</v>
      </c>
      <c r="H13" s="278">
        <v>196</v>
      </c>
      <c r="I13" s="278">
        <v>261</v>
      </c>
      <c r="J13" s="279">
        <v>21</v>
      </c>
      <c r="K13" s="75">
        <v>6.0231580040500548E-4</v>
      </c>
      <c r="L13" s="76">
        <v>2.710268708877913E-3</v>
      </c>
      <c r="M13" s="76">
        <v>2.9741944889925646E-3</v>
      </c>
      <c r="N13" s="56">
        <v>2.2196697976929527E-4</v>
      </c>
      <c r="O13" s="75">
        <v>4.37069304622736E-4</v>
      </c>
      <c r="P13" s="76">
        <v>2.2263113655467E-3</v>
      </c>
      <c r="Q13" s="76">
        <v>2.5456708964467899E-3</v>
      </c>
      <c r="R13" s="56">
        <v>1.8991806392099401E-4</v>
      </c>
    </row>
    <row r="14" spans="1:18" ht="15" customHeight="1" x14ac:dyDescent="0.2">
      <c r="A14" s="648"/>
      <c r="B14" s="310" t="s">
        <v>117</v>
      </c>
      <c r="C14" s="278">
        <v>145</v>
      </c>
      <c r="D14" s="278">
        <v>201</v>
      </c>
      <c r="E14" s="278">
        <v>193</v>
      </c>
      <c r="F14" s="279">
        <v>155</v>
      </c>
      <c r="G14" s="278">
        <v>48</v>
      </c>
      <c r="H14" s="278">
        <v>117</v>
      </c>
      <c r="I14" s="278">
        <v>146</v>
      </c>
      <c r="J14" s="279">
        <v>51</v>
      </c>
      <c r="K14" s="75">
        <v>7.528947505062568E-4</v>
      </c>
      <c r="L14" s="76">
        <v>1.7919868765936201E-3</v>
      </c>
      <c r="M14" s="76">
        <v>1.8758808378286436E-3</v>
      </c>
      <c r="N14" s="56">
        <v>5.4610923594032969E-4</v>
      </c>
      <c r="O14" s="75">
        <v>6.9931088739637803E-4</v>
      </c>
      <c r="P14" s="76">
        <v>1.32897158045389E-3</v>
      </c>
      <c r="Q14" s="76">
        <v>1.4240151374759801E-3</v>
      </c>
      <c r="R14" s="56">
        <v>4.6122958380812799E-4</v>
      </c>
    </row>
    <row r="15" spans="1:18" ht="15" customHeight="1" x14ac:dyDescent="0.2">
      <c r="A15" s="648"/>
      <c r="B15" s="310" t="s">
        <v>118</v>
      </c>
      <c r="C15" s="278">
        <v>385</v>
      </c>
      <c r="D15" s="278">
        <v>202</v>
      </c>
      <c r="E15" s="278">
        <v>175</v>
      </c>
      <c r="F15" s="279">
        <v>670</v>
      </c>
      <c r="G15" s="278">
        <v>105</v>
      </c>
      <c r="H15" s="278">
        <v>145</v>
      </c>
      <c r="I15" s="278">
        <v>200</v>
      </c>
      <c r="J15" s="279">
        <v>213</v>
      </c>
      <c r="K15" s="75">
        <v>1.9990653720338542E-3</v>
      </c>
      <c r="L15" s="76">
        <v>1.8009022341886132E-3</v>
      </c>
      <c r="M15" s="76">
        <v>1.7009282208290809E-3</v>
      </c>
      <c r="N15" s="56">
        <v>2.3606012134194895E-3</v>
      </c>
      <c r="O15" s="75">
        <v>1.5297425661795799E-3</v>
      </c>
      <c r="P15" s="76">
        <v>1.64701606124628E-3</v>
      </c>
      <c r="Q15" s="76">
        <v>1.9507056677753199E-3</v>
      </c>
      <c r="R15" s="56">
        <v>1.92631179119865E-3</v>
      </c>
    </row>
    <row r="16" spans="1:18" ht="15" customHeight="1" x14ac:dyDescent="0.2">
      <c r="A16" s="648"/>
      <c r="B16" s="310" t="s">
        <v>119</v>
      </c>
      <c r="C16" s="278">
        <v>1039</v>
      </c>
      <c r="D16" s="278">
        <v>353</v>
      </c>
      <c r="E16" s="278">
        <v>304</v>
      </c>
      <c r="F16" s="279">
        <v>3026</v>
      </c>
      <c r="G16" s="278">
        <v>361</v>
      </c>
      <c r="H16" s="278">
        <v>295</v>
      </c>
      <c r="I16" s="278">
        <v>354</v>
      </c>
      <c r="J16" s="279">
        <v>1443</v>
      </c>
      <c r="K16" s="75">
        <v>5.3948803156965578E-3</v>
      </c>
      <c r="L16" s="76">
        <v>3.1471212310325769E-3</v>
      </c>
      <c r="M16" s="76">
        <v>2.9547553093259462E-3</v>
      </c>
      <c r="N16" s="82">
        <v>1.0661461599712501E-2</v>
      </c>
      <c r="O16" s="75">
        <v>5.2594006322935899E-3</v>
      </c>
      <c r="P16" s="76">
        <v>3.3508257797769101E-3</v>
      </c>
      <c r="Q16" s="76">
        <v>3.4527490319623102E-3</v>
      </c>
      <c r="R16" s="82">
        <v>1.30500841065712E-2</v>
      </c>
    </row>
    <row r="17" spans="1:18" ht="15" customHeight="1" x14ac:dyDescent="0.2">
      <c r="A17" s="648"/>
      <c r="B17" s="310" t="s">
        <v>120</v>
      </c>
      <c r="C17" s="278">
        <v>2098</v>
      </c>
      <c r="D17" s="278">
        <v>635</v>
      </c>
      <c r="E17" s="278">
        <v>451</v>
      </c>
      <c r="F17" s="279">
        <v>5358</v>
      </c>
      <c r="G17" s="278">
        <v>754</v>
      </c>
      <c r="H17" s="278">
        <v>526</v>
      </c>
      <c r="I17" s="278">
        <v>547</v>
      </c>
      <c r="J17" s="279">
        <v>2451</v>
      </c>
      <c r="K17" s="75">
        <v>1.0893608183187081E-2</v>
      </c>
      <c r="L17" s="76">
        <v>5.6612520728206404E-3</v>
      </c>
      <c r="M17" s="76">
        <v>4.3835350148223743E-3</v>
      </c>
      <c r="N17" s="56">
        <v>1.8877763136569588E-2</v>
      </c>
      <c r="O17" s="75">
        <v>1.09850085228514E-2</v>
      </c>
      <c r="P17" s="76">
        <v>5.9746927463140897E-3</v>
      </c>
      <c r="Q17" s="76">
        <v>5.3351800013654903E-3</v>
      </c>
      <c r="R17" s="56">
        <v>2.2166151174778902E-2</v>
      </c>
    </row>
    <row r="18" spans="1:18" ht="15" customHeight="1" x14ac:dyDescent="0.2">
      <c r="A18" s="648"/>
      <c r="B18" s="310" t="s">
        <v>121</v>
      </c>
      <c r="C18" s="278">
        <v>2126</v>
      </c>
      <c r="D18" s="278">
        <v>831</v>
      </c>
      <c r="E18" s="278">
        <v>596</v>
      </c>
      <c r="F18" s="279">
        <v>3948</v>
      </c>
      <c r="G18" s="278">
        <v>783</v>
      </c>
      <c r="H18" s="278">
        <v>685</v>
      </c>
      <c r="I18" s="278">
        <v>648</v>
      </c>
      <c r="J18" s="279">
        <v>1613</v>
      </c>
      <c r="K18" s="75">
        <v>1.1038994755698634E-2</v>
      </c>
      <c r="L18" s="76">
        <v>7.408662161439295E-3</v>
      </c>
      <c r="M18" s="76">
        <v>5.7928755406521848E-3</v>
      </c>
      <c r="N18" s="56">
        <v>1.3909930732209171E-2</v>
      </c>
      <c r="O18" s="75">
        <v>1.14075088506534E-2</v>
      </c>
      <c r="P18" s="76">
        <v>7.7807310479565597E-3</v>
      </c>
      <c r="Q18" s="76">
        <v>6.3202863635920302E-3</v>
      </c>
      <c r="R18" s="56">
        <v>1.4587516052598301E-2</v>
      </c>
    </row>
    <row r="19" spans="1:18" ht="15" customHeight="1" x14ac:dyDescent="0.2">
      <c r="A19" s="648"/>
      <c r="B19" s="310" t="s">
        <v>122</v>
      </c>
      <c r="C19" s="278">
        <v>1964</v>
      </c>
      <c r="D19" s="278">
        <v>862</v>
      </c>
      <c r="E19" s="278">
        <v>658</v>
      </c>
      <c r="F19" s="279">
        <v>3496</v>
      </c>
      <c r="G19" s="278">
        <v>797</v>
      </c>
      <c r="H19" s="278">
        <v>694</v>
      </c>
      <c r="I19" s="278">
        <v>763</v>
      </c>
      <c r="J19" s="279">
        <v>1475</v>
      </c>
      <c r="K19" s="75">
        <v>1.0197829586167505E-2</v>
      </c>
      <c r="L19" s="76">
        <v>7.6850382468840826E-3</v>
      </c>
      <c r="M19" s="76">
        <v>6.3954901103173449E-3</v>
      </c>
      <c r="N19" s="56">
        <v>1.2317405734499305E-2</v>
      </c>
      <c r="O19" s="75">
        <v>1.1611474526144E-2</v>
      </c>
      <c r="P19" s="76">
        <v>7.8829596310684008E-3</v>
      </c>
      <c r="Q19" s="76">
        <v>7.4419421225628401E-3</v>
      </c>
      <c r="R19" s="56">
        <v>1.33394830611174E-2</v>
      </c>
    </row>
    <row r="20" spans="1:18" ht="15" customHeight="1" x14ac:dyDescent="0.2">
      <c r="A20" s="648"/>
      <c r="B20" s="310" t="s">
        <v>123</v>
      </c>
      <c r="C20" s="278">
        <v>2051</v>
      </c>
      <c r="D20" s="278">
        <v>941</v>
      </c>
      <c r="E20" s="278">
        <v>703</v>
      </c>
      <c r="F20" s="279">
        <v>3132</v>
      </c>
      <c r="G20" s="278">
        <v>716</v>
      </c>
      <c r="H20" s="278">
        <v>688</v>
      </c>
      <c r="I20" s="278">
        <v>750</v>
      </c>
      <c r="J20" s="279">
        <v>1244</v>
      </c>
      <c r="K20" s="75">
        <v>1.0649566436471259E-2</v>
      </c>
      <c r="L20" s="76">
        <v>8.3893514968885405E-3</v>
      </c>
      <c r="M20" s="76">
        <v>6.8328716528162515E-3</v>
      </c>
      <c r="N20" s="56">
        <v>1.1034929851387822E-2</v>
      </c>
      <c r="O20" s="75">
        <v>1.04313874036626E-2</v>
      </c>
      <c r="P20" s="76">
        <v>7.8148072423271792E-3</v>
      </c>
      <c r="Q20" s="76">
        <v>7.3151462541574397E-3</v>
      </c>
      <c r="R20" s="56">
        <v>1.12503843579865E-2</v>
      </c>
    </row>
    <row r="21" spans="1:18" ht="15" customHeight="1" x14ac:dyDescent="0.2">
      <c r="A21" s="648"/>
      <c r="B21" s="310" t="s">
        <v>124</v>
      </c>
      <c r="C21" s="278">
        <v>1871</v>
      </c>
      <c r="D21" s="278">
        <v>923</v>
      </c>
      <c r="E21" s="278">
        <v>686</v>
      </c>
      <c r="F21" s="279">
        <v>2928</v>
      </c>
      <c r="G21" s="278">
        <v>770</v>
      </c>
      <c r="H21" s="278">
        <v>696</v>
      </c>
      <c r="I21" s="278">
        <v>765</v>
      </c>
      <c r="J21" s="279">
        <v>1219</v>
      </c>
      <c r="K21" s="75">
        <v>9.7149384703255626E-3</v>
      </c>
      <c r="L21" s="76">
        <v>8.2288750601786642E-3</v>
      </c>
      <c r="M21" s="76">
        <v>6.667638625649998E-3</v>
      </c>
      <c r="N21" s="56">
        <v>1.0316179631182485E-2</v>
      </c>
      <c r="O21" s="75">
        <v>1.12181121519836E-2</v>
      </c>
      <c r="P21" s="76">
        <v>7.9056770939821396E-3</v>
      </c>
      <c r="Q21" s="76">
        <v>7.4614491792405896E-3</v>
      </c>
      <c r="R21" s="56">
        <v>1.10242914247472E-2</v>
      </c>
    </row>
    <row r="22" spans="1:18" ht="15" customHeight="1" x14ac:dyDescent="0.2">
      <c r="A22" s="648"/>
      <c r="B22" s="310" t="s">
        <v>125</v>
      </c>
      <c r="C22" s="278">
        <v>1918</v>
      </c>
      <c r="D22" s="278">
        <v>895</v>
      </c>
      <c r="E22" s="278">
        <v>726</v>
      </c>
      <c r="F22" s="279">
        <v>2801</v>
      </c>
      <c r="G22" s="278">
        <v>667</v>
      </c>
      <c r="H22" s="278">
        <v>655</v>
      </c>
      <c r="I22" s="278">
        <v>810</v>
      </c>
      <c r="J22" s="279">
        <v>1203</v>
      </c>
      <c r="K22" s="75">
        <v>9.9589802170413841E-3</v>
      </c>
      <c r="L22" s="76">
        <v>7.9792450475188563E-3</v>
      </c>
      <c r="M22" s="76">
        <v>7.0564222189823589E-3</v>
      </c>
      <c r="N22" s="56">
        <v>9.868722386250731E-3</v>
      </c>
      <c r="O22" s="75">
        <v>9.7175075394455006E-3</v>
      </c>
      <c r="P22" s="76">
        <v>7.4399691042504401E-3</v>
      </c>
      <c r="Q22" s="76">
        <v>7.9003579544900393E-3</v>
      </c>
      <c r="R22" s="56">
        <v>1.08795919474741E-2</v>
      </c>
    </row>
    <row r="23" spans="1:18" ht="15" customHeight="1" x14ac:dyDescent="0.2">
      <c r="A23" s="648"/>
      <c r="B23" s="310" t="s">
        <v>126</v>
      </c>
      <c r="C23" s="278">
        <v>1840</v>
      </c>
      <c r="D23" s="278">
        <v>823</v>
      </c>
      <c r="E23" s="278">
        <v>771</v>
      </c>
      <c r="F23" s="279">
        <v>2852</v>
      </c>
      <c r="G23" s="278">
        <v>704</v>
      </c>
      <c r="H23" s="278">
        <v>640</v>
      </c>
      <c r="I23" s="278">
        <v>836</v>
      </c>
      <c r="J23" s="279">
        <v>1310</v>
      </c>
      <c r="K23" s="75">
        <v>9.5539747650449144E-3</v>
      </c>
      <c r="L23" s="76">
        <v>7.3373393006793504E-3</v>
      </c>
      <c r="M23" s="76">
        <v>7.4938037614812655E-3</v>
      </c>
      <c r="N23" s="56">
        <v>1.0048409941302065E-2</v>
      </c>
      <c r="O23" s="75">
        <v>1.02565596818135E-2</v>
      </c>
      <c r="P23" s="76">
        <v>7.2695881323973704E-3</v>
      </c>
      <c r="Q23" s="76">
        <v>8.1539496913008297E-3</v>
      </c>
      <c r="R23" s="56">
        <v>1.1847269701738199E-2</v>
      </c>
    </row>
    <row r="24" spans="1:18" ht="15" customHeight="1" x14ac:dyDescent="0.2">
      <c r="A24" s="648"/>
      <c r="B24" s="310" t="s">
        <v>127</v>
      </c>
      <c r="C24" s="278">
        <v>2076</v>
      </c>
      <c r="D24" s="278">
        <v>948</v>
      </c>
      <c r="E24" s="278">
        <v>827</v>
      </c>
      <c r="F24" s="279">
        <v>3235</v>
      </c>
      <c r="G24" s="278">
        <v>771</v>
      </c>
      <c r="H24" s="278">
        <v>705</v>
      </c>
      <c r="I24" s="278">
        <v>881</v>
      </c>
      <c r="J24" s="279">
        <v>1393</v>
      </c>
      <c r="K24" s="75">
        <v>1.0779375876213719E-2</v>
      </c>
      <c r="L24" s="76">
        <v>8.4517590000534916E-3</v>
      </c>
      <c r="M24" s="76">
        <v>8.0381007921465717E-3</v>
      </c>
      <c r="N24" s="56">
        <v>1.1397828246883655E-2</v>
      </c>
      <c r="O24" s="75">
        <v>1.12326811288043E-2</v>
      </c>
      <c r="P24" s="76">
        <v>8.0079056770939808E-3</v>
      </c>
      <c r="Q24" s="76">
        <v>8.5928584665502707E-3</v>
      </c>
      <c r="R24" s="56">
        <v>1.25978982400926E-2</v>
      </c>
    </row>
    <row r="25" spans="1:18" ht="15" customHeight="1" x14ac:dyDescent="0.2">
      <c r="A25" s="648"/>
      <c r="B25" s="310" t="s">
        <v>128</v>
      </c>
      <c r="C25" s="278">
        <v>2213</v>
      </c>
      <c r="D25" s="278">
        <v>918</v>
      </c>
      <c r="E25" s="278">
        <v>904</v>
      </c>
      <c r="F25" s="279">
        <v>2910</v>
      </c>
      <c r="G25" s="278">
        <v>838</v>
      </c>
      <c r="H25" s="278">
        <v>679</v>
      </c>
      <c r="I25" s="278">
        <v>885</v>
      </c>
      <c r="J25" s="279">
        <v>1161</v>
      </c>
      <c r="K25" s="75">
        <v>1.1490731606002388E-2</v>
      </c>
      <c r="L25" s="76">
        <v>8.1842982722036984E-3</v>
      </c>
      <c r="M25" s="76">
        <v>8.7865092093113665E-3</v>
      </c>
      <c r="N25" s="56">
        <v>1.0252760494105544E-2</v>
      </c>
      <c r="O25" s="75">
        <v>1.22088025757951E-2</v>
      </c>
      <c r="P25" s="76">
        <v>7.7125786592153397E-3</v>
      </c>
      <c r="Q25" s="76">
        <v>8.6318725799057801E-3</v>
      </c>
      <c r="R25" s="56">
        <v>1.04997558196321E-2</v>
      </c>
    </row>
    <row r="26" spans="1:18" ht="15" customHeight="1" x14ac:dyDescent="0.2">
      <c r="A26" s="648"/>
      <c r="B26" s="310" t="s">
        <v>129</v>
      </c>
      <c r="C26" s="278">
        <v>2291</v>
      </c>
      <c r="D26" s="278">
        <v>820</v>
      </c>
      <c r="E26" s="278">
        <v>928</v>
      </c>
      <c r="F26" s="279">
        <v>2954</v>
      </c>
      <c r="G26" s="278">
        <v>887</v>
      </c>
      <c r="H26" s="278">
        <v>714</v>
      </c>
      <c r="I26" s="278">
        <v>849</v>
      </c>
      <c r="J26" s="279">
        <v>1092</v>
      </c>
      <c r="K26" s="75">
        <v>1.1895737057998857E-2</v>
      </c>
      <c r="L26" s="76">
        <v>7.3105932278943707E-3</v>
      </c>
      <c r="M26" s="76">
        <v>9.0197793653107837E-3</v>
      </c>
      <c r="N26" s="56">
        <v>1.0407785051404734E-2</v>
      </c>
      <c r="O26" s="75">
        <v>1.29226824400122E-2</v>
      </c>
      <c r="P26" s="76">
        <v>8.1101342602058202E-3</v>
      </c>
      <c r="Q26" s="76">
        <v>8.2807455597062197E-3</v>
      </c>
      <c r="R26" s="56">
        <v>9.8757393238916892E-3</v>
      </c>
    </row>
    <row r="27" spans="1:18" ht="15" customHeight="1" x14ac:dyDescent="0.2">
      <c r="A27" s="648"/>
      <c r="B27" s="310" t="s">
        <v>130</v>
      </c>
      <c r="C27" s="278">
        <v>2113</v>
      </c>
      <c r="D27" s="278">
        <v>843</v>
      </c>
      <c r="E27" s="278">
        <v>866</v>
      </c>
      <c r="F27" s="279">
        <v>2673</v>
      </c>
      <c r="G27" s="278">
        <v>729</v>
      </c>
      <c r="H27" s="278">
        <v>647</v>
      </c>
      <c r="I27" s="278">
        <v>831</v>
      </c>
      <c r="J27" s="279">
        <v>1020</v>
      </c>
      <c r="K27" s="75">
        <v>1.0971493847032556E-2</v>
      </c>
      <c r="L27" s="76">
        <v>7.5156464525792128E-3</v>
      </c>
      <c r="M27" s="76">
        <v>8.4171647956456236E-3</v>
      </c>
      <c r="N27" s="56">
        <v>9.4177418559258132E-3</v>
      </c>
      <c r="O27" s="75">
        <v>1.06207841023325E-2</v>
      </c>
      <c r="P27" s="76">
        <v>7.3490992525954701E-3</v>
      </c>
      <c r="Q27" s="76">
        <v>8.1051820496064395E-3</v>
      </c>
      <c r="R27" s="56">
        <v>9.2245916761625694E-3</v>
      </c>
    </row>
    <row r="28" spans="1:18" ht="15" customHeight="1" x14ac:dyDescent="0.2">
      <c r="A28" s="648"/>
      <c r="B28" s="310" t="s">
        <v>131</v>
      </c>
      <c r="C28" s="278">
        <v>1754</v>
      </c>
      <c r="D28" s="278">
        <v>838</v>
      </c>
      <c r="E28" s="278">
        <v>952</v>
      </c>
      <c r="F28" s="279">
        <v>2411</v>
      </c>
      <c r="G28" s="278">
        <v>572</v>
      </c>
      <c r="H28" s="278">
        <v>631</v>
      </c>
      <c r="I28" s="278">
        <v>871</v>
      </c>
      <c r="J28" s="279">
        <v>797</v>
      </c>
      <c r="K28" s="75">
        <v>9.1074302923308589E-3</v>
      </c>
      <c r="L28" s="76">
        <v>7.471069664604247E-3</v>
      </c>
      <c r="M28" s="76">
        <v>9.2530495213102009E-3</v>
      </c>
      <c r="N28" s="56">
        <v>8.4946410829169986E-3</v>
      </c>
      <c r="O28" s="75">
        <v>8.3334547414735099E-3</v>
      </c>
      <c r="P28" s="76">
        <v>7.1673595492855397E-3</v>
      </c>
      <c r="Q28" s="76">
        <v>8.4953231831615093E-3</v>
      </c>
      <c r="R28" s="56">
        <v>7.2078427116682E-3</v>
      </c>
    </row>
    <row r="29" spans="1:18" ht="15" customHeight="1" x14ac:dyDescent="0.2">
      <c r="A29" s="648"/>
      <c r="B29" s="310" t="s">
        <v>132</v>
      </c>
      <c r="C29" s="278">
        <v>1190</v>
      </c>
      <c r="D29" s="278">
        <v>764</v>
      </c>
      <c r="E29" s="278">
        <v>974</v>
      </c>
      <c r="F29" s="279">
        <v>2024</v>
      </c>
      <c r="G29" s="278">
        <v>370</v>
      </c>
      <c r="H29" s="278">
        <v>601</v>
      </c>
      <c r="I29" s="278">
        <v>849</v>
      </c>
      <c r="J29" s="279">
        <v>655</v>
      </c>
      <c r="K29" s="75">
        <v>6.1789293317410041E-3</v>
      </c>
      <c r="L29" s="76">
        <v>6.8113332025747549E-3</v>
      </c>
      <c r="M29" s="76">
        <v>9.4668804976430002E-3</v>
      </c>
      <c r="N29" s="56">
        <v>7.1311296357627557E-3</v>
      </c>
      <c r="O29" s="75">
        <v>5.3905214236804203E-3</v>
      </c>
      <c r="P29" s="76">
        <v>6.8265976055794098E-3</v>
      </c>
      <c r="Q29" s="76">
        <v>8.2807455597062197E-3</v>
      </c>
      <c r="R29" s="56">
        <v>5.9236348508690997E-3</v>
      </c>
    </row>
    <row r="30" spans="1:18" ht="15" customHeight="1" x14ac:dyDescent="0.2">
      <c r="A30" s="648"/>
      <c r="B30" s="310" t="s">
        <v>133</v>
      </c>
      <c r="C30" s="278">
        <v>765</v>
      </c>
      <c r="D30" s="278">
        <v>680</v>
      </c>
      <c r="E30" s="278">
        <v>946</v>
      </c>
      <c r="F30" s="279">
        <v>1241</v>
      </c>
      <c r="G30" s="278">
        <v>263</v>
      </c>
      <c r="H30" s="278">
        <v>551</v>
      </c>
      <c r="I30" s="278">
        <v>881</v>
      </c>
      <c r="J30" s="279">
        <v>377</v>
      </c>
      <c r="K30" s="75">
        <v>3.9721688561192171E-3</v>
      </c>
      <c r="L30" s="76">
        <v>6.062443164595332E-3</v>
      </c>
      <c r="M30" s="76">
        <v>9.194731982310347E-3</v>
      </c>
      <c r="N30" s="56">
        <v>4.3723971729158007E-3</v>
      </c>
      <c r="O30" s="75">
        <v>3.8316409038593202E-3</v>
      </c>
      <c r="P30" s="76">
        <v>6.2586610327358596E-3</v>
      </c>
      <c r="Q30" s="76">
        <v>8.5928584665502707E-3</v>
      </c>
      <c r="R30" s="56">
        <v>3.4094814332483198E-3</v>
      </c>
    </row>
    <row r="31" spans="1:18" ht="15" customHeight="1" thickBot="1" x14ac:dyDescent="0.25">
      <c r="A31" s="649"/>
      <c r="B31" s="310" t="s">
        <v>134</v>
      </c>
      <c r="C31" s="278">
        <v>555</v>
      </c>
      <c r="D31" s="278">
        <v>606</v>
      </c>
      <c r="E31" s="278">
        <v>854</v>
      </c>
      <c r="F31" s="279">
        <v>457</v>
      </c>
      <c r="G31" s="278">
        <v>172</v>
      </c>
      <c r="H31" s="278">
        <v>481</v>
      </c>
      <c r="I31" s="278">
        <v>764</v>
      </c>
      <c r="J31" s="279">
        <v>144</v>
      </c>
      <c r="K31" s="77">
        <v>2.8817695622825692E-3</v>
      </c>
      <c r="L31" s="78">
        <v>5.4027067025658399E-3</v>
      </c>
      <c r="M31" s="78">
        <v>8.3005297176459159E-3</v>
      </c>
      <c r="N31" s="79">
        <v>1.6101414246756816E-3</v>
      </c>
      <c r="O31" s="77">
        <v>2.5058640131703602E-3</v>
      </c>
      <c r="P31" s="78">
        <v>5.4635498307548996E-3</v>
      </c>
      <c r="Q31" s="78">
        <v>7.4516956509017096E-3</v>
      </c>
      <c r="R31" s="79">
        <v>1.3022952954582501E-3</v>
      </c>
    </row>
    <row r="32" spans="1:18" ht="15" customHeight="1" x14ac:dyDescent="0.2">
      <c r="A32" s="647" t="s">
        <v>89</v>
      </c>
      <c r="B32" s="311" t="s">
        <v>111</v>
      </c>
      <c r="C32" s="276">
        <v>372</v>
      </c>
      <c r="D32" s="276">
        <v>492</v>
      </c>
      <c r="E32" s="276">
        <v>759</v>
      </c>
      <c r="F32" s="277">
        <v>161</v>
      </c>
      <c r="G32" s="276">
        <v>138</v>
      </c>
      <c r="H32" s="276">
        <v>414</v>
      </c>
      <c r="I32" s="276">
        <v>657</v>
      </c>
      <c r="J32" s="277">
        <v>56</v>
      </c>
      <c r="K32" s="72">
        <v>1.9315644633677762E-3</v>
      </c>
      <c r="L32" s="73">
        <v>4.3863559367366229E-3</v>
      </c>
      <c r="M32" s="73">
        <v>7.3771686834815569E-3</v>
      </c>
      <c r="N32" s="74">
        <v>5.6724894829931019E-4</v>
      </c>
      <c r="O32" s="72">
        <v>2.01051880126459E-3</v>
      </c>
      <c r="P32" s="73">
        <v>4.7025148231445496E-3</v>
      </c>
      <c r="Q32" s="73">
        <v>6.4080681186419203E-3</v>
      </c>
      <c r="R32" s="74">
        <v>5.0644817045598402E-4</v>
      </c>
    </row>
    <row r="33" spans="1:18" ht="15" customHeight="1" x14ac:dyDescent="0.2">
      <c r="A33" s="648"/>
      <c r="B33" s="310" t="s">
        <v>112</v>
      </c>
      <c r="C33" s="278">
        <v>270</v>
      </c>
      <c r="D33" s="278">
        <v>431</v>
      </c>
      <c r="E33" s="278">
        <v>678</v>
      </c>
      <c r="F33" s="279">
        <v>98</v>
      </c>
      <c r="G33" s="278">
        <v>103</v>
      </c>
      <c r="H33" s="278">
        <v>397</v>
      </c>
      <c r="I33" s="278">
        <v>557</v>
      </c>
      <c r="J33" s="279">
        <v>22</v>
      </c>
      <c r="K33" s="75">
        <v>1.4019419492185472E-3</v>
      </c>
      <c r="L33" s="76">
        <v>3.8425191234420413E-3</v>
      </c>
      <c r="M33" s="76">
        <v>6.5898819069835253E-3</v>
      </c>
      <c r="N33" s="56">
        <v>3.4528196853001489E-4</v>
      </c>
      <c r="O33" s="75">
        <v>1.50060461253806E-3</v>
      </c>
      <c r="P33" s="76">
        <v>4.5094163883777497E-3</v>
      </c>
      <c r="Q33" s="76">
        <v>5.4327152847542604E-3</v>
      </c>
      <c r="R33" s="56">
        <v>1.9896178125056499E-4</v>
      </c>
    </row>
    <row r="34" spans="1:18" ht="15" customHeight="1" x14ac:dyDescent="0.2">
      <c r="A34" s="648"/>
      <c r="B34" s="310" t="s">
        <v>113</v>
      </c>
      <c r="C34" s="278">
        <v>173</v>
      </c>
      <c r="D34" s="278">
        <v>368</v>
      </c>
      <c r="E34" s="278">
        <v>537</v>
      </c>
      <c r="F34" s="279">
        <v>61</v>
      </c>
      <c r="G34" s="278">
        <v>62</v>
      </c>
      <c r="H34" s="278">
        <v>338</v>
      </c>
      <c r="I34" s="278">
        <v>473</v>
      </c>
      <c r="J34" s="279">
        <v>23</v>
      </c>
      <c r="K34" s="75">
        <v>8.9828132301780989E-4</v>
      </c>
      <c r="L34" s="76">
        <v>3.2808515949574739E-3</v>
      </c>
      <c r="M34" s="76">
        <v>5.2194197404869516E-3</v>
      </c>
      <c r="N34" s="56">
        <v>2.1492040898296843E-4</v>
      </c>
      <c r="O34" s="75">
        <v>9.0327656288698805E-4</v>
      </c>
      <c r="P34" s="76">
        <v>3.8392512324223601E-3</v>
      </c>
      <c r="Q34" s="76">
        <v>4.6134189042886303E-3</v>
      </c>
      <c r="R34" s="56">
        <v>2.0800549858013601E-4</v>
      </c>
    </row>
    <row r="35" spans="1:18" ht="15" customHeight="1" x14ac:dyDescent="0.2">
      <c r="A35" s="648"/>
      <c r="B35" s="310" t="s">
        <v>114</v>
      </c>
      <c r="C35" s="278">
        <v>105</v>
      </c>
      <c r="D35" s="278">
        <v>320</v>
      </c>
      <c r="E35" s="278">
        <v>428</v>
      </c>
      <c r="F35" s="279">
        <v>45</v>
      </c>
      <c r="G35" s="278">
        <v>37</v>
      </c>
      <c r="H35" s="278">
        <v>325</v>
      </c>
      <c r="I35" s="278">
        <v>369</v>
      </c>
      <c r="J35" s="279">
        <v>20</v>
      </c>
      <c r="K35" s="75">
        <v>5.4519964691832393E-4</v>
      </c>
      <c r="L35" s="76">
        <v>2.8529144303978031E-3</v>
      </c>
      <c r="M35" s="76">
        <v>4.1599844486562669E-3</v>
      </c>
      <c r="N35" s="56">
        <v>1.5854784269235376E-4</v>
      </c>
      <c r="O35" s="75">
        <v>5.3905214236804101E-4</v>
      </c>
      <c r="P35" s="76">
        <v>3.6915877234830401E-3</v>
      </c>
      <c r="Q35" s="76">
        <v>3.5990519570454601E-3</v>
      </c>
      <c r="R35" s="56">
        <v>1.8087434659142299E-4</v>
      </c>
    </row>
    <row r="36" spans="1:18" ht="15" customHeight="1" x14ac:dyDescent="0.2">
      <c r="A36" s="648"/>
      <c r="B36" s="310" t="s">
        <v>115</v>
      </c>
      <c r="C36" s="278">
        <v>86</v>
      </c>
      <c r="D36" s="278">
        <v>277</v>
      </c>
      <c r="E36" s="278">
        <v>383</v>
      </c>
      <c r="F36" s="279">
        <v>47</v>
      </c>
      <c r="G36" s="278">
        <v>21</v>
      </c>
      <c r="H36" s="278">
        <v>279</v>
      </c>
      <c r="I36" s="278">
        <v>326</v>
      </c>
      <c r="J36" s="279">
        <v>17</v>
      </c>
      <c r="K36" s="75">
        <v>4.4654447271405578E-4</v>
      </c>
      <c r="L36" s="76">
        <v>2.4695540538130986E-3</v>
      </c>
      <c r="M36" s="76">
        <v>3.7226029061573603E-3</v>
      </c>
      <c r="N36" s="56">
        <v>1.655944134786806E-4</v>
      </c>
      <c r="O36" s="75">
        <v>3.0594851323591498E-4</v>
      </c>
      <c r="P36" s="76">
        <v>3.1690860764669801E-3</v>
      </c>
      <c r="Q36" s="76">
        <v>3.1796502384737698E-3</v>
      </c>
      <c r="R36" s="56">
        <v>1.53743194602709E-4</v>
      </c>
    </row>
    <row r="37" spans="1:18" ht="15" customHeight="1" x14ac:dyDescent="0.2">
      <c r="A37" s="648"/>
      <c r="B37" s="310" t="s">
        <v>116</v>
      </c>
      <c r="C37" s="278">
        <v>84</v>
      </c>
      <c r="D37" s="278">
        <v>208</v>
      </c>
      <c r="E37" s="278">
        <v>287</v>
      </c>
      <c r="F37" s="279">
        <v>65</v>
      </c>
      <c r="G37" s="278">
        <v>30</v>
      </c>
      <c r="H37" s="278">
        <v>197</v>
      </c>
      <c r="I37" s="278">
        <v>259</v>
      </c>
      <c r="J37" s="279">
        <v>21</v>
      </c>
      <c r="K37" s="75">
        <v>4.3615971753465911E-4</v>
      </c>
      <c r="L37" s="76">
        <v>1.8543943797585721E-3</v>
      </c>
      <c r="M37" s="76">
        <v>2.7895222821596928E-3</v>
      </c>
      <c r="N37" s="56">
        <v>2.2901355055562211E-4</v>
      </c>
      <c r="O37" s="75">
        <v>4.37069304622736E-4</v>
      </c>
      <c r="P37" s="76">
        <v>2.2376700970035699E-3</v>
      </c>
      <c r="Q37" s="76">
        <v>2.52616383976904E-3</v>
      </c>
      <c r="R37" s="56">
        <v>1.8991806392099401E-4</v>
      </c>
    </row>
    <row r="38" spans="1:18" ht="15" customHeight="1" x14ac:dyDescent="0.2">
      <c r="A38" s="648"/>
      <c r="B38" s="310" t="s">
        <v>117</v>
      </c>
      <c r="C38" s="278">
        <v>154</v>
      </c>
      <c r="D38" s="278">
        <v>133</v>
      </c>
      <c r="E38" s="278">
        <v>179</v>
      </c>
      <c r="F38" s="279">
        <v>120</v>
      </c>
      <c r="G38" s="278">
        <v>48</v>
      </c>
      <c r="H38" s="278">
        <v>126</v>
      </c>
      <c r="I38" s="278">
        <v>190</v>
      </c>
      <c r="J38" s="279">
        <v>47</v>
      </c>
      <c r="K38" s="75">
        <v>7.9962614881354168E-4</v>
      </c>
      <c r="L38" s="76">
        <v>1.1857425601340869E-3</v>
      </c>
      <c r="M38" s="76">
        <v>1.7398065801623171E-3</v>
      </c>
      <c r="N38" s="56">
        <v>4.2279424717961005E-4</v>
      </c>
      <c r="O38" s="75">
        <v>6.9931088739637803E-4</v>
      </c>
      <c r="P38" s="76">
        <v>1.4312001635657301E-3</v>
      </c>
      <c r="Q38" s="76">
        <v>1.8531703843865501E-3</v>
      </c>
      <c r="R38" s="56">
        <v>4.2505471448984398E-4</v>
      </c>
    </row>
    <row r="39" spans="1:18" ht="15" customHeight="1" x14ac:dyDescent="0.2">
      <c r="A39" s="648"/>
      <c r="B39" s="310" t="s">
        <v>118</v>
      </c>
      <c r="C39" s="278">
        <v>353</v>
      </c>
      <c r="D39" s="278">
        <v>148</v>
      </c>
      <c r="E39" s="278">
        <v>156</v>
      </c>
      <c r="F39" s="279">
        <v>575</v>
      </c>
      <c r="G39" s="278">
        <v>116</v>
      </c>
      <c r="H39" s="278">
        <v>135</v>
      </c>
      <c r="I39" s="278">
        <v>216</v>
      </c>
      <c r="J39" s="279">
        <v>197</v>
      </c>
      <c r="K39" s="75">
        <v>1.832909289163508E-3</v>
      </c>
      <c r="L39" s="76">
        <v>1.319472924058984E-3</v>
      </c>
      <c r="M39" s="76">
        <v>1.5162560139962093E-3</v>
      </c>
      <c r="N39" s="56">
        <v>2.0258891010689647E-3</v>
      </c>
      <c r="O39" s="75">
        <v>1.6900013112079099E-3</v>
      </c>
      <c r="P39" s="76">
        <v>1.5334287466775699E-3</v>
      </c>
      <c r="Q39" s="76">
        <v>2.1067621211973398E-3</v>
      </c>
      <c r="R39" s="56">
        <v>1.78161231392552E-3</v>
      </c>
    </row>
    <row r="40" spans="1:18" ht="15" customHeight="1" x14ac:dyDescent="0.2">
      <c r="A40" s="648"/>
      <c r="B40" s="310" t="s">
        <v>119</v>
      </c>
      <c r="C40" s="278">
        <v>1081</v>
      </c>
      <c r="D40" s="278">
        <v>290</v>
      </c>
      <c r="E40" s="278">
        <v>294</v>
      </c>
      <c r="F40" s="279">
        <v>2425</v>
      </c>
      <c r="G40" s="278">
        <v>435</v>
      </c>
      <c r="H40" s="278">
        <v>238</v>
      </c>
      <c r="I40" s="278">
        <v>329</v>
      </c>
      <c r="J40" s="279">
        <v>1168</v>
      </c>
      <c r="K40" s="75">
        <v>5.6129601744638871E-3</v>
      </c>
      <c r="L40" s="76">
        <v>2.5854537025480091E-3</v>
      </c>
      <c r="M40" s="76">
        <v>2.857559410992856E-3</v>
      </c>
      <c r="N40" s="56">
        <v>8.5439670784212864E-3</v>
      </c>
      <c r="O40" s="75">
        <v>6.3375049170296804E-3</v>
      </c>
      <c r="P40" s="76">
        <v>2.7033780867352702E-3</v>
      </c>
      <c r="Q40" s="76">
        <v>3.2089108234904002E-3</v>
      </c>
      <c r="R40" s="56">
        <v>1.05630618409391E-2</v>
      </c>
    </row>
    <row r="41" spans="1:18" ht="15" customHeight="1" x14ac:dyDescent="0.2">
      <c r="A41" s="648"/>
      <c r="B41" s="310" t="s">
        <v>120</v>
      </c>
      <c r="C41" s="278">
        <v>2014</v>
      </c>
      <c r="D41" s="278">
        <v>447</v>
      </c>
      <c r="E41" s="278">
        <v>453</v>
      </c>
      <c r="F41" s="279">
        <v>3869</v>
      </c>
      <c r="G41" s="278">
        <v>759</v>
      </c>
      <c r="H41" s="278">
        <v>485</v>
      </c>
      <c r="I41" s="278">
        <v>529</v>
      </c>
      <c r="J41" s="279">
        <v>1785</v>
      </c>
      <c r="K41" s="75">
        <v>1.0457448465652422E-2</v>
      </c>
      <c r="L41" s="76">
        <v>3.9851648449619314E-3</v>
      </c>
      <c r="M41" s="76">
        <v>4.4029741944889922E-3</v>
      </c>
      <c r="N41" s="56">
        <v>1.3631591186149261E-2</v>
      </c>
      <c r="O41" s="75">
        <v>1.10578534069552E-2</v>
      </c>
      <c r="P41" s="76">
        <v>5.5089847565823902E-3</v>
      </c>
      <c r="Q41" s="76">
        <v>5.1596164912657196E-3</v>
      </c>
      <c r="R41" s="56">
        <v>1.6143035433284499E-2</v>
      </c>
    </row>
    <row r="42" spans="1:18" ht="15" customHeight="1" x14ac:dyDescent="0.2">
      <c r="A42" s="648"/>
      <c r="B42" s="310" t="s">
        <v>121</v>
      </c>
      <c r="C42" s="278">
        <v>2073</v>
      </c>
      <c r="D42" s="278">
        <v>636</v>
      </c>
      <c r="E42" s="278">
        <v>549</v>
      </c>
      <c r="F42" s="279">
        <v>2962</v>
      </c>
      <c r="G42" s="278">
        <v>765</v>
      </c>
      <c r="H42" s="278">
        <v>560</v>
      </c>
      <c r="I42" s="278">
        <v>609</v>
      </c>
      <c r="J42" s="279">
        <v>1217</v>
      </c>
      <c r="K42" s="75">
        <v>1.0763798743444623E-2</v>
      </c>
      <c r="L42" s="76">
        <v>5.670167430415634E-3</v>
      </c>
      <c r="M42" s="76">
        <v>5.3360548184866602E-3</v>
      </c>
      <c r="N42" s="56">
        <v>1.0435971334550041E-2</v>
      </c>
      <c r="O42" s="75">
        <v>1.11452672678798E-2</v>
      </c>
      <c r="P42" s="76">
        <v>6.3608896158476999E-3</v>
      </c>
      <c r="Q42" s="76">
        <v>5.9398987583758403E-3</v>
      </c>
      <c r="R42" s="56">
        <v>1.1006203990088099E-2</v>
      </c>
    </row>
    <row r="43" spans="1:18" ht="15" customHeight="1" x14ac:dyDescent="0.2">
      <c r="A43" s="648"/>
      <c r="B43" s="310" t="s">
        <v>122</v>
      </c>
      <c r="C43" s="278">
        <v>1942</v>
      </c>
      <c r="D43" s="278">
        <v>687</v>
      </c>
      <c r="E43" s="278">
        <v>600</v>
      </c>
      <c r="F43" s="279">
        <v>2581</v>
      </c>
      <c r="G43" s="278">
        <v>791</v>
      </c>
      <c r="H43" s="278">
        <v>570</v>
      </c>
      <c r="I43" s="278">
        <v>676</v>
      </c>
      <c r="J43" s="279">
        <v>1050</v>
      </c>
      <c r="K43" s="75">
        <v>1.0083597279194143E-2</v>
      </c>
      <c r="L43" s="76">
        <v>6.124850667760284E-3</v>
      </c>
      <c r="M43" s="76">
        <v>5.8317538999854207E-3</v>
      </c>
      <c r="N43" s="56">
        <v>9.0935995997547796E-3</v>
      </c>
      <c r="O43" s="75">
        <v>1.15240606652195E-2</v>
      </c>
      <c r="P43" s="76">
        <v>6.4744769304164104E-3</v>
      </c>
      <c r="Q43" s="76">
        <v>6.5933851570805701E-3</v>
      </c>
      <c r="R43" s="56">
        <v>9.4959031960497008E-3</v>
      </c>
    </row>
    <row r="44" spans="1:18" ht="15" customHeight="1" x14ac:dyDescent="0.2">
      <c r="A44" s="648"/>
      <c r="B44" s="310" t="s">
        <v>123</v>
      </c>
      <c r="C44" s="278">
        <v>1759</v>
      </c>
      <c r="D44" s="278">
        <v>712</v>
      </c>
      <c r="E44" s="278">
        <v>651</v>
      </c>
      <c r="F44" s="279">
        <v>2405</v>
      </c>
      <c r="G44" s="278">
        <v>649</v>
      </c>
      <c r="H44" s="278">
        <v>582</v>
      </c>
      <c r="I44" s="278">
        <v>751</v>
      </c>
      <c r="J44" s="279">
        <v>1004</v>
      </c>
      <c r="K44" s="75">
        <v>9.1333921802793493E-3</v>
      </c>
      <c r="L44" s="76">
        <v>6.3477346076351122E-3</v>
      </c>
      <c r="M44" s="76">
        <v>6.3274529814841812E-3</v>
      </c>
      <c r="N44" s="56">
        <v>8.4735013705580179E-3</v>
      </c>
      <c r="O44" s="75">
        <v>9.4552659566718607E-3</v>
      </c>
      <c r="P44" s="76">
        <v>6.6107817078988598E-3</v>
      </c>
      <c r="Q44" s="76">
        <v>7.3248997824963196E-3</v>
      </c>
      <c r="R44" s="56">
        <v>9.0798921988894301E-3</v>
      </c>
    </row>
    <row r="45" spans="1:18" ht="15" customHeight="1" x14ac:dyDescent="0.2">
      <c r="A45" s="648"/>
      <c r="B45" s="310" t="s">
        <v>124</v>
      </c>
      <c r="C45" s="278">
        <v>1656</v>
      </c>
      <c r="D45" s="278">
        <v>734</v>
      </c>
      <c r="E45" s="278">
        <v>695</v>
      </c>
      <c r="F45" s="279">
        <v>2401</v>
      </c>
      <c r="G45" s="278">
        <v>651</v>
      </c>
      <c r="H45" s="278">
        <v>626</v>
      </c>
      <c r="I45" s="278">
        <v>681</v>
      </c>
      <c r="J45" s="279">
        <v>985</v>
      </c>
      <c r="K45" s="75">
        <v>8.5985772885404221E-3</v>
      </c>
      <c r="L45" s="76">
        <v>6.5438724747249608E-3</v>
      </c>
      <c r="M45" s="76">
        <v>6.7551149341497788E-3</v>
      </c>
      <c r="N45" s="56">
        <v>8.4594082289853635E-3</v>
      </c>
      <c r="O45" s="75">
        <v>9.4844039103133809E-3</v>
      </c>
      <c r="P45" s="76">
        <v>7.1105658920011796E-3</v>
      </c>
      <c r="Q45" s="76">
        <v>6.6421527987749604E-3</v>
      </c>
      <c r="R45" s="56">
        <v>8.9080615696275796E-3</v>
      </c>
    </row>
    <row r="46" spans="1:18" ht="15" customHeight="1" x14ac:dyDescent="0.2">
      <c r="A46" s="648"/>
      <c r="B46" s="310" t="s">
        <v>125</v>
      </c>
      <c r="C46" s="278">
        <v>1626</v>
      </c>
      <c r="D46" s="278">
        <v>749</v>
      </c>
      <c r="E46" s="278">
        <v>722</v>
      </c>
      <c r="F46" s="279">
        <v>2373</v>
      </c>
      <c r="G46" s="278">
        <v>668</v>
      </c>
      <c r="H46" s="278">
        <v>640</v>
      </c>
      <c r="I46" s="278">
        <v>770</v>
      </c>
      <c r="J46" s="279">
        <v>1012</v>
      </c>
      <c r="K46" s="75">
        <v>8.4428059608494723E-3</v>
      </c>
      <c r="L46" s="76">
        <v>6.6776028386498583E-3</v>
      </c>
      <c r="M46" s="76">
        <v>7.0175438596491229E-3</v>
      </c>
      <c r="N46" s="56">
        <v>8.360756237976788E-3</v>
      </c>
      <c r="O46" s="75">
        <v>9.7320765162662599E-3</v>
      </c>
      <c r="P46" s="76">
        <v>7.2695881323973704E-3</v>
      </c>
      <c r="Q46" s="76">
        <v>7.5102168209349703E-3</v>
      </c>
      <c r="R46" s="56">
        <v>9.1522419375259997E-3</v>
      </c>
    </row>
    <row r="47" spans="1:18" ht="15" customHeight="1" x14ac:dyDescent="0.2">
      <c r="A47" s="648"/>
      <c r="B47" s="310" t="s">
        <v>126</v>
      </c>
      <c r="C47" s="278">
        <v>1741</v>
      </c>
      <c r="D47" s="278">
        <v>708</v>
      </c>
      <c r="E47" s="278">
        <v>748</v>
      </c>
      <c r="F47" s="279">
        <v>2596</v>
      </c>
      <c r="G47" s="278">
        <v>625</v>
      </c>
      <c r="H47" s="278">
        <v>597</v>
      </c>
      <c r="I47" s="278">
        <v>785</v>
      </c>
      <c r="J47" s="279">
        <v>1181</v>
      </c>
      <c r="K47" s="75">
        <v>9.0399293836647809E-3</v>
      </c>
      <c r="L47" s="76">
        <v>6.3120731772551399E-3</v>
      </c>
      <c r="M47" s="76">
        <v>7.2702531953151581E-3</v>
      </c>
      <c r="N47" s="56">
        <v>9.1464488806522314E-3</v>
      </c>
      <c r="O47" s="75">
        <v>9.1056105129736706E-3</v>
      </c>
      <c r="P47" s="76">
        <v>6.7811626797519304E-3</v>
      </c>
      <c r="Q47" s="76">
        <v>7.6565197460181202E-3</v>
      </c>
      <c r="R47" s="56">
        <v>1.06806301662235E-2</v>
      </c>
    </row>
    <row r="48" spans="1:18" ht="15" customHeight="1" x14ac:dyDescent="0.2">
      <c r="A48" s="648"/>
      <c r="B48" s="310" t="s">
        <v>127</v>
      </c>
      <c r="C48" s="278">
        <v>1969</v>
      </c>
      <c r="D48" s="278">
        <v>724</v>
      </c>
      <c r="E48" s="278">
        <v>831</v>
      </c>
      <c r="F48" s="279">
        <v>2795</v>
      </c>
      <c r="G48" s="278">
        <v>706</v>
      </c>
      <c r="H48" s="278">
        <v>624</v>
      </c>
      <c r="I48" s="278">
        <v>782</v>
      </c>
      <c r="J48" s="279">
        <v>1204</v>
      </c>
      <c r="K48" s="75">
        <v>1.0223791474115998E-2</v>
      </c>
      <c r="L48" s="76">
        <v>6.45471889877503E-3</v>
      </c>
      <c r="M48" s="76">
        <v>8.0769791514798076E-3</v>
      </c>
      <c r="N48" s="56">
        <v>9.8475826738917503E-3</v>
      </c>
      <c r="O48" s="75">
        <v>1.02856976354551E-2</v>
      </c>
      <c r="P48" s="76">
        <v>7.0878484290874399E-3</v>
      </c>
      <c r="Q48" s="76">
        <v>7.6272591610014899E-3</v>
      </c>
      <c r="R48" s="56">
        <v>1.0888635664803701E-2</v>
      </c>
    </row>
    <row r="49" spans="1:18" ht="15" customHeight="1" x14ac:dyDescent="0.2">
      <c r="A49" s="648"/>
      <c r="B49" s="310" t="s">
        <v>128</v>
      </c>
      <c r="C49" s="278">
        <v>2109</v>
      </c>
      <c r="D49" s="278">
        <v>746</v>
      </c>
      <c r="E49" s="278">
        <v>837</v>
      </c>
      <c r="F49" s="279">
        <v>2492</v>
      </c>
      <c r="G49" s="278">
        <v>783</v>
      </c>
      <c r="H49" s="278">
        <v>648</v>
      </c>
      <c r="I49" s="278">
        <v>819</v>
      </c>
      <c r="J49" s="279">
        <v>1069</v>
      </c>
      <c r="K49" s="75">
        <v>1.0950724336673764E-2</v>
      </c>
      <c r="L49" s="76">
        <v>6.6508567658648786E-3</v>
      </c>
      <c r="M49" s="76">
        <v>8.1352966904796615E-3</v>
      </c>
      <c r="N49" s="56">
        <v>8.7800271997632347E-3</v>
      </c>
      <c r="O49" s="75">
        <v>1.14075088506534E-2</v>
      </c>
      <c r="P49" s="76">
        <v>7.3604579840523404E-3</v>
      </c>
      <c r="Q49" s="76">
        <v>7.9881397095399303E-3</v>
      </c>
      <c r="R49" s="56">
        <v>9.6677338253115599E-3</v>
      </c>
    </row>
    <row r="50" spans="1:18" ht="15" customHeight="1" x14ac:dyDescent="0.2">
      <c r="A50" s="648"/>
      <c r="B50" s="310" t="s">
        <v>129</v>
      </c>
      <c r="C50" s="278">
        <v>2459</v>
      </c>
      <c r="D50" s="278">
        <v>813</v>
      </c>
      <c r="E50" s="278">
        <v>876</v>
      </c>
      <c r="F50" s="279">
        <v>2698</v>
      </c>
      <c r="G50" s="278">
        <v>856</v>
      </c>
      <c r="H50" s="278">
        <v>701</v>
      </c>
      <c r="I50" s="278">
        <v>868</v>
      </c>
      <c r="J50" s="279">
        <v>982</v>
      </c>
      <c r="K50" s="75">
        <v>1.2768056493068176E-2</v>
      </c>
      <c r="L50" s="76">
        <v>7.2481857247294187E-3</v>
      </c>
      <c r="M50" s="76">
        <v>8.5143606939787134E-3</v>
      </c>
      <c r="N50" s="56">
        <v>9.5058239907548983E-3</v>
      </c>
      <c r="O50" s="75">
        <v>1.24710441585687E-2</v>
      </c>
      <c r="P50" s="76">
        <v>7.9624707512664997E-3</v>
      </c>
      <c r="Q50" s="76">
        <v>8.4660625981448807E-3</v>
      </c>
      <c r="R50" s="56">
        <v>8.8809304176388701E-3</v>
      </c>
    </row>
    <row r="51" spans="1:18" ht="15" customHeight="1" x14ac:dyDescent="0.2">
      <c r="A51" s="648"/>
      <c r="B51" s="310" t="s">
        <v>130</v>
      </c>
      <c r="C51" s="278">
        <v>2253</v>
      </c>
      <c r="D51" s="278">
        <v>833</v>
      </c>
      <c r="E51" s="278">
        <v>815</v>
      </c>
      <c r="F51" s="279">
        <v>2688</v>
      </c>
      <c r="G51" s="278">
        <v>755</v>
      </c>
      <c r="H51" s="278">
        <v>584</v>
      </c>
      <c r="I51" s="278">
        <v>902</v>
      </c>
      <c r="J51" s="279">
        <v>1084</v>
      </c>
      <c r="K51" s="75">
        <v>1.1698426709590322E-2</v>
      </c>
      <c r="L51" s="76">
        <v>7.426492876629282E-3</v>
      </c>
      <c r="M51" s="76">
        <v>7.9214657141468622E-3</v>
      </c>
      <c r="N51" s="56">
        <v>9.4705911368232649E-3</v>
      </c>
      <c r="O51" s="75">
        <v>1.0999577499672199E-2</v>
      </c>
      <c r="P51" s="76">
        <v>6.6334991708126003E-3</v>
      </c>
      <c r="Q51" s="76">
        <v>8.7976825616666796E-3</v>
      </c>
      <c r="R51" s="56">
        <v>9.8033895852551196E-3</v>
      </c>
    </row>
    <row r="52" spans="1:18" ht="15" customHeight="1" x14ac:dyDescent="0.2">
      <c r="A52" s="648"/>
      <c r="B52" s="310" t="s">
        <v>131</v>
      </c>
      <c r="C52" s="278">
        <v>1716</v>
      </c>
      <c r="D52" s="278">
        <v>831</v>
      </c>
      <c r="E52" s="278">
        <v>895</v>
      </c>
      <c r="F52" s="279">
        <v>2608</v>
      </c>
      <c r="G52" s="278">
        <v>545</v>
      </c>
      <c r="H52" s="278">
        <v>610</v>
      </c>
      <c r="I52" s="278">
        <v>824</v>
      </c>
      <c r="J52" s="279">
        <v>884</v>
      </c>
      <c r="K52" s="75">
        <v>8.9101199439223216E-3</v>
      </c>
      <c r="L52" s="76">
        <v>7.408662161439295E-3</v>
      </c>
      <c r="M52" s="76">
        <v>8.6990329008115857E-3</v>
      </c>
      <c r="N52" s="56">
        <v>9.1887283053701911E-3</v>
      </c>
      <c r="O52" s="75">
        <v>7.9400923673130404E-3</v>
      </c>
      <c r="P52" s="76">
        <v>6.92882618869125E-3</v>
      </c>
      <c r="Q52" s="76">
        <v>8.0369073512343101E-3</v>
      </c>
      <c r="R52" s="56">
        <v>7.9946461193408907E-3</v>
      </c>
    </row>
    <row r="53" spans="1:18" ht="15" customHeight="1" x14ac:dyDescent="0.2">
      <c r="A53" s="648"/>
      <c r="B53" s="310" t="s">
        <v>132</v>
      </c>
      <c r="C53" s="278">
        <v>1293</v>
      </c>
      <c r="D53" s="278">
        <v>696</v>
      </c>
      <c r="E53" s="278">
        <v>912</v>
      </c>
      <c r="F53" s="279">
        <v>2258</v>
      </c>
      <c r="G53" s="278">
        <v>358</v>
      </c>
      <c r="H53" s="278">
        <v>568</v>
      </c>
      <c r="I53" s="278">
        <v>947</v>
      </c>
      <c r="J53" s="279">
        <v>713</v>
      </c>
      <c r="K53" s="75">
        <v>6.7137442234799314E-3</v>
      </c>
      <c r="L53" s="76">
        <v>6.2050888861152221E-3</v>
      </c>
      <c r="M53" s="76">
        <v>8.86426592797784E-3</v>
      </c>
      <c r="N53" s="56">
        <v>7.9555784177629957E-3</v>
      </c>
      <c r="O53" s="75">
        <v>5.21569370183132E-3</v>
      </c>
      <c r="P53" s="76">
        <v>6.4517594675026699E-3</v>
      </c>
      <c r="Q53" s="76">
        <v>9.2365913369161293E-3</v>
      </c>
      <c r="R53" s="56">
        <v>6.44817045598423E-3</v>
      </c>
    </row>
    <row r="54" spans="1:18" ht="15" customHeight="1" x14ac:dyDescent="0.2">
      <c r="A54" s="648"/>
      <c r="B54" s="310" t="s">
        <v>133</v>
      </c>
      <c r="C54" s="278">
        <v>891</v>
      </c>
      <c r="D54" s="278">
        <v>613</v>
      </c>
      <c r="E54" s="278">
        <v>845</v>
      </c>
      <c r="F54" s="279">
        <v>1175</v>
      </c>
      <c r="G54" s="278">
        <v>300</v>
      </c>
      <c r="H54" s="278">
        <v>557</v>
      </c>
      <c r="I54" s="278">
        <v>821</v>
      </c>
      <c r="J54" s="279">
        <v>377</v>
      </c>
      <c r="K54" s="75">
        <v>4.6264084324212059E-3</v>
      </c>
      <c r="L54" s="76">
        <v>5.4651142057307919E-3</v>
      </c>
      <c r="M54" s="76">
        <v>8.2130534091461333E-3</v>
      </c>
      <c r="N54" s="56">
        <v>4.1398603369670146E-3</v>
      </c>
      <c r="O54" s="75">
        <v>4.3706930462273598E-3</v>
      </c>
      <c r="P54" s="76">
        <v>6.3268134214770899E-3</v>
      </c>
      <c r="Q54" s="76">
        <v>8.0076467662176798E-3</v>
      </c>
      <c r="R54" s="56">
        <v>3.4094814332483198E-3</v>
      </c>
    </row>
    <row r="55" spans="1:18" ht="15" customHeight="1" thickBot="1" x14ac:dyDescent="0.25">
      <c r="A55" s="649"/>
      <c r="B55" s="310" t="s">
        <v>134</v>
      </c>
      <c r="C55" s="278">
        <v>657</v>
      </c>
      <c r="D55" s="278">
        <v>560</v>
      </c>
      <c r="E55" s="278">
        <v>813</v>
      </c>
      <c r="F55" s="279">
        <v>463</v>
      </c>
      <c r="G55" s="278">
        <v>175</v>
      </c>
      <c r="H55" s="278">
        <v>464</v>
      </c>
      <c r="I55" s="278">
        <v>750</v>
      </c>
      <c r="J55" s="279">
        <v>183</v>
      </c>
      <c r="K55" s="77">
        <v>3.411392076431798E-3</v>
      </c>
      <c r="L55" s="78">
        <v>4.9926002531961557E-3</v>
      </c>
      <c r="M55" s="78">
        <v>7.9020265344802443E-3</v>
      </c>
      <c r="N55" s="79">
        <v>1.6312811370346621E-3</v>
      </c>
      <c r="O55" s="77">
        <v>2.5495709436326301E-3</v>
      </c>
      <c r="P55" s="78">
        <v>5.2704513959880997E-3</v>
      </c>
      <c r="Q55" s="78">
        <v>7.3151462541574397E-3</v>
      </c>
      <c r="R55" s="79">
        <v>1.6550002713115199E-3</v>
      </c>
    </row>
    <row r="56" spans="1:18" ht="15" customHeight="1" x14ac:dyDescent="0.2">
      <c r="A56" s="647" t="s">
        <v>90</v>
      </c>
      <c r="B56" s="311" t="s">
        <v>111</v>
      </c>
      <c r="C56" s="276">
        <v>430</v>
      </c>
      <c r="D56" s="276">
        <v>522</v>
      </c>
      <c r="E56" s="276">
        <v>729</v>
      </c>
      <c r="F56" s="277">
        <v>189</v>
      </c>
      <c r="G56" s="276">
        <v>118</v>
      </c>
      <c r="H56" s="276">
        <v>390</v>
      </c>
      <c r="I56" s="276">
        <v>678</v>
      </c>
      <c r="J56" s="277">
        <v>59</v>
      </c>
      <c r="K56" s="72">
        <v>2.2327223635702788E-3</v>
      </c>
      <c r="L56" s="73">
        <v>4.6538166645864161E-3</v>
      </c>
      <c r="M56" s="73">
        <v>7.0855809884822858E-3</v>
      </c>
      <c r="N56" s="74">
        <v>6.6590093930788579E-4</v>
      </c>
      <c r="O56" s="72">
        <v>1.7191392648494301E-3</v>
      </c>
      <c r="P56" s="73">
        <v>4.42990526817965E-3</v>
      </c>
      <c r="Q56" s="73">
        <v>6.61289221375833E-3</v>
      </c>
      <c r="R56" s="74">
        <v>5.3357932244469796E-4</v>
      </c>
    </row>
    <row r="57" spans="1:18" ht="15" customHeight="1" x14ac:dyDescent="0.2">
      <c r="A57" s="648"/>
      <c r="B57" s="310" t="s">
        <v>112</v>
      </c>
      <c r="C57" s="278">
        <v>284</v>
      </c>
      <c r="D57" s="278">
        <v>442</v>
      </c>
      <c r="E57" s="278">
        <v>621</v>
      </c>
      <c r="F57" s="279">
        <v>93</v>
      </c>
      <c r="G57" s="278">
        <v>85</v>
      </c>
      <c r="H57" s="278">
        <v>333</v>
      </c>
      <c r="I57" s="278">
        <v>547</v>
      </c>
      <c r="J57" s="279">
        <v>33</v>
      </c>
      <c r="K57" s="75">
        <v>1.4746352354743236E-3</v>
      </c>
      <c r="L57" s="76">
        <v>3.9405880569869656E-3</v>
      </c>
      <c r="M57" s="76">
        <v>6.0358652864849101E-3</v>
      </c>
      <c r="N57" s="56">
        <v>3.2766554156419777E-4</v>
      </c>
      <c r="O57" s="75">
        <v>1.23836302976442E-3</v>
      </c>
      <c r="P57" s="76">
        <v>3.7824575751380101E-3</v>
      </c>
      <c r="Q57" s="76">
        <v>5.3351800013654903E-3</v>
      </c>
      <c r="R57" s="56">
        <v>2.9844267187584798E-4</v>
      </c>
    </row>
    <row r="58" spans="1:18" ht="15" customHeight="1" x14ac:dyDescent="0.2">
      <c r="A58" s="648"/>
      <c r="B58" s="310" t="s">
        <v>113</v>
      </c>
      <c r="C58" s="278">
        <v>161</v>
      </c>
      <c r="D58" s="278">
        <v>354</v>
      </c>
      <c r="E58" s="278">
        <v>531</v>
      </c>
      <c r="F58" s="279">
        <v>70</v>
      </c>
      <c r="G58" s="278">
        <v>63</v>
      </c>
      <c r="H58" s="278">
        <v>275</v>
      </c>
      <c r="I58" s="278">
        <v>439</v>
      </c>
      <c r="J58" s="279">
        <v>18</v>
      </c>
      <c r="K58" s="75">
        <v>8.3597279194143001E-4</v>
      </c>
      <c r="L58" s="76">
        <v>3.1560365886275699E-3</v>
      </c>
      <c r="M58" s="76">
        <v>5.1611022014870968E-3</v>
      </c>
      <c r="N58" s="56">
        <v>2.4662997752143917E-4</v>
      </c>
      <c r="O58" s="75">
        <v>9.1784553970774597E-4</v>
      </c>
      <c r="P58" s="76">
        <v>3.1236511506394999E-3</v>
      </c>
      <c r="Q58" s="76">
        <v>4.2817989407668202E-3</v>
      </c>
      <c r="R58" s="56">
        <v>1.6278691193228099E-4</v>
      </c>
    </row>
    <row r="59" spans="1:18" ht="15" customHeight="1" x14ac:dyDescent="0.2">
      <c r="A59" s="648"/>
      <c r="B59" s="310" t="s">
        <v>114</v>
      </c>
      <c r="C59" s="278">
        <v>124</v>
      </c>
      <c r="D59" s="278">
        <v>302</v>
      </c>
      <c r="E59" s="278">
        <v>410</v>
      </c>
      <c r="F59" s="279">
        <v>53</v>
      </c>
      <c r="G59" s="278">
        <v>42</v>
      </c>
      <c r="H59" s="278">
        <v>237</v>
      </c>
      <c r="I59" s="278">
        <v>369</v>
      </c>
      <c r="J59" s="279">
        <v>13</v>
      </c>
      <c r="K59" s="75">
        <v>6.4385482112259203E-4</v>
      </c>
      <c r="L59" s="76">
        <v>2.6924379936879269E-3</v>
      </c>
      <c r="M59" s="76">
        <v>3.9850318316567044E-3</v>
      </c>
      <c r="N59" s="56">
        <v>1.867341258376611E-4</v>
      </c>
      <c r="O59" s="75">
        <v>6.1189702647183105E-4</v>
      </c>
      <c r="P59" s="76">
        <v>2.6920193552783999E-3</v>
      </c>
      <c r="Q59" s="76">
        <v>3.5990519570454601E-3</v>
      </c>
      <c r="R59" s="56">
        <v>1.17568325284425E-4</v>
      </c>
    </row>
    <row r="60" spans="1:18" ht="15" customHeight="1" x14ac:dyDescent="0.2">
      <c r="A60" s="648"/>
      <c r="B60" s="310" t="s">
        <v>115</v>
      </c>
      <c r="C60" s="278">
        <v>104</v>
      </c>
      <c r="D60" s="278">
        <v>277</v>
      </c>
      <c r="E60" s="278">
        <v>376</v>
      </c>
      <c r="F60" s="279">
        <v>50</v>
      </c>
      <c r="G60" s="278">
        <v>22</v>
      </c>
      <c r="H60" s="278">
        <v>157</v>
      </c>
      <c r="I60" s="278">
        <v>296</v>
      </c>
      <c r="J60" s="279">
        <v>11</v>
      </c>
      <c r="K60" s="75">
        <v>5.400072693286256E-4</v>
      </c>
      <c r="L60" s="76">
        <v>2.4695540538130986E-3</v>
      </c>
      <c r="M60" s="76">
        <v>3.654565777324197E-3</v>
      </c>
      <c r="N60" s="56">
        <v>1.7616426965817085E-4</v>
      </c>
      <c r="O60" s="75">
        <v>3.2051749005667301E-4</v>
      </c>
      <c r="P60" s="76">
        <v>1.78332083872873E-3</v>
      </c>
      <c r="Q60" s="76">
        <v>2.88704438830747E-3</v>
      </c>
      <c r="R60" s="56">
        <v>9.9480890625282606E-5</v>
      </c>
    </row>
    <row r="61" spans="1:18" ht="15" customHeight="1" x14ac:dyDescent="0.2">
      <c r="A61" s="648"/>
      <c r="B61" s="310" t="s">
        <v>116</v>
      </c>
      <c r="C61" s="278">
        <v>102</v>
      </c>
      <c r="D61" s="278">
        <v>201</v>
      </c>
      <c r="E61" s="278">
        <v>257</v>
      </c>
      <c r="F61" s="279">
        <v>60</v>
      </c>
      <c r="G61" s="278">
        <v>28</v>
      </c>
      <c r="H61" s="278">
        <v>160</v>
      </c>
      <c r="I61" s="278">
        <v>264</v>
      </c>
      <c r="J61" s="279">
        <v>23</v>
      </c>
      <c r="K61" s="75">
        <v>5.2962251414922893E-4</v>
      </c>
      <c r="L61" s="76">
        <v>1.7919868765936201E-3</v>
      </c>
      <c r="M61" s="76">
        <v>2.4979345871604217E-3</v>
      </c>
      <c r="N61" s="56">
        <v>2.1139712358980503E-4</v>
      </c>
      <c r="O61" s="75">
        <v>4.0793135098122102E-4</v>
      </c>
      <c r="P61" s="76">
        <v>1.81739703309934E-3</v>
      </c>
      <c r="Q61" s="76">
        <v>2.5749314814634198E-3</v>
      </c>
      <c r="R61" s="56">
        <v>2.0800549858013601E-4</v>
      </c>
    </row>
    <row r="62" spans="1:18" ht="15" customHeight="1" x14ac:dyDescent="0.2">
      <c r="A62" s="648"/>
      <c r="B62" s="310" t="s">
        <v>117</v>
      </c>
      <c r="C62" s="278">
        <v>145</v>
      </c>
      <c r="D62" s="278">
        <v>115</v>
      </c>
      <c r="E62" s="278">
        <v>193</v>
      </c>
      <c r="F62" s="279">
        <v>124</v>
      </c>
      <c r="G62" s="278">
        <v>43</v>
      </c>
      <c r="H62" s="278">
        <v>96</v>
      </c>
      <c r="I62" s="278">
        <v>163</v>
      </c>
      <c r="J62" s="279">
        <v>55</v>
      </c>
      <c r="K62" s="75">
        <v>7.528947505062568E-4</v>
      </c>
      <c r="L62" s="76">
        <v>1.0252661234242105E-3</v>
      </c>
      <c r="M62" s="76">
        <v>1.8758808378286436E-3</v>
      </c>
      <c r="N62" s="56">
        <v>4.3688738875226373E-4</v>
      </c>
      <c r="O62" s="75">
        <v>6.2646600329258897E-4</v>
      </c>
      <c r="P62" s="76">
        <v>1.0904382198596099E-3</v>
      </c>
      <c r="Q62" s="76">
        <v>1.5898251192368799E-3</v>
      </c>
      <c r="R62" s="56">
        <v>4.9740445312641303E-4</v>
      </c>
    </row>
    <row r="63" spans="1:18" ht="15" customHeight="1" x14ac:dyDescent="0.2">
      <c r="A63" s="648"/>
      <c r="B63" s="310" t="s">
        <v>118</v>
      </c>
      <c r="C63" s="278">
        <v>360</v>
      </c>
      <c r="D63" s="278">
        <v>131</v>
      </c>
      <c r="E63" s="278">
        <v>164</v>
      </c>
      <c r="F63" s="279">
        <v>532</v>
      </c>
      <c r="G63" s="278">
        <v>107</v>
      </c>
      <c r="H63" s="278">
        <v>81</v>
      </c>
      <c r="I63" s="278">
        <v>168</v>
      </c>
      <c r="J63" s="279">
        <v>186</v>
      </c>
      <c r="K63" s="75">
        <v>1.8692559322913962E-3</v>
      </c>
      <c r="L63" s="76">
        <v>1.1679118449441008E-3</v>
      </c>
      <c r="M63" s="76">
        <v>1.5940127326626817E-3</v>
      </c>
      <c r="N63" s="56">
        <v>1.8743878291629379E-3</v>
      </c>
      <c r="O63" s="75">
        <v>1.5588805198210899E-3</v>
      </c>
      <c r="P63" s="76">
        <v>9.2005724800654299E-4</v>
      </c>
      <c r="Q63" s="76">
        <v>1.6385927609312699E-3</v>
      </c>
      <c r="R63" s="56">
        <v>1.6821314233002301E-3</v>
      </c>
    </row>
    <row r="64" spans="1:18" ht="15" customHeight="1" x14ac:dyDescent="0.2">
      <c r="A64" s="648"/>
      <c r="B64" s="310" t="s">
        <v>119</v>
      </c>
      <c r="C64" s="278">
        <v>1038</v>
      </c>
      <c r="D64" s="278">
        <v>245</v>
      </c>
      <c r="E64" s="278">
        <v>245</v>
      </c>
      <c r="F64" s="279">
        <v>2286</v>
      </c>
      <c r="G64" s="278">
        <v>397</v>
      </c>
      <c r="H64" s="278">
        <v>207</v>
      </c>
      <c r="I64" s="278">
        <v>319</v>
      </c>
      <c r="J64" s="279">
        <v>1151</v>
      </c>
      <c r="K64" s="75">
        <v>5.3896879381068593E-3</v>
      </c>
      <c r="L64" s="76">
        <v>2.184262610773318E-3</v>
      </c>
      <c r="M64" s="76">
        <v>2.3812995091607135E-3</v>
      </c>
      <c r="N64" s="56">
        <v>8.0542304087715712E-3</v>
      </c>
      <c r="O64" s="75">
        <v>5.7838837978408802E-3</v>
      </c>
      <c r="P64" s="76">
        <v>2.35125741157228E-3</v>
      </c>
      <c r="Q64" s="76">
        <v>3.1113755401016301E-3</v>
      </c>
      <c r="R64" s="56">
        <v>1.04093186463364E-2</v>
      </c>
    </row>
    <row r="65" spans="1:18" ht="15" customHeight="1" x14ac:dyDescent="0.2">
      <c r="A65" s="648"/>
      <c r="B65" s="310" t="s">
        <v>120</v>
      </c>
      <c r="C65" s="278">
        <v>2000</v>
      </c>
      <c r="D65" s="278">
        <v>424</v>
      </c>
      <c r="E65" s="278">
        <v>418</v>
      </c>
      <c r="F65" s="279">
        <v>3656</v>
      </c>
      <c r="G65" s="278">
        <v>791</v>
      </c>
      <c r="H65" s="278">
        <v>395</v>
      </c>
      <c r="I65" s="278">
        <v>502</v>
      </c>
      <c r="J65" s="279">
        <v>1604</v>
      </c>
      <c r="K65" s="75">
        <v>1.0384755179396646E-2</v>
      </c>
      <c r="L65" s="76">
        <v>3.7801116202770893E-3</v>
      </c>
      <c r="M65" s="76">
        <v>4.0627885503231763E-3</v>
      </c>
      <c r="N65" s="56">
        <v>1.2881131397405453E-2</v>
      </c>
      <c r="O65" s="75">
        <v>1.15240606652195E-2</v>
      </c>
      <c r="P65" s="76">
        <v>4.4866989254639996E-3</v>
      </c>
      <c r="Q65" s="76">
        <v>4.8962712261160501E-3</v>
      </c>
      <c r="R65" s="56">
        <v>1.4506122596632099E-2</v>
      </c>
    </row>
    <row r="66" spans="1:18" ht="15" customHeight="1" x14ac:dyDescent="0.2">
      <c r="A66" s="648"/>
      <c r="B66" s="310" t="s">
        <v>121</v>
      </c>
      <c r="C66" s="278">
        <v>2007</v>
      </c>
      <c r="D66" s="278">
        <v>561</v>
      </c>
      <c r="E66" s="278">
        <v>548</v>
      </c>
      <c r="F66" s="279">
        <v>2651</v>
      </c>
      <c r="G66" s="278">
        <v>761</v>
      </c>
      <c r="H66" s="278">
        <v>466</v>
      </c>
      <c r="I66" s="278">
        <v>573</v>
      </c>
      <c r="J66" s="279">
        <v>1070</v>
      </c>
      <c r="K66" s="75">
        <v>1.0421101822524533E-2</v>
      </c>
      <c r="L66" s="76">
        <v>5.0015156107911492E-3</v>
      </c>
      <c r="M66" s="76">
        <v>5.3263352286533512E-3</v>
      </c>
      <c r="N66" s="56">
        <v>9.3402295772762184E-3</v>
      </c>
      <c r="O66" s="75">
        <v>1.1086991360596699E-2</v>
      </c>
      <c r="P66" s="76">
        <v>5.2931688589018403E-3</v>
      </c>
      <c r="Q66" s="76">
        <v>5.5887717381762902E-3</v>
      </c>
      <c r="R66" s="56">
        <v>9.6767775426411292E-3</v>
      </c>
    </row>
    <row r="67" spans="1:18" ht="15" customHeight="1" x14ac:dyDescent="0.2">
      <c r="A67" s="648"/>
      <c r="B67" s="310" t="s">
        <v>122</v>
      </c>
      <c r="C67" s="278">
        <v>1826</v>
      </c>
      <c r="D67" s="278">
        <v>646</v>
      </c>
      <c r="E67" s="278">
        <v>607</v>
      </c>
      <c r="F67" s="279">
        <v>2480</v>
      </c>
      <c r="G67" s="278">
        <v>697</v>
      </c>
      <c r="H67" s="278">
        <v>532</v>
      </c>
      <c r="I67" s="278">
        <v>612</v>
      </c>
      <c r="J67" s="279">
        <v>1053</v>
      </c>
      <c r="K67" s="75">
        <v>9.4812814787891379E-3</v>
      </c>
      <c r="L67" s="76">
        <v>5.7593210063655656E-3</v>
      </c>
      <c r="M67" s="76">
        <v>5.8997910288185835E-3</v>
      </c>
      <c r="N67" s="56">
        <v>8.7377477750452751E-3</v>
      </c>
      <c r="O67" s="75">
        <v>1.0154576844068199E-2</v>
      </c>
      <c r="P67" s="76">
        <v>6.04284513505532E-3</v>
      </c>
      <c r="Q67" s="76">
        <v>5.9691593433924698E-3</v>
      </c>
      <c r="R67" s="56">
        <v>9.5230343480384207E-3</v>
      </c>
    </row>
    <row r="68" spans="1:18" ht="15" customHeight="1" x14ac:dyDescent="0.2">
      <c r="A68" s="648"/>
      <c r="B68" s="310" t="s">
        <v>123</v>
      </c>
      <c r="C68" s="278">
        <v>1794</v>
      </c>
      <c r="D68" s="278">
        <v>673</v>
      </c>
      <c r="E68" s="278">
        <v>650</v>
      </c>
      <c r="F68" s="279">
        <v>2317</v>
      </c>
      <c r="G68" s="278">
        <v>668</v>
      </c>
      <c r="H68" s="278">
        <v>577</v>
      </c>
      <c r="I68" s="278">
        <v>731</v>
      </c>
      <c r="J68" s="279">
        <v>957</v>
      </c>
      <c r="K68" s="75">
        <v>9.3151253959187913E-3</v>
      </c>
      <c r="L68" s="76">
        <v>6.00003566143038E-3</v>
      </c>
      <c r="M68" s="76">
        <v>6.3177333916508722E-3</v>
      </c>
      <c r="N68" s="56">
        <v>8.163452255959637E-3</v>
      </c>
      <c r="O68" s="75">
        <v>9.7320765162662599E-3</v>
      </c>
      <c r="P68" s="76">
        <v>6.5539880506145102E-3</v>
      </c>
      <c r="Q68" s="76">
        <v>7.1298292157187899E-3</v>
      </c>
      <c r="R68" s="56">
        <v>8.6548374843995902E-3</v>
      </c>
    </row>
    <row r="69" spans="1:18" ht="15" customHeight="1" x14ac:dyDescent="0.2">
      <c r="A69" s="648"/>
      <c r="B69" s="310" t="s">
        <v>124</v>
      </c>
      <c r="C69" s="278">
        <v>1762</v>
      </c>
      <c r="D69" s="278">
        <v>641</v>
      </c>
      <c r="E69" s="278">
        <v>678</v>
      </c>
      <c r="F69" s="279">
        <v>2246</v>
      </c>
      <c r="G69" s="278">
        <v>628</v>
      </c>
      <c r="H69" s="278">
        <v>561</v>
      </c>
      <c r="I69" s="278">
        <v>716</v>
      </c>
      <c r="J69" s="279">
        <v>948</v>
      </c>
      <c r="K69" s="75">
        <v>9.1489693130484447E-3</v>
      </c>
      <c r="L69" s="76">
        <v>5.7147442183905998E-3</v>
      </c>
      <c r="M69" s="76">
        <v>6.5898819069835253E-3</v>
      </c>
      <c r="N69" s="56">
        <v>7.9132989930450343E-3</v>
      </c>
      <c r="O69" s="75">
        <v>9.14931744343595E-3</v>
      </c>
      <c r="P69" s="76">
        <v>6.3722483473045701E-3</v>
      </c>
      <c r="Q69" s="76">
        <v>6.98352629063564E-3</v>
      </c>
      <c r="R69" s="56">
        <v>8.5734440284334495E-3</v>
      </c>
    </row>
    <row r="70" spans="1:18" ht="15" customHeight="1" x14ac:dyDescent="0.2">
      <c r="A70" s="648"/>
      <c r="B70" s="310" t="s">
        <v>125</v>
      </c>
      <c r="C70" s="278">
        <v>1638</v>
      </c>
      <c r="D70" s="278">
        <v>665</v>
      </c>
      <c r="E70" s="278">
        <v>736</v>
      </c>
      <c r="F70" s="279">
        <v>2427</v>
      </c>
      <c r="G70" s="278">
        <v>656</v>
      </c>
      <c r="H70" s="278">
        <v>585</v>
      </c>
      <c r="I70" s="278">
        <v>716</v>
      </c>
      <c r="J70" s="279">
        <v>1010</v>
      </c>
      <c r="K70" s="75">
        <v>8.5051144919258536E-3</v>
      </c>
      <c r="L70" s="76">
        <v>5.9287128006704345E-3</v>
      </c>
      <c r="M70" s="76">
        <v>7.1536181173154495E-3</v>
      </c>
      <c r="N70" s="56">
        <v>8.5510136492076127E-3</v>
      </c>
      <c r="O70" s="75">
        <v>9.55724879441717E-3</v>
      </c>
      <c r="P70" s="76">
        <v>6.6448579022694802E-3</v>
      </c>
      <c r="Q70" s="76">
        <v>6.98352629063564E-3</v>
      </c>
      <c r="R70" s="56">
        <v>9.1341545028668595E-3</v>
      </c>
    </row>
    <row r="71" spans="1:18" ht="15" customHeight="1" x14ac:dyDescent="0.2">
      <c r="A71" s="648"/>
      <c r="B71" s="310" t="s">
        <v>126</v>
      </c>
      <c r="C71" s="278">
        <v>1600</v>
      </c>
      <c r="D71" s="278">
        <v>682</v>
      </c>
      <c r="E71" s="278">
        <v>777</v>
      </c>
      <c r="F71" s="279">
        <v>2688</v>
      </c>
      <c r="G71" s="278">
        <v>647</v>
      </c>
      <c r="H71" s="278">
        <v>545</v>
      </c>
      <c r="I71" s="278">
        <v>760</v>
      </c>
      <c r="J71" s="279">
        <v>1159</v>
      </c>
      <c r="K71" s="75">
        <v>8.3078041435173163E-3</v>
      </c>
      <c r="L71" s="76">
        <v>6.0802738797853181E-3</v>
      </c>
      <c r="M71" s="76">
        <v>7.5521213004811193E-3</v>
      </c>
      <c r="N71" s="56">
        <v>9.4705911368232649E-3</v>
      </c>
      <c r="O71" s="75">
        <v>9.4261280030303492E-3</v>
      </c>
      <c r="P71" s="76">
        <v>6.1905086439946397E-3</v>
      </c>
      <c r="Q71" s="76">
        <v>7.4126815375462098E-3</v>
      </c>
      <c r="R71" s="56">
        <v>1.0481668384972999E-2</v>
      </c>
    </row>
    <row r="72" spans="1:18" ht="15" customHeight="1" x14ac:dyDescent="0.2">
      <c r="A72" s="648"/>
      <c r="B72" s="310" t="s">
        <v>127</v>
      </c>
      <c r="C72" s="278">
        <v>1976</v>
      </c>
      <c r="D72" s="278">
        <v>728</v>
      </c>
      <c r="E72" s="278">
        <v>781</v>
      </c>
      <c r="F72" s="279">
        <v>3242</v>
      </c>
      <c r="G72" s="278">
        <v>704</v>
      </c>
      <c r="H72" s="278">
        <v>560</v>
      </c>
      <c r="I72" s="278">
        <v>766</v>
      </c>
      <c r="J72" s="279">
        <v>1340</v>
      </c>
      <c r="K72" s="75">
        <v>1.0260138117243887E-2</v>
      </c>
      <c r="L72" s="76">
        <v>6.4903803291550023E-3</v>
      </c>
      <c r="M72" s="76">
        <v>7.5909996598143561E-3</v>
      </c>
      <c r="N72" s="56">
        <v>1.1422491244635798E-2</v>
      </c>
      <c r="O72" s="75">
        <v>1.02565596818135E-2</v>
      </c>
      <c r="P72" s="76">
        <v>6.3608896158476999E-3</v>
      </c>
      <c r="Q72" s="76">
        <v>7.4712027075794704E-3</v>
      </c>
      <c r="R72" s="56">
        <v>1.21185812216253E-2</v>
      </c>
    </row>
    <row r="73" spans="1:18" ht="15" customHeight="1" x14ac:dyDescent="0.2">
      <c r="A73" s="648"/>
      <c r="B73" s="310" t="s">
        <v>128</v>
      </c>
      <c r="C73" s="278">
        <v>2112</v>
      </c>
      <c r="D73" s="278">
        <v>775</v>
      </c>
      <c r="E73" s="278">
        <v>839</v>
      </c>
      <c r="F73" s="279">
        <v>2790</v>
      </c>
      <c r="G73" s="278">
        <v>751</v>
      </c>
      <c r="H73" s="278">
        <v>585</v>
      </c>
      <c r="I73" s="278">
        <v>836</v>
      </c>
      <c r="J73" s="279">
        <v>1017</v>
      </c>
      <c r="K73" s="75">
        <v>1.0966301469442857E-2</v>
      </c>
      <c r="L73" s="76">
        <v>6.90940213611968E-3</v>
      </c>
      <c r="M73" s="76">
        <v>8.1547358701462794E-3</v>
      </c>
      <c r="N73" s="56">
        <v>9.8299662469259336E-3</v>
      </c>
      <c r="O73" s="75">
        <v>1.0941301592389201E-2</v>
      </c>
      <c r="P73" s="76">
        <v>6.6448579022694802E-3</v>
      </c>
      <c r="Q73" s="76">
        <v>8.1539496913008297E-3</v>
      </c>
      <c r="R73" s="56">
        <v>9.1974605241738599E-3</v>
      </c>
    </row>
    <row r="74" spans="1:18" ht="15" customHeight="1" x14ac:dyDescent="0.2">
      <c r="A74" s="648"/>
      <c r="B74" s="310" t="s">
        <v>129</v>
      </c>
      <c r="C74" s="278">
        <v>2289</v>
      </c>
      <c r="D74" s="278">
        <v>661</v>
      </c>
      <c r="E74" s="278">
        <v>798</v>
      </c>
      <c r="F74" s="279">
        <v>2740</v>
      </c>
      <c r="G74" s="278">
        <v>812</v>
      </c>
      <c r="H74" s="278">
        <v>622</v>
      </c>
      <c r="I74" s="278">
        <v>921</v>
      </c>
      <c r="J74" s="279">
        <v>1055</v>
      </c>
      <c r="K74" s="75">
        <v>1.1885352302819461E-2</v>
      </c>
      <c r="L74" s="76">
        <v>5.8930513702904622E-3</v>
      </c>
      <c r="M74" s="76">
        <v>7.7562326869806096E-3</v>
      </c>
      <c r="N74" s="56">
        <v>9.6538019772677633E-3</v>
      </c>
      <c r="O74" s="75">
        <v>1.18300091784554E-2</v>
      </c>
      <c r="P74" s="76">
        <v>7.0651309661737003E-3</v>
      </c>
      <c r="Q74" s="76">
        <v>8.9829996001053406E-3</v>
      </c>
      <c r="R74" s="56">
        <v>9.5411217826975592E-3</v>
      </c>
    </row>
    <row r="75" spans="1:18" ht="15" customHeight="1" x14ac:dyDescent="0.2">
      <c r="A75" s="648"/>
      <c r="B75" s="310" t="s">
        <v>130</v>
      </c>
      <c r="C75" s="278">
        <v>2163</v>
      </c>
      <c r="D75" s="278">
        <v>664</v>
      </c>
      <c r="E75" s="278">
        <v>842</v>
      </c>
      <c r="F75" s="279">
        <v>2977</v>
      </c>
      <c r="G75" s="278">
        <v>755</v>
      </c>
      <c r="H75" s="278">
        <v>595</v>
      </c>
      <c r="I75" s="278">
        <v>854</v>
      </c>
      <c r="J75" s="279">
        <v>1040</v>
      </c>
      <c r="K75" s="75">
        <v>1.1231112726517473E-2</v>
      </c>
      <c r="L75" s="76">
        <v>5.9197974430754419E-3</v>
      </c>
      <c r="M75" s="76">
        <v>8.1838946396462064E-3</v>
      </c>
      <c r="N75" s="56">
        <v>1.0488820615447493E-2</v>
      </c>
      <c r="O75" s="75">
        <v>1.0999577499672199E-2</v>
      </c>
      <c r="P75" s="76">
        <v>6.7584452168381803E-3</v>
      </c>
      <c r="Q75" s="76">
        <v>8.3295132014006099E-3</v>
      </c>
      <c r="R75" s="56">
        <v>9.4054660227539891E-3</v>
      </c>
    </row>
    <row r="76" spans="1:18" ht="15" customHeight="1" x14ac:dyDescent="0.2">
      <c r="A76" s="648"/>
      <c r="B76" s="310" t="s">
        <v>131</v>
      </c>
      <c r="C76" s="278">
        <v>1826</v>
      </c>
      <c r="D76" s="278">
        <v>696</v>
      </c>
      <c r="E76" s="278">
        <v>871</v>
      </c>
      <c r="F76" s="279">
        <v>2856</v>
      </c>
      <c r="G76" s="278">
        <v>563</v>
      </c>
      <c r="H76" s="278">
        <v>546</v>
      </c>
      <c r="I76" s="278">
        <v>898</v>
      </c>
      <c r="J76" s="279">
        <v>897</v>
      </c>
      <c r="K76" s="75">
        <v>9.4812814787891379E-3</v>
      </c>
      <c r="L76" s="76">
        <v>6.2050888861152221E-3</v>
      </c>
      <c r="M76" s="76">
        <v>8.4657627448121685E-3</v>
      </c>
      <c r="N76" s="56">
        <v>1.006250308287472E-2</v>
      </c>
      <c r="O76" s="75">
        <v>8.2023339500866908E-3</v>
      </c>
      <c r="P76" s="76">
        <v>6.20186737545151E-3</v>
      </c>
      <c r="Q76" s="76">
        <v>8.7586684483111805E-3</v>
      </c>
      <c r="R76" s="56">
        <v>8.1122144446253205E-3</v>
      </c>
    </row>
    <row r="77" spans="1:18" ht="15" customHeight="1" x14ac:dyDescent="0.2">
      <c r="A77" s="648"/>
      <c r="B77" s="310" t="s">
        <v>132</v>
      </c>
      <c r="C77" s="278">
        <v>1177</v>
      </c>
      <c r="D77" s="278">
        <v>678</v>
      </c>
      <c r="E77" s="278">
        <v>932</v>
      </c>
      <c r="F77" s="279">
        <v>2214</v>
      </c>
      <c r="G77" s="278">
        <v>386</v>
      </c>
      <c r="H77" s="278">
        <v>550</v>
      </c>
      <c r="I77" s="278">
        <v>916</v>
      </c>
      <c r="J77" s="279">
        <v>711</v>
      </c>
      <c r="K77" s="75">
        <v>6.1114284230749261E-3</v>
      </c>
      <c r="L77" s="76">
        <v>6.0446124494053458E-3</v>
      </c>
      <c r="M77" s="76">
        <v>9.0586577246440196E-3</v>
      </c>
      <c r="N77" s="56">
        <v>7.8005538604638052E-3</v>
      </c>
      <c r="O77" s="75">
        <v>5.6236250528125401E-3</v>
      </c>
      <c r="P77" s="76">
        <v>6.2473023012789902E-3</v>
      </c>
      <c r="Q77" s="76">
        <v>8.9342319584109608E-3</v>
      </c>
      <c r="R77" s="56">
        <v>6.4300830213250898E-3</v>
      </c>
    </row>
    <row r="78" spans="1:18" ht="15" customHeight="1" x14ac:dyDescent="0.2">
      <c r="A78" s="648"/>
      <c r="B78" s="310" t="s">
        <v>133</v>
      </c>
      <c r="C78" s="278">
        <v>898</v>
      </c>
      <c r="D78" s="278">
        <v>613</v>
      </c>
      <c r="E78" s="278">
        <v>812</v>
      </c>
      <c r="F78" s="279">
        <v>1300</v>
      </c>
      <c r="G78" s="278">
        <v>285</v>
      </c>
      <c r="H78" s="278">
        <v>547</v>
      </c>
      <c r="I78" s="278">
        <v>835</v>
      </c>
      <c r="J78" s="279">
        <v>371</v>
      </c>
      <c r="K78" s="75">
        <v>4.6627550755490941E-3</v>
      </c>
      <c r="L78" s="76">
        <v>5.4651142057307919E-3</v>
      </c>
      <c r="M78" s="76">
        <v>7.8923069446469353E-3</v>
      </c>
      <c r="N78" s="56">
        <v>4.580271011112442E-3</v>
      </c>
      <c r="O78" s="75">
        <v>4.1521583939159896E-3</v>
      </c>
      <c r="P78" s="76">
        <v>6.2132261069083802E-3</v>
      </c>
      <c r="Q78" s="76">
        <v>8.1441961629619506E-3</v>
      </c>
      <c r="R78" s="56">
        <v>3.3552191292709E-3</v>
      </c>
    </row>
    <row r="79" spans="1:18" ht="15" customHeight="1" thickBot="1" x14ac:dyDescent="0.25">
      <c r="A79" s="649"/>
      <c r="B79" s="310" t="s">
        <v>134</v>
      </c>
      <c r="C79" s="278">
        <v>643</v>
      </c>
      <c r="D79" s="278">
        <v>569</v>
      </c>
      <c r="E79" s="278">
        <v>839</v>
      </c>
      <c r="F79" s="279">
        <v>536</v>
      </c>
      <c r="G79" s="278">
        <v>197</v>
      </c>
      <c r="H79" s="278">
        <v>519</v>
      </c>
      <c r="I79" s="278">
        <v>765</v>
      </c>
      <c r="J79" s="279">
        <v>174</v>
      </c>
      <c r="K79" s="77">
        <v>3.3386987901760216E-3</v>
      </c>
      <c r="L79" s="78">
        <v>5.0728384715510938E-3</v>
      </c>
      <c r="M79" s="78">
        <v>8.1547358701462794E-3</v>
      </c>
      <c r="N79" s="79">
        <v>1.8884809707355916E-3</v>
      </c>
      <c r="O79" s="77">
        <v>2.8700884336893E-3</v>
      </c>
      <c r="P79" s="78">
        <v>5.8951816261160004E-3</v>
      </c>
      <c r="Q79" s="78">
        <v>7.4614491792405896E-3</v>
      </c>
      <c r="R79" s="79">
        <v>1.5736068153453799E-3</v>
      </c>
    </row>
    <row r="80" spans="1:18" ht="15" customHeight="1" x14ac:dyDescent="0.2">
      <c r="A80" s="647" t="s">
        <v>91</v>
      </c>
      <c r="B80" s="311" t="s">
        <v>111</v>
      </c>
      <c r="C80" s="276">
        <v>436</v>
      </c>
      <c r="D80" s="276">
        <v>484</v>
      </c>
      <c r="E80" s="276">
        <v>697</v>
      </c>
      <c r="F80" s="277">
        <v>209</v>
      </c>
      <c r="G80" s="276">
        <v>141</v>
      </c>
      <c r="H80" s="276">
        <v>438</v>
      </c>
      <c r="I80" s="276">
        <v>626</v>
      </c>
      <c r="J80" s="277">
        <v>61</v>
      </c>
      <c r="K80" s="72">
        <v>2.2638766291084686E-3</v>
      </c>
      <c r="L80" s="73">
        <v>4.3150330759766774E-3</v>
      </c>
      <c r="M80" s="73">
        <v>6.7745541138163968E-3</v>
      </c>
      <c r="N80" s="74">
        <v>7.3636664717115414E-4</v>
      </c>
      <c r="O80" s="72">
        <v>2.0542257317268599E-3</v>
      </c>
      <c r="P80" s="73">
        <v>4.97512437810945E-3</v>
      </c>
      <c r="Q80" s="73">
        <v>6.1057087401367397E-3</v>
      </c>
      <c r="R80" s="74">
        <v>5.5166675710384004E-4</v>
      </c>
    </row>
    <row r="81" spans="1:18" ht="15" customHeight="1" x14ac:dyDescent="0.2">
      <c r="A81" s="648"/>
      <c r="B81" s="310" t="s">
        <v>112</v>
      </c>
      <c r="C81" s="278">
        <v>286</v>
      </c>
      <c r="D81" s="278">
        <v>501</v>
      </c>
      <c r="E81" s="278">
        <v>704</v>
      </c>
      <c r="F81" s="279">
        <v>106</v>
      </c>
      <c r="G81" s="278">
        <v>92</v>
      </c>
      <c r="H81" s="278">
        <v>387</v>
      </c>
      <c r="I81" s="278">
        <v>620</v>
      </c>
      <c r="J81" s="279">
        <v>29</v>
      </c>
      <c r="K81" s="75">
        <v>1.4850199906537203E-3</v>
      </c>
      <c r="L81" s="76">
        <v>4.4665941550915611E-3</v>
      </c>
      <c r="M81" s="76">
        <v>6.8425912426495605E-3</v>
      </c>
      <c r="N81" s="56">
        <v>3.7346825167532219E-4</v>
      </c>
      <c r="O81" s="75">
        <v>1.34034586750972E-3</v>
      </c>
      <c r="P81" s="76">
        <v>4.39582907380904E-3</v>
      </c>
      <c r="Q81" s="76">
        <v>6.0471875701034903E-3</v>
      </c>
      <c r="R81" s="56">
        <v>2.62267802557563E-4</v>
      </c>
    </row>
    <row r="82" spans="1:18" ht="15" customHeight="1" x14ac:dyDescent="0.2">
      <c r="A82" s="648"/>
      <c r="B82" s="310" t="s">
        <v>113</v>
      </c>
      <c r="C82" s="278">
        <v>198</v>
      </c>
      <c r="D82" s="278">
        <v>378</v>
      </c>
      <c r="E82" s="278">
        <v>511</v>
      </c>
      <c r="F82" s="279">
        <v>65</v>
      </c>
      <c r="G82" s="278">
        <v>54</v>
      </c>
      <c r="H82" s="278">
        <v>313</v>
      </c>
      <c r="I82" s="278">
        <v>465</v>
      </c>
      <c r="J82" s="279">
        <v>27</v>
      </c>
      <c r="K82" s="75">
        <v>1.0280907627602679E-3</v>
      </c>
      <c r="L82" s="76">
        <v>3.3700051709074051E-3</v>
      </c>
      <c r="M82" s="76">
        <v>4.9667104048209164E-3</v>
      </c>
      <c r="N82" s="56">
        <v>2.2901355055562211E-4</v>
      </c>
      <c r="O82" s="75">
        <v>7.8672474832092501E-4</v>
      </c>
      <c r="P82" s="76">
        <v>3.5552829460005898E-3</v>
      </c>
      <c r="Q82" s="76">
        <v>4.5353906775776097E-3</v>
      </c>
      <c r="R82" s="56">
        <v>2.4418036789842102E-4</v>
      </c>
    </row>
    <row r="83" spans="1:18" ht="15" customHeight="1" x14ac:dyDescent="0.2">
      <c r="A83" s="648"/>
      <c r="B83" s="310" t="s">
        <v>114</v>
      </c>
      <c r="C83" s="278">
        <v>114</v>
      </c>
      <c r="D83" s="278">
        <v>316</v>
      </c>
      <c r="E83" s="278">
        <v>431</v>
      </c>
      <c r="F83" s="279">
        <v>55</v>
      </c>
      <c r="G83" s="278">
        <v>48</v>
      </c>
      <c r="H83" s="278">
        <v>304</v>
      </c>
      <c r="I83" s="278">
        <v>369</v>
      </c>
      <c r="J83" s="279">
        <v>30</v>
      </c>
      <c r="K83" s="75">
        <v>5.9193104522560882E-4</v>
      </c>
      <c r="L83" s="76">
        <v>2.8172530000178308E-3</v>
      </c>
      <c r="M83" s="76">
        <v>4.1891432181561938E-3</v>
      </c>
      <c r="N83" s="56">
        <v>1.9378069662398794E-4</v>
      </c>
      <c r="O83" s="75">
        <v>6.9931088739637803E-4</v>
      </c>
      <c r="P83" s="76">
        <v>3.45305436288875E-3</v>
      </c>
      <c r="Q83" s="76">
        <v>3.5990519570454601E-3</v>
      </c>
      <c r="R83" s="56">
        <v>2.7131151988713399E-4</v>
      </c>
    </row>
    <row r="84" spans="1:18" ht="15" customHeight="1" x14ac:dyDescent="0.2">
      <c r="A84" s="648"/>
      <c r="B84" s="310" t="s">
        <v>115</v>
      </c>
      <c r="C84" s="278">
        <v>97</v>
      </c>
      <c r="D84" s="278">
        <v>333</v>
      </c>
      <c r="E84" s="278">
        <v>378</v>
      </c>
      <c r="F84" s="279">
        <v>54</v>
      </c>
      <c r="G84" s="278">
        <v>34</v>
      </c>
      <c r="H84" s="278">
        <v>216</v>
      </c>
      <c r="I84" s="278">
        <v>274</v>
      </c>
      <c r="J84" s="279">
        <v>20</v>
      </c>
      <c r="K84" s="75">
        <v>5.0366062620073727E-4</v>
      </c>
      <c r="L84" s="76">
        <v>2.968814079132714E-3</v>
      </c>
      <c r="M84" s="76">
        <v>3.674004956990815E-3</v>
      </c>
      <c r="N84" s="56">
        <v>1.9025741123082453E-4</v>
      </c>
      <c r="O84" s="75">
        <v>4.9534521190576801E-4</v>
      </c>
      <c r="P84" s="76">
        <v>2.4534859946841099E-3</v>
      </c>
      <c r="Q84" s="76">
        <v>2.6724667648521899E-3</v>
      </c>
      <c r="R84" s="56">
        <v>1.8087434659142299E-4</v>
      </c>
    </row>
    <row r="85" spans="1:18" ht="15" customHeight="1" x14ac:dyDescent="0.2">
      <c r="A85" s="648"/>
      <c r="B85" s="310" t="s">
        <v>116</v>
      </c>
      <c r="C85" s="278">
        <v>85</v>
      </c>
      <c r="D85" s="278">
        <v>209</v>
      </c>
      <c r="E85" s="278">
        <v>274</v>
      </c>
      <c r="F85" s="279">
        <v>45</v>
      </c>
      <c r="G85" s="278">
        <v>46</v>
      </c>
      <c r="H85" s="278">
        <v>161</v>
      </c>
      <c r="I85" s="278">
        <v>265</v>
      </c>
      <c r="J85" s="279">
        <v>19</v>
      </c>
      <c r="K85" s="75">
        <v>4.4135209512435745E-4</v>
      </c>
      <c r="L85" s="76">
        <v>1.8633097373535652E-3</v>
      </c>
      <c r="M85" s="76">
        <v>2.6631676143266756E-3</v>
      </c>
      <c r="N85" s="56">
        <v>1.5854784269235376E-4</v>
      </c>
      <c r="O85" s="75">
        <v>6.7017293375486197E-4</v>
      </c>
      <c r="P85" s="76">
        <v>1.8287557645562101E-3</v>
      </c>
      <c r="Q85" s="76">
        <v>2.5846850098022998E-3</v>
      </c>
      <c r="R85" s="56">
        <v>1.71830629261852E-4</v>
      </c>
    </row>
    <row r="86" spans="1:18" ht="15" customHeight="1" x14ac:dyDescent="0.2">
      <c r="A86" s="648"/>
      <c r="B86" s="310" t="s">
        <v>117</v>
      </c>
      <c r="C86" s="278">
        <v>163</v>
      </c>
      <c r="D86" s="278">
        <v>117</v>
      </c>
      <c r="E86" s="278">
        <v>178</v>
      </c>
      <c r="F86" s="279">
        <v>140</v>
      </c>
      <c r="G86" s="278">
        <v>57</v>
      </c>
      <c r="H86" s="278">
        <v>123</v>
      </c>
      <c r="I86" s="278">
        <v>181</v>
      </c>
      <c r="J86" s="279">
        <v>56</v>
      </c>
      <c r="K86" s="75">
        <v>8.4635754712082667E-4</v>
      </c>
      <c r="L86" s="76">
        <v>1.0430968386141968E-3</v>
      </c>
      <c r="M86" s="76">
        <v>1.7300869903290081E-3</v>
      </c>
      <c r="N86" s="56">
        <v>4.9325995504287835E-4</v>
      </c>
      <c r="O86" s="75">
        <v>8.3043167878319899E-4</v>
      </c>
      <c r="P86" s="76">
        <v>1.3971239691951201E-3</v>
      </c>
      <c r="Q86" s="76">
        <v>1.7653886293366599E-3</v>
      </c>
      <c r="R86" s="56">
        <v>5.0644817045598402E-4</v>
      </c>
    </row>
    <row r="87" spans="1:18" ht="15" customHeight="1" x14ac:dyDescent="0.2">
      <c r="A87" s="648"/>
      <c r="B87" s="310" t="s">
        <v>118</v>
      </c>
      <c r="C87" s="278">
        <v>365</v>
      </c>
      <c r="D87" s="278">
        <v>131</v>
      </c>
      <c r="E87" s="278">
        <v>152</v>
      </c>
      <c r="F87" s="279">
        <v>530</v>
      </c>
      <c r="G87" s="278">
        <v>106</v>
      </c>
      <c r="H87" s="278">
        <v>121</v>
      </c>
      <c r="I87" s="278">
        <v>158</v>
      </c>
      <c r="J87" s="279">
        <v>189</v>
      </c>
      <c r="K87" s="75">
        <v>1.8952178202398878E-3</v>
      </c>
      <c r="L87" s="76">
        <v>1.1679118449441008E-3</v>
      </c>
      <c r="M87" s="76">
        <v>1.4773776546629731E-3</v>
      </c>
      <c r="N87" s="56">
        <v>1.8673412583766109E-3</v>
      </c>
      <c r="O87" s="75">
        <v>1.54431154300034E-3</v>
      </c>
      <c r="P87" s="76">
        <v>1.37440650628138E-3</v>
      </c>
      <c r="Q87" s="76">
        <v>1.5410574775425001E-3</v>
      </c>
      <c r="R87" s="56">
        <v>1.70926257528895E-3</v>
      </c>
    </row>
    <row r="88" spans="1:18" ht="15" customHeight="1" x14ac:dyDescent="0.2">
      <c r="A88" s="648"/>
      <c r="B88" s="310" t="s">
        <v>119</v>
      </c>
      <c r="C88" s="278">
        <v>984</v>
      </c>
      <c r="D88" s="278">
        <v>227</v>
      </c>
      <c r="E88" s="278">
        <v>264</v>
      </c>
      <c r="F88" s="279">
        <v>2437</v>
      </c>
      <c r="G88" s="278">
        <v>394</v>
      </c>
      <c r="H88" s="278">
        <v>238</v>
      </c>
      <c r="I88" s="278">
        <v>286</v>
      </c>
      <c r="J88" s="279">
        <v>1223</v>
      </c>
      <c r="K88" s="75">
        <v>5.1092995482631496E-3</v>
      </c>
      <c r="L88" s="76">
        <v>2.0237861740634417E-3</v>
      </c>
      <c r="M88" s="76">
        <v>2.565971715993585E-3</v>
      </c>
      <c r="N88" s="56">
        <v>8.5862465031392478E-3</v>
      </c>
      <c r="O88" s="75">
        <v>5.7401768673786E-3</v>
      </c>
      <c r="P88" s="76">
        <v>2.7033780867352702E-3</v>
      </c>
      <c r="Q88" s="76">
        <v>2.7895091049186999E-3</v>
      </c>
      <c r="R88" s="56">
        <v>1.1060466294065501E-2</v>
      </c>
    </row>
    <row r="89" spans="1:18" ht="15" customHeight="1" x14ac:dyDescent="0.2">
      <c r="A89" s="648"/>
      <c r="B89" s="310" t="s">
        <v>120</v>
      </c>
      <c r="C89" s="278">
        <v>2056</v>
      </c>
      <c r="D89" s="278">
        <v>453</v>
      </c>
      <c r="E89" s="278">
        <v>431</v>
      </c>
      <c r="F89" s="279">
        <v>3816</v>
      </c>
      <c r="G89" s="278">
        <v>739</v>
      </c>
      <c r="H89" s="278">
        <v>424</v>
      </c>
      <c r="I89" s="278">
        <v>532</v>
      </c>
      <c r="J89" s="279">
        <v>1876</v>
      </c>
      <c r="K89" s="75">
        <v>1.0675528324419752E-2</v>
      </c>
      <c r="L89" s="76">
        <v>4.0386569905318899E-3</v>
      </c>
      <c r="M89" s="76">
        <v>4.1891432181561938E-3</v>
      </c>
      <c r="N89" s="56">
        <v>1.3444857060311599E-2</v>
      </c>
      <c r="O89" s="75">
        <v>1.07664738705401E-2</v>
      </c>
      <c r="P89" s="76">
        <v>4.8161021377132601E-3</v>
      </c>
      <c r="Q89" s="76">
        <v>5.1888770762823404E-3</v>
      </c>
      <c r="R89" s="56">
        <v>1.69660137102755E-2</v>
      </c>
    </row>
    <row r="90" spans="1:18" ht="15" customHeight="1" x14ac:dyDescent="0.2">
      <c r="A90" s="648"/>
      <c r="B90" s="310" t="s">
        <v>121</v>
      </c>
      <c r="C90" s="278">
        <v>2082</v>
      </c>
      <c r="D90" s="278">
        <v>552</v>
      </c>
      <c r="E90" s="278">
        <v>480</v>
      </c>
      <c r="F90" s="279">
        <v>2758</v>
      </c>
      <c r="G90" s="278">
        <v>766</v>
      </c>
      <c r="H90" s="278">
        <v>468</v>
      </c>
      <c r="I90" s="278">
        <v>651</v>
      </c>
      <c r="J90" s="279">
        <v>1128</v>
      </c>
      <c r="K90" s="75">
        <v>1.0810530141751908E-2</v>
      </c>
      <c r="L90" s="76">
        <v>4.9212773924362102E-3</v>
      </c>
      <c r="M90" s="76">
        <v>4.6654031199883364E-3</v>
      </c>
      <c r="N90" s="56">
        <v>9.7172211143447037E-3</v>
      </c>
      <c r="O90" s="75">
        <v>1.1159836244700501E-2</v>
      </c>
      <c r="P90" s="76">
        <v>5.31588632181558E-3</v>
      </c>
      <c r="Q90" s="76">
        <v>6.3495469486086597E-3</v>
      </c>
      <c r="R90" s="56">
        <v>1.02013131477563E-2</v>
      </c>
    </row>
    <row r="91" spans="1:18" ht="15" customHeight="1" x14ac:dyDescent="0.2">
      <c r="A91" s="648"/>
      <c r="B91" s="310" t="s">
        <v>122</v>
      </c>
      <c r="C91" s="278">
        <v>1846</v>
      </c>
      <c r="D91" s="278">
        <v>634</v>
      </c>
      <c r="E91" s="278">
        <v>553</v>
      </c>
      <c r="F91" s="279">
        <v>2527</v>
      </c>
      <c r="G91" s="278">
        <v>701</v>
      </c>
      <c r="H91" s="278">
        <v>531</v>
      </c>
      <c r="I91" s="278">
        <v>667</v>
      </c>
      <c r="J91" s="279">
        <v>1067</v>
      </c>
      <c r="K91" s="75">
        <v>9.5851290305831033E-3</v>
      </c>
      <c r="L91" s="76">
        <v>5.6523367152256478E-3</v>
      </c>
      <c r="M91" s="76">
        <v>5.3749331778198961E-3</v>
      </c>
      <c r="N91" s="56">
        <v>8.903342188523955E-3</v>
      </c>
      <c r="O91" s="75">
        <v>1.02128527513513E-2</v>
      </c>
      <c r="P91" s="76">
        <v>6.0314864035984498E-3</v>
      </c>
      <c r="Q91" s="76">
        <v>6.50560340203068E-3</v>
      </c>
      <c r="R91" s="56">
        <v>9.6496463906524093E-3</v>
      </c>
    </row>
    <row r="92" spans="1:18" ht="15" customHeight="1" x14ac:dyDescent="0.2">
      <c r="A92" s="648"/>
      <c r="B92" s="310" t="s">
        <v>123</v>
      </c>
      <c r="C92" s="278">
        <v>1684</v>
      </c>
      <c r="D92" s="278">
        <v>650</v>
      </c>
      <c r="E92" s="278">
        <v>602</v>
      </c>
      <c r="F92" s="279">
        <v>2326</v>
      </c>
      <c r="G92" s="278">
        <v>622</v>
      </c>
      <c r="H92" s="278">
        <v>506</v>
      </c>
      <c r="I92" s="278">
        <v>715</v>
      </c>
      <c r="J92" s="279">
        <v>933</v>
      </c>
      <c r="K92" s="75">
        <v>8.7439638610519749E-3</v>
      </c>
      <c r="L92" s="76">
        <v>5.7949824367455379E-3</v>
      </c>
      <c r="M92" s="76">
        <v>5.8511930796520386E-3</v>
      </c>
      <c r="N92" s="56">
        <v>8.1951618244981081E-3</v>
      </c>
      <c r="O92" s="75">
        <v>9.0619035825113999E-3</v>
      </c>
      <c r="P92" s="76">
        <v>5.7475181171766703E-3</v>
      </c>
      <c r="Q92" s="76">
        <v>6.97377276229676E-3</v>
      </c>
      <c r="R92" s="56">
        <v>8.4377882684898795E-3</v>
      </c>
    </row>
    <row r="93" spans="1:18" ht="15" customHeight="1" x14ac:dyDescent="0.2">
      <c r="A93" s="648"/>
      <c r="B93" s="310" t="s">
        <v>124</v>
      </c>
      <c r="C93" s="278">
        <v>1726</v>
      </c>
      <c r="D93" s="278">
        <v>595</v>
      </c>
      <c r="E93" s="278">
        <v>650</v>
      </c>
      <c r="F93" s="279">
        <v>2364</v>
      </c>
      <c r="G93" s="278">
        <v>604</v>
      </c>
      <c r="H93" s="278">
        <v>542</v>
      </c>
      <c r="I93" s="278">
        <v>723</v>
      </c>
      <c r="J93" s="279">
        <v>976</v>
      </c>
      <c r="K93" s="75">
        <v>8.962043719819306E-3</v>
      </c>
      <c r="L93" s="76">
        <v>5.3046377690209156E-3</v>
      </c>
      <c r="M93" s="76">
        <v>6.3177333916508722E-3</v>
      </c>
      <c r="N93" s="56">
        <v>8.3290466694383187E-3</v>
      </c>
      <c r="O93" s="75">
        <v>8.7996619997377599E-3</v>
      </c>
      <c r="P93" s="76">
        <v>6.1564324496240297E-3</v>
      </c>
      <c r="Q93" s="76">
        <v>7.0518009890077702E-3</v>
      </c>
      <c r="R93" s="56">
        <v>8.8266681136614407E-3</v>
      </c>
    </row>
    <row r="94" spans="1:18" ht="15" customHeight="1" x14ac:dyDescent="0.2">
      <c r="A94" s="648"/>
      <c r="B94" s="310" t="s">
        <v>125</v>
      </c>
      <c r="C94" s="278">
        <v>1690</v>
      </c>
      <c r="D94" s="278">
        <v>642</v>
      </c>
      <c r="E94" s="278">
        <v>658</v>
      </c>
      <c r="F94" s="279">
        <v>2413</v>
      </c>
      <c r="G94" s="278">
        <v>648</v>
      </c>
      <c r="H94" s="278">
        <v>586</v>
      </c>
      <c r="I94" s="278">
        <v>729</v>
      </c>
      <c r="J94" s="279">
        <v>1049</v>
      </c>
      <c r="K94" s="75">
        <v>8.7751181265901656E-3</v>
      </c>
      <c r="L94" s="76">
        <v>5.7236595759855924E-3</v>
      </c>
      <c r="M94" s="76">
        <v>6.3954901103173449E-3</v>
      </c>
      <c r="N94" s="56">
        <v>8.5016876537033249E-3</v>
      </c>
      <c r="O94" s="75">
        <v>9.4406969798510997E-3</v>
      </c>
      <c r="P94" s="76">
        <v>6.6562166337263504E-3</v>
      </c>
      <c r="Q94" s="76">
        <v>7.11032215904103E-3</v>
      </c>
      <c r="R94" s="56">
        <v>9.4868594787201298E-3</v>
      </c>
    </row>
    <row r="95" spans="1:18" ht="15" customHeight="1" x14ac:dyDescent="0.2">
      <c r="A95" s="648"/>
      <c r="B95" s="310" t="s">
        <v>126</v>
      </c>
      <c r="C95" s="278">
        <v>1694</v>
      </c>
      <c r="D95" s="278">
        <v>681</v>
      </c>
      <c r="E95" s="278">
        <v>693</v>
      </c>
      <c r="F95" s="279">
        <v>2562</v>
      </c>
      <c r="G95" s="278">
        <v>659</v>
      </c>
      <c r="H95" s="278">
        <v>547</v>
      </c>
      <c r="I95" s="278">
        <v>769</v>
      </c>
      <c r="J95" s="279">
        <v>1107</v>
      </c>
      <c r="K95" s="75">
        <v>8.7958876369489594E-3</v>
      </c>
      <c r="L95" s="76">
        <v>6.0713585221903246E-3</v>
      </c>
      <c r="M95" s="76">
        <v>6.7356757544831608E-3</v>
      </c>
      <c r="N95" s="56">
        <v>9.0266571772846752E-3</v>
      </c>
      <c r="O95" s="75">
        <v>9.6009557248794408E-3</v>
      </c>
      <c r="P95" s="76">
        <v>6.2132261069083802E-3</v>
      </c>
      <c r="Q95" s="76">
        <v>7.5004632925960999E-3</v>
      </c>
      <c r="R95" s="56">
        <v>1.0011395083835299E-2</v>
      </c>
    </row>
    <row r="96" spans="1:18" ht="15" customHeight="1" x14ac:dyDescent="0.2">
      <c r="A96" s="648"/>
      <c r="B96" s="310" t="s">
        <v>127</v>
      </c>
      <c r="C96" s="278">
        <v>1884</v>
      </c>
      <c r="D96" s="278">
        <v>703</v>
      </c>
      <c r="E96" s="278">
        <v>745</v>
      </c>
      <c r="F96" s="279">
        <v>2936</v>
      </c>
      <c r="G96" s="278">
        <v>692</v>
      </c>
      <c r="H96" s="278">
        <v>620</v>
      </c>
      <c r="I96" s="278">
        <v>756</v>
      </c>
      <c r="J96" s="279">
        <v>1103</v>
      </c>
      <c r="K96" s="75">
        <v>9.7824393789916406E-3</v>
      </c>
      <c r="L96" s="76">
        <v>6.2674963892801741E-3</v>
      </c>
      <c r="M96" s="76">
        <v>7.2410944258152303E-3</v>
      </c>
      <c r="N96" s="56">
        <v>1.0344365914327792E-2</v>
      </c>
      <c r="O96" s="75">
        <v>1.00817319599645E-2</v>
      </c>
      <c r="P96" s="76">
        <v>7.0424135032599597E-3</v>
      </c>
      <c r="Q96" s="76">
        <v>7.3736674241907003E-3</v>
      </c>
      <c r="R96" s="56">
        <v>9.9752202145169805E-3</v>
      </c>
    </row>
    <row r="97" spans="1:18" ht="15" customHeight="1" x14ac:dyDescent="0.2">
      <c r="A97" s="648"/>
      <c r="B97" s="310" t="s">
        <v>128</v>
      </c>
      <c r="C97" s="278">
        <v>2008</v>
      </c>
      <c r="D97" s="278">
        <v>662</v>
      </c>
      <c r="E97" s="278">
        <v>775</v>
      </c>
      <c r="F97" s="279">
        <v>2595</v>
      </c>
      <c r="G97" s="278">
        <v>774</v>
      </c>
      <c r="H97" s="278">
        <v>583</v>
      </c>
      <c r="I97" s="278">
        <v>776</v>
      </c>
      <c r="J97" s="279">
        <v>1026</v>
      </c>
      <c r="K97" s="75">
        <v>1.0426294200114232E-2</v>
      </c>
      <c r="L97" s="76">
        <v>5.9019667278854557E-3</v>
      </c>
      <c r="M97" s="76">
        <v>7.5326821208145014E-3</v>
      </c>
      <c r="N97" s="56">
        <v>9.1429255952590674E-3</v>
      </c>
      <c r="O97" s="75">
        <v>1.12763880592666E-2</v>
      </c>
      <c r="P97" s="76">
        <v>6.6221404393557301E-3</v>
      </c>
      <c r="Q97" s="76">
        <v>7.5687379909682301E-3</v>
      </c>
      <c r="R97" s="56">
        <v>9.2788539801400005E-3</v>
      </c>
    </row>
    <row r="98" spans="1:18" ht="15" customHeight="1" x14ac:dyDescent="0.2">
      <c r="A98" s="648"/>
      <c r="B98" s="310" t="s">
        <v>129</v>
      </c>
      <c r="C98" s="278">
        <v>2402</v>
      </c>
      <c r="D98" s="278">
        <v>742</v>
      </c>
      <c r="E98" s="278">
        <v>810</v>
      </c>
      <c r="F98" s="279">
        <v>2696</v>
      </c>
      <c r="G98" s="278">
        <v>872</v>
      </c>
      <c r="H98" s="278">
        <v>559</v>
      </c>
      <c r="I98" s="278">
        <v>838</v>
      </c>
      <c r="J98" s="279">
        <v>950</v>
      </c>
      <c r="K98" s="75">
        <v>1.2472090970455372E-2</v>
      </c>
      <c r="L98" s="76">
        <v>6.6151953354849063E-3</v>
      </c>
      <c r="M98" s="76">
        <v>7.8728677649803173E-3</v>
      </c>
      <c r="N98" s="56">
        <v>9.498777419968572E-3</v>
      </c>
      <c r="O98" s="75">
        <v>1.27041477877009E-2</v>
      </c>
      <c r="P98" s="76">
        <v>6.3495308843908296E-3</v>
      </c>
      <c r="Q98" s="76">
        <v>8.1734567479785792E-3</v>
      </c>
      <c r="R98" s="56">
        <v>8.5915314630925898E-3</v>
      </c>
    </row>
    <row r="99" spans="1:18" ht="15" customHeight="1" x14ac:dyDescent="0.2">
      <c r="A99" s="648"/>
      <c r="B99" s="310" t="s">
        <v>130</v>
      </c>
      <c r="C99" s="278">
        <v>2154</v>
      </c>
      <c r="D99" s="278">
        <v>724</v>
      </c>
      <c r="E99" s="278">
        <v>814</v>
      </c>
      <c r="F99" s="279">
        <v>2716</v>
      </c>
      <c r="G99" s="278">
        <v>746</v>
      </c>
      <c r="H99" s="278">
        <v>599</v>
      </c>
      <c r="I99" s="278">
        <v>820</v>
      </c>
      <c r="J99" s="279">
        <v>973</v>
      </c>
      <c r="K99" s="75">
        <v>1.1184381328210187E-2</v>
      </c>
      <c r="L99" s="76">
        <v>6.45471889877503E-3</v>
      </c>
      <c r="M99" s="76">
        <v>7.9117461243135533E-3</v>
      </c>
      <c r="N99" s="56">
        <v>9.5692431278318404E-3</v>
      </c>
      <c r="O99" s="75">
        <v>1.0868456708285399E-2</v>
      </c>
      <c r="P99" s="76">
        <v>6.8038801426656701E-3</v>
      </c>
      <c r="Q99" s="76">
        <v>7.9978932378788007E-3</v>
      </c>
      <c r="R99" s="56">
        <v>8.7995369616727295E-3</v>
      </c>
    </row>
    <row r="100" spans="1:18" ht="15" customHeight="1" x14ac:dyDescent="0.2">
      <c r="A100" s="648"/>
      <c r="B100" s="310" t="s">
        <v>131</v>
      </c>
      <c r="C100" s="278">
        <v>1654</v>
      </c>
      <c r="D100" s="278">
        <v>709</v>
      </c>
      <c r="E100" s="278">
        <v>837</v>
      </c>
      <c r="F100" s="279">
        <v>2705</v>
      </c>
      <c r="G100" s="278">
        <v>560</v>
      </c>
      <c r="H100" s="278">
        <v>562</v>
      </c>
      <c r="I100" s="278">
        <v>818</v>
      </c>
      <c r="J100" s="279">
        <v>952</v>
      </c>
      <c r="K100" s="75">
        <v>8.5881925333610252E-3</v>
      </c>
      <c r="L100" s="76">
        <v>6.3209885348501325E-3</v>
      </c>
      <c r="M100" s="76">
        <v>8.1352966904796615E-3</v>
      </c>
      <c r="N100" s="56">
        <v>9.5304869885070431E-3</v>
      </c>
      <c r="O100" s="75">
        <v>8.1586270196244096E-3</v>
      </c>
      <c r="P100" s="76">
        <v>6.3836070787614404E-3</v>
      </c>
      <c r="Q100" s="76">
        <v>7.9783861812010495E-3</v>
      </c>
      <c r="R100" s="56">
        <v>8.60961889775173E-3</v>
      </c>
    </row>
    <row r="101" spans="1:18" ht="15" customHeight="1" x14ac:dyDescent="0.2">
      <c r="A101" s="648"/>
      <c r="B101" s="310" t="s">
        <v>132</v>
      </c>
      <c r="C101" s="278">
        <v>1257</v>
      </c>
      <c r="D101" s="278">
        <v>681</v>
      </c>
      <c r="E101" s="278">
        <v>865</v>
      </c>
      <c r="F101" s="279">
        <v>2174</v>
      </c>
      <c r="G101" s="278">
        <v>390</v>
      </c>
      <c r="H101" s="278">
        <v>528</v>
      </c>
      <c r="I101" s="278">
        <v>846</v>
      </c>
      <c r="J101" s="279">
        <v>708</v>
      </c>
      <c r="K101" s="75">
        <v>6.5268186302507919E-3</v>
      </c>
      <c r="L101" s="76">
        <v>6.0713585221903246E-3</v>
      </c>
      <c r="M101" s="76">
        <v>8.4074452058123146E-3</v>
      </c>
      <c r="N101" s="56">
        <v>7.6596224447372683E-3</v>
      </c>
      <c r="O101" s="75">
        <v>5.68190096009557E-3</v>
      </c>
      <c r="P101" s="76">
        <v>5.9974102092278303E-3</v>
      </c>
      <c r="Q101" s="76">
        <v>8.2514849746895894E-3</v>
      </c>
      <c r="R101" s="56">
        <v>6.4029518693363699E-3</v>
      </c>
    </row>
    <row r="102" spans="1:18" ht="15" customHeight="1" x14ac:dyDescent="0.2">
      <c r="A102" s="648"/>
      <c r="B102" s="310" t="s">
        <v>133</v>
      </c>
      <c r="C102" s="278">
        <v>879</v>
      </c>
      <c r="D102" s="278">
        <v>671</v>
      </c>
      <c r="E102" s="278">
        <v>794</v>
      </c>
      <c r="F102" s="279">
        <v>1248</v>
      </c>
      <c r="G102" s="278">
        <v>287</v>
      </c>
      <c r="H102" s="278">
        <v>470</v>
      </c>
      <c r="I102" s="278">
        <v>732</v>
      </c>
      <c r="J102" s="279">
        <v>362</v>
      </c>
      <c r="K102" s="75">
        <v>4.5640999013448254E-3</v>
      </c>
      <c r="L102" s="76">
        <v>5.9822049462403938E-3</v>
      </c>
      <c r="M102" s="76">
        <v>7.7173543276473737E-3</v>
      </c>
      <c r="N102" s="56">
        <v>4.3970601706679446E-3</v>
      </c>
      <c r="O102" s="75">
        <v>4.1812963475575098E-3</v>
      </c>
      <c r="P102" s="76">
        <v>5.3386037847293196E-3</v>
      </c>
      <c r="Q102" s="76">
        <v>7.1395827440576603E-3</v>
      </c>
      <c r="R102" s="56">
        <v>3.2738256733047602E-3</v>
      </c>
    </row>
    <row r="103" spans="1:18" ht="15" customHeight="1" thickBot="1" x14ac:dyDescent="0.25">
      <c r="A103" s="649"/>
      <c r="B103" s="310" t="s">
        <v>134</v>
      </c>
      <c r="C103" s="278">
        <v>675</v>
      </c>
      <c r="D103" s="278">
        <v>592</v>
      </c>
      <c r="E103" s="278">
        <v>791</v>
      </c>
      <c r="F103" s="279">
        <v>504</v>
      </c>
      <c r="G103" s="278">
        <v>214</v>
      </c>
      <c r="H103" s="278">
        <v>432</v>
      </c>
      <c r="I103" s="278">
        <v>747</v>
      </c>
      <c r="J103" s="279">
        <v>173</v>
      </c>
      <c r="K103" s="77">
        <v>3.5048548730463678E-3</v>
      </c>
      <c r="L103" s="78">
        <v>5.2778916962359359E-3</v>
      </c>
      <c r="M103" s="78">
        <v>7.6881955581474459E-3</v>
      </c>
      <c r="N103" s="79">
        <v>1.7757358381543622E-3</v>
      </c>
      <c r="O103" s="77">
        <v>3.1177610396421898E-3</v>
      </c>
      <c r="P103" s="78">
        <v>4.9069719893682301E-3</v>
      </c>
      <c r="Q103" s="78">
        <v>7.2858856691408102E-3</v>
      </c>
      <c r="R103" s="79">
        <v>1.56456309801581E-3</v>
      </c>
    </row>
    <row r="104" spans="1:18" ht="15" customHeight="1" x14ac:dyDescent="0.2">
      <c r="A104" s="647" t="s">
        <v>92</v>
      </c>
      <c r="B104" s="311" t="s">
        <v>111</v>
      </c>
      <c r="C104" s="276">
        <v>474</v>
      </c>
      <c r="D104" s="276">
        <v>581</v>
      </c>
      <c r="E104" s="276">
        <v>736</v>
      </c>
      <c r="F104" s="277">
        <v>172</v>
      </c>
      <c r="G104" s="276">
        <v>150</v>
      </c>
      <c r="H104" s="276">
        <v>447</v>
      </c>
      <c r="I104" s="276">
        <v>621</v>
      </c>
      <c r="J104" s="277">
        <v>60</v>
      </c>
      <c r="K104" s="72">
        <v>2.461186977517005E-3</v>
      </c>
      <c r="L104" s="73">
        <v>5.1798227626910116E-3</v>
      </c>
      <c r="M104" s="73">
        <v>7.1536181173154495E-3</v>
      </c>
      <c r="N104" s="74">
        <v>6.0600508762410769E-4</v>
      </c>
      <c r="O104" s="72">
        <v>2.1853465231136799E-3</v>
      </c>
      <c r="P104" s="73">
        <v>5.0773529612212903E-3</v>
      </c>
      <c r="Q104" s="73">
        <v>6.0569410984423599E-3</v>
      </c>
      <c r="R104" s="74">
        <v>5.4262303977426895E-4</v>
      </c>
    </row>
    <row r="105" spans="1:18" ht="15" customHeight="1" x14ac:dyDescent="0.2">
      <c r="A105" s="648"/>
      <c r="B105" s="310" t="s">
        <v>112</v>
      </c>
      <c r="C105" s="278">
        <v>331</v>
      </c>
      <c r="D105" s="278">
        <v>526</v>
      </c>
      <c r="E105" s="278">
        <v>648</v>
      </c>
      <c r="F105" s="279">
        <v>99</v>
      </c>
      <c r="G105" s="278">
        <v>105</v>
      </c>
      <c r="H105" s="278">
        <v>379</v>
      </c>
      <c r="I105" s="278">
        <v>537</v>
      </c>
      <c r="J105" s="279">
        <v>34</v>
      </c>
      <c r="K105" s="75">
        <v>1.7186769821901449E-3</v>
      </c>
      <c r="L105" s="76">
        <v>4.6894780949663893E-3</v>
      </c>
      <c r="M105" s="76">
        <v>6.2982942119842542E-3</v>
      </c>
      <c r="N105" s="56">
        <v>3.4880525392317827E-4</v>
      </c>
      <c r="O105" s="75">
        <v>1.5297425661795799E-3</v>
      </c>
      <c r="P105" s="76">
        <v>4.30495922215407E-3</v>
      </c>
      <c r="Q105" s="76">
        <v>5.2376447179767298E-3</v>
      </c>
      <c r="R105" s="56">
        <v>3.0748638920541902E-4</v>
      </c>
    </row>
    <row r="106" spans="1:18" ht="15" customHeight="1" x14ac:dyDescent="0.2">
      <c r="A106" s="648"/>
      <c r="B106" s="310" t="s">
        <v>113</v>
      </c>
      <c r="C106" s="278">
        <v>218</v>
      </c>
      <c r="D106" s="278">
        <v>503</v>
      </c>
      <c r="E106" s="278">
        <v>513</v>
      </c>
      <c r="F106" s="279">
        <v>49</v>
      </c>
      <c r="G106" s="278">
        <v>62</v>
      </c>
      <c r="H106" s="278">
        <v>333</v>
      </c>
      <c r="I106" s="278">
        <v>469</v>
      </c>
      <c r="J106" s="279">
        <v>20</v>
      </c>
      <c r="K106" s="75">
        <v>1.1319383145542343E-3</v>
      </c>
      <c r="L106" s="76">
        <v>4.4844248702815472E-3</v>
      </c>
      <c r="M106" s="76">
        <v>4.9861495844875344E-3</v>
      </c>
      <c r="N106" s="56">
        <v>1.7264098426500744E-4</v>
      </c>
      <c r="O106" s="75">
        <v>9.0327656288698805E-4</v>
      </c>
      <c r="P106" s="76">
        <v>3.7824575751380101E-3</v>
      </c>
      <c r="Q106" s="76">
        <v>4.57440479093312E-3</v>
      </c>
      <c r="R106" s="56">
        <v>1.8087434659142299E-4</v>
      </c>
    </row>
    <row r="107" spans="1:18" ht="15" customHeight="1" x14ac:dyDescent="0.2">
      <c r="A107" s="648"/>
      <c r="B107" s="310" t="s">
        <v>114</v>
      </c>
      <c r="C107" s="278">
        <v>145</v>
      </c>
      <c r="D107" s="278">
        <v>466</v>
      </c>
      <c r="E107" s="278">
        <v>441</v>
      </c>
      <c r="F107" s="279">
        <v>59</v>
      </c>
      <c r="G107" s="278">
        <v>45</v>
      </c>
      <c r="H107" s="278">
        <v>315</v>
      </c>
      <c r="I107" s="278">
        <v>394</v>
      </c>
      <c r="J107" s="279">
        <v>25</v>
      </c>
      <c r="K107" s="75">
        <v>7.528947505062568E-4</v>
      </c>
      <c r="L107" s="76">
        <v>4.1545566392668012E-3</v>
      </c>
      <c r="M107" s="76">
        <v>4.2863391164892845E-3</v>
      </c>
      <c r="N107" s="56">
        <v>2.0787383819664159E-4</v>
      </c>
      <c r="O107" s="75">
        <v>6.5560395693410405E-4</v>
      </c>
      <c r="P107" s="76">
        <v>3.5780004089143299E-3</v>
      </c>
      <c r="Q107" s="76">
        <v>3.84289016551738E-3</v>
      </c>
      <c r="R107" s="56">
        <v>2.2609293323927899E-4</v>
      </c>
    </row>
    <row r="108" spans="1:18" ht="15" customHeight="1" x14ac:dyDescent="0.2">
      <c r="A108" s="648"/>
      <c r="B108" s="310" t="s">
        <v>115</v>
      </c>
      <c r="C108" s="278">
        <v>103</v>
      </c>
      <c r="D108" s="278">
        <v>399</v>
      </c>
      <c r="E108" s="278">
        <v>384</v>
      </c>
      <c r="F108" s="279">
        <v>52</v>
      </c>
      <c r="G108" s="278">
        <v>50</v>
      </c>
      <c r="H108" s="278">
        <v>296</v>
      </c>
      <c r="I108" s="278">
        <v>302</v>
      </c>
      <c r="J108" s="279">
        <v>16</v>
      </c>
      <c r="K108" s="75">
        <v>5.3481489173892727E-4</v>
      </c>
      <c r="L108" s="76">
        <v>3.5572276804022611E-3</v>
      </c>
      <c r="M108" s="76">
        <v>3.7323224959906693E-3</v>
      </c>
      <c r="N108" s="56">
        <v>1.8321084044449769E-4</v>
      </c>
      <c r="O108" s="75">
        <v>7.2844884103789398E-4</v>
      </c>
      <c r="P108" s="76">
        <v>3.3621845112337899E-3</v>
      </c>
      <c r="Q108" s="76">
        <v>2.9455655583407298E-3</v>
      </c>
      <c r="R108" s="56">
        <v>1.4469947727313801E-4</v>
      </c>
    </row>
    <row r="109" spans="1:18" ht="15" customHeight="1" x14ac:dyDescent="0.2">
      <c r="A109" s="648"/>
      <c r="B109" s="310" t="s">
        <v>116</v>
      </c>
      <c r="C109" s="278">
        <v>84</v>
      </c>
      <c r="D109" s="278">
        <v>299</v>
      </c>
      <c r="E109" s="278">
        <v>287</v>
      </c>
      <c r="F109" s="279">
        <v>60</v>
      </c>
      <c r="G109" s="278">
        <v>31</v>
      </c>
      <c r="H109" s="278">
        <v>199</v>
      </c>
      <c r="I109" s="278">
        <v>284</v>
      </c>
      <c r="J109" s="279">
        <v>17</v>
      </c>
      <c r="K109" s="75">
        <v>4.3615971753465911E-4</v>
      </c>
      <c r="L109" s="76">
        <v>2.6656919209029476E-3</v>
      </c>
      <c r="M109" s="76">
        <v>2.7895222821596928E-3</v>
      </c>
      <c r="N109" s="56">
        <v>2.1139712358980503E-4</v>
      </c>
      <c r="O109" s="75">
        <v>4.5163828144349403E-4</v>
      </c>
      <c r="P109" s="76">
        <v>2.26038755991731E-3</v>
      </c>
      <c r="Q109" s="76">
        <v>2.77000204824095E-3</v>
      </c>
      <c r="R109" s="56">
        <v>1.53743194602709E-4</v>
      </c>
    </row>
    <row r="110" spans="1:18" ht="15" customHeight="1" x14ac:dyDescent="0.2">
      <c r="A110" s="648"/>
      <c r="B110" s="310" t="s">
        <v>117</v>
      </c>
      <c r="C110" s="278">
        <v>159</v>
      </c>
      <c r="D110" s="278">
        <v>144</v>
      </c>
      <c r="E110" s="278">
        <v>197</v>
      </c>
      <c r="F110" s="279">
        <v>159</v>
      </c>
      <c r="G110" s="278">
        <v>47</v>
      </c>
      <c r="H110" s="278">
        <v>150</v>
      </c>
      <c r="I110" s="278">
        <v>181</v>
      </c>
      <c r="J110" s="279">
        <v>50</v>
      </c>
      <c r="K110" s="75">
        <v>8.2558803676203334E-4</v>
      </c>
      <c r="L110" s="76">
        <v>1.2838114936790115E-3</v>
      </c>
      <c r="M110" s="76">
        <v>1.9147591971618797E-3</v>
      </c>
      <c r="N110" s="56">
        <v>5.6020237751298332E-4</v>
      </c>
      <c r="O110" s="75">
        <v>6.8474191057562E-4</v>
      </c>
      <c r="P110" s="76">
        <v>1.7038097185306301E-3</v>
      </c>
      <c r="Q110" s="76">
        <v>1.7653886293366599E-3</v>
      </c>
      <c r="R110" s="56">
        <v>4.52185866478557E-4</v>
      </c>
    </row>
    <row r="111" spans="1:18" ht="15" customHeight="1" x14ac:dyDescent="0.2">
      <c r="A111" s="648"/>
      <c r="B111" s="310" t="s">
        <v>118</v>
      </c>
      <c r="C111" s="278">
        <v>381</v>
      </c>
      <c r="D111" s="278">
        <v>129</v>
      </c>
      <c r="E111" s="278">
        <v>160</v>
      </c>
      <c r="F111" s="279">
        <v>537</v>
      </c>
      <c r="G111" s="278">
        <v>123</v>
      </c>
      <c r="H111" s="278">
        <v>130</v>
      </c>
      <c r="I111" s="278">
        <v>196</v>
      </c>
      <c r="J111" s="279">
        <v>174</v>
      </c>
      <c r="K111" s="75">
        <v>1.9782958616750609E-3</v>
      </c>
      <c r="L111" s="76">
        <v>1.1500811297541144E-3</v>
      </c>
      <c r="M111" s="76">
        <v>1.5551343733294456E-3</v>
      </c>
      <c r="N111" s="56">
        <v>1.892004256128755E-3</v>
      </c>
      <c r="O111" s="75">
        <v>1.7919841489532199E-3</v>
      </c>
      <c r="P111" s="76">
        <v>1.4766350893932201E-3</v>
      </c>
      <c r="Q111" s="76">
        <v>1.9116915544198101E-3</v>
      </c>
      <c r="R111" s="56">
        <v>1.5736068153453799E-3</v>
      </c>
    </row>
    <row r="112" spans="1:18" ht="15" customHeight="1" x14ac:dyDescent="0.2">
      <c r="A112" s="648"/>
      <c r="B112" s="310" t="s">
        <v>119</v>
      </c>
      <c r="C112" s="278">
        <v>1020</v>
      </c>
      <c r="D112" s="278">
        <v>263</v>
      </c>
      <c r="E112" s="278">
        <v>290</v>
      </c>
      <c r="F112" s="279">
        <v>2280</v>
      </c>
      <c r="G112" s="278">
        <v>412</v>
      </c>
      <c r="H112" s="278">
        <v>225</v>
      </c>
      <c r="I112" s="278">
        <v>329</v>
      </c>
      <c r="J112" s="279">
        <v>1147</v>
      </c>
      <c r="K112" s="75">
        <v>5.2962251414922891E-3</v>
      </c>
      <c r="L112" s="76">
        <v>2.3447390474831947E-3</v>
      </c>
      <c r="M112" s="76">
        <v>2.8186810516596201E-3</v>
      </c>
      <c r="N112" s="56">
        <v>8.0330906964125905E-3</v>
      </c>
      <c r="O112" s="75">
        <v>6.0024184501522504E-3</v>
      </c>
      <c r="P112" s="76">
        <v>2.5557145777959501E-3</v>
      </c>
      <c r="Q112" s="76">
        <v>3.2089108234904002E-3</v>
      </c>
      <c r="R112" s="56">
        <v>1.0373143777018101E-2</v>
      </c>
    </row>
    <row r="113" spans="1:18" ht="15" customHeight="1" x14ac:dyDescent="0.2">
      <c r="A113" s="648"/>
      <c r="B113" s="310" t="s">
        <v>120</v>
      </c>
      <c r="C113" s="278">
        <v>1816</v>
      </c>
      <c r="D113" s="278">
        <v>443</v>
      </c>
      <c r="E113" s="278">
        <v>422</v>
      </c>
      <c r="F113" s="279">
        <v>3456</v>
      </c>
      <c r="G113" s="278">
        <v>667</v>
      </c>
      <c r="H113" s="278">
        <v>392</v>
      </c>
      <c r="I113" s="278">
        <v>466</v>
      </c>
      <c r="J113" s="279">
        <v>1560</v>
      </c>
      <c r="K113" s="75">
        <v>9.4293577028921535E-3</v>
      </c>
      <c r="L113" s="76">
        <v>3.9495034145819591E-3</v>
      </c>
      <c r="M113" s="76">
        <v>4.1016669096564122E-3</v>
      </c>
      <c r="N113" s="56">
        <v>1.217647431877277E-2</v>
      </c>
      <c r="O113" s="75">
        <v>9.7175075394455006E-3</v>
      </c>
      <c r="P113" s="76">
        <v>4.4526227310933897E-3</v>
      </c>
      <c r="Q113" s="76">
        <v>4.5451442059164897E-3</v>
      </c>
      <c r="R113" s="56">
        <v>1.4108199034131E-2</v>
      </c>
    </row>
    <row r="114" spans="1:18" ht="15" customHeight="1" x14ac:dyDescent="0.2">
      <c r="A114" s="648"/>
      <c r="B114" s="310" t="s">
        <v>121</v>
      </c>
      <c r="C114" s="278">
        <v>1892</v>
      </c>
      <c r="D114" s="278">
        <v>509</v>
      </c>
      <c r="E114" s="278">
        <v>514</v>
      </c>
      <c r="F114" s="279">
        <v>2610</v>
      </c>
      <c r="G114" s="278">
        <v>713</v>
      </c>
      <c r="H114" s="278">
        <v>469</v>
      </c>
      <c r="I114" s="278">
        <v>546</v>
      </c>
      <c r="J114" s="279">
        <v>1087</v>
      </c>
      <c r="K114" s="75">
        <v>9.8239783997092264E-3</v>
      </c>
      <c r="L114" s="76">
        <v>4.5379170158515057E-3</v>
      </c>
      <c r="M114" s="76">
        <v>4.9958691743208434E-3</v>
      </c>
      <c r="N114" s="56">
        <v>9.1957748761565192E-3</v>
      </c>
      <c r="O114" s="75">
        <v>1.0387680473200401E-2</v>
      </c>
      <c r="P114" s="76">
        <v>5.3272450532724502E-3</v>
      </c>
      <c r="Q114" s="76">
        <v>5.3254264730266199E-3</v>
      </c>
      <c r="R114" s="56">
        <v>9.8305207372438395E-3</v>
      </c>
    </row>
    <row r="115" spans="1:18" ht="15" customHeight="1" x14ac:dyDescent="0.2">
      <c r="A115" s="648"/>
      <c r="B115" s="310" t="s">
        <v>122</v>
      </c>
      <c r="C115" s="278">
        <v>1807</v>
      </c>
      <c r="D115" s="278">
        <v>616</v>
      </c>
      <c r="E115" s="278">
        <v>579</v>
      </c>
      <c r="F115" s="279">
        <v>2346</v>
      </c>
      <c r="G115" s="278">
        <v>700</v>
      </c>
      <c r="H115" s="278">
        <v>521</v>
      </c>
      <c r="I115" s="278">
        <v>611</v>
      </c>
      <c r="J115" s="279">
        <v>974</v>
      </c>
      <c r="K115" s="75">
        <v>9.3826263045848693E-3</v>
      </c>
      <c r="L115" s="76">
        <v>5.4918602785157715E-3</v>
      </c>
      <c r="M115" s="76">
        <v>5.6276425134859313E-3</v>
      </c>
      <c r="N115" s="56">
        <v>8.2656275323613766E-3</v>
      </c>
      <c r="O115" s="75">
        <v>1.0198283774530499E-2</v>
      </c>
      <c r="P115" s="76">
        <v>5.9178990890297401E-3</v>
      </c>
      <c r="Q115" s="76">
        <v>5.9594058150536002E-3</v>
      </c>
      <c r="R115" s="56">
        <v>8.8085806790023004E-3</v>
      </c>
    </row>
    <row r="116" spans="1:18" ht="15" customHeight="1" x14ac:dyDescent="0.2">
      <c r="A116" s="648"/>
      <c r="B116" s="310" t="s">
        <v>123</v>
      </c>
      <c r="C116" s="278">
        <v>1706</v>
      </c>
      <c r="D116" s="278">
        <v>612</v>
      </c>
      <c r="E116" s="278">
        <v>610</v>
      </c>
      <c r="F116" s="279">
        <v>2147</v>
      </c>
      <c r="G116" s="278">
        <v>602</v>
      </c>
      <c r="H116" s="278">
        <v>545</v>
      </c>
      <c r="I116" s="278">
        <v>653</v>
      </c>
      <c r="J116" s="279">
        <v>932</v>
      </c>
      <c r="K116" s="75">
        <v>8.8581961680253389E-3</v>
      </c>
      <c r="L116" s="76">
        <v>5.4561988481357983E-3</v>
      </c>
      <c r="M116" s="76">
        <v>5.9289497983185113E-3</v>
      </c>
      <c r="N116" s="56">
        <v>7.564493739121856E-3</v>
      </c>
      <c r="O116" s="75">
        <v>8.7705240460962397E-3</v>
      </c>
      <c r="P116" s="76">
        <v>6.1905086439946397E-3</v>
      </c>
      <c r="Q116" s="76">
        <v>6.3690540052864101E-3</v>
      </c>
      <c r="R116" s="56">
        <v>8.4287445511603103E-3</v>
      </c>
    </row>
    <row r="117" spans="1:18" ht="15" customHeight="1" x14ac:dyDescent="0.2">
      <c r="A117" s="648"/>
      <c r="B117" s="310" t="s">
        <v>124</v>
      </c>
      <c r="C117" s="278">
        <v>1702</v>
      </c>
      <c r="D117" s="278">
        <v>646</v>
      </c>
      <c r="E117" s="278">
        <v>625</v>
      </c>
      <c r="F117" s="279">
        <v>2257</v>
      </c>
      <c r="G117" s="278">
        <v>637</v>
      </c>
      <c r="H117" s="278">
        <v>480</v>
      </c>
      <c r="I117" s="278">
        <v>640</v>
      </c>
      <c r="J117" s="279">
        <v>900</v>
      </c>
      <c r="K117" s="75">
        <v>8.8374266576665451E-3</v>
      </c>
      <c r="L117" s="76">
        <v>5.7593210063655656E-3</v>
      </c>
      <c r="M117" s="76">
        <v>6.0747436458181469E-3</v>
      </c>
      <c r="N117" s="56">
        <v>7.9520551323698316E-3</v>
      </c>
      <c r="O117" s="75">
        <v>9.2804382348227708E-3</v>
      </c>
      <c r="P117" s="76">
        <v>5.4521910992980302E-3</v>
      </c>
      <c r="Q117" s="76">
        <v>6.2422581368810201E-3</v>
      </c>
      <c r="R117" s="56">
        <v>8.13934559661403E-3</v>
      </c>
    </row>
    <row r="118" spans="1:18" ht="15" customHeight="1" x14ac:dyDescent="0.2">
      <c r="A118" s="648"/>
      <c r="B118" s="310" t="s">
        <v>125</v>
      </c>
      <c r="C118" s="278">
        <v>1751</v>
      </c>
      <c r="D118" s="278">
        <v>660</v>
      </c>
      <c r="E118" s="278">
        <v>683</v>
      </c>
      <c r="F118" s="279">
        <v>2133</v>
      </c>
      <c r="G118" s="278">
        <v>616</v>
      </c>
      <c r="H118" s="278">
        <v>553</v>
      </c>
      <c r="I118" s="278">
        <v>661</v>
      </c>
      <c r="J118" s="279">
        <v>940</v>
      </c>
      <c r="K118" s="75">
        <v>9.0918531595617635E-3</v>
      </c>
      <c r="L118" s="76">
        <v>5.8841360126954696E-3</v>
      </c>
      <c r="M118" s="76">
        <v>6.6384798561500702E-3</v>
      </c>
      <c r="N118" s="56">
        <v>7.5151677436175682E-3</v>
      </c>
      <c r="O118" s="75">
        <v>8.9744897215868497E-3</v>
      </c>
      <c r="P118" s="76">
        <v>6.2813784956496097E-3</v>
      </c>
      <c r="Q118" s="76">
        <v>6.4470822319974298E-3</v>
      </c>
      <c r="R118" s="56">
        <v>8.5010942897968799E-3</v>
      </c>
    </row>
    <row r="119" spans="1:18" ht="15" customHeight="1" x14ac:dyDescent="0.2">
      <c r="A119" s="648"/>
      <c r="B119" s="310" t="s">
        <v>126</v>
      </c>
      <c r="C119" s="278">
        <v>1763</v>
      </c>
      <c r="D119" s="278">
        <v>628</v>
      </c>
      <c r="E119" s="278">
        <v>719</v>
      </c>
      <c r="F119" s="279">
        <v>2324</v>
      </c>
      <c r="G119" s="278">
        <v>636</v>
      </c>
      <c r="H119" s="278">
        <v>566</v>
      </c>
      <c r="I119" s="278">
        <v>746</v>
      </c>
      <c r="J119" s="279">
        <v>986</v>
      </c>
      <c r="K119" s="75">
        <v>9.1541616906381431E-3</v>
      </c>
      <c r="L119" s="76">
        <v>5.5988445696556885E-3</v>
      </c>
      <c r="M119" s="76">
        <v>6.988385090149196E-3</v>
      </c>
      <c r="N119" s="56">
        <v>8.1881152537117818E-3</v>
      </c>
      <c r="O119" s="75">
        <v>9.2658692580020099E-3</v>
      </c>
      <c r="P119" s="76">
        <v>6.4290420045889302E-3</v>
      </c>
      <c r="Q119" s="76">
        <v>7.2761321408019398E-3</v>
      </c>
      <c r="R119" s="56">
        <v>8.9171052869571506E-3</v>
      </c>
    </row>
    <row r="120" spans="1:18" ht="15" customHeight="1" x14ac:dyDescent="0.2">
      <c r="A120" s="648"/>
      <c r="B120" s="310" t="s">
        <v>127</v>
      </c>
      <c r="C120" s="278">
        <v>2144</v>
      </c>
      <c r="D120" s="278">
        <v>691</v>
      </c>
      <c r="E120" s="278">
        <v>736</v>
      </c>
      <c r="F120" s="279">
        <v>2518</v>
      </c>
      <c r="G120" s="278">
        <v>704</v>
      </c>
      <c r="H120" s="278">
        <v>567</v>
      </c>
      <c r="I120" s="278">
        <v>735</v>
      </c>
      <c r="J120" s="279">
        <v>1048</v>
      </c>
      <c r="K120" s="75">
        <v>1.1132457552313204E-2</v>
      </c>
      <c r="L120" s="76">
        <v>6.1605120981402563E-3</v>
      </c>
      <c r="M120" s="76">
        <v>7.1536181173154495E-3</v>
      </c>
      <c r="N120" s="56">
        <v>8.8716326199854839E-3</v>
      </c>
      <c r="O120" s="75">
        <v>1.02565596818135E-2</v>
      </c>
      <c r="P120" s="76">
        <v>6.4404007360457996E-3</v>
      </c>
      <c r="Q120" s="76">
        <v>7.1688433290742898E-3</v>
      </c>
      <c r="R120" s="56">
        <v>9.4778157613905605E-3</v>
      </c>
    </row>
    <row r="121" spans="1:18" ht="15" customHeight="1" x14ac:dyDescent="0.2">
      <c r="A121" s="648"/>
      <c r="B121" s="310" t="s">
        <v>128</v>
      </c>
      <c r="C121" s="278">
        <v>2231</v>
      </c>
      <c r="D121" s="278">
        <v>652</v>
      </c>
      <c r="E121" s="278">
        <v>730</v>
      </c>
      <c r="F121" s="279">
        <v>1986</v>
      </c>
      <c r="G121" s="278">
        <v>769</v>
      </c>
      <c r="H121" s="278">
        <v>580</v>
      </c>
      <c r="I121" s="278">
        <v>748</v>
      </c>
      <c r="J121" s="279">
        <v>804</v>
      </c>
      <c r="K121" s="75">
        <v>1.1584194402616958E-2</v>
      </c>
      <c r="L121" s="76">
        <v>5.8128131519355241E-3</v>
      </c>
      <c r="M121" s="76">
        <v>7.0953005783155948E-3</v>
      </c>
      <c r="N121" s="56">
        <v>6.997244790822546E-3</v>
      </c>
      <c r="O121" s="75">
        <v>1.1203543175162801E-2</v>
      </c>
      <c r="P121" s="76">
        <v>6.5880642449851201E-3</v>
      </c>
      <c r="Q121" s="76">
        <v>7.2956391974796902E-3</v>
      </c>
      <c r="R121" s="56">
        <v>7.2711487329752003E-3</v>
      </c>
    </row>
    <row r="122" spans="1:18" ht="15" customHeight="1" x14ac:dyDescent="0.2">
      <c r="A122" s="648"/>
      <c r="B122" s="310" t="s">
        <v>129</v>
      </c>
      <c r="C122" s="278">
        <v>2194</v>
      </c>
      <c r="D122" s="278">
        <v>746</v>
      </c>
      <c r="E122" s="278">
        <v>782</v>
      </c>
      <c r="F122" s="279">
        <v>1825</v>
      </c>
      <c r="G122" s="278">
        <v>819</v>
      </c>
      <c r="H122" s="278">
        <v>581</v>
      </c>
      <c r="I122" s="278">
        <v>703</v>
      </c>
      <c r="J122" s="279">
        <v>725</v>
      </c>
      <c r="K122" s="75">
        <v>1.1392076431798121E-2</v>
      </c>
      <c r="L122" s="76">
        <v>6.6508567658648786E-3</v>
      </c>
      <c r="M122" s="76">
        <v>7.6007192496476651E-3</v>
      </c>
      <c r="N122" s="56">
        <v>6.4299958425232361E-3</v>
      </c>
      <c r="O122" s="75">
        <v>1.1931992016200699E-2</v>
      </c>
      <c r="P122" s="76">
        <v>6.5994229764419904E-3</v>
      </c>
      <c r="Q122" s="76">
        <v>6.8567304222302396E-3</v>
      </c>
      <c r="R122" s="56">
        <v>6.5566950639390801E-3</v>
      </c>
    </row>
    <row r="123" spans="1:18" ht="15" customHeight="1" x14ac:dyDescent="0.2">
      <c r="A123" s="648"/>
      <c r="B123" s="310" t="s">
        <v>130</v>
      </c>
      <c r="C123" s="278">
        <v>2026</v>
      </c>
      <c r="D123" s="278">
        <v>711</v>
      </c>
      <c r="E123" s="278">
        <v>713</v>
      </c>
      <c r="F123" s="279">
        <v>1726</v>
      </c>
      <c r="G123" s="278">
        <v>761</v>
      </c>
      <c r="H123" s="278">
        <v>590</v>
      </c>
      <c r="I123" s="278">
        <v>734</v>
      </c>
      <c r="J123" s="279">
        <v>638</v>
      </c>
      <c r="K123" s="75">
        <v>1.0519756996728802E-2</v>
      </c>
      <c r="L123" s="76">
        <v>6.3388192500401187E-3</v>
      </c>
      <c r="M123" s="76">
        <v>6.9300675511493413E-3</v>
      </c>
      <c r="N123" s="56">
        <v>6.0811905886000578E-3</v>
      </c>
      <c r="O123" s="75">
        <v>1.1086991360596699E-2</v>
      </c>
      <c r="P123" s="76">
        <v>6.7016515595538298E-3</v>
      </c>
      <c r="Q123" s="76">
        <v>7.1590898007354202E-3</v>
      </c>
      <c r="R123" s="56">
        <v>5.7698916562663903E-3</v>
      </c>
    </row>
    <row r="124" spans="1:18" ht="15" customHeight="1" x14ac:dyDescent="0.2">
      <c r="A124" s="648"/>
      <c r="B124" s="310" t="s">
        <v>131</v>
      </c>
      <c r="C124" s="278">
        <v>1753</v>
      </c>
      <c r="D124" s="278">
        <v>733</v>
      </c>
      <c r="E124" s="278">
        <v>764</v>
      </c>
      <c r="F124" s="279">
        <v>1579</v>
      </c>
      <c r="G124" s="278">
        <v>543</v>
      </c>
      <c r="H124" s="278">
        <v>606</v>
      </c>
      <c r="I124" s="278">
        <v>755</v>
      </c>
      <c r="J124" s="279">
        <v>521</v>
      </c>
      <c r="K124" s="75">
        <v>9.1022379147411604E-3</v>
      </c>
      <c r="L124" s="76">
        <v>6.5349571171299681E-3</v>
      </c>
      <c r="M124" s="76">
        <v>7.4257666326481026E-3</v>
      </c>
      <c r="N124" s="56">
        <v>5.5632676358050356E-3</v>
      </c>
      <c r="O124" s="75">
        <v>7.9109544136715306E-3</v>
      </c>
      <c r="P124" s="76">
        <v>6.8833912628637603E-3</v>
      </c>
      <c r="Q124" s="76">
        <v>7.3639138958518204E-3</v>
      </c>
      <c r="R124" s="56">
        <v>4.7117767287065699E-3</v>
      </c>
    </row>
    <row r="125" spans="1:18" ht="15" customHeight="1" x14ac:dyDescent="0.2">
      <c r="A125" s="648"/>
      <c r="B125" s="310" t="s">
        <v>132</v>
      </c>
      <c r="C125" s="278">
        <v>1306</v>
      </c>
      <c r="D125" s="278">
        <v>773</v>
      </c>
      <c r="E125" s="278">
        <v>794</v>
      </c>
      <c r="F125" s="279">
        <v>1158</v>
      </c>
      <c r="G125" s="278">
        <v>403</v>
      </c>
      <c r="H125" s="278">
        <v>607</v>
      </c>
      <c r="I125" s="278">
        <v>774</v>
      </c>
      <c r="J125" s="279">
        <v>358</v>
      </c>
      <c r="K125" s="75">
        <v>6.7812451321460094E-3</v>
      </c>
      <c r="L125" s="76">
        <v>6.8915714209296939E-3</v>
      </c>
      <c r="M125" s="76">
        <v>7.7173543276473737E-3</v>
      </c>
      <c r="N125" s="56">
        <v>4.0799644852832365E-3</v>
      </c>
      <c r="O125" s="75">
        <v>5.8712976587654304E-3</v>
      </c>
      <c r="P125" s="76">
        <v>6.8947499943206297E-3</v>
      </c>
      <c r="Q125" s="76">
        <v>7.5492309342904797E-3</v>
      </c>
      <c r="R125" s="56">
        <v>3.2376508039864702E-3</v>
      </c>
    </row>
    <row r="126" spans="1:18" ht="15" customHeight="1" x14ac:dyDescent="0.2">
      <c r="A126" s="648"/>
      <c r="B126" s="310" t="s">
        <v>133</v>
      </c>
      <c r="C126" s="278">
        <v>947</v>
      </c>
      <c r="D126" s="278">
        <v>833</v>
      </c>
      <c r="E126" s="278">
        <v>838</v>
      </c>
      <c r="F126" s="279">
        <v>710</v>
      </c>
      <c r="G126" s="278">
        <v>313</v>
      </c>
      <c r="H126" s="278">
        <v>648</v>
      </c>
      <c r="I126" s="278">
        <v>804</v>
      </c>
      <c r="J126" s="279">
        <v>209</v>
      </c>
      <c r="K126" s="75">
        <v>4.9171815774443116E-3</v>
      </c>
      <c r="L126" s="76">
        <v>7.426492876629282E-3</v>
      </c>
      <c r="M126" s="76">
        <v>8.1450162803129705E-3</v>
      </c>
      <c r="N126" s="56">
        <v>2.501532629146026E-3</v>
      </c>
      <c r="O126" s="75">
        <v>4.5600897448972201E-3</v>
      </c>
      <c r="P126" s="76">
        <v>7.3604579840523404E-3</v>
      </c>
      <c r="Q126" s="76">
        <v>7.8418367844567804E-3</v>
      </c>
      <c r="R126" s="56">
        <v>1.8901369218803699E-3</v>
      </c>
    </row>
    <row r="127" spans="1:18" ht="15" customHeight="1" thickBot="1" x14ac:dyDescent="0.25">
      <c r="A127" s="649"/>
      <c r="B127" s="310" t="s">
        <v>134</v>
      </c>
      <c r="C127" s="278">
        <v>710</v>
      </c>
      <c r="D127" s="278">
        <v>904</v>
      </c>
      <c r="E127" s="278">
        <v>825</v>
      </c>
      <c r="F127" s="279">
        <v>319</v>
      </c>
      <c r="G127" s="278">
        <v>238</v>
      </c>
      <c r="H127" s="278">
        <v>677</v>
      </c>
      <c r="I127" s="278">
        <v>792</v>
      </c>
      <c r="J127" s="279">
        <v>107</v>
      </c>
      <c r="K127" s="77">
        <v>3.6865880886858093E-3</v>
      </c>
      <c r="L127" s="78">
        <v>8.0594832658737944E-3</v>
      </c>
      <c r="M127" s="78">
        <v>8.0186616124799538E-3</v>
      </c>
      <c r="N127" s="79">
        <v>1.12392804041913E-3</v>
      </c>
      <c r="O127" s="77">
        <v>3.4674164833403799E-3</v>
      </c>
      <c r="P127" s="78">
        <v>7.6898611963016001E-3</v>
      </c>
      <c r="Q127" s="78">
        <v>7.7247944443902599E-3</v>
      </c>
      <c r="R127" s="79">
        <v>9.6767775426411299E-4</v>
      </c>
    </row>
    <row r="128" spans="1:18" ht="15" customHeight="1" x14ac:dyDescent="0.2">
      <c r="A128" s="647" t="s">
        <v>93</v>
      </c>
      <c r="B128" s="311" t="s">
        <v>111</v>
      </c>
      <c r="C128" s="276">
        <v>632</v>
      </c>
      <c r="D128" s="276">
        <v>1129</v>
      </c>
      <c r="E128" s="276">
        <v>784</v>
      </c>
      <c r="F128" s="277">
        <v>132</v>
      </c>
      <c r="G128" s="276">
        <v>205</v>
      </c>
      <c r="H128" s="276">
        <v>760</v>
      </c>
      <c r="I128" s="276">
        <v>742</v>
      </c>
      <c r="J128" s="277">
        <v>52</v>
      </c>
      <c r="K128" s="72">
        <v>3.28158263668934E-3</v>
      </c>
      <c r="L128" s="73">
        <v>1.006543872474725E-2</v>
      </c>
      <c r="M128" s="73">
        <v>7.620158429314283E-3</v>
      </c>
      <c r="N128" s="74">
        <v>4.6507367189757104E-4</v>
      </c>
      <c r="O128" s="72">
        <v>2.9866402482553699E-3</v>
      </c>
      <c r="P128" s="73">
        <v>8.6326359072218806E-3</v>
      </c>
      <c r="Q128" s="73">
        <v>7.2371180274464304E-3</v>
      </c>
      <c r="R128" s="74">
        <v>4.7027330113770001E-4</v>
      </c>
    </row>
    <row r="129" spans="1:18" ht="15" customHeight="1" x14ac:dyDescent="0.2">
      <c r="A129" s="648"/>
      <c r="B129" s="310" t="s">
        <v>112</v>
      </c>
      <c r="C129" s="278">
        <v>538</v>
      </c>
      <c r="D129" s="278">
        <v>1332</v>
      </c>
      <c r="E129" s="278">
        <v>726</v>
      </c>
      <c r="F129" s="279">
        <v>74</v>
      </c>
      <c r="G129" s="278">
        <v>157</v>
      </c>
      <c r="H129" s="278">
        <v>891</v>
      </c>
      <c r="I129" s="278">
        <v>664</v>
      </c>
      <c r="J129" s="279">
        <v>36</v>
      </c>
      <c r="K129" s="75">
        <v>2.7934991432576979E-3</v>
      </c>
      <c r="L129" s="76">
        <v>1.1875256316530856E-2</v>
      </c>
      <c r="M129" s="76">
        <v>7.0564222189823589E-3</v>
      </c>
      <c r="N129" s="56">
        <v>2.6072311909409285E-4</v>
      </c>
      <c r="O129" s="75">
        <v>2.2873293608589901E-3</v>
      </c>
      <c r="P129" s="76">
        <v>1.0120629728071999E-2</v>
      </c>
      <c r="Q129" s="76">
        <v>6.4763428170140497E-3</v>
      </c>
      <c r="R129" s="56">
        <v>3.25573823864561E-4</v>
      </c>
    </row>
    <row r="130" spans="1:18" ht="15" customHeight="1" x14ac:dyDescent="0.2">
      <c r="A130" s="648"/>
      <c r="B130" s="310" t="s">
        <v>113</v>
      </c>
      <c r="C130" s="278">
        <v>396</v>
      </c>
      <c r="D130" s="278">
        <v>1455</v>
      </c>
      <c r="E130" s="278">
        <v>642</v>
      </c>
      <c r="F130" s="279">
        <v>68</v>
      </c>
      <c r="G130" s="278">
        <v>122</v>
      </c>
      <c r="H130" s="278">
        <v>933</v>
      </c>
      <c r="I130" s="278">
        <v>614</v>
      </c>
      <c r="J130" s="279">
        <v>22</v>
      </c>
      <c r="K130" s="75">
        <v>2.0561815255205357E-3</v>
      </c>
      <c r="L130" s="76">
        <v>1.2971845300715011E-2</v>
      </c>
      <c r="M130" s="76">
        <v>6.2399766729844004E-3</v>
      </c>
      <c r="N130" s="56">
        <v>2.3958340673511236E-4</v>
      </c>
      <c r="O130" s="75">
        <v>1.77741517213246E-3</v>
      </c>
      <c r="P130" s="76">
        <v>1.0597696449260501E-2</v>
      </c>
      <c r="Q130" s="76">
        <v>5.9886664000702297E-3</v>
      </c>
      <c r="R130" s="56">
        <v>1.9896178125056499E-4</v>
      </c>
    </row>
    <row r="131" spans="1:18" ht="15" customHeight="1" x14ac:dyDescent="0.2">
      <c r="A131" s="648"/>
      <c r="B131" s="310" t="s">
        <v>114</v>
      </c>
      <c r="C131" s="278">
        <v>289</v>
      </c>
      <c r="D131" s="278">
        <v>1437</v>
      </c>
      <c r="E131" s="278">
        <v>573</v>
      </c>
      <c r="F131" s="279">
        <v>35</v>
      </c>
      <c r="G131" s="278">
        <v>104</v>
      </c>
      <c r="H131" s="278">
        <v>932</v>
      </c>
      <c r="I131" s="278">
        <v>570</v>
      </c>
      <c r="J131" s="279">
        <v>15</v>
      </c>
      <c r="K131" s="75">
        <v>1.5005971234228154E-3</v>
      </c>
      <c r="L131" s="76">
        <v>1.2811368864005135E-2</v>
      </c>
      <c r="M131" s="76">
        <v>5.5693249744860765E-3</v>
      </c>
      <c r="N131" s="56">
        <v>1.2331498876071959E-4</v>
      </c>
      <c r="O131" s="75">
        <v>1.5151735893588201E-3</v>
      </c>
      <c r="P131" s="76">
        <v>1.05863377178037E-2</v>
      </c>
      <c r="Q131" s="76">
        <v>5.5595111531596599E-3</v>
      </c>
      <c r="R131" s="56">
        <v>1.3565575994356699E-4</v>
      </c>
    </row>
    <row r="132" spans="1:18" ht="15" customHeight="1" x14ac:dyDescent="0.2">
      <c r="A132" s="648"/>
      <c r="B132" s="310" t="s">
        <v>115</v>
      </c>
      <c r="C132" s="278">
        <v>264</v>
      </c>
      <c r="D132" s="278">
        <v>1311</v>
      </c>
      <c r="E132" s="278">
        <v>529</v>
      </c>
      <c r="F132" s="279">
        <v>35</v>
      </c>
      <c r="G132" s="278">
        <v>60</v>
      </c>
      <c r="H132" s="278">
        <v>857</v>
      </c>
      <c r="I132" s="278">
        <v>498</v>
      </c>
      <c r="J132" s="279">
        <v>16</v>
      </c>
      <c r="K132" s="75">
        <v>1.3707876836803572E-3</v>
      </c>
      <c r="L132" s="76">
        <v>1.1688033807036001E-2</v>
      </c>
      <c r="M132" s="76">
        <v>5.1416630218204789E-3</v>
      </c>
      <c r="N132" s="56">
        <v>1.2331498876071959E-4</v>
      </c>
      <c r="O132" s="75">
        <v>8.7413860924547297E-4</v>
      </c>
      <c r="P132" s="76">
        <v>9.7344328585383597E-3</v>
      </c>
      <c r="Q132" s="76">
        <v>4.8572571127605399E-3</v>
      </c>
      <c r="R132" s="56">
        <v>1.4469947727313801E-4</v>
      </c>
    </row>
    <row r="133" spans="1:18" ht="15" customHeight="1" x14ac:dyDescent="0.2">
      <c r="A133" s="648"/>
      <c r="B133" s="310" t="s">
        <v>116</v>
      </c>
      <c r="C133" s="278">
        <v>241</v>
      </c>
      <c r="D133" s="278">
        <v>967</v>
      </c>
      <c r="E133" s="278">
        <v>513</v>
      </c>
      <c r="F133" s="279">
        <v>41</v>
      </c>
      <c r="G133" s="278">
        <v>65</v>
      </c>
      <c r="H133" s="278">
        <v>646</v>
      </c>
      <c r="I133" s="278">
        <v>424</v>
      </c>
      <c r="J133" s="279">
        <v>19</v>
      </c>
      <c r="K133" s="75">
        <v>1.2513629991172958E-3</v>
      </c>
      <c r="L133" s="76">
        <v>8.6211507943583614E-3</v>
      </c>
      <c r="M133" s="76">
        <v>4.9861495844875344E-3</v>
      </c>
      <c r="N133" s="56">
        <v>1.4445470111970011E-4</v>
      </c>
      <c r="O133" s="75">
        <v>9.4698349334926203E-4</v>
      </c>
      <c r="P133" s="76">
        <v>7.3377405211385999E-3</v>
      </c>
      <c r="Q133" s="76">
        <v>4.1354960156836703E-3</v>
      </c>
      <c r="R133" s="56">
        <v>1.71830629261852E-4</v>
      </c>
    </row>
    <row r="134" spans="1:18" ht="15" customHeight="1" x14ac:dyDescent="0.2">
      <c r="A134" s="648"/>
      <c r="B134" s="310" t="s">
        <v>117</v>
      </c>
      <c r="C134" s="278">
        <v>212</v>
      </c>
      <c r="D134" s="278">
        <v>541</v>
      </c>
      <c r="E134" s="278">
        <v>304</v>
      </c>
      <c r="F134" s="279">
        <v>84</v>
      </c>
      <c r="G134" s="278">
        <v>59</v>
      </c>
      <c r="H134" s="278">
        <v>414</v>
      </c>
      <c r="I134" s="278">
        <v>274</v>
      </c>
      <c r="J134" s="279">
        <v>24</v>
      </c>
      <c r="K134" s="75">
        <v>1.1007840490160445E-3</v>
      </c>
      <c r="L134" s="76">
        <v>4.8232084588912859E-3</v>
      </c>
      <c r="M134" s="76">
        <v>2.9547553093259462E-3</v>
      </c>
      <c r="N134" s="56">
        <v>2.9595597302572703E-4</v>
      </c>
      <c r="O134" s="75">
        <v>8.5956963242471505E-4</v>
      </c>
      <c r="P134" s="76">
        <v>4.7025148231445496E-3</v>
      </c>
      <c r="Q134" s="76">
        <v>2.6724667648521899E-3</v>
      </c>
      <c r="R134" s="56">
        <v>2.17049215909708E-4</v>
      </c>
    </row>
    <row r="135" spans="1:18" ht="15" customHeight="1" x14ac:dyDescent="0.2">
      <c r="A135" s="648"/>
      <c r="B135" s="310" t="s">
        <v>118</v>
      </c>
      <c r="C135" s="278">
        <v>325</v>
      </c>
      <c r="D135" s="278">
        <v>394</v>
      </c>
      <c r="E135" s="278">
        <v>253</v>
      </c>
      <c r="F135" s="279">
        <v>283</v>
      </c>
      <c r="G135" s="278">
        <v>117</v>
      </c>
      <c r="H135" s="278">
        <v>275</v>
      </c>
      <c r="I135" s="278">
        <v>252</v>
      </c>
      <c r="J135" s="279">
        <v>76</v>
      </c>
      <c r="K135" s="75">
        <v>1.6875227166519549E-3</v>
      </c>
      <c r="L135" s="76">
        <v>3.5126508924272952E-3</v>
      </c>
      <c r="M135" s="76">
        <v>2.4590562278271858E-3</v>
      </c>
      <c r="N135" s="56">
        <v>9.9708976626524705E-4</v>
      </c>
      <c r="O135" s="75">
        <v>1.70457028802867E-3</v>
      </c>
      <c r="P135" s="76">
        <v>3.1236511506394999E-3</v>
      </c>
      <c r="Q135" s="76">
        <v>2.4578891413968998E-3</v>
      </c>
      <c r="R135" s="56">
        <v>6.8732251704740704E-4</v>
      </c>
    </row>
    <row r="136" spans="1:18" ht="15" customHeight="1" x14ac:dyDescent="0.2">
      <c r="A136" s="648"/>
      <c r="B136" s="310" t="s">
        <v>119</v>
      </c>
      <c r="C136" s="278">
        <v>721</v>
      </c>
      <c r="D136" s="278">
        <v>465</v>
      </c>
      <c r="E136" s="278">
        <v>320</v>
      </c>
      <c r="F136" s="279">
        <v>1086</v>
      </c>
      <c r="G136" s="278">
        <v>274</v>
      </c>
      <c r="H136" s="278">
        <v>387</v>
      </c>
      <c r="I136" s="278">
        <v>367</v>
      </c>
      <c r="J136" s="279">
        <v>475</v>
      </c>
      <c r="K136" s="75">
        <v>3.7437042421724909E-3</v>
      </c>
      <c r="L136" s="76">
        <v>4.1456412816718077E-3</v>
      </c>
      <c r="M136" s="76">
        <v>3.1102687466588912E-3</v>
      </c>
      <c r="N136" s="56">
        <v>3.826287936975471E-3</v>
      </c>
      <c r="O136" s="75">
        <v>3.9918996488876599E-3</v>
      </c>
      <c r="P136" s="76">
        <v>4.39582907380904E-3</v>
      </c>
      <c r="Q136" s="76">
        <v>3.5795449003677101E-3</v>
      </c>
      <c r="R136" s="56">
        <v>4.2957657315462897E-3</v>
      </c>
    </row>
    <row r="137" spans="1:18" ht="15" customHeight="1" x14ac:dyDescent="0.2">
      <c r="A137" s="648"/>
      <c r="B137" s="310" t="s">
        <v>120</v>
      </c>
      <c r="C137" s="278">
        <v>993</v>
      </c>
      <c r="D137" s="278">
        <v>554</v>
      </c>
      <c r="E137" s="278">
        <v>364</v>
      </c>
      <c r="F137" s="279">
        <v>1661</v>
      </c>
      <c r="G137" s="278">
        <v>368</v>
      </c>
      <c r="H137" s="278">
        <v>419</v>
      </c>
      <c r="I137" s="278">
        <v>401</v>
      </c>
      <c r="J137" s="279">
        <v>773</v>
      </c>
      <c r="K137" s="75">
        <v>5.1560309465704347E-3</v>
      </c>
      <c r="L137" s="76">
        <v>4.9391081076261972E-3</v>
      </c>
      <c r="M137" s="76">
        <v>3.5379306993244884E-3</v>
      </c>
      <c r="N137" s="56">
        <v>5.8521770380444357E-3</v>
      </c>
      <c r="O137" s="75">
        <v>5.3613834700389001E-3</v>
      </c>
      <c r="P137" s="76">
        <v>4.7593084804289096E-3</v>
      </c>
      <c r="Q137" s="76">
        <v>3.9111648638895102E-3</v>
      </c>
      <c r="R137" s="56">
        <v>6.9907934957584997E-3</v>
      </c>
    </row>
    <row r="138" spans="1:18" ht="15" customHeight="1" x14ac:dyDescent="0.2">
      <c r="A138" s="648"/>
      <c r="B138" s="310" t="s">
        <v>121</v>
      </c>
      <c r="C138" s="278">
        <v>1258</v>
      </c>
      <c r="D138" s="278">
        <v>645</v>
      </c>
      <c r="E138" s="278">
        <v>456</v>
      </c>
      <c r="F138" s="279">
        <v>2145</v>
      </c>
      <c r="G138" s="278">
        <v>488</v>
      </c>
      <c r="H138" s="278">
        <v>520</v>
      </c>
      <c r="I138" s="278">
        <v>470</v>
      </c>
      <c r="J138" s="279">
        <v>843</v>
      </c>
      <c r="K138" s="75">
        <v>6.5320110078404903E-3</v>
      </c>
      <c r="L138" s="76">
        <v>5.7504056487705721E-3</v>
      </c>
      <c r="M138" s="76">
        <v>4.43213296398892E-3</v>
      </c>
      <c r="N138" s="56">
        <v>7.5574471683355297E-3</v>
      </c>
      <c r="O138" s="75">
        <v>7.1096606885298402E-3</v>
      </c>
      <c r="P138" s="76">
        <v>5.9065403575728698E-3</v>
      </c>
      <c r="Q138" s="76">
        <v>4.584158319272E-3</v>
      </c>
      <c r="R138" s="56">
        <v>7.6238537088284802E-3</v>
      </c>
    </row>
    <row r="139" spans="1:18" ht="15" customHeight="1" x14ac:dyDescent="0.2">
      <c r="A139" s="648"/>
      <c r="B139" s="310" t="s">
        <v>122</v>
      </c>
      <c r="C139" s="278">
        <v>1512</v>
      </c>
      <c r="D139" s="278">
        <v>724</v>
      </c>
      <c r="E139" s="278">
        <v>487</v>
      </c>
      <c r="F139" s="279">
        <v>2675</v>
      </c>
      <c r="G139" s="278">
        <v>596</v>
      </c>
      <c r="H139" s="278">
        <v>579</v>
      </c>
      <c r="I139" s="278">
        <v>597</v>
      </c>
      <c r="J139" s="279">
        <v>1086</v>
      </c>
      <c r="K139" s="75">
        <v>7.8508749156238639E-3</v>
      </c>
      <c r="L139" s="76">
        <v>6.45471889877503E-3</v>
      </c>
      <c r="M139" s="76">
        <v>4.7334402488215001E-3</v>
      </c>
      <c r="N139" s="56">
        <v>9.4247884267121412E-3</v>
      </c>
      <c r="O139" s="75">
        <v>8.6831101851716896E-3</v>
      </c>
      <c r="P139" s="76">
        <v>6.5767055135282498E-3</v>
      </c>
      <c r="Q139" s="76">
        <v>5.8228564183093199E-3</v>
      </c>
      <c r="R139" s="56">
        <v>9.8214770199142702E-3</v>
      </c>
    </row>
    <row r="140" spans="1:18" ht="15" customHeight="1" x14ac:dyDescent="0.2">
      <c r="A140" s="648"/>
      <c r="B140" s="310" t="s">
        <v>123</v>
      </c>
      <c r="C140" s="278">
        <v>1673</v>
      </c>
      <c r="D140" s="278">
        <v>770</v>
      </c>
      <c r="E140" s="278">
        <v>504</v>
      </c>
      <c r="F140" s="279">
        <v>2899</v>
      </c>
      <c r="G140" s="278">
        <v>607</v>
      </c>
      <c r="H140" s="278">
        <v>559</v>
      </c>
      <c r="I140" s="278">
        <v>583</v>
      </c>
      <c r="J140" s="279">
        <v>1102</v>
      </c>
      <c r="K140" s="75">
        <v>8.6868477075652938E-3</v>
      </c>
      <c r="L140" s="76">
        <v>6.8648253481447142E-3</v>
      </c>
      <c r="M140" s="76">
        <v>4.8986732759877536E-3</v>
      </c>
      <c r="N140" s="56">
        <v>1.0214004354780745E-2</v>
      </c>
      <c r="O140" s="75">
        <v>8.8433689302000306E-3</v>
      </c>
      <c r="P140" s="76">
        <v>6.3495308843908296E-3</v>
      </c>
      <c r="Q140" s="76">
        <v>5.6863070215650499E-3</v>
      </c>
      <c r="R140" s="56">
        <v>9.9661764971874008E-3</v>
      </c>
    </row>
    <row r="141" spans="1:18" ht="15" customHeight="1" x14ac:dyDescent="0.2">
      <c r="A141" s="648"/>
      <c r="B141" s="310" t="s">
        <v>124</v>
      </c>
      <c r="C141" s="278">
        <v>1892</v>
      </c>
      <c r="D141" s="278">
        <v>777</v>
      </c>
      <c r="E141" s="278">
        <v>624</v>
      </c>
      <c r="F141" s="279">
        <v>2861</v>
      </c>
      <c r="G141" s="278">
        <v>682</v>
      </c>
      <c r="H141" s="278">
        <v>636</v>
      </c>
      <c r="I141" s="278">
        <v>588</v>
      </c>
      <c r="J141" s="279">
        <v>1060</v>
      </c>
      <c r="K141" s="75">
        <v>9.8239783997092264E-3</v>
      </c>
      <c r="L141" s="76">
        <v>6.9272328513096662E-3</v>
      </c>
      <c r="M141" s="76">
        <v>6.065024055984837E-3</v>
      </c>
      <c r="N141" s="56">
        <v>1.0080119509840536E-2</v>
      </c>
      <c r="O141" s="75">
        <v>9.9360421917568699E-3</v>
      </c>
      <c r="P141" s="76">
        <v>7.2241532065698902E-3</v>
      </c>
      <c r="Q141" s="76">
        <v>5.7350746632594297E-3</v>
      </c>
      <c r="R141" s="56">
        <v>9.5863403693454193E-3</v>
      </c>
    </row>
    <row r="142" spans="1:18" ht="15" customHeight="1" x14ac:dyDescent="0.2">
      <c r="A142" s="648"/>
      <c r="B142" s="310" t="s">
        <v>125</v>
      </c>
      <c r="C142" s="278">
        <v>1982</v>
      </c>
      <c r="D142" s="278">
        <v>810</v>
      </c>
      <c r="E142" s="278">
        <v>618</v>
      </c>
      <c r="F142" s="279">
        <v>2954</v>
      </c>
      <c r="G142" s="278">
        <v>692</v>
      </c>
      <c r="H142" s="278">
        <v>588</v>
      </c>
      <c r="I142" s="278">
        <v>623</v>
      </c>
      <c r="J142" s="279">
        <v>1049</v>
      </c>
      <c r="K142" s="75">
        <v>1.0291292382782076E-2</v>
      </c>
      <c r="L142" s="76">
        <v>7.2214396519444399E-3</v>
      </c>
      <c r="M142" s="76">
        <v>6.0067065169849831E-3</v>
      </c>
      <c r="N142" s="56">
        <v>1.0407785051404734E-2</v>
      </c>
      <c r="O142" s="75">
        <v>1.00817319599645E-2</v>
      </c>
      <c r="P142" s="76">
        <v>6.6789340966400901E-3</v>
      </c>
      <c r="Q142" s="76">
        <v>6.0764481551201103E-3</v>
      </c>
      <c r="R142" s="56">
        <v>9.4868594787201298E-3</v>
      </c>
    </row>
    <row r="143" spans="1:18" ht="15" customHeight="1" x14ac:dyDescent="0.2">
      <c r="A143" s="648"/>
      <c r="B143" s="310" t="s">
        <v>126</v>
      </c>
      <c r="C143" s="278">
        <v>1943</v>
      </c>
      <c r="D143" s="278">
        <v>842</v>
      </c>
      <c r="E143" s="278">
        <v>632</v>
      </c>
      <c r="F143" s="279">
        <v>3583</v>
      </c>
      <c r="G143" s="278">
        <v>601</v>
      </c>
      <c r="H143" s="278">
        <v>587</v>
      </c>
      <c r="I143" s="278">
        <v>663</v>
      </c>
      <c r="J143" s="279">
        <v>1259</v>
      </c>
      <c r="K143" s="75">
        <v>1.0088789656783842E-2</v>
      </c>
      <c r="L143" s="76">
        <v>7.5067310949842201E-3</v>
      </c>
      <c r="M143" s="76">
        <v>6.1427807746513097E-3</v>
      </c>
      <c r="N143" s="56">
        <v>1.2623931563704524E-2</v>
      </c>
      <c r="O143" s="75">
        <v>8.7559550692754805E-3</v>
      </c>
      <c r="P143" s="76">
        <v>6.6675753651832198E-3</v>
      </c>
      <c r="Q143" s="76">
        <v>6.4665892886751801E-3</v>
      </c>
      <c r="R143" s="56">
        <v>1.13860401179301E-2</v>
      </c>
    </row>
    <row r="144" spans="1:18" ht="15" customHeight="1" x14ac:dyDescent="0.2">
      <c r="A144" s="648"/>
      <c r="B144" s="310" t="s">
        <v>127</v>
      </c>
      <c r="C144" s="278">
        <v>1726</v>
      </c>
      <c r="D144" s="278">
        <v>785</v>
      </c>
      <c r="E144" s="278">
        <v>712</v>
      </c>
      <c r="F144" s="279">
        <v>4239</v>
      </c>
      <c r="G144" s="278">
        <v>602</v>
      </c>
      <c r="H144" s="278">
        <v>595</v>
      </c>
      <c r="I144" s="278">
        <v>664</v>
      </c>
      <c r="J144" s="279">
        <v>1364</v>
      </c>
      <c r="K144" s="75">
        <v>8.962043719819306E-3</v>
      </c>
      <c r="L144" s="76">
        <v>6.9985557120696108E-3</v>
      </c>
      <c r="M144" s="76">
        <v>6.9203479613160323E-3</v>
      </c>
      <c r="N144" s="56">
        <v>1.4935206781619725E-2</v>
      </c>
      <c r="O144" s="75">
        <v>8.7705240460962397E-3</v>
      </c>
      <c r="P144" s="76">
        <v>6.7584452168381803E-3</v>
      </c>
      <c r="Q144" s="76">
        <v>6.4763428170140497E-3</v>
      </c>
      <c r="R144" s="56">
        <v>1.2335630437535E-2</v>
      </c>
    </row>
    <row r="145" spans="1:18" ht="15" customHeight="1" x14ac:dyDescent="0.2">
      <c r="A145" s="648"/>
      <c r="B145" s="310" t="s">
        <v>128</v>
      </c>
      <c r="C145" s="278">
        <v>1707</v>
      </c>
      <c r="D145" s="278">
        <v>783</v>
      </c>
      <c r="E145" s="278">
        <v>694</v>
      </c>
      <c r="F145" s="279">
        <v>3843</v>
      </c>
      <c r="G145" s="278">
        <v>541</v>
      </c>
      <c r="H145" s="278">
        <v>649</v>
      </c>
      <c r="I145" s="278">
        <v>689</v>
      </c>
      <c r="J145" s="279">
        <v>1239</v>
      </c>
      <c r="K145" s="75">
        <v>8.8633885456150373E-3</v>
      </c>
      <c r="L145" s="76">
        <v>6.9807249968796246E-3</v>
      </c>
      <c r="M145" s="76">
        <v>6.7453953443164698E-3</v>
      </c>
      <c r="N145" s="56">
        <v>1.3539985765927012E-2</v>
      </c>
      <c r="O145" s="75">
        <v>7.8818164600300104E-3</v>
      </c>
      <c r="P145" s="76">
        <v>7.3718167155092098E-3</v>
      </c>
      <c r="Q145" s="76">
        <v>6.7201810254859697E-3</v>
      </c>
      <c r="R145" s="56">
        <v>1.1205165771338701E-2</v>
      </c>
    </row>
    <row r="146" spans="1:18" ht="15" customHeight="1" x14ac:dyDescent="0.2">
      <c r="A146" s="648"/>
      <c r="B146" s="310" t="s">
        <v>129</v>
      </c>
      <c r="C146" s="278">
        <v>1545</v>
      </c>
      <c r="D146" s="278">
        <v>796</v>
      </c>
      <c r="E146" s="278">
        <v>713</v>
      </c>
      <c r="F146" s="279">
        <v>2875</v>
      </c>
      <c r="G146" s="278">
        <v>532</v>
      </c>
      <c r="H146" s="278">
        <v>611</v>
      </c>
      <c r="I146" s="278">
        <v>702</v>
      </c>
      <c r="J146" s="279">
        <v>921</v>
      </c>
      <c r="K146" s="75">
        <v>8.022223376083909E-3</v>
      </c>
      <c r="L146" s="76">
        <v>7.096624645614536E-3</v>
      </c>
      <c r="M146" s="76">
        <v>6.9300675511493413E-3</v>
      </c>
      <c r="N146" s="56">
        <v>1.0129445505344824E-2</v>
      </c>
      <c r="O146" s="75">
        <v>7.7506956686431896E-3</v>
      </c>
      <c r="P146" s="76">
        <v>6.9401849201481203E-3</v>
      </c>
      <c r="Q146" s="76">
        <v>6.8469768938913596E-3</v>
      </c>
      <c r="R146" s="56">
        <v>8.3292636605350294E-3</v>
      </c>
    </row>
    <row r="147" spans="1:18" ht="15" customHeight="1" x14ac:dyDescent="0.2">
      <c r="A147" s="648"/>
      <c r="B147" s="310" t="s">
        <v>130</v>
      </c>
      <c r="C147" s="278">
        <v>1391</v>
      </c>
      <c r="D147" s="278">
        <v>788</v>
      </c>
      <c r="E147" s="278">
        <v>678</v>
      </c>
      <c r="F147" s="279">
        <v>2067</v>
      </c>
      <c r="G147" s="278">
        <v>485</v>
      </c>
      <c r="H147" s="278">
        <v>609</v>
      </c>
      <c r="I147" s="278">
        <v>649</v>
      </c>
      <c r="J147" s="279">
        <v>724</v>
      </c>
      <c r="K147" s="75">
        <v>7.2225972272703673E-3</v>
      </c>
      <c r="L147" s="76">
        <v>7.0253017848545905E-3</v>
      </c>
      <c r="M147" s="76">
        <v>6.5898819069835253E-3</v>
      </c>
      <c r="N147" s="56">
        <v>7.282630907668783E-3</v>
      </c>
      <c r="O147" s="75">
        <v>7.0659537580675703E-3</v>
      </c>
      <c r="P147" s="76">
        <v>6.9174674572343798E-3</v>
      </c>
      <c r="Q147" s="76">
        <v>6.3300398919309102E-3</v>
      </c>
      <c r="R147" s="56">
        <v>6.54765134660951E-3</v>
      </c>
    </row>
    <row r="148" spans="1:18" ht="15" customHeight="1" x14ac:dyDescent="0.2">
      <c r="A148" s="648"/>
      <c r="B148" s="310" t="s">
        <v>131</v>
      </c>
      <c r="C148" s="278">
        <v>1339</v>
      </c>
      <c r="D148" s="278">
        <v>826</v>
      </c>
      <c r="E148" s="278">
        <v>832</v>
      </c>
      <c r="F148" s="279">
        <v>1438</v>
      </c>
      <c r="G148" s="278">
        <v>424</v>
      </c>
      <c r="H148" s="278">
        <v>677</v>
      </c>
      <c r="I148" s="278">
        <v>793</v>
      </c>
      <c r="J148" s="279">
        <v>482</v>
      </c>
      <c r="K148" s="75">
        <v>6.9525935926060545E-3</v>
      </c>
      <c r="L148" s="76">
        <v>7.36408537346433E-3</v>
      </c>
      <c r="M148" s="76">
        <v>8.0866987413131166E-3</v>
      </c>
      <c r="N148" s="56">
        <v>5.0664843953689941E-3</v>
      </c>
      <c r="O148" s="75">
        <v>6.1772461720013402E-3</v>
      </c>
      <c r="P148" s="76">
        <v>7.6898611963016001E-3</v>
      </c>
      <c r="Q148" s="76">
        <v>7.7345479727291304E-3</v>
      </c>
      <c r="R148" s="56">
        <v>4.3590717528532901E-3</v>
      </c>
    </row>
    <row r="149" spans="1:18" ht="15" customHeight="1" x14ac:dyDescent="0.2">
      <c r="A149" s="648"/>
      <c r="B149" s="310" t="s">
        <v>132</v>
      </c>
      <c r="C149" s="278">
        <v>1003</v>
      </c>
      <c r="D149" s="278">
        <v>886</v>
      </c>
      <c r="E149" s="278">
        <v>853</v>
      </c>
      <c r="F149" s="279">
        <v>953</v>
      </c>
      <c r="G149" s="278">
        <v>327</v>
      </c>
      <c r="H149" s="278">
        <v>686</v>
      </c>
      <c r="I149" s="278">
        <v>852</v>
      </c>
      <c r="J149" s="279">
        <v>325</v>
      </c>
      <c r="K149" s="75">
        <v>5.2079547224674182E-3</v>
      </c>
      <c r="L149" s="76">
        <v>7.8990068291639182E-3</v>
      </c>
      <c r="M149" s="76">
        <v>8.2908101278126069E-3</v>
      </c>
      <c r="N149" s="56">
        <v>3.3576909796847365E-3</v>
      </c>
      <c r="O149" s="75">
        <v>4.7640554203878301E-3</v>
      </c>
      <c r="P149" s="76">
        <v>7.7920897794134403E-3</v>
      </c>
      <c r="Q149" s="76">
        <v>8.31000614472285E-3</v>
      </c>
      <c r="R149" s="56">
        <v>2.9392081321106202E-3</v>
      </c>
    </row>
    <row r="150" spans="1:18" ht="15" customHeight="1" x14ac:dyDescent="0.2">
      <c r="A150" s="648"/>
      <c r="B150" s="310" t="s">
        <v>133</v>
      </c>
      <c r="C150" s="278">
        <v>849</v>
      </c>
      <c r="D150" s="278">
        <v>1004</v>
      </c>
      <c r="E150" s="278">
        <v>856</v>
      </c>
      <c r="F150" s="279">
        <v>589</v>
      </c>
      <c r="G150" s="278">
        <v>276</v>
      </c>
      <c r="H150" s="278">
        <v>731</v>
      </c>
      <c r="I150" s="278">
        <v>769</v>
      </c>
      <c r="J150" s="279">
        <v>201</v>
      </c>
      <c r="K150" s="75">
        <v>4.4083285736538757E-3</v>
      </c>
      <c r="L150" s="76">
        <v>8.9510190253731074E-3</v>
      </c>
      <c r="M150" s="76">
        <v>8.3199688973125338E-3</v>
      </c>
      <c r="N150" s="56">
        <v>2.0752150965732525E-3</v>
      </c>
      <c r="O150" s="75">
        <v>4.0210376025291697E-3</v>
      </c>
      <c r="P150" s="76">
        <v>8.3032326949726305E-3</v>
      </c>
      <c r="Q150" s="76">
        <v>7.5004632925960999E-3</v>
      </c>
      <c r="R150" s="56">
        <v>1.8177871832438001E-3</v>
      </c>
    </row>
    <row r="151" spans="1:18" ht="15" customHeight="1" thickBot="1" x14ac:dyDescent="0.25">
      <c r="A151" s="649"/>
      <c r="B151" s="310" t="s">
        <v>134</v>
      </c>
      <c r="C151" s="278">
        <v>687</v>
      </c>
      <c r="D151" s="278">
        <v>1151</v>
      </c>
      <c r="E151" s="278">
        <v>856</v>
      </c>
      <c r="F151" s="279">
        <v>382</v>
      </c>
      <c r="G151" s="278">
        <v>234</v>
      </c>
      <c r="H151" s="278">
        <v>885</v>
      </c>
      <c r="I151" s="278">
        <v>796</v>
      </c>
      <c r="J151" s="279">
        <v>121</v>
      </c>
      <c r="K151" s="77">
        <v>3.5671634041227478E-3</v>
      </c>
      <c r="L151" s="78">
        <v>1.0261576591837098E-2</v>
      </c>
      <c r="M151" s="78">
        <v>8.3199688973125338E-3</v>
      </c>
      <c r="N151" s="79">
        <v>1.3458950201884253E-3</v>
      </c>
      <c r="O151" s="77">
        <v>3.40914057605734E-3</v>
      </c>
      <c r="P151" s="78">
        <v>1.00524773393307E-2</v>
      </c>
      <c r="Q151" s="78">
        <v>7.7638085577457598E-3</v>
      </c>
      <c r="R151" s="79">
        <v>1.09428979687811E-3</v>
      </c>
    </row>
    <row r="152" spans="1:18" ht="15" customHeight="1" x14ac:dyDescent="0.2">
      <c r="A152" s="647" t="s">
        <v>94</v>
      </c>
      <c r="B152" s="311" t="s">
        <v>111</v>
      </c>
      <c r="C152" s="276">
        <v>546</v>
      </c>
      <c r="D152" s="276">
        <v>1420</v>
      </c>
      <c r="E152" s="276">
        <v>787</v>
      </c>
      <c r="F152" s="277">
        <v>184</v>
      </c>
      <c r="G152" s="276">
        <v>189</v>
      </c>
      <c r="H152" s="276">
        <v>972</v>
      </c>
      <c r="I152" s="276">
        <v>757</v>
      </c>
      <c r="J152" s="277">
        <v>49</v>
      </c>
      <c r="K152" s="72">
        <v>2.8350381639752841E-3</v>
      </c>
      <c r="L152" s="73">
        <v>1.2659807784890252E-2</v>
      </c>
      <c r="M152" s="73">
        <v>7.64931719881421E-3</v>
      </c>
      <c r="N152" s="74">
        <v>6.4828451234206878E-4</v>
      </c>
      <c r="O152" s="72">
        <v>2.7535366191232401E-3</v>
      </c>
      <c r="P152" s="73">
        <v>1.10406869760785E-2</v>
      </c>
      <c r="Q152" s="73">
        <v>7.3834209525295803E-3</v>
      </c>
      <c r="R152" s="74">
        <v>4.4314214914898602E-4</v>
      </c>
    </row>
    <row r="153" spans="1:18" ht="15" customHeight="1" x14ac:dyDescent="0.2">
      <c r="A153" s="648"/>
      <c r="B153" s="310" t="s">
        <v>112</v>
      </c>
      <c r="C153" s="278">
        <v>530</v>
      </c>
      <c r="D153" s="278">
        <v>1583</v>
      </c>
      <c r="E153" s="278">
        <v>769</v>
      </c>
      <c r="F153" s="279">
        <v>121</v>
      </c>
      <c r="G153" s="278">
        <v>174</v>
      </c>
      <c r="H153" s="278">
        <v>1146</v>
      </c>
      <c r="I153" s="278">
        <v>755</v>
      </c>
      <c r="J153" s="279">
        <v>41</v>
      </c>
      <c r="K153" s="75">
        <v>2.7519601225401112E-3</v>
      </c>
      <c r="L153" s="76">
        <v>1.4113011072874134E-2</v>
      </c>
      <c r="M153" s="76">
        <v>7.4743645818146475E-3</v>
      </c>
      <c r="N153" s="56">
        <v>4.2631753257277348E-4</v>
      </c>
      <c r="O153" s="75">
        <v>2.53500196681187E-3</v>
      </c>
      <c r="P153" s="76">
        <v>1.3017106249574001E-2</v>
      </c>
      <c r="Q153" s="76">
        <v>7.3639138958518204E-3</v>
      </c>
      <c r="R153" s="56">
        <v>3.7079241051241702E-4</v>
      </c>
    </row>
    <row r="154" spans="1:18" ht="15" customHeight="1" x14ac:dyDescent="0.2">
      <c r="A154" s="648"/>
      <c r="B154" s="310" t="s">
        <v>113</v>
      </c>
      <c r="C154" s="278">
        <v>376</v>
      </c>
      <c r="D154" s="278">
        <v>1720</v>
      </c>
      <c r="E154" s="278">
        <v>688</v>
      </c>
      <c r="F154" s="279">
        <v>66</v>
      </c>
      <c r="G154" s="278">
        <v>130</v>
      </c>
      <c r="H154" s="278">
        <v>1289</v>
      </c>
      <c r="I154" s="278">
        <v>633</v>
      </c>
      <c r="J154" s="279">
        <v>30</v>
      </c>
      <c r="K154" s="75">
        <v>1.9523339737265693E-3</v>
      </c>
      <c r="L154" s="76">
        <v>1.5334415063388193E-2</v>
      </c>
      <c r="M154" s="76">
        <v>6.6870778053166159E-3</v>
      </c>
      <c r="N154" s="56">
        <v>2.3253683594878552E-4</v>
      </c>
      <c r="O154" s="75">
        <v>1.8939669866985199E-3</v>
      </c>
      <c r="P154" s="76">
        <v>1.4641404847906599E-2</v>
      </c>
      <c r="Q154" s="76">
        <v>6.1739834385088803E-3</v>
      </c>
      <c r="R154" s="56">
        <v>2.7131151988713399E-4</v>
      </c>
    </row>
    <row r="155" spans="1:18" ht="15" customHeight="1" x14ac:dyDescent="0.2">
      <c r="A155" s="648"/>
      <c r="B155" s="310" t="s">
        <v>114</v>
      </c>
      <c r="C155" s="278">
        <v>334</v>
      </c>
      <c r="D155" s="278">
        <v>1713</v>
      </c>
      <c r="E155" s="278">
        <v>649</v>
      </c>
      <c r="F155" s="279">
        <v>50</v>
      </c>
      <c r="G155" s="278">
        <v>109</v>
      </c>
      <c r="H155" s="278">
        <v>1208</v>
      </c>
      <c r="I155" s="278">
        <v>595</v>
      </c>
      <c r="J155" s="279">
        <v>19</v>
      </c>
      <c r="K155" s="75">
        <v>1.7342541149592398E-3</v>
      </c>
      <c r="L155" s="76">
        <v>1.527200756022324E-2</v>
      </c>
      <c r="M155" s="76">
        <v>6.3080138018175632E-3</v>
      </c>
      <c r="N155" s="56">
        <v>1.7616426965817085E-4</v>
      </c>
      <c r="O155" s="75">
        <v>1.5880184734626099E-3</v>
      </c>
      <c r="P155" s="76">
        <v>1.37213475999E-2</v>
      </c>
      <c r="Q155" s="76">
        <v>5.8033493616315704E-3</v>
      </c>
      <c r="R155" s="56">
        <v>1.71830629261852E-4</v>
      </c>
    </row>
    <row r="156" spans="1:18" ht="15" customHeight="1" x14ac:dyDescent="0.2">
      <c r="A156" s="648"/>
      <c r="B156" s="310" t="s">
        <v>115</v>
      </c>
      <c r="C156" s="278">
        <v>238</v>
      </c>
      <c r="D156" s="278">
        <v>1611</v>
      </c>
      <c r="E156" s="278">
        <v>593</v>
      </c>
      <c r="F156" s="279">
        <v>53</v>
      </c>
      <c r="G156" s="278">
        <v>74</v>
      </c>
      <c r="H156" s="278">
        <v>1123</v>
      </c>
      <c r="I156" s="278">
        <v>518</v>
      </c>
      <c r="J156" s="279">
        <v>21</v>
      </c>
      <c r="K156" s="75">
        <v>1.2357858663482007E-3</v>
      </c>
      <c r="L156" s="76">
        <v>1.436264108553394E-2</v>
      </c>
      <c r="M156" s="76">
        <v>5.763716771152257E-3</v>
      </c>
      <c r="N156" s="56">
        <v>1.867341258376611E-4</v>
      </c>
      <c r="O156" s="75">
        <v>1.0781042847360801E-3</v>
      </c>
      <c r="P156" s="76">
        <v>1.2755855426066E-2</v>
      </c>
      <c r="Q156" s="76">
        <v>5.0523276795380696E-3</v>
      </c>
      <c r="R156" s="56">
        <v>1.8991806392099401E-4</v>
      </c>
    </row>
    <row r="157" spans="1:18" ht="15" customHeight="1" x14ac:dyDescent="0.2">
      <c r="A157" s="648"/>
      <c r="B157" s="310" t="s">
        <v>116</v>
      </c>
      <c r="C157" s="278">
        <v>217</v>
      </c>
      <c r="D157" s="278">
        <v>1123</v>
      </c>
      <c r="E157" s="278">
        <v>512</v>
      </c>
      <c r="F157" s="279">
        <v>71</v>
      </c>
      <c r="G157" s="278">
        <v>118</v>
      </c>
      <c r="H157" s="278">
        <v>862</v>
      </c>
      <c r="I157" s="278">
        <v>455</v>
      </c>
      <c r="J157" s="279">
        <v>14</v>
      </c>
      <c r="K157" s="75">
        <v>1.1267459369645361E-3</v>
      </c>
      <c r="L157" s="76">
        <v>1.001194657917729E-2</v>
      </c>
      <c r="M157" s="76">
        <v>4.9764299946542254E-3</v>
      </c>
      <c r="N157" s="56">
        <v>2.5015326291460261E-4</v>
      </c>
      <c r="O157" s="75">
        <v>1.7191392648494301E-3</v>
      </c>
      <c r="P157" s="76">
        <v>9.7912265158227093E-3</v>
      </c>
      <c r="Q157" s="76">
        <v>4.4378553941888501E-3</v>
      </c>
      <c r="R157" s="56">
        <v>1.26612042613996E-4</v>
      </c>
    </row>
    <row r="158" spans="1:18" ht="15" customHeight="1" x14ac:dyDescent="0.2">
      <c r="A158" s="648"/>
      <c r="B158" s="310" t="s">
        <v>117</v>
      </c>
      <c r="C158" s="278">
        <v>195</v>
      </c>
      <c r="D158" s="278">
        <v>688</v>
      </c>
      <c r="E158" s="278">
        <v>317</v>
      </c>
      <c r="F158" s="279">
        <v>114</v>
      </c>
      <c r="G158" s="278">
        <v>81</v>
      </c>
      <c r="H158" s="278">
        <v>494</v>
      </c>
      <c r="I158" s="278">
        <v>291</v>
      </c>
      <c r="J158" s="279">
        <v>31</v>
      </c>
      <c r="K158" s="75">
        <v>1.012513629991173E-3</v>
      </c>
      <c r="L158" s="76">
        <v>6.1337660253552766E-3</v>
      </c>
      <c r="M158" s="76">
        <v>3.0811099771589638E-3</v>
      </c>
      <c r="N158" s="56">
        <v>4.0165453482062956E-4</v>
      </c>
      <c r="O158" s="75">
        <v>1.1800871224813901E-3</v>
      </c>
      <c r="P158" s="76">
        <v>5.6112133396942201E-3</v>
      </c>
      <c r="Q158" s="76">
        <v>2.8382767466130902E-3</v>
      </c>
      <c r="R158" s="56">
        <v>2.80355237216706E-4</v>
      </c>
    </row>
    <row r="159" spans="1:18" ht="15" customHeight="1" x14ac:dyDescent="0.2">
      <c r="A159" s="648"/>
      <c r="B159" s="310" t="s">
        <v>118</v>
      </c>
      <c r="C159" s="278">
        <v>320</v>
      </c>
      <c r="D159" s="278">
        <v>410</v>
      </c>
      <c r="E159" s="278">
        <v>245</v>
      </c>
      <c r="F159" s="279">
        <v>332</v>
      </c>
      <c r="G159" s="278">
        <v>81</v>
      </c>
      <c r="H159" s="278">
        <v>371</v>
      </c>
      <c r="I159" s="278">
        <v>261</v>
      </c>
      <c r="J159" s="279">
        <v>109</v>
      </c>
      <c r="K159" s="75">
        <v>1.6615608287034634E-3</v>
      </c>
      <c r="L159" s="76">
        <v>3.6552966139471853E-3</v>
      </c>
      <c r="M159" s="76">
        <v>2.3812995091607135E-3</v>
      </c>
      <c r="N159" s="56">
        <v>1.1697307505302544E-3</v>
      </c>
      <c r="O159" s="75">
        <v>1.1800871224813901E-3</v>
      </c>
      <c r="P159" s="76">
        <v>4.2140893704991E-3</v>
      </c>
      <c r="Q159" s="76">
        <v>2.5456708964467899E-3</v>
      </c>
      <c r="R159" s="56">
        <v>9.8576518892325507E-4</v>
      </c>
    </row>
    <row r="160" spans="1:18" ht="15" customHeight="1" x14ac:dyDescent="0.2">
      <c r="A160" s="648"/>
      <c r="B160" s="310" t="s">
        <v>119</v>
      </c>
      <c r="C160" s="278">
        <v>564</v>
      </c>
      <c r="D160" s="278">
        <v>518</v>
      </c>
      <c r="E160" s="278">
        <v>303</v>
      </c>
      <c r="F160" s="279">
        <v>1284</v>
      </c>
      <c r="G160" s="278">
        <v>262</v>
      </c>
      <c r="H160" s="278">
        <v>439</v>
      </c>
      <c r="I160" s="278">
        <v>369</v>
      </c>
      <c r="J160" s="279">
        <v>596</v>
      </c>
      <c r="K160" s="75">
        <v>2.9285009605898543E-3</v>
      </c>
      <c r="L160" s="76">
        <v>4.6181552342064438E-3</v>
      </c>
      <c r="M160" s="76">
        <v>2.9450357194926373E-3</v>
      </c>
      <c r="N160" s="56">
        <v>4.5238984448218271E-3</v>
      </c>
      <c r="O160" s="75">
        <v>3.8170719270385601E-3</v>
      </c>
      <c r="P160" s="76">
        <v>4.9864831095663203E-3</v>
      </c>
      <c r="Q160" s="76">
        <v>3.5990519570454601E-3</v>
      </c>
      <c r="R160" s="56">
        <v>5.3900555284244001E-3</v>
      </c>
    </row>
    <row r="161" spans="1:18" ht="15" customHeight="1" x14ac:dyDescent="0.2">
      <c r="A161" s="648"/>
      <c r="B161" s="310" t="s">
        <v>120</v>
      </c>
      <c r="C161" s="278">
        <v>888</v>
      </c>
      <c r="D161" s="278">
        <v>585</v>
      </c>
      <c r="E161" s="278">
        <v>383</v>
      </c>
      <c r="F161" s="279">
        <v>2335</v>
      </c>
      <c r="G161" s="278">
        <v>316</v>
      </c>
      <c r="H161" s="278">
        <v>532</v>
      </c>
      <c r="I161" s="278">
        <v>452</v>
      </c>
      <c r="J161" s="279">
        <v>938</v>
      </c>
      <c r="K161" s="75">
        <v>4.6108312996521105E-3</v>
      </c>
      <c r="L161" s="76">
        <v>5.2154841930709839E-3</v>
      </c>
      <c r="M161" s="76">
        <v>3.7226029061573603E-3</v>
      </c>
      <c r="N161" s="56">
        <v>8.2268713930365792E-3</v>
      </c>
      <c r="O161" s="75">
        <v>4.60379667535949E-3</v>
      </c>
      <c r="P161" s="76">
        <v>6.04284513505532E-3</v>
      </c>
      <c r="Q161" s="76">
        <v>4.4085948091722197E-3</v>
      </c>
      <c r="R161" s="56">
        <v>8.4830068551377397E-3</v>
      </c>
    </row>
    <row r="162" spans="1:18" ht="15" customHeight="1" x14ac:dyDescent="0.2">
      <c r="A162" s="648"/>
      <c r="B162" s="310" t="s">
        <v>121</v>
      </c>
      <c r="C162" s="278">
        <v>1139</v>
      </c>
      <c r="D162" s="278">
        <v>751</v>
      </c>
      <c r="E162" s="278">
        <v>433</v>
      </c>
      <c r="F162" s="279">
        <v>3093</v>
      </c>
      <c r="G162" s="278">
        <v>431</v>
      </c>
      <c r="H162" s="278">
        <v>560</v>
      </c>
      <c r="I162" s="278">
        <v>560</v>
      </c>
      <c r="J162" s="279">
        <v>1192</v>
      </c>
      <c r="K162" s="75">
        <v>5.9141180746663897E-3</v>
      </c>
      <c r="L162" s="76">
        <v>6.6954335538398444E-3</v>
      </c>
      <c r="M162" s="76">
        <v>4.2085823978228118E-3</v>
      </c>
      <c r="N162" s="56">
        <v>1.0897521721054449E-2</v>
      </c>
      <c r="O162" s="75">
        <v>6.2792290097466504E-3</v>
      </c>
      <c r="P162" s="76">
        <v>6.3608896158476999E-3</v>
      </c>
      <c r="Q162" s="76">
        <v>5.4619758697708898E-3</v>
      </c>
      <c r="R162" s="56">
        <v>1.07801110568488E-2</v>
      </c>
    </row>
    <row r="163" spans="1:18" ht="15" customHeight="1" x14ac:dyDescent="0.2">
      <c r="A163" s="648"/>
      <c r="B163" s="310" t="s">
        <v>122</v>
      </c>
      <c r="C163" s="278">
        <v>1403</v>
      </c>
      <c r="D163" s="278">
        <v>903</v>
      </c>
      <c r="E163" s="278">
        <v>477</v>
      </c>
      <c r="F163" s="279">
        <v>4127</v>
      </c>
      <c r="G163" s="278">
        <v>550</v>
      </c>
      <c r="H163" s="278">
        <v>682</v>
      </c>
      <c r="I163" s="278">
        <v>630</v>
      </c>
      <c r="J163" s="279">
        <v>1490</v>
      </c>
      <c r="K163" s="75">
        <v>7.2849057583467469E-3</v>
      </c>
      <c r="L163" s="76">
        <v>8.0505679082788009E-3</v>
      </c>
      <c r="M163" s="76">
        <v>4.6362443504884094E-3</v>
      </c>
      <c r="N163" s="56">
        <v>1.4540598817585421E-2</v>
      </c>
      <c r="O163" s="75">
        <v>8.0129372514168296E-3</v>
      </c>
      <c r="P163" s="76">
        <v>7.7466548535859497E-3</v>
      </c>
      <c r="Q163" s="76">
        <v>6.14472285349225E-3</v>
      </c>
      <c r="R163" s="56">
        <v>1.3475138821061E-2</v>
      </c>
    </row>
    <row r="164" spans="1:18" ht="15" customHeight="1" x14ac:dyDescent="0.2">
      <c r="A164" s="648"/>
      <c r="B164" s="310" t="s">
        <v>123</v>
      </c>
      <c r="C164" s="278">
        <v>1564</v>
      </c>
      <c r="D164" s="278">
        <v>923</v>
      </c>
      <c r="E164" s="278">
        <v>511</v>
      </c>
      <c r="F164" s="279">
        <v>5145</v>
      </c>
      <c r="G164" s="278">
        <v>543</v>
      </c>
      <c r="H164" s="278">
        <v>708</v>
      </c>
      <c r="I164" s="278">
        <v>620</v>
      </c>
      <c r="J164" s="279">
        <v>1840</v>
      </c>
      <c r="K164" s="75">
        <v>8.1208785502881776E-3</v>
      </c>
      <c r="L164" s="76">
        <v>8.2288750601786642E-3</v>
      </c>
      <c r="M164" s="76">
        <v>4.9667104048209164E-3</v>
      </c>
      <c r="N164" s="56">
        <v>1.8127303347825779E-2</v>
      </c>
      <c r="O164" s="75">
        <v>7.9109544136715306E-3</v>
      </c>
      <c r="P164" s="76">
        <v>8.0419818714646003E-3</v>
      </c>
      <c r="Q164" s="76">
        <v>6.0471875701034903E-3</v>
      </c>
      <c r="R164" s="56">
        <v>1.6640439886410899E-2</v>
      </c>
    </row>
    <row r="165" spans="1:18" ht="15" customHeight="1" x14ac:dyDescent="0.2">
      <c r="A165" s="648"/>
      <c r="B165" s="310" t="s">
        <v>124</v>
      </c>
      <c r="C165" s="278">
        <v>1763</v>
      </c>
      <c r="D165" s="278">
        <v>1023</v>
      </c>
      <c r="E165" s="278">
        <v>632</v>
      </c>
      <c r="F165" s="279">
        <v>4839</v>
      </c>
      <c r="G165" s="278">
        <v>649</v>
      </c>
      <c r="H165" s="278">
        <v>752</v>
      </c>
      <c r="I165" s="278">
        <v>659</v>
      </c>
      <c r="J165" s="279">
        <v>1675</v>
      </c>
      <c r="K165" s="75">
        <v>9.1541616906381431E-3</v>
      </c>
      <c r="L165" s="76">
        <v>9.1204108196779772E-3</v>
      </c>
      <c r="M165" s="76">
        <v>6.1427807746513097E-3</v>
      </c>
      <c r="N165" s="56">
        <v>1.7049178017517774E-2</v>
      </c>
      <c r="O165" s="75">
        <v>9.4552659566718607E-3</v>
      </c>
      <c r="P165" s="76">
        <v>8.5417660555669097E-3</v>
      </c>
      <c r="Q165" s="76">
        <v>6.4275751753196698E-3</v>
      </c>
      <c r="R165" s="56">
        <v>1.51482265270317E-2</v>
      </c>
    </row>
    <row r="166" spans="1:18" ht="15" customHeight="1" x14ac:dyDescent="0.2">
      <c r="A166" s="648"/>
      <c r="B166" s="310" t="s">
        <v>125</v>
      </c>
      <c r="C166" s="278">
        <v>1674</v>
      </c>
      <c r="D166" s="278">
        <v>916</v>
      </c>
      <c r="E166" s="278">
        <v>644</v>
      </c>
      <c r="F166" s="279">
        <v>4369</v>
      </c>
      <c r="G166" s="278">
        <v>603</v>
      </c>
      <c r="H166" s="278">
        <v>775</v>
      </c>
      <c r="I166" s="278">
        <v>716</v>
      </c>
      <c r="J166" s="279">
        <v>1537</v>
      </c>
      <c r="K166" s="75">
        <v>8.6920400851549923E-3</v>
      </c>
      <c r="L166" s="76">
        <v>8.1664675570137114E-3</v>
      </c>
      <c r="M166" s="76">
        <v>6.2594158526510183E-3</v>
      </c>
      <c r="N166" s="56">
        <v>1.5393233882730969E-2</v>
      </c>
      <c r="O166" s="75">
        <v>8.7850930229170007E-3</v>
      </c>
      <c r="P166" s="76">
        <v>8.8030168790749503E-3</v>
      </c>
      <c r="Q166" s="76">
        <v>6.98352629063564E-3</v>
      </c>
      <c r="R166" s="56">
        <v>1.39001935355509E-2</v>
      </c>
    </row>
    <row r="167" spans="1:18" ht="15" customHeight="1" x14ac:dyDescent="0.2">
      <c r="A167" s="648"/>
      <c r="B167" s="310" t="s">
        <v>126</v>
      </c>
      <c r="C167" s="278">
        <v>1732</v>
      </c>
      <c r="D167" s="278">
        <v>905</v>
      </c>
      <c r="E167" s="278">
        <v>646</v>
      </c>
      <c r="F167" s="279">
        <v>4158</v>
      </c>
      <c r="G167" s="278">
        <v>608</v>
      </c>
      <c r="H167" s="278">
        <v>757</v>
      </c>
      <c r="I167" s="278">
        <v>750</v>
      </c>
      <c r="J167" s="279">
        <v>1387</v>
      </c>
      <c r="K167" s="75">
        <v>8.9931979853574949E-3</v>
      </c>
      <c r="L167" s="76">
        <v>8.0683986234687879E-3</v>
      </c>
      <c r="M167" s="76">
        <v>6.2788550323176363E-3</v>
      </c>
      <c r="N167" s="56">
        <v>1.4649820664773487E-2</v>
      </c>
      <c r="O167" s="75">
        <v>8.8579379070207898E-3</v>
      </c>
      <c r="P167" s="76">
        <v>8.5985597128512697E-3</v>
      </c>
      <c r="Q167" s="76">
        <v>7.3151462541574397E-3</v>
      </c>
      <c r="R167" s="56">
        <v>1.25436359361152E-2</v>
      </c>
    </row>
    <row r="168" spans="1:18" ht="15" customHeight="1" x14ac:dyDescent="0.2">
      <c r="A168" s="648"/>
      <c r="B168" s="310" t="s">
        <v>127</v>
      </c>
      <c r="C168" s="278">
        <v>1685</v>
      </c>
      <c r="D168" s="278">
        <v>849</v>
      </c>
      <c r="E168" s="278">
        <v>663</v>
      </c>
      <c r="F168" s="279">
        <v>3819</v>
      </c>
      <c r="G168" s="278">
        <v>544</v>
      </c>
      <c r="H168" s="278">
        <v>709</v>
      </c>
      <c r="I168" s="278">
        <v>726</v>
      </c>
      <c r="J168" s="279">
        <v>1251</v>
      </c>
      <c r="K168" s="75">
        <v>8.7491562386416734E-3</v>
      </c>
      <c r="L168" s="76">
        <v>7.5691385981491721E-3</v>
      </c>
      <c r="M168" s="76">
        <v>6.4440880594838898E-3</v>
      </c>
      <c r="N168" s="56">
        <v>1.3455426916491089E-2</v>
      </c>
      <c r="O168" s="75">
        <v>7.9255233904922898E-3</v>
      </c>
      <c r="P168" s="76">
        <v>8.0533406029214705E-3</v>
      </c>
      <c r="Q168" s="76">
        <v>7.0810615740243997E-3</v>
      </c>
      <c r="R168" s="56">
        <v>1.1313690379293501E-2</v>
      </c>
    </row>
    <row r="169" spans="1:18" ht="15" customHeight="1" x14ac:dyDescent="0.2">
      <c r="A169" s="648"/>
      <c r="B169" s="310" t="s">
        <v>128</v>
      </c>
      <c r="C169" s="278">
        <v>1665</v>
      </c>
      <c r="D169" s="278">
        <v>853</v>
      </c>
      <c r="E169" s="278">
        <v>796</v>
      </c>
      <c r="F169" s="279">
        <v>3122</v>
      </c>
      <c r="G169" s="278">
        <v>599</v>
      </c>
      <c r="H169" s="278">
        <v>741</v>
      </c>
      <c r="I169" s="278">
        <v>796</v>
      </c>
      <c r="J169" s="279">
        <v>1137</v>
      </c>
      <c r="K169" s="75">
        <v>8.645308686847708E-3</v>
      </c>
      <c r="L169" s="76">
        <v>7.6048000285291444E-3</v>
      </c>
      <c r="M169" s="76">
        <v>7.7367935073139917E-3</v>
      </c>
      <c r="N169" s="56">
        <v>1.0999696997456189E-2</v>
      </c>
      <c r="O169" s="75">
        <v>8.7268171156339707E-3</v>
      </c>
      <c r="P169" s="76">
        <v>8.4168200095413297E-3</v>
      </c>
      <c r="Q169" s="76">
        <v>7.7638085577457598E-3</v>
      </c>
      <c r="R169" s="56">
        <v>1.0282706603722399E-2</v>
      </c>
    </row>
    <row r="170" spans="1:18" ht="15" customHeight="1" x14ac:dyDescent="0.2">
      <c r="A170" s="648"/>
      <c r="B170" s="310" t="s">
        <v>129</v>
      </c>
      <c r="C170" s="278">
        <v>1576</v>
      </c>
      <c r="D170" s="278">
        <v>819</v>
      </c>
      <c r="E170" s="278">
        <v>708</v>
      </c>
      <c r="F170" s="279">
        <v>2820</v>
      </c>
      <c r="G170" s="278">
        <v>493</v>
      </c>
      <c r="H170" s="278">
        <v>703</v>
      </c>
      <c r="I170" s="278">
        <v>758</v>
      </c>
      <c r="J170" s="279">
        <v>908</v>
      </c>
      <c r="K170" s="75">
        <v>8.1831870813645572E-3</v>
      </c>
      <c r="L170" s="76">
        <v>7.301677870299378E-3</v>
      </c>
      <c r="M170" s="76">
        <v>6.8814696019827964E-3</v>
      </c>
      <c r="N170" s="56">
        <v>9.9356648087208354E-3</v>
      </c>
      <c r="O170" s="75">
        <v>7.1825055726336302E-3</v>
      </c>
      <c r="P170" s="76">
        <v>7.9851882141802402E-3</v>
      </c>
      <c r="Q170" s="76">
        <v>7.3931744808684498E-3</v>
      </c>
      <c r="R170" s="56">
        <v>8.2116953352505996E-3</v>
      </c>
    </row>
    <row r="171" spans="1:18" ht="15" customHeight="1" x14ac:dyDescent="0.2">
      <c r="A171" s="648"/>
      <c r="B171" s="310" t="s">
        <v>130</v>
      </c>
      <c r="C171" s="278">
        <v>1406</v>
      </c>
      <c r="D171" s="278">
        <v>890</v>
      </c>
      <c r="E171" s="278">
        <v>825</v>
      </c>
      <c r="F171" s="279">
        <v>2467</v>
      </c>
      <c r="G171" s="278">
        <v>477</v>
      </c>
      <c r="H171" s="278">
        <v>724</v>
      </c>
      <c r="I171" s="278">
        <v>849</v>
      </c>
      <c r="J171" s="279">
        <v>901</v>
      </c>
      <c r="K171" s="75">
        <v>7.3004828911158422E-3</v>
      </c>
      <c r="L171" s="76">
        <v>7.9346682595438905E-3</v>
      </c>
      <c r="M171" s="76">
        <v>8.0186616124799538E-3</v>
      </c>
      <c r="N171" s="56">
        <v>8.6919450649341496E-3</v>
      </c>
      <c r="O171" s="75">
        <v>6.9494019435015096E-3</v>
      </c>
      <c r="P171" s="76">
        <v>8.2237215747745299E-3</v>
      </c>
      <c r="Q171" s="76">
        <v>8.2807455597062197E-3</v>
      </c>
      <c r="R171" s="56">
        <v>8.1483893139435992E-3</v>
      </c>
    </row>
    <row r="172" spans="1:18" ht="15" customHeight="1" x14ac:dyDescent="0.2">
      <c r="A172" s="648"/>
      <c r="B172" s="310" t="s">
        <v>131</v>
      </c>
      <c r="C172" s="278">
        <v>1328</v>
      </c>
      <c r="D172" s="278">
        <v>918</v>
      </c>
      <c r="E172" s="278">
        <v>874</v>
      </c>
      <c r="F172" s="279">
        <v>1956</v>
      </c>
      <c r="G172" s="278">
        <v>441</v>
      </c>
      <c r="H172" s="278">
        <v>669</v>
      </c>
      <c r="I172" s="278">
        <v>883</v>
      </c>
      <c r="J172" s="279">
        <v>674</v>
      </c>
      <c r="K172" s="75">
        <v>6.8954774391193725E-3</v>
      </c>
      <c r="L172" s="76">
        <v>8.1842982722036984E-3</v>
      </c>
      <c r="M172" s="76">
        <v>8.4949215143120954E-3</v>
      </c>
      <c r="N172" s="56">
        <v>6.8915462290276433E-3</v>
      </c>
      <c r="O172" s="75">
        <v>6.4249187779542201E-3</v>
      </c>
      <c r="P172" s="76">
        <v>7.5989913446466301E-3</v>
      </c>
      <c r="Q172" s="76">
        <v>8.6123655232280306E-3</v>
      </c>
      <c r="R172" s="56">
        <v>6.0954654801309502E-3</v>
      </c>
    </row>
    <row r="173" spans="1:18" ht="15" customHeight="1" x14ac:dyDescent="0.2">
      <c r="A173" s="648"/>
      <c r="B173" s="310" t="s">
        <v>132</v>
      </c>
      <c r="C173" s="278">
        <v>1017</v>
      </c>
      <c r="D173" s="278">
        <v>905</v>
      </c>
      <c r="E173" s="278">
        <v>904</v>
      </c>
      <c r="F173" s="279">
        <v>1364</v>
      </c>
      <c r="G173" s="278">
        <v>333</v>
      </c>
      <c r="H173" s="278">
        <v>678</v>
      </c>
      <c r="I173" s="278">
        <v>845</v>
      </c>
      <c r="J173" s="279">
        <v>463</v>
      </c>
      <c r="K173" s="75">
        <v>5.2806480087231947E-3</v>
      </c>
      <c r="L173" s="76">
        <v>8.0683986234687879E-3</v>
      </c>
      <c r="M173" s="76">
        <v>8.7865092093113665E-3</v>
      </c>
      <c r="N173" s="56">
        <v>4.8057612762749009E-3</v>
      </c>
      <c r="O173" s="75">
        <v>4.8514692813123698E-3</v>
      </c>
      <c r="P173" s="76">
        <v>7.7012199277584703E-3</v>
      </c>
      <c r="Q173" s="76">
        <v>8.2417314463507207E-3</v>
      </c>
      <c r="R173" s="56">
        <v>4.1872411235914404E-3</v>
      </c>
    </row>
    <row r="174" spans="1:18" ht="15" customHeight="1" x14ac:dyDescent="0.2">
      <c r="A174" s="648"/>
      <c r="B174" s="310" t="s">
        <v>133</v>
      </c>
      <c r="C174" s="278">
        <v>710</v>
      </c>
      <c r="D174" s="278">
        <v>806</v>
      </c>
      <c r="E174" s="278">
        <v>923</v>
      </c>
      <c r="F174" s="279">
        <v>761</v>
      </c>
      <c r="G174" s="278">
        <v>282</v>
      </c>
      <c r="H174" s="278">
        <v>604</v>
      </c>
      <c r="I174" s="278">
        <v>857</v>
      </c>
      <c r="J174" s="279">
        <v>240</v>
      </c>
      <c r="K174" s="75">
        <v>3.6865880886858093E-3</v>
      </c>
      <c r="L174" s="76">
        <v>7.1857782215644667E-3</v>
      </c>
      <c r="M174" s="76">
        <v>8.9711814161442388E-3</v>
      </c>
      <c r="N174" s="56">
        <v>2.6812201841973603E-3</v>
      </c>
      <c r="O174" s="75">
        <v>4.1084514634537198E-3</v>
      </c>
      <c r="P174" s="76">
        <v>6.8606737999500197E-3</v>
      </c>
      <c r="Q174" s="76">
        <v>8.3587737864172403E-3</v>
      </c>
      <c r="R174" s="56">
        <v>2.1704921590970801E-3</v>
      </c>
    </row>
    <row r="175" spans="1:18" ht="15" customHeight="1" thickBot="1" x14ac:dyDescent="0.25">
      <c r="A175" s="649"/>
      <c r="B175" s="310" t="s">
        <v>134</v>
      </c>
      <c r="C175" s="278">
        <v>587</v>
      </c>
      <c r="D175" s="278">
        <v>752</v>
      </c>
      <c r="E175" s="278">
        <v>851</v>
      </c>
      <c r="F175" s="279">
        <v>358</v>
      </c>
      <c r="G175" s="278">
        <v>233</v>
      </c>
      <c r="H175" s="278">
        <v>567</v>
      </c>
      <c r="I175" s="278">
        <v>778</v>
      </c>
      <c r="J175" s="279">
        <v>108</v>
      </c>
      <c r="K175" s="77">
        <v>3.0479256451529154E-3</v>
      </c>
      <c r="L175" s="78">
        <v>6.7043489114348379E-3</v>
      </c>
      <c r="M175" s="78">
        <v>8.2713709481459889E-3</v>
      </c>
      <c r="N175" s="79">
        <v>1.2613361707525033E-3</v>
      </c>
      <c r="O175" s="77">
        <v>3.3945715992365899E-3</v>
      </c>
      <c r="P175" s="78">
        <v>6.4404007360457996E-3</v>
      </c>
      <c r="Q175" s="78">
        <v>7.58824504764599E-3</v>
      </c>
      <c r="R175" s="79">
        <v>9.7672147159368408E-4</v>
      </c>
    </row>
    <row r="176" spans="1:18" x14ac:dyDescent="0.2">
      <c r="A176" s="30"/>
      <c r="B176" s="30"/>
      <c r="C176" s="30"/>
      <c r="D176" s="30"/>
      <c r="E176" s="30"/>
      <c r="F176" s="30"/>
      <c r="G176" s="30"/>
      <c r="H176" s="30"/>
      <c r="I176" s="30"/>
      <c r="J176" s="30"/>
      <c r="K176" s="52"/>
      <c r="L176" s="52"/>
      <c r="M176" s="52"/>
      <c r="N176" s="52"/>
      <c r="O176" s="52"/>
      <c r="P176" s="52"/>
      <c r="Q176" s="52"/>
      <c r="R176" s="52"/>
    </row>
    <row r="177" spans="1:19" ht="16.5" customHeight="1" thickBot="1" x14ac:dyDescent="0.25">
      <c r="A177" s="650" t="s">
        <v>10</v>
      </c>
      <c r="B177" s="651"/>
      <c r="C177" s="651"/>
      <c r="D177" s="651"/>
      <c r="E177" s="651"/>
      <c r="F177" s="651"/>
      <c r="G177" s="651"/>
      <c r="H177" s="651"/>
      <c r="I177" s="651"/>
      <c r="J177" s="651"/>
      <c r="K177" s="651"/>
      <c r="L177" s="651"/>
      <c r="M177" s="651"/>
      <c r="N177" s="651"/>
      <c r="O177" s="651"/>
      <c r="P177" s="651"/>
      <c r="Q177" s="31"/>
      <c r="R177" s="31"/>
    </row>
    <row r="178" spans="1:19" ht="16.5" customHeight="1" x14ac:dyDescent="0.2">
      <c r="A178" s="465" t="s">
        <v>1035</v>
      </c>
      <c r="B178" s="465"/>
      <c r="C178" s="465"/>
      <c r="D178" s="467"/>
      <c r="E178" s="467"/>
      <c r="F178" s="467"/>
      <c r="G178" s="467"/>
      <c r="H178" s="467"/>
      <c r="I178" s="467"/>
      <c r="J178" s="467"/>
      <c r="K178" s="467"/>
      <c r="L178" s="467"/>
      <c r="M178" s="467"/>
      <c r="N178" s="467"/>
      <c r="O178" s="467"/>
      <c r="P178" s="467"/>
      <c r="Q178" s="467"/>
      <c r="R178" s="467"/>
      <c r="S178" s="467"/>
    </row>
    <row r="179" spans="1:19" ht="16.5" customHeight="1" x14ac:dyDescent="0.2">
      <c r="A179" s="547" t="s">
        <v>587</v>
      </c>
      <c r="B179" s="547"/>
      <c r="C179" s="547"/>
      <c r="D179" s="547"/>
      <c r="E179" s="547"/>
      <c r="F179" s="547"/>
      <c r="G179" s="547"/>
      <c r="H179" s="116"/>
      <c r="I179" s="116"/>
      <c r="J179" s="116"/>
      <c r="K179" s="116"/>
      <c r="L179" s="116"/>
      <c r="M179" s="116"/>
      <c r="N179" s="116"/>
      <c r="O179" s="116"/>
      <c r="P179" s="116"/>
      <c r="Q179" s="116"/>
      <c r="R179" s="14"/>
    </row>
    <row r="180" spans="1:19" ht="16.5" customHeight="1" x14ac:dyDescent="0.2">
      <c r="A180" s="645" t="s">
        <v>441</v>
      </c>
      <c r="B180" s="646"/>
      <c r="C180" s="646"/>
      <c r="D180" s="646"/>
      <c r="E180" s="646"/>
      <c r="F180" s="646"/>
      <c r="G180" s="646"/>
      <c r="H180" s="646"/>
      <c r="I180" s="646"/>
      <c r="J180" s="646"/>
      <c r="K180" s="646"/>
      <c r="L180" s="646"/>
      <c r="M180" s="646"/>
      <c r="N180" s="646"/>
      <c r="O180" s="646"/>
      <c r="P180" s="646"/>
      <c r="Q180" s="31"/>
    </row>
    <row r="181" spans="1:19" ht="13.5" thickBot="1" x14ac:dyDescent="0.25">
      <c r="A181" s="643" t="s">
        <v>945</v>
      </c>
      <c r="B181" s="644"/>
      <c r="C181" s="644"/>
      <c r="D181" s="644"/>
      <c r="E181" s="644"/>
      <c r="F181" s="644"/>
      <c r="G181" s="644"/>
      <c r="H181" s="644"/>
      <c r="I181" s="644"/>
      <c r="J181" s="644"/>
      <c r="K181" s="644"/>
      <c r="L181" s="644"/>
      <c r="M181" s="644"/>
      <c r="N181" s="644"/>
      <c r="O181" s="644"/>
      <c r="P181" s="644"/>
      <c r="Q181" s="23"/>
      <c r="R181" s="323"/>
      <c r="S181" s="325"/>
    </row>
    <row r="182" spans="1:19" x14ac:dyDescent="0.2">
      <c r="A182" s="14"/>
      <c r="B182" s="14"/>
      <c r="C182" s="14"/>
      <c r="D182" s="14"/>
      <c r="E182" s="14"/>
      <c r="F182" s="14"/>
      <c r="G182" s="14"/>
      <c r="H182" s="14"/>
      <c r="I182" s="14"/>
      <c r="J182" s="14"/>
      <c r="K182" s="14"/>
      <c r="L182" s="14"/>
      <c r="M182" s="14"/>
      <c r="N182" s="14"/>
      <c r="O182" s="14"/>
      <c r="P182" s="14"/>
      <c r="Q182" s="14"/>
      <c r="R182" s="14"/>
    </row>
    <row r="183" spans="1:19" x14ac:dyDescent="0.2">
      <c r="A183" s="16" t="s">
        <v>470</v>
      </c>
      <c r="B183" s="14"/>
      <c r="C183" s="14"/>
      <c r="D183" s="14"/>
      <c r="E183" s="14"/>
      <c r="F183" s="14"/>
      <c r="G183" s="14"/>
      <c r="H183" s="14"/>
      <c r="I183" s="14"/>
      <c r="J183" s="14"/>
      <c r="K183" s="14"/>
      <c r="L183" s="14"/>
      <c r="M183" s="14"/>
      <c r="N183" s="14"/>
      <c r="O183" s="14"/>
      <c r="P183" s="14"/>
      <c r="Q183" s="14"/>
      <c r="R183" s="14"/>
    </row>
    <row r="184" spans="1:19" x14ac:dyDescent="0.2">
      <c r="A184" s="14"/>
      <c r="B184" s="14"/>
      <c r="C184" s="14"/>
      <c r="D184" s="14"/>
      <c r="E184" s="14"/>
      <c r="F184" s="14"/>
      <c r="G184" s="14"/>
      <c r="H184" s="14"/>
      <c r="I184" s="14"/>
      <c r="J184" s="14"/>
      <c r="K184" s="14"/>
      <c r="L184" s="14"/>
      <c r="M184" s="14"/>
      <c r="N184" s="14"/>
      <c r="O184" s="14"/>
      <c r="P184" s="14"/>
      <c r="Q184" s="14"/>
    </row>
  </sheetData>
  <mergeCells count="18">
    <mergeCell ref="A56:A79"/>
    <mergeCell ref="A80:A103"/>
    <mergeCell ref="A104:A127"/>
    <mergeCell ref="A128:A151"/>
    <mergeCell ref="A2:P2"/>
    <mergeCell ref="A3:P3"/>
    <mergeCell ref="C6:F6"/>
    <mergeCell ref="G6:J6"/>
    <mergeCell ref="K6:N6"/>
    <mergeCell ref="O6:R6"/>
    <mergeCell ref="A8:A31"/>
    <mergeCell ref="A32:A55"/>
    <mergeCell ref="A4:F4"/>
    <mergeCell ref="A181:P181"/>
    <mergeCell ref="A180:P180"/>
    <mergeCell ref="A152:A175"/>
    <mergeCell ref="A177:P177"/>
    <mergeCell ref="A179:G179"/>
  </mergeCells>
  <hyperlinks>
    <hyperlink ref="A180:P180" r:id="rId1" display="Contact via enquiries@NHSDigital.nhs.uk or 0300 303 5678" xr:uid="{00000000-0004-0000-2A00-000000000000}"/>
    <hyperlink ref="A183" location="Contents!A1" display="Return to Contents" xr:uid="{00000000-0004-0000-2A00-000001000000}"/>
  </hyperlinks>
  <pageMargins left="0.7" right="0.7" top="0.75" bottom="0.75" header="0.3" footer="0.3"/>
  <pageSetup paperSize="9" scale="57" fitToHeight="0" orientation="landscape"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9315-331D-4DAF-AAB4-0822F216AAFA}">
  <dimension ref="A2:K26"/>
  <sheetViews>
    <sheetView showGridLines="0" workbookViewId="0"/>
  </sheetViews>
  <sheetFormatPr defaultColWidth="9.140625" defaultRowHeight="12.75" x14ac:dyDescent="0.2"/>
  <cols>
    <col min="1" max="1" width="28.28515625" style="396" bestFit="1" customWidth="1"/>
    <col min="2" max="3" width="15.7109375" style="396" customWidth="1"/>
    <col min="4" max="16384" width="9.140625" style="396"/>
  </cols>
  <sheetData>
    <row r="2" spans="1:11" ht="57" customHeight="1" x14ac:dyDescent="0.2">
      <c r="A2" s="661" t="s">
        <v>1043</v>
      </c>
      <c r="B2" s="661"/>
      <c r="C2" s="661"/>
      <c r="D2" s="661"/>
      <c r="E2" s="661"/>
      <c r="F2" s="661"/>
      <c r="G2" s="661"/>
      <c r="H2" s="661"/>
      <c r="I2" s="661"/>
      <c r="J2" s="661"/>
      <c r="K2" s="312"/>
    </row>
    <row r="3" spans="1:11" x14ac:dyDescent="0.2">
      <c r="A3" s="632" t="s">
        <v>590</v>
      </c>
      <c r="B3" s="632"/>
      <c r="C3" s="632"/>
      <c r="D3" s="632"/>
      <c r="E3" s="632"/>
      <c r="F3" s="632"/>
      <c r="G3" s="632"/>
      <c r="H3" s="409"/>
    </row>
    <row r="4" spans="1:11" x14ac:dyDescent="0.2">
      <c r="A4" s="558" t="s">
        <v>1049</v>
      </c>
      <c r="B4" s="558"/>
      <c r="C4" s="558"/>
      <c r="D4" s="558"/>
      <c r="E4" s="558"/>
      <c r="F4" s="558"/>
      <c r="G4" s="482"/>
      <c r="H4" s="409"/>
    </row>
    <row r="5" spans="1:11" ht="13.5" thickBot="1" x14ac:dyDescent="0.25"/>
    <row r="6" spans="1:11" ht="30.75" customHeight="1" thickBot="1" x14ac:dyDescent="0.25">
      <c r="A6" s="404" t="s">
        <v>939</v>
      </c>
      <c r="B6" s="405" t="s">
        <v>621</v>
      </c>
      <c r="C6" s="416" t="s">
        <v>956</v>
      </c>
    </row>
    <row r="7" spans="1:11" ht="15" customHeight="1" x14ac:dyDescent="0.2">
      <c r="A7" s="403" t="s">
        <v>919</v>
      </c>
      <c r="B7" s="413">
        <v>2974424</v>
      </c>
      <c r="C7" s="413">
        <v>3114379</v>
      </c>
      <c r="E7" s="402"/>
    </row>
    <row r="8" spans="1:11" ht="15" customHeight="1" x14ac:dyDescent="0.2">
      <c r="A8" s="401" t="s">
        <v>915</v>
      </c>
      <c r="B8" s="414">
        <v>2698740</v>
      </c>
      <c r="C8" s="414">
        <v>2832532</v>
      </c>
    </row>
    <row r="9" spans="1:11" ht="15" customHeight="1" x14ac:dyDescent="0.2">
      <c r="A9" s="401" t="s">
        <v>916</v>
      </c>
      <c r="B9" s="414">
        <v>2412949</v>
      </c>
      <c r="C9" s="414">
        <v>2529652</v>
      </c>
    </row>
    <row r="10" spans="1:11" ht="15" customHeight="1" x14ac:dyDescent="0.2">
      <c r="A10" s="401" t="s">
        <v>917</v>
      </c>
      <c r="B10" s="414">
        <v>2210350</v>
      </c>
      <c r="C10" s="414">
        <v>2321724</v>
      </c>
    </row>
    <row r="11" spans="1:11" ht="15" customHeight="1" x14ac:dyDescent="0.2">
      <c r="A11" s="401" t="s">
        <v>918</v>
      </c>
      <c r="B11" s="414">
        <v>2002279</v>
      </c>
      <c r="C11" s="414">
        <v>2117568</v>
      </c>
    </row>
    <row r="12" spans="1:11" ht="15" customHeight="1" x14ac:dyDescent="0.2">
      <c r="A12" s="401" t="s">
        <v>914</v>
      </c>
      <c r="B12" s="414">
        <v>1877730</v>
      </c>
      <c r="C12" s="414">
        <v>1982082</v>
      </c>
    </row>
    <row r="13" spans="1:11" ht="15" customHeight="1" x14ac:dyDescent="0.2">
      <c r="A13" s="401" t="s">
        <v>913</v>
      </c>
      <c r="B13" s="414">
        <v>1738447</v>
      </c>
      <c r="C13" s="414">
        <v>1842463</v>
      </c>
    </row>
    <row r="14" spans="1:11" ht="15" customHeight="1" x14ac:dyDescent="0.2">
      <c r="A14" s="401" t="s">
        <v>912</v>
      </c>
      <c r="B14" s="414">
        <v>1626090</v>
      </c>
      <c r="C14" s="414">
        <v>1728824</v>
      </c>
    </row>
    <row r="15" spans="1:11" ht="15" customHeight="1" x14ac:dyDescent="0.2">
      <c r="A15" s="401" t="s">
        <v>911</v>
      </c>
      <c r="B15" s="414">
        <v>1583744</v>
      </c>
      <c r="C15" s="414">
        <v>1677242</v>
      </c>
    </row>
    <row r="16" spans="1:11" ht="15" customHeight="1" x14ac:dyDescent="0.2">
      <c r="A16" s="401" t="s">
        <v>910</v>
      </c>
      <c r="B16" s="414">
        <v>1435038</v>
      </c>
      <c r="C16" s="414">
        <v>1517717</v>
      </c>
    </row>
    <row r="17" spans="1:7" ht="15" customHeight="1" thickBot="1" x14ac:dyDescent="0.25">
      <c r="A17" s="400" t="s">
        <v>909</v>
      </c>
      <c r="B17" s="415">
        <v>451914</v>
      </c>
      <c r="C17" s="415">
        <v>455702</v>
      </c>
    </row>
    <row r="18" spans="1:7" ht="13.5" thickBot="1" x14ac:dyDescent="0.25">
      <c r="A18" s="399" t="s">
        <v>48</v>
      </c>
      <c r="B18" s="412">
        <f>SUM(B7:B17)</f>
        <v>21011705</v>
      </c>
      <c r="C18" s="412">
        <v>22119885</v>
      </c>
    </row>
    <row r="20" spans="1:7" ht="13.5" thickBot="1" x14ac:dyDescent="0.25">
      <c r="A20" s="662" t="s">
        <v>10</v>
      </c>
      <c r="B20" s="660"/>
      <c r="C20" s="660"/>
      <c r="D20" s="660"/>
      <c r="E20" s="660"/>
      <c r="F20" s="660"/>
      <c r="G20" s="397"/>
    </row>
    <row r="21" spans="1:7" ht="12.75" customHeight="1" x14ac:dyDescent="0.2">
      <c r="A21" s="445" t="s">
        <v>1035</v>
      </c>
      <c r="B21" s="445"/>
      <c r="C21" s="445"/>
      <c r="D21" s="445"/>
      <c r="E21" s="445"/>
      <c r="F21" s="445"/>
      <c r="G21" s="397"/>
    </row>
    <row r="22" spans="1:7" x14ac:dyDescent="0.2">
      <c r="A22" s="547" t="s">
        <v>587</v>
      </c>
      <c r="B22" s="547"/>
      <c r="C22" s="547"/>
      <c r="D22" s="547"/>
      <c r="E22" s="547"/>
      <c r="F22" s="547"/>
      <c r="G22" s="547"/>
    </row>
    <row r="23" spans="1:7" x14ac:dyDescent="0.2">
      <c r="A23" s="657" t="s">
        <v>441</v>
      </c>
      <c r="B23" s="658"/>
      <c r="C23" s="658"/>
      <c r="D23" s="658"/>
      <c r="E23" s="658"/>
      <c r="F23" s="658"/>
      <c r="G23" s="397"/>
    </row>
    <row r="24" spans="1:7" ht="13.5" thickBot="1" x14ac:dyDescent="0.25">
      <c r="A24" s="659" t="s">
        <v>945</v>
      </c>
      <c r="B24" s="660"/>
      <c r="C24" s="660"/>
      <c r="D24" s="660"/>
      <c r="E24" s="660"/>
      <c r="F24" s="660"/>
      <c r="G24" s="397"/>
    </row>
    <row r="25" spans="1:7" x14ac:dyDescent="0.2">
      <c r="A25" s="397"/>
      <c r="B25" s="397"/>
      <c r="C25" s="397"/>
      <c r="D25" s="397"/>
      <c r="E25" s="397"/>
      <c r="F25" s="397"/>
      <c r="G25" s="397"/>
    </row>
    <row r="26" spans="1:7" x14ac:dyDescent="0.2">
      <c r="A26" s="398" t="s">
        <v>470</v>
      </c>
      <c r="B26" s="397"/>
      <c r="C26" s="397"/>
      <c r="D26" s="397"/>
      <c r="E26" s="397"/>
      <c r="F26" s="397"/>
      <c r="G26" s="397"/>
    </row>
  </sheetData>
  <sortState xmlns:xlrd2="http://schemas.microsoft.com/office/spreadsheetml/2017/richdata2" ref="A7:C16">
    <sortCondition descending="1" ref="C7:C16"/>
  </sortState>
  <mergeCells count="7">
    <mergeCell ref="A23:F23"/>
    <mergeCell ref="A24:F24"/>
    <mergeCell ref="A2:J2"/>
    <mergeCell ref="A20:F20"/>
    <mergeCell ref="A22:G22"/>
    <mergeCell ref="A3:G3"/>
    <mergeCell ref="A4:F4"/>
  </mergeCells>
  <hyperlinks>
    <hyperlink ref="A23:F23" r:id="rId1" display="Contact via enquiries@NHSDigital.nhs.uk or 0300 303 5678" xr:uid="{EC41AB6E-E292-4DAC-8CC1-2A2BDB44EF8B}"/>
    <hyperlink ref="A26" location="Contents!A1" display="Return to Contents" xr:uid="{C6673258-6E4A-4C42-AD15-02A6D424F81B}"/>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2BE5-3EE4-4CA5-99B8-AC53A292FA2B}">
  <dimension ref="A2:K33"/>
  <sheetViews>
    <sheetView showGridLines="0" workbookViewId="0"/>
  </sheetViews>
  <sheetFormatPr defaultColWidth="9.140625" defaultRowHeight="12.75" x14ac:dyDescent="0.2"/>
  <cols>
    <col min="1" max="1" width="31.5703125" style="396" bestFit="1" customWidth="1"/>
    <col min="2" max="3" width="15.7109375" style="396" customWidth="1"/>
    <col min="4" max="16384" width="9.140625" style="396"/>
  </cols>
  <sheetData>
    <row r="2" spans="1:11" ht="23.25" x14ac:dyDescent="0.2">
      <c r="A2" s="663" t="s">
        <v>1044</v>
      </c>
      <c r="B2" s="663"/>
      <c r="C2" s="663"/>
      <c r="D2" s="663"/>
      <c r="E2" s="663"/>
      <c r="F2" s="663"/>
      <c r="G2" s="663"/>
      <c r="H2" s="663"/>
      <c r="I2" s="663"/>
      <c r="J2" s="663"/>
      <c r="K2" s="663"/>
    </row>
    <row r="3" spans="1:11" x14ac:dyDescent="0.2">
      <c r="A3" s="632" t="s">
        <v>590</v>
      </c>
      <c r="B3" s="632"/>
      <c r="C3" s="632"/>
      <c r="D3" s="632"/>
      <c r="E3" s="632"/>
      <c r="F3" s="632"/>
      <c r="G3" s="632"/>
    </row>
    <row r="4" spans="1:11" x14ac:dyDescent="0.2">
      <c r="A4" s="558" t="s">
        <v>1049</v>
      </c>
      <c r="B4" s="558"/>
      <c r="C4" s="558"/>
      <c r="D4" s="558"/>
      <c r="E4" s="558"/>
      <c r="F4" s="558"/>
      <c r="G4" s="482"/>
    </row>
    <row r="5" spans="1:11" ht="13.5" thickBot="1" x14ac:dyDescent="0.25"/>
    <row r="6" spans="1:11" ht="30" customHeight="1" thickBot="1" x14ac:dyDescent="0.25">
      <c r="A6" s="404" t="s">
        <v>944</v>
      </c>
      <c r="B6" s="406" t="s">
        <v>621</v>
      </c>
      <c r="C6" s="405" t="s">
        <v>956</v>
      </c>
    </row>
    <row r="7" spans="1:11" ht="15" customHeight="1" x14ac:dyDescent="0.2">
      <c r="A7" s="403" t="s">
        <v>936</v>
      </c>
      <c r="B7" s="413">
        <v>13357378</v>
      </c>
      <c r="C7" s="413">
        <v>13984105</v>
      </c>
    </row>
    <row r="8" spans="1:11" ht="15" customHeight="1" x14ac:dyDescent="0.2">
      <c r="A8" s="401" t="s">
        <v>935</v>
      </c>
      <c r="B8" s="414">
        <v>125752</v>
      </c>
      <c r="C8" s="414">
        <v>127433</v>
      </c>
    </row>
    <row r="9" spans="1:11" ht="15" customHeight="1" x14ac:dyDescent="0.2">
      <c r="A9" s="401" t="s">
        <v>934</v>
      </c>
      <c r="B9" s="414">
        <v>1345788</v>
      </c>
      <c r="C9" s="414">
        <v>1452778</v>
      </c>
    </row>
    <row r="10" spans="1:11" ht="15" customHeight="1" x14ac:dyDescent="0.2">
      <c r="A10" s="401" t="s">
        <v>933</v>
      </c>
      <c r="B10" s="414">
        <v>82554</v>
      </c>
      <c r="C10" s="414">
        <v>88377</v>
      </c>
    </row>
    <row r="11" spans="1:11" ht="15" customHeight="1" x14ac:dyDescent="0.2">
      <c r="A11" s="401" t="s">
        <v>932</v>
      </c>
      <c r="B11" s="414">
        <v>41900</v>
      </c>
      <c r="C11" s="414">
        <v>45748</v>
      </c>
    </row>
    <row r="12" spans="1:11" ht="15" customHeight="1" x14ac:dyDescent="0.2">
      <c r="A12" s="401" t="s">
        <v>931</v>
      </c>
      <c r="B12" s="414">
        <v>55734</v>
      </c>
      <c r="C12" s="414">
        <v>60736</v>
      </c>
    </row>
    <row r="13" spans="1:11" ht="15" customHeight="1" x14ac:dyDescent="0.2">
      <c r="A13" s="401" t="s">
        <v>930</v>
      </c>
      <c r="B13" s="414">
        <v>196255</v>
      </c>
      <c r="C13" s="414">
        <v>210603</v>
      </c>
    </row>
    <row r="14" spans="1:11" ht="15" customHeight="1" x14ac:dyDescent="0.2">
      <c r="A14" s="401" t="s">
        <v>929</v>
      </c>
      <c r="B14" s="414">
        <v>422782</v>
      </c>
      <c r="C14" s="414">
        <v>453854</v>
      </c>
    </row>
    <row r="15" spans="1:11" ht="15" customHeight="1" x14ac:dyDescent="0.2">
      <c r="A15" s="401" t="s">
        <v>928</v>
      </c>
      <c r="B15" s="414">
        <v>473974</v>
      </c>
      <c r="C15" s="414">
        <v>501654</v>
      </c>
    </row>
    <row r="16" spans="1:11" ht="15" customHeight="1" x14ac:dyDescent="0.2">
      <c r="A16" s="401" t="s">
        <v>927</v>
      </c>
      <c r="B16" s="414">
        <v>153957</v>
      </c>
      <c r="C16" s="414">
        <v>166300</v>
      </c>
    </row>
    <row r="17" spans="1:7" ht="15" customHeight="1" x14ac:dyDescent="0.2">
      <c r="A17" s="401" t="s">
        <v>926</v>
      </c>
      <c r="B17" s="414">
        <v>371587</v>
      </c>
      <c r="C17" s="414">
        <v>401359</v>
      </c>
    </row>
    <row r="18" spans="1:7" ht="15" customHeight="1" x14ac:dyDescent="0.2">
      <c r="A18" s="401" t="s">
        <v>925</v>
      </c>
      <c r="B18" s="414">
        <v>207200</v>
      </c>
      <c r="C18" s="414">
        <v>216846</v>
      </c>
    </row>
    <row r="19" spans="1:7" ht="15" customHeight="1" x14ac:dyDescent="0.2">
      <c r="A19" s="401" t="s">
        <v>924</v>
      </c>
      <c r="B19" s="414">
        <v>379116</v>
      </c>
      <c r="C19" s="414">
        <v>400173</v>
      </c>
    </row>
    <row r="20" spans="1:7" ht="15" customHeight="1" x14ac:dyDescent="0.2">
      <c r="A20" s="401" t="s">
        <v>923</v>
      </c>
      <c r="B20" s="414">
        <v>198216</v>
      </c>
      <c r="C20" s="414">
        <v>215641</v>
      </c>
    </row>
    <row r="21" spans="1:7" ht="15" customHeight="1" x14ac:dyDescent="0.2">
      <c r="A21" s="401" t="s">
        <v>922</v>
      </c>
      <c r="B21" s="414">
        <v>70068</v>
      </c>
      <c r="C21" s="414">
        <v>72579</v>
      </c>
    </row>
    <row r="22" spans="1:7" ht="15" customHeight="1" x14ac:dyDescent="0.2">
      <c r="A22" s="401" t="s">
        <v>921</v>
      </c>
      <c r="B22" s="414">
        <v>628264</v>
      </c>
      <c r="C22" s="414">
        <v>664048</v>
      </c>
    </row>
    <row r="23" spans="1:7" ht="15" customHeight="1" x14ac:dyDescent="0.2">
      <c r="A23" s="401" t="s">
        <v>920</v>
      </c>
      <c r="B23" s="414">
        <v>1771792</v>
      </c>
      <c r="C23" s="414">
        <v>1720447</v>
      </c>
    </row>
    <row r="24" spans="1:7" ht="15" customHeight="1" thickBot="1" x14ac:dyDescent="0.25">
      <c r="A24" s="400" t="s">
        <v>909</v>
      </c>
      <c r="B24" s="415">
        <v>1129388</v>
      </c>
      <c r="C24" s="415">
        <v>1337204</v>
      </c>
    </row>
    <row r="25" spans="1:7" ht="15" customHeight="1" thickBot="1" x14ac:dyDescent="0.25">
      <c r="A25" s="399" t="s">
        <v>48</v>
      </c>
      <c r="B25" s="412">
        <f>SUM(B7:B24)</f>
        <v>21011705</v>
      </c>
      <c r="C25" s="412">
        <v>22119885</v>
      </c>
    </row>
    <row r="27" spans="1:7" ht="13.5" thickBot="1" x14ac:dyDescent="0.25">
      <c r="A27" s="662" t="s">
        <v>10</v>
      </c>
      <c r="B27" s="660"/>
      <c r="C27" s="660"/>
      <c r="D27" s="660"/>
      <c r="E27" s="660"/>
      <c r="F27" s="660"/>
      <c r="G27" s="397"/>
    </row>
    <row r="28" spans="1:7" ht="12.75" customHeight="1" x14ac:dyDescent="0.2">
      <c r="A28" s="445" t="s">
        <v>1035</v>
      </c>
      <c r="B28" s="445"/>
      <c r="C28" s="445"/>
      <c r="D28" s="445"/>
      <c r="E28" s="445"/>
      <c r="F28" s="445"/>
      <c r="G28" s="397"/>
    </row>
    <row r="29" spans="1:7" x14ac:dyDescent="0.2">
      <c r="A29" s="664" t="s">
        <v>587</v>
      </c>
      <c r="B29" s="664"/>
      <c r="C29" s="664"/>
      <c r="D29" s="664"/>
      <c r="E29" s="664"/>
      <c r="F29" s="664"/>
      <c r="G29" s="664"/>
    </row>
    <row r="30" spans="1:7" x14ac:dyDescent="0.2">
      <c r="A30" s="657" t="s">
        <v>441</v>
      </c>
      <c r="B30" s="658"/>
      <c r="C30" s="658"/>
      <c r="D30" s="658"/>
      <c r="E30" s="658"/>
      <c r="F30" s="658"/>
      <c r="G30" s="397"/>
    </row>
    <row r="31" spans="1:7" ht="13.5" thickBot="1" x14ac:dyDescent="0.25">
      <c r="A31" s="659" t="s">
        <v>945</v>
      </c>
      <c r="B31" s="660"/>
      <c r="C31" s="660"/>
      <c r="D31" s="660"/>
      <c r="E31" s="660"/>
      <c r="F31" s="660"/>
      <c r="G31" s="397"/>
    </row>
    <row r="32" spans="1:7" x14ac:dyDescent="0.2">
      <c r="A32" s="397"/>
      <c r="B32" s="397"/>
      <c r="C32" s="397"/>
      <c r="D32" s="397"/>
      <c r="E32" s="397"/>
      <c r="F32" s="397"/>
      <c r="G32" s="397"/>
    </row>
    <row r="33" spans="1:7" x14ac:dyDescent="0.2">
      <c r="A33" s="398" t="s">
        <v>470</v>
      </c>
      <c r="B33" s="397"/>
      <c r="C33" s="397"/>
      <c r="D33" s="397"/>
      <c r="E33" s="397"/>
      <c r="F33" s="397"/>
      <c r="G33" s="397"/>
    </row>
  </sheetData>
  <mergeCells count="7">
    <mergeCell ref="A31:F31"/>
    <mergeCell ref="A2:K2"/>
    <mergeCell ref="A27:F27"/>
    <mergeCell ref="A29:G29"/>
    <mergeCell ref="A30:F30"/>
    <mergeCell ref="A3:G3"/>
    <mergeCell ref="A4:F4"/>
  </mergeCells>
  <hyperlinks>
    <hyperlink ref="A30:F30" r:id="rId1" display="Contact via enquiries@NHSDigital.nhs.uk or 0300 303 5678" xr:uid="{64B7377D-159C-4575-A0D6-1E002BCCFF0F}"/>
    <hyperlink ref="A33" location="Contents!A1" display="Return to Contents" xr:uid="{D3B845AD-E99E-40EA-B4FE-782663C90FDB}"/>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A232"/>
  <sheetViews>
    <sheetView showGridLines="0" zoomScaleNormal="100" workbookViewId="0"/>
  </sheetViews>
  <sheetFormatPr defaultColWidth="9.140625" defaultRowHeight="12.75" x14ac:dyDescent="0.2"/>
  <cols>
    <col min="1" max="1" width="13.7109375" style="15" customWidth="1"/>
    <col min="2" max="2" width="46.28515625" style="15" bestFit="1" customWidth="1"/>
    <col min="3" max="5" width="16.7109375" style="15" customWidth="1"/>
    <col min="6" max="6" width="50.7109375" style="15" customWidth="1"/>
    <col min="7" max="50" width="16.7109375" style="15" customWidth="1"/>
    <col min="51" max="53" width="9.28515625" style="15"/>
    <col min="54" max="16384" width="9.140625" style="15"/>
  </cols>
  <sheetData>
    <row r="1" spans="1:53" ht="15" customHeight="1" x14ac:dyDescent="0.2">
      <c r="A1" s="93"/>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row>
    <row r="2" spans="1:53" ht="30" customHeight="1" x14ac:dyDescent="0.2">
      <c r="A2" s="661" t="s">
        <v>1045</v>
      </c>
      <c r="B2" s="661"/>
      <c r="C2" s="661"/>
      <c r="D2" s="661"/>
      <c r="E2" s="661"/>
      <c r="F2" s="661"/>
      <c r="G2" s="661"/>
      <c r="H2" s="661"/>
      <c r="I2" s="95"/>
      <c r="J2" s="95"/>
      <c r="K2" s="95"/>
      <c r="L2" s="95"/>
      <c r="M2" s="96"/>
      <c r="N2" s="96"/>
      <c r="O2" s="96"/>
      <c r="P2" s="96"/>
      <c r="Q2" s="96"/>
      <c r="R2" s="96"/>
      <c r="S2" s="96"/>
      <c r="T2" s="96"/>
      <c r="U2" s="96"/>
      <c r="V2" s="96"/>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3"/>
      <c r="AZ2" s="93"/>
      <c r="BA2" s="93"/>
    </row>
    <row r="3" spans="1:53" ht="52.5" customHeight="1" x14ac:dyDescent="0.2">
      <c r="A3" s="665" t="s">
        <v>1321</v>
      </c>
      <c r="B3" s="666"/>
      <c r="C3" s="666"/>
      <c r="D3" s="666"/>
      <c r="E3" s="666"/>
      <c r="F3" s="666"/>
      <c r="G3" s="666"/>
      <c r="H3" s="666"/>
      <c r="I3" s="95"/>
      <c r="J3" s="95"/>
      <c r="K3" s="95"/>
      <c r="L3" s="95"/>
      <c r="M3" s="96"/>
      <c r="N3" s="96"/>
      <c r="O3" s="96"/>
      <c r="P3" s="96"/>
      <c r="Q3" s="96"/>
      <c r="R3" s="96"/>
      <c r="S3" s="96"/>
      <c r="T3" s="96"/>
      <c r="U3" s="96"/>
      <c r="V3" s="96"/>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3"/>
      <c r="AZ3" s="93"/>
      <c r="BA3" s="93"/>
    </row>
    <row r="4" spans="1:53" ht="15" customHeight="1" thickBot="1" x14ac:dyDescent="0.25">
      <c r="A4" s="97"/>
      <c r="B4" s="351"/>
      <c r="C4" s="351"/>
      <c r="D4" s="351"/>
      <c r="E4" s="351"/>
      <c r="F4" s="351"/>
      <c r="G4" s="351"/>
      <c r="H4" s="351"/>
      <c r="I4" s="95"/>
      <c r="J4" s="95"/>
      <c r="K4" s="95"/>
      <c r="L4" s="95"/>
      <c r="M4" s="96"/>
      <c r="N4" s="96"/>
      <c r="O4" s="96"/>
      <c r="P4" s="96"/>
      <c r="Q4" s="96"/>
      <c r="R4" s="96"/>
      <c r="S4" s="96"/>
      <c r="T4" s="96"/>
      <c r="U4" s="96"/>
      <c r="V4" s="96"/>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3"/>
      <c r="AZ4" s="93"/>
      <c r="BA4" s="93"/>
    </row>
    <row r="5" spans="1:53" ht="69.75" customHeight="1" x14ac:dyDescent="0.2">
      <c r="A5" s="280"/>
      <c r="B5" s="295"/>
      <c r="C5" s="667" t="s">
        <v>531</v>
      </c>
      <c r="D5" s="668"/>
      <c r="E5" s="668"/>
      <c r="F5" s="669"/>
      <c r="G5" s="667" t="s">
        <v>532</v>
      </c>
      <c r="H5" s="668"/>
      <c r="I5" s="668"/>
      <c r="J5" s="669"/>
      <c r="K5" s="667" t="s">
        <v>533</v>
      </c>
      <c r="L5" s="668"/>
      <c r="M5" s="669"/>
      <c r="N5" s="667" t="s">
        <v>534</v>
      </c>
      <c r="O5" s="668"/>
      <c r="P5" s="669"/>
      <c r="Q5" s="667" t="s">
        <v>535</v>
      </c>
      <c r="R5" s="668"/>
      <c r="S5" s="669"/>
      <c r="T5" s="305" t="s">
        <v>536</v>
      </c>
      <c r="U5" s="667" t="s">
        <v>537</v>
      </c>
      <c r="V5" s="668"/>
      <c r="W5" s="668"/>
      <c r="X5" s="668"/>
      <c r="Y5" s="669"/>
      <c r="Z5" s="667" t="s">
        <v>538</v>
      </c>
      <c r="AA5" s="668"/>
      <c r="AB5" s="669"/>
      <c r="AC5" s="667" t="s">
        <v>539</v>
      </c>
      <c r="AD5" s="668"/>
      <c r="AE5" s="668"/>
      <c r="AF5" s="668"/>
      <c r="AG5" s="669"/>
      <c r="AH5" s="667" t="s">
        <v>540</v>
      </c>
      <c r="AI5" s="668"/>
      <c r="AJ5" s="669"/>
      <c r="AK5" s="667" t="s">
        <v>541</v>
      </c>
      <c r="AL5" s="668"/>
      <c r="AM5" s="669"/>
      <c r="AN5" s="667" t="s">
        <v>542</v>
      </c>
      <c r="AO5" s="668"/>
      <c r="AP5" s="669"/>
      <c r="AQ5" s="667" t="s">
        <v>543</v>
      </c>
      <c r="AR5" s="668"/>
      <c r="AS5" s="668"/>
      <c r="AT5" s="668"/>
      <c r="AU5" s="669"/>
      <c r="AV5" s="667" t="s">
        <v>544</v>
      </c>
      <c r="AW5" s="668"/>
      <c r="AX5" s="672"/>
      <c r="AY5" s="94"/>
      <c r="AZ5" s="94"/>
      <c r="BA5" s="94"/>
    </row>
    <row r="6" spans="1:53" ht="218.25" customHeight="1" thickBot="1" x14ac:dyDescent="0.25">
      <c r="A6" s="287" t="s">
        <v>545</v>
      </c>
      <c r="B6" s="297" t="s">
        <v>546</v>
      </c>
      <c r="C6" s="344" t="s">
        <v>547</v>
      </c>
      <c r="D6" s="290" t="s">
        <v>580</v>
      </c>
      <c r="E6" s="290" t="s">
        <v>581</v>
      </c>
      <c r="F6" s="299" t="s">
        <v>582</v>
      </c>
      <c r="G6" s="344" t="s">
        <v>548</v>
      </c>
      <c r="H6" s="290" t="s">
        <v>549</v>
      </c>
      <c r="I6" s="290" t="s">
        <v>550</v>
      </c>
      <c r="J6" s="299" t="s">
        <v>551</v>
      </c>
      <c r="K6" s="344" t="s">
        <v>552</v>
      </c>
      <c r="L6" s="290" t="s">
        <v>553</v>
      </c>
      <c r="M6" s="299" t="s">
        <v>554</v>
      </c>
      <c r="N6" s="344" t="s">
        <v>555</v>
      </c>
      <c r="O6" s="290" t="s">
        <v>556</v>
      </c>
      <c r="P6" s="299" t="s">
        <v>557</v>
      </c>
      <c r="Q6" s="344" t="s">
        <v>548</v>
      </c>
      <c r="R6" s="290" t="s">
        <v>558</v>
      </c>
      <c r="S6" s="299" t="s">
        <v>559</v>
      </c>
      <c r="T6" s="345" t="s">
        <v>560</v>
      </c>
      <c r="U6" s="344" t="s">
        <v>561</v>
      </c>
      <c r="V6" s="290" t="s">
        <v>562</v>
      </c>
      <c r="W6" s="290" t="s">
        <v>563</v>
      </c>
      <c r="X6" s="290" t="s">
        <v>564</v>
      </c>
      <c r="Y6" s="299" t="s">
        <v>565</v>
      </c>
      <c r="Z6" s="344" t="s">
        <v>566</v>
      </c>
      <c r="AA6" s="290" t="s">
        <v>567</v>
      </c>
      <c r="AB6" s="299" t="s">
        <v>568</v>
      </c>
      <c r="AC6" s="344" t="s">
        <v>569</v>
      </c>
      <c r="AD6" s="290" t="s">
        <v>570</v>
      </c>
      <c r="AE6" s="290" t="s">
        <v>571</v>
      </c>
      <c r="AF6" s="290" t="s">
        <v>572</v>
      </c>
      <c r="AG6" s="299" t="s">
        <v>573</v>
      </c>
      <c r="AH6" s="344" t="s">
        <v>566</v>
      </c>
      <c r="AI6" s="290" t="s">
        <v>567</v>
      </c>
      <c r="AJ6" s="299" t="s">
        <v>574</v>
      </c>
      <c r="AK6" s="344" t="s">
        <v>566</v>
      </c>
      <c r="AL6" s="290" t="s">
        <v>567</v>
      </c>
      <c r="AM6" s="299" t="s">
        <v>574</v>
      </c>
      <c r="AN6" s="344" t="s">
        <v>566</v>
      </c>
      <c r="AO6" s="290" t="s">
        <v>567</v>
      </c>
      <c r="AP6" s="299" t="s">
        <v>574</v>
      </c>
      <c r="AQ6" s="344" t="s">
        <v>548</v>
      </c>
      <c r="AR6" s="290" t="s">
        <v>575</v>
      </c>
      <c r="AS6" s="290" t="s">
        <v>576</v>
      </c>
      <c r="AT6" s="290" t="s">
        <v>577</v>
      </c>
      <c r="AU6" s="299" t="s">
        <v>578</v>
      </c>
      <c r="AV6" s="344" t="s">
        <v>566</v>
      </c>
      <c r="AW6" s="290" t="s">
        <v>567</v>
      </c>
      <c r="AX6" s="346" t="s">
        <v>574</v>
      </c>
      <c r="AY6" s="93"/>
      <c r="AZ6" s="93"/>
      <c r="BA6" s="93"/>
    </row>
    <row r="7" spans="1:53" s="463" customFormat="1" ht="22.5" customHeight="1" x14ac:dyDescent="0.2">
      <c r="A7" s="449" t="s">
        <v>282</v>
      </c>
      <c r="B7" s="450" t="s">
        <v>579</v>
      </c>
      <c r="C7" s="451">
        <v>21353197</v>
      </c>
      <c r="D7" s="452">
        <v>23062874</v>
      </c>
      <c r="E7" s="453">
        <v>0.92586886612657204</v>
      </c>
      <c r="F7" s="454"/>
      <c r="G7" s="451">
        <v>21353197</v>
      </c>
      <c r="H7" s="452">
        <v>1720217</v>
      </c>
      <c r="I7" s="455">
        <v>8.0560161553326182E-2</v>
      </c>
      <c r="J7" s="456">
        <v>2.3891504396273775E-2</v>
      </c>
      <c r="K7" s="451">
        <v>19632980</v>
      </c>
      <c r="L7" s="452">
        <v>420848</v>
      </c>
      <c r="M7" s="456">
        <v>2.1435767774428537E-2</v>
      </c>
      <c r="N7" s="451">
        <v>22119885</v>
      </c>
      <c r="O7" s="452">
        <v>766688</v>
      </c>
      <c r="P7" s="456">
        <v>3.4660578027417413E-2</v>
      </c>
      <c r="Q7" s="451">
        <v>21353197</v>
      </c>
      <c r="R7" s="452">
        <v>1754041</v>
      </c>
      <c r="S7" s="457">
        <v>8.2144186652705911E-2</v>
      </c>
      <c r="T7" s="458">
        <v>3.0580900836535158E-4</v>
      </c>
      <c r="U7" s="451">
        <v>4794207</v>
      </c>
      <c r="V7" s="452">
        <v>374693</v>
      </c>
      <c r="W7" s="453">
        <v>7.8155365423311932E-2</v>
      </c>
      <c r="X7" s="459"/>
      <c r="Y7" s="457">
        <v>7.5714294355667166E-3</v>
      </c>
      <c r="Z7" s="451">
        <v>8</v>
      </c>
      <c r="AA7" s="452">
        <v>99</v>
      </c>
      <c r="AB7" s="460">
        <v>1439</v>
      </c>
      <c r="AC7" s="451">
        <v>19185463</v>
      </c>
      <c r="AD7" s="452">
        <v>1339045</v>
      </c>
      <c r="AE7" s="453">
        <v>6.9794771176489204E-2</v>
      </c>
      <c r="AF7" s="459"/>
      <c r="AG7" s="457">
        <v>2.33463221606901E-3</v>
      </c>
      <c r="AH7" s="451">
        <v>60</v>
      </c>
      <c r="AI7" s="452">
        <v>218</v>
      </c>
      <c r="AJ7" s="460">
        <v>1439</v>
      </c>
      <c r="AK7" s="451">
        <v>235</v>
      </c>
      <c r="AL7" s="452">
        <v>752</v>
      </c>
      <c r="AM7" s="460">
        <v>1439</v>
      </c>
      <c r="AN7" s="451">
        <v>132</v>
      </c>
      <c r="AO7" s="452">
        <v>339</v>
      </c>
      <c r="AP7" s="460">
        <v>1439</v>
      </c>
      <c r="AQ7" s="451">
        <v>21353197</v>
      </c>
      <c r="AR7" s="452">
        <v>138160</v>
      </c>
      <c r="AS7" s="453">
        <v>6.4702255123670711E-3</v>
      </c>
      <c r="AT7" s="459"/>
      <c r="AU7" s="457">
        <v>9.9661891378607145E-4</v>
      </c>
      <c r="AV7" s="451">
        <v>152</v>
      </c>
      <c r="AW7" s="452">
        <v>447</v>
      </c>
      <c r="AX7" s="461">
        <v>1439</v>
      </c>
      <c r="AY7" s="462"/>
      <c r="AZ7" s="462"/>
      <c r="BA7" s="462"/>
    </row>
    <row r="8" spans="1:53" ht="22.5" customHeight="1" x14ac:dyDescent="0.2">
      <c r="A8" s="281" t="s">
        <v>284</v>
      </c>
      <c r="B8" s="296" t="s">
        <v>794</v>
      </c>
      <c r="C8" s="293">
        <v>145550</v>
      </c>
      <c r="D8" s="283">
        <v>134899</v>
      </c>
      <c r="E8" s="284">
        <v>1.08</v>
      </c>
      <c r="F8" s="298" t="s">
        <v>712</v>
      </c>
      <c r="G8" s="293">
        <v>145550</v>
      </c>
      <c r="H8" s="283">
        <v>0</v>
      </c>
      <c r="I8" s="285">
        <v>0</v>
      </c>
      <c r="J8" s="300">
        <v>0.02</v>
      </c>
      <c r="K8" s="293">
        <v>145550</v>
      </c>
      <c r="L8" s="283">
        <v>5665</v>
      </c>
      <c r="M8" s="300">
        <v>0.04</v>
      </c>
      <c r="N8" s="293">
        <v>170825</v>
      </c>
      <c r="O8" s="283">
        <v>25275</v>
      </c>
      <c r="P8" s="300">
        <v>0.15</v>
      </c>
      <c r="Q8" s="293">
        <v>145550</v>
      </c>
      <c r="R8" s="283">
        <v>16335</v>
      </c>
      <c r="S8" s="303">
        <v>0.11</v>
      </c>
      <c r="T8" s="302">
        <v>0</v>
      </c>
      <c r="U8" s="293">
        <v>31970</v>
      </c>
      <c r="V8" s="283">
        <v>175</v>
      </c>
      <c r="W8" s="284">
        <v>0.01</v>
      </c>
      <c r="X8" s="282" t="s">
        <v>1037</v>
      </c>
      <c r="Y8" s="303">
        <v>0</v>
      </c>
      <c r="Z8" s="293">
        <v>0</v>
      </c>
      <c r="AA8" s="283">
        <v>8</v>
      </c>
      <c r="AB8" s="307">
        <v>1120</v>
      </c>
      <c r="AC8" s="293">
        <v>139880</v>
      </c>
      <c r="AD8" s="283">
        <v>9515</v>
      </c>
      <c r="AE8" s="284">
        <v>7.0000000000000007E-2</v>
      </c>
      <c r="AF8" s="282" t="s">
        <v>1037</v>
      </c>
      <c r="AG8" s="303">
        <v>0</v>
      </c>
      <c r="AH8" s="293">
        <v>67</v>
      </c>
      <c r="AI8" s="283">
        <v>227</v>
      </c>
      <c r="AJ8" s="307">
        <v>1439</v>
      </c>
      <c r="AK8" s="293">
        <v>218</v>
      </c>
      <c r="AL8" s="283">
        <v>684</v>
      </c>
      <c r="AM8" s="307">
        <v>1437</v>
      </c>
      <c r="AN8" s="293">
        <v>112</v>
      </c>
      <c r="AO8" s="283">
        <v>311</v>
      </c>
      <c r="AP8" s="307">
        <v>1432</v>
      </c>
      <c r="AQ8" s="293">
        <v>145550</v>
      </c>
      <c r="AR8" s="283">
        <v>0</v>
      </c>
      <c r="AS8" s="284">
        <v>0</v>
      </c>
      <c r="AT8" s="282" t="s">
        <v>1037</v>
      </c>
      <c r="AU8" s="303">
        <v>0</v>
      </c>
      <c r="AV8" s="293">
        <v>139</v>
      </c>
      <c r="AW8" s="283">
        <v>472</v>
      </c>
      <c r="AX8" s="286">
        <v>1437</v>
      </c>
      <c r="AY8" s="93"/>
      <c r="AZ8" s="93"/>
      <c r="BA8" s="93"/>
    </row>
    <row r="9" spans="1:53" ht="22.5" customHeight="1" x14ac:dyDescent="0.2">
      <c r="A9" s="281" t="s">
        <v>285</v>
      </c>
      <c r="B9" s="296" t="s">
        <v>782</v>
      </c>
      <c r="C9" s="293">
        <v>61835</v>
      </c>
      <c r="D9" s="283">
        <v>69460</v>
      </c>
      <c r="E9" s="284">
        <v>0.89</v>
      </c>
      <c r="F9" s="298" t="s">
        <v>721</v>
      </c>
      <c r="G9" s="293">
        <v>61835</v>
      </c>
      <c r="H9" s="283">
        <v>15</v>
      </c>
      <c r="I9" s="285">
        <v>0</v>
      </c>
      <c r="J9" s="300" t="s">
        <v>906</v>
      </c>
      <c r="K9" s="293">
        <v>61820</v>
      </c>
      <c r="L9" s="283">
        <v>10</v>
      </c>
      <c r="M9" s="300">
        <v>0</v>
      </c>
      <c r="N9" s="293">
        <v>61835</v>
      </c>
      <c r="O9" s="283">
        <v>0</v>
      </c>
      <c r="P9" s="300">
        <v>0</v>
      </c>
      <c r="Q9" s="293">
        <v>61835</v>
      </c>
      <c r="R9" s="283">
        <v>3780</v>
      </c>
      <c r="S9" s="303">
        <v>0.06</v>
      </c>
      <c r="T9" s="302">
        <v>0</v>
      </c>
      <c r="U9" s="293">
        <v>17425</v>
      </c>
      <c r="V9" s="283">
        <v>80</v>
      </c>
      <c r="W9" s="284">
        <v>0</v>
      </c>
      <c r="X9" s="282" t="s">
        <v>1037</v>
      </c>
      <c r="Y9" s="303">
        <v>0</v>
      </c>
      <c r="Z9" s="293">
        <v>14</v>
      </c>
      <c r="AA9" s="283">
        <v>52</v>
      </c>
      <c r="AB9" s="307">
        <v>1425</v>
      </c>
      <c r="AC9" s="293">
        <v>61810</v>
      </c>
      <c r="AD9" s="283">
        <v>545</v>
      </c>
      <c r="AE9" s="284">
        <v>0.01</v>
      </c>
      <c r="AF9" s="282" t="s">
        <v>1037</v>
      </c>
      <c r="AG9" s="303">
        <v>0</v>
      </c>
      <c r="AH9" s="293">
        <v>85</v>
      </c>
      <c r="AI9" s="283">
        <v>218</v>
      </c>
      <c r="AJ9" s="307">
        <v>1432</v>
      </c>
      <c r="AK9" s="293">
        <v>221</v>
      </c>
      <c r="AL9" s="283">
        <v>443</v>
      </c>
      <c r="AM9" s="307">
        <v>1168</v>
      </c>
      <c r="AN9" s="293">
        <v>152</v>
      </c>
      <c r="AO9" s="283">
        <v>292</v>
      </c>
      <c r="AP9" s="307">
        <v>1213</v>
      </c>
      <c r="AQ9" s="293">
        <v>61835</v>
      </c>
      <c r="AR9" s="283">
        <v>0</v>
      </c>
      <c r="AS9" s="284">
        <v>0</v>
      </c>
      <c r="AT9" s="282" t="s">
        <v>1037</v>
      </c>
      <c r="AU9" s="303">
        <v>0</v>
      </c>
      <c r="AV9" s="293">
        <v>167</v>
      </c>
      <c r="AW9" s="283">
        <v>342</v>
      </c>
      <c r="AX9" s="286">
        <v>1213</v>
      </c>
      <c r="AY9" s="93"/>
      <c r="AZ9" s="93"/>
      <c r="BA9" s="93"/>
    </row>
    <row r="10" spans="1:53" ht="22.5" customHeight="1" x14ac:dyDescent="0.2">
      <c r="A10" s="281" t="s">
        <v>286</v>
      </c>
      <c r="B10" s="296" t="s">
        <v>775</v>
      </c>
      <c r="C10" s="293">
        <v>61300</v>
      </c>
      <c r="D10" s="283">
        <v>61305</v>
      </c>
      <c r="E10" s="284">
        <v>1</v>
      </c>
      <c r="F10" s="298" t="s">
        <v>712</v>
      </c>
      <c r="G10" s="293">
        <v>61300</v>
      </c>
      <c r="H10" s="283">
        <v>10</v>
      </c>
      <c r="I10" s="285">
        <v>0</v>
      </c>
      <c r="J10" s="300">
        <v>0</v>
      </c>
      <c r="K10" s="293">
        <v>61295</v>
      </c>
      <c r="L10" s="283">
        <v>0</v>
      </c>
      <c r="M10" s="300">
        <v>0</v>
      </c>
      <c r="N10" s="293">
        <v>61300</v>
      </c>
      <c r="O10" s="283">
        <v>0</v>
      </c>
      <c r="P10" s="300">
        <v>0</v>
      </c>
      <c r="Q10" s="293">
        <v>61300</v>
      </c>
      <c r="R10" s="283">
        <v>5290</v>
      </c>
      <c r="S10" s="303">
        <v>0.09</v>
      </c>
      <c r="T10" s="302">
        <v>0</v>
      </c>
      <c r="U10" s="293">
        <v>5650</v>
      </c>
      <c r="V10" s="283">
        <v>75</v>
      </c>
      <c r="W10" s="284">
        <v>0.01</v>
      </c>
      <c r="X10" s="282" t="s">
        <v>1037</v>
      </c>
      <c r="Y10" s="303">
        <v>0</v>
      </c>
      <c r="Z10" s="293">
        <v>10</v>
      </c>
      <c r="AA10" s="283">
        <v>59</v>
      </c>
      <c r="AB10" s="307">
        <v>1321</v>
      </c>
      <c r="AC10" s="293">
        <v>61295</v>
      </c>
      <c r="AD10" s="283">
        <v>7160</v>
      </c>
      <c r="AE10" s="284">
        <v>0.12</v>
      </c>
      <c r="AF10" s="282" t="s">
        <v>1037</v>
      </c>
      <c r="AG10" s="303">
        <v>0</v>
      </c>
      <c r="AH10" s="293">
        <v>86</v>
      </c>
      <c r="AI10" s="283">
        <v>209</v>
      </c>
      <c r="AJ10" s="307">
        <v>912</v>
      </c>
      <c r="AK10" s="293" t="s">
        <v>706</v>
      </c>
      <c r="AL10" s="283" t="s">
        <v>706</v>
      </c>
      <c r="AM10" s="307" t="s">
        <v>706</v>
      </c>
      <c r="AN10" s="293">
        <v>148</v>
      </c>
      <c r="AO10" s="283">
        <v>265</v>
      </c>
      <c r="AP10" s="307">
        <v>1108</v>
      </c>
      <c r="AQ10" s="293">
        <v>61300</v>
      </c>
      <c r="AR10" s="283">
        <v>0</v>
      </c>
      <c r="AS10" s="284">
        <v>0</v>
      </c>
      <c r="AT10" s="282" t="s">
        <v>1037</v>
      </c>
      <c r="AU10" s="303">
        <v>0</v>
      </c>
      <c r="AV10" s="293">
        <v>148</v>
      </c>
      <c r="AW10" s="283">
        <v>265</v>
      </c>
      <c r="AX10" s="286">
        <v>1108</v>
      </c>
      <c r="AY10" s="93"/>
      <c r="AZ10" s="93"/>
      <c r="BA10" s="93"/>
    </row>
    <row r="11" spans="1:53" ht="22.5" customHeight="1" x14ac:dyDescent="0.2">
      <c r="A11" s="281" t="s">
        <v>633</v>
      </c>
      <c r="B11" s="296" t="s">
        <v>733</v>
      </c>
      <c r="C11" s="293">
        <v>20</v>
      </c>
      <c r="D11" s="283">
        <v>17</v>
      </c>
      <c r="E11" s="284" t="s">
        <v>1037</v>
      </c>
      <c r="F11" s="298" t="s">
        <v>721</v>
      </c>
      <c r="G11" s="293">
        <v>20</v>
      </c>
      <c r="H11" s="283">
        <v>0</v>
      </c>
      <c r="I11" s="285" t="s">
        <v>1037</v>
      </c>
      <c r="J11" s="300" t="s">
        <v>1037</v>
      </c>
      <c r="K11" s="293">
        <v>20</v>
      </c>
      <c r="L11" s="283">
        <v>0</v>
      </c>
      <c r="M11" s="300" t="s">
        <v>1037</v>
      </c>
      <c r="N11" s="293">
        <v>20</v>
      </c>
      <c r="O11" s="283">
        <v>0</v>
      </c>
      <c r="P11" s="300" t="s">
        <v>1037</v>
      </c>
      <c r="Q11" s="293">
        <v>20</v>
      </c>
      <c r="R11" s="283" t="s">
        <v>906</v>
      </c>
      <c r="S11" s="303" t="s">
        <v>1037</v>
      </c>
      <c r="T11" s="302" t="s">
        <v>1037</v>
      </c>
      <c r="U11" s="293" t="s">
        <v>706</v>
      </c>
      <c r="V11" s="283" t="s">
        <v>706</v>
      </c>
      <c r="W11" s="284" t="s">
        <v>706</v>
      </c>
      <c r="X11" s="282" t="s">
        <v>1037</v>
      </c>
      <c r="Y11" s="303" t="s">
        <v>706</v>
      </c>
      <c r="Z11" s="293" t="s">
        <v>706</v>
      </c>
      <c r="AA11" s="283" t="s">
        <v>706</v>
      </c>
      <c r="AB11" s="307" t="s">
        <v>706</v>
      </c>
      <c r="AC11" s="293">
        <v>20</v>
      </c>
      <c r="AD11" s="283">
        <v>0</v>
      </c>
      <c r="AE11" s="284" t="s">
        <v>1037</v>
      </c>
      <c r="AF11" s="282" t="s">
        <v>1037</v>
      </c>
      <c r="AG11" s="303" t="s">
        <v>1037</v>
      </c>
      <c r="AH11" s="293">
        <v>7</v>
      </c>
      <c r="AI11" s="283">
        <v>41</v>
      </c>
      <c r="AJ11" s="307">
        <v>41</v>
      </c>
      <c r="AK11" s="293" t="s">
        <v>706</v>
      </c>
      <c r="AL11" s="283" t="s">
        <v>706</v>
      </c>
      <c r="AM11" s="307" t="s">
        <v>706</v>
      </c>
      <c r="AN11" s="293">
        <v>31</v>
      </c>
      <c r="AO11" s="283">
        <v>93</v>
      </c>
      <c r="AP11" s="307">
        <v>93</v>
      </c>
      <c r="AQ11" s="293">
        <v>20</v>
      </c>
      <c r="AR11" s="283">
        <v>0</v>
      </c>
      <c r="AS11" s="284" t="s">
        <v>1037</v>
      </c>
      <c r="AT11" s="282" t="s">
        <v>1037</v>
      </c>
      <c r="AU11" s="303" t="s">
        <v>1037</v>
      </c>
      <c r="AV11" s="293">
        <v>31</v>
      </c>
      <c r="AW11" s="283">
        <v>93</v>
      </c>
      <c r="AX11" s="286">
        <v>93</v>
      </c>
      <c r="AY11" s="93"/>
      <c r="AZ11" s="93"/>
      <c r="BA11" s="93"/>
    </row>
    <row r="12" spans="1:53" ht="22.5" customHeight="1" x14ac:dyDescent="0.2">
      <c r="A12" s="281" t="s">
        <v>287</v>
      </c>
      <c r="B12" s="296" t="s">
        <v>861</v>
      </c>
      <c r="C12" s="293">
        <v>106030</v>
      </c>
      <c r="D12" s="283">
        <v>105534</v>
      </c>
      <c r="E12" s="284">
        <v>1</v>
      </c>
      <c r="F12" s="298" t="s">
        <v>712</v>
      </c>
      <c r="G12" s="293">
        <v>106030</v>
      </c>
      <c r="H12" s="283">
        <v>48595</v>
      </c>
      <c r="I12" s="285">
        <v>0.46</v>
      </c>
      <c r="J12" s="300">
        <v>0</v>
      </c>
      <c r="K12" s="293">
        <v>57430</v>
      </c>
      <c r="L12" s="283">
        <v>1225</v>
      </c>
      <c r="M12" s="300">
        <v>0.02</v>
      </c>
      <c r="N12" s="293">
        <v>106030</v>
      </c>
      <c r="O12" s="283">
        <v>0</v>
      </c>
      <c r="P12" s="300">
        <v>0</v>
      </c>
      <c r="Q12" s="293">
        <v>106030</v>
      </c>
      <c r="R12" s="283">
        <v>8515</v>
      </c>
      <c r="S12" s="303">
        <v>0.08</v>
      </c>
      <c r="T12" s="302">
        <v>0</v>
      </c>
      <c r="U12" s="293">
        <v>28220</v>
      </c>
      <c r="V12" s="283">
        <v>1765</v>
      </c>
      <c r="W12" s="284">
        <v>0.06</v>
      </c>
      <c r="X12" s="282" t="s">
        <v>1037</v>
      </c>
      <c r="Y12" s="303">
        <v>0</v>
      </c>
      <c r="Z12" s="293">
        <v>11</v>
      </c>
      <c r="AA12" s="283">
        <v>72</v>
      </c>
      <c r="AB12" s="307">
        <v>1439</v>
      </c>
      <c r="AC12" s="293">
        <v>56205</v>
      </c>
      <c r="AD12" s="283">
        <v>5750</v>
      </c>
      <c r="AE12" s="284">
        <v>0.1</v>
      </c>
      <c r="AF12" s="282" t="s">
        <v>1037</v>
      </c>
      <c r="AG12" s="303">
        <v>0</v>
      </c>
      <c r="AH12" s="293">
        <v>63</v>
      </c>
      <c r="AI12" s="283">
        <v>204</v>
      </c>
      <c r="AJ12" s="307">
        <v>721</v>
      </c>
      <c r="AK12" s="293">
        <v>239</v>
      </c>
      <c r="AL12" s="283">
        <v>1033</v>
      </c>
      <c r="AM12" s="307">
        <v>1431</v>
      </c>
      <c r="AN12" s="293">
        <v>140</v>
      </c>
      <c r="AO12" s="283">
        <v>378</v>
      </c>
      <c r="AP12" s="307">
        <v>1434</v>
      </c>
      <c r="AQ12" s="293">
        <v>106030</v>
      </c>
      <c r="AR12" s="283">
        <v>35</v>
      </c>
      <c r="AS12" s="284">
        <v>0</v>
      </c>
      <c r="AT12" s="282" t="s">
        <v>1037</v>
      </c>
      <c r="AU12" s="303">
        <v>0</v>
      </c>
      <c r="AV12" s="293">
        <v>180</v>
      </c>
      <c r="AW12" s="283">
        <v>659</v>
      </c>
      <c r="AX12" s="286">
        <v>1434</v>
      </c>
      <c r="AY12" s="93"/>
      <c r="AZ12" s="93"/>
      <c r="BA12" s="93"/>
    </row>
    <row r="13" spans="1:53" ht="22.5" customHeight="1" x14ac:dyDescent="0.2">
      <c r="A13" s="281" t="s">
        <v>644</v>
      </c>
      <c r="B13" s="296" t="s">
        <v>751</v>
      </c>
      <c r="C13" s="293">
        <v>40320</v>
      </c>
      <c r="D13" s="283">
        <v>44538</v>
      </c>
      <c r="E13" s="284">
        <v>0.91</v>
      </c>
      <c r="F13" s="298" t="s">
        <v>712</v>
      </c>
      <c r="G13" s="293">
        <v>40320</v>
      </c>
      <c r="H13" s="283">
        <v>660</v>
      </c>
      <c r="I13" s="285">
        <v>0.02</v>
      </c>
      <c r="J13" s="300">
        <v>0</v>
      </c>
      <c r="K13" s="293">
        <v>39655</v>
      </c>
      <c r="L13" s="283">
        <v>0</v>
      </c>
      <c r="M13" s="300">
        <v>0</v>
      </c>
      <c r="N13" s="293">
        <v>40320</v>
      </c>
      <c r="O13" s="283">
        <v>0</v>
      </c>
      <c r="P13" s="300">
        <v>0</v>
      </c>
      <c r="Q13" s="293">
        <v>40320</v>
      </c>
      <c r="R13" s="283">
        <v>3360</v>
      </c>
      <c r="S13" s="303">
        <v>0.08</v>
      </c>
      <c r="T13" s="302">
        <v>0</v>
      </c>
      <c r="U13" s="293">
        <v>30</v>
      </c>
      <c r="V13" s="283">
        <v>20</v>
      </c>
      <c r="W13" s="284" t="s">
        <v>1037</v>
      </c>
      <c r="X13" s="282" t="s">
        <v>1037</v>
      </c>
      <c r="Y13" s="303" t="s">
        <v>1037</v>
      </c>
      <c r="Z13" s="293">
        <v>2</v>
      </c>
      <c r="AA13" s="283">
        <v>27</v>
      </c>
      <c r="AB13" s="307">
        <v>27</v>
      </c>
      <c r="AC13" s="293">
        <v>39655</v>
      </c>
      <c r="AD13" s="283">
        <v>15</v>
      </c>
      <c r="AE13" s="284">
        <v>0</v>
      </c>
      <c r="AF13" s="282" t="s">
        <v>1037</v>
      </c>
      <c r="AG13" s="303">
        <v>0</v>
      </c>
      <c r="AH13" s="293">
        <v>29</v>
      </c>
      <c r="AI13" s="283">
        <v>100</v>
      </c>
      <c r="AJ13" s="307">
        <v>1248</v>
      </c>
      <c r="AK13" s="293" t="s">
        <v>706</v>
      </c>
      <c r="AL13" s="283" t="s">
        <v>706</v>
      </c>
      <c r="AM13" s="307" t="s">
        <v>706</v>
      </c>
      <c r="AN13" s="293">
        <v>61</v>
      </c>
      <c r="AO13" s="283">
        <v>139</v>
      </c>
      <c r="AP13" s="307">
        <v>1254</v>
      </c>
      <c r="AQ13" s="293">
        <v>40320</v>
      </c>
      <c r="AR13" s="283">
        <v>0</v>
      </c>
      <c r="AS13" s="284">
        <v>0</v>
      </c>
      <c r="AT13" s="282" t="s">
        <v>1037</v>
      </c>
      <c r="AU13" s="303">
        <v>0</v>
      </c>
      <c r="AV13" s="293">
        <v>61</v>
      </c>
      <c r="AW13" s="283">
        <v>140</v>
      </c>
      <c r="AX13" s="286">
        <v>1254</v>
      </c>
      <c r="AY13" s="93"/>
      <c r="AZ13" s="93"/>
      <c r="BA13" s="93"/>
    </row>
    <row r="14" spans="1:53" ht="22.5" customHeight="1" x14ac:dyDescent="0.2">
      <c r="A14" s="281" t="s">
        <v>288</v>
      </c>
      <c r="B14" s="296" t="s">
        <v>740</v>
      </c>
      <c r="C14" s="293">
        <v>43400</v>
      </c>
      <c r="D14" s="283">
        <v>43079</v>
      </c>
      <c r="E14" s="284">
        <v>1.01</v>
      </c>
      <c r="F14" s="298" t="s">
        <v>712</v>
      </c>
      <c r="G14" s="293">
        <v>43400</v>
      </c>
      <c r="H14" s="283">
        <v>0</v>
      </c>
      <c r="I14" s="285">
        <v>0</v>
      </c>
      <c r="J14" s="300">
        <v>0.16</v>
      </c>
      <c r="K14" s="293">
        <v>43400</v>
      </c>
      <c r="L14" s="283">
        <v>0</v>
      </c>
      <c r="M14" s="300">
        <v>0</v>
      </c>
      <c r="N14" s="293">
        <v>43400</v>
      </c>
      <c r="O14" s="283">
        <v>0</v>
      </c>
      <c r="P14" s="300">
        <v>0</v>
      </c>
      <c r="Q14" s="293">
        <v>43400</v>
      </c>
      <c r="R14" s="283">
        <v>3825</v>
      </c>
      <c r="S14" s="303">
        <v>0.09</v>
      </c>
      <c r="T14" s="302">
        <v>0</v>
      </c>
      <c r="U14" s="293" t="s">
        <v>706</v>
      </c>
      <c r="V14" s="283" t="s">
        <v>706</v>
      </c>
      <c r="W14" s="284" t="s">
        <v>706</v>
      </c>
      <c r="X14" s="282" t="s">
        <v>1037</v>
      </c>
      <c r="Y14" s="303" t="s">
        <v>706</v>
      </c>
      <c r="Z14" s="293" t="s">
        <v>706</v>
      </c>
      <c r="AA14" s="283" t="s">
        <v>706</v>
      </c>
      <c r="AB14" s="307" t="s">
        <v>706</v>
      </c>
      <c r="AC14" s="293">
        <v>43400</v>
      </c>
      <c r="AD14" s="283" t="s">
        <v>906</v>
      </c>
      <c r="AE14" s="284" t="s">
        <v>906</v>
      </c>
      <c r="AF14" s="282" t="s">
        <v>1037</v>
      </c>
      <c r="AG14" s="303">
        <v>0</v>
      </c>
      <c r="AH14" s="293">
        <v>38</v>
      </c>
      <c r="AI14" s="283">
        <v>168</v>
      </c>
      <c r="AJ14" s="307">
        <v>1389</v>
      </c>
      <c r="AK14" s="293">
        <v>74</v>
      </c>
      <c r="AL14" s="283">
        <v>159</v>
      </c>
      <c r="AM14" s="307">
        <v>191</v>
      </c>
      <c r="AN14" s="293">
        <v>55</v>
      </c>
      <c r="AO14" s="283">
        <v>181</v>
      </c>
      <c r="AP14" s="307">
        <v>1418</v>
      </c>
      <c r="AQ14" s="293">
        <v>43400</v>
      </c>
      <c r="AR14" s="283" t="s">
        <v>906</v>
      </c>
      <c r="AS14" s="284" t="s">
        <v>906</v>
      </c>
      <c r="AT14" s="282" t="s">
        <v>1037</v>
      </c>
      <c r="AU14" s="303">
        <v>0</v>
      </c>
      <c r="AV14" s="293">
        <v>55</v>
      </c>
      <c r="AW14" s="283">
        <v>181</v>
      </c>
      <c r="AX14" s="286">
        <v>1418</v>
      </c>
      <c r="AY14" s="93"/>
      <c r="AZ14" s="93"/>
      <c r="BA14" s="93"/>
    </row>
    <row r="15" spans="1:53" ht="22.5" customHeight="1" x14ac:dyDescent="0.2">
      <c r="A15" s="281" t="s">
        <v>289</v>
      </c>
      <c r="B15" s="296" t="s">
        <v>796</v>
      </c>
      <c r="C15" s="293">
        <v>208970</v>
      </c>
      <c r="D15" s="283">
        <v>303592</v>
      </c>
      <c r="E15" s="284">
        <v>0.69</v>
      </c>
      <c r="F15" s="298" t="s">
        <v>735</v>
      </c>
      <c r="G15" s="293">
        <v>208970</v>
      </c>
      <c r="H15" s="283">
        <v>30400</v>
      </c>
      <c r="I15" s="285">
        <v>0.15</v>
      </c>
      <c r="J15" s="300">
        <v>0</v>
      </c>
      <c r="K15" s="293">
        <v>178570</v>
      </c>
      <c r="L15" s="283">
        <v>4010</v>
      </c>
      <c r="M15" s="300">
        <v>0.02</v>
      </c>
      <c r="N15" s="293">
        <v>218090</v>
      </c>
      <c r="O15" s="283">
        <v>9120</v>
      </c>
      <c r="P15" s="300">
        <v>0.04</v>
      </c>
      <c r="Q15" s="293">
        <v>208970</v>
      </c>
      <c r="R15" s="283">
        <v>22490</v>
      </c>
      <c r="S15" s="303">
        <v>0.11</v>
      </c>
      <c r="T15" s="302">
        <v>0</v>
      </c>
      <c r="U15" s="293">
        <v>68560</v>
      </c>
      <c r="V15" s="283">
        <v>31140</v>
      </c>
      <c r="W15" s="284">
        <v>0.45</v>
      </c>
      <c r="X15" s="282" t="s">
        <v>1037</v>
      </c>
      <c r="Y15" s="303">
        <v>0</v>
      </c>
      <c r="Z15" s="293">
        <v>9</v>
      </c>
      <c r="AA15" s="283">
        <v>41</v>
      </c>
      <c r="AB15" s="307">
        <v>1439</v>
      </c>
      <c r="AC15" s="293">
        <v>174565</v>
      </c>
      <c r="AD15" s="283">
        <v>33320</v>
      </c>
      <c r="AE15" s="284">
        <v>0.19</v>
      </c>
      <c r="AF15" s="282" t="s">
        <v>1037</v>
      </c>
      <c r="AG15" s="303">
        <v>0</v>
      </c>
      <c r="AH15" s="293">
        <v>92</v>
      </c>
      <c r="AI15" s="283">
        <v>232</v>
      </c>
      <c r="AJ15" s="307">
        <v>1437</v>
      </c>
      <c r="AK15" s="293">
        <v>289</v>
      </c>
      <c r="AL15" s="283">
        <v>1034</v>
      </c>
      <c r="AM15" s="307">
        <v>1438</v>
      </c>
      <c r="AN15" s="293">
        <v>205</v>
      </c>
      <c r="AO15" s="283">
        <v>581</v>
      </c>
      <c r="AP15" s="307">
        <v>1439</v>
      </c>
      <c r="AQ15" s="293">
        <v>208970</v>
      </c>
      <c r="AR15" s="283">
        <v>0</v>
      </c>
      <c r="AS15" s="284">
        <v>0</v>
      </c>
      <c r="AT15" s="282" t="s">
        <v>1037</v>
      </c>
      <c r="AU15" s="303">
        <v>0</v>
      </c>
      <c r="AV15" s="293">
        <v>212</v>
      </c>
      <c r="AW15" s="283">
        <v>693</v>
      </c>
      <c r="AX15" s="286">
        <v>1439</v>
      </c>
      <c r="AY15" s="93"/>
      <c r="AZ15" s="93"/>
      <c r="BA15" s="93"/>
    </row>
    <row r="16" spans="1:53" ht="22.5" customHeight="1" x14ac:dyDescent="0.2">
      <c r="A16" s="281" t="s">
        <v>290</v>
      </c>
      <c r="B16" s="296" t="s">
        <v>797</v>
      </c>
      <c r="C16" s="293">
        <v>96955</v>
      </c>
      <c r="D16" s="283">
        <v>97129</v>
      </c>
      <c r="E16" s="284">
        <v>1</v>
      </c>
      <c r="F16" s="298" t="s">
        <v>712</v>
      </c>
      <c r="G16" s="293">
        <v>96955</v>
      </c>
      <c r="H16" s="283" t="s">
        <v>906</v>
      </c>
      <c r="I16" s="285" t="s">
        <v>906</v>
      </c>
      <c r="J16" s="300" t="s">
        <v>906</v>
      </c>
      <c r="K16" s="293">
        <v>96950</v>
      </c>
      <c r="L16" s="283">
        <v>3300</v>
      </c>
      <c r="M16" s="300">
        <v>0.03</v>
      </c>
      <c r="N16" s="293">
        <v>97135</v>
      </c>
      <c r="O16" s="283">
        <v>180</v>
      </c>
      <c r="P16" s="300">
        <v>0</v>
      </c>
      <c r="Q16" s="293">
        <v>96955</v>
      </c>
      <c r="R16" s="283">
        <v>7160</v>
      </c>
      <c r="S16" s="303">
        <v>7.0000000000000007E-2</v>
      </c>
      <c r="T16" s="302">
        <v>0</v>
      </c>
      <c r="U16" s="293">
        <v>25285</v>
      </c>
      <c r="V16" s="283">
        <v>105</v>
      </c>
      <c r="W16" s="284">
        <v>0</v>
      </c>
      <c r="X16" s="282" t="s">
        <v>1037</v>
      </c>
      <c r="Y16" s="303">
        <v>0</v>
      </c>
      <c r="Z16" s="293">
        <v>5</v>
      </c>
      <c r="AA16" s="283">
        <v>28</v>
      </c>
      <c r="AB16" s="307">
        <v>1439</v>
      </c>
      <c r="AC16" s="293">
        <v>93650</v>
      </c>
      <c r="AD16" s="283">
        <v>14525</v>
      </c>
      <c r="AE16" s="284">
        <v>0.16</v>
      </c>
      <c r="AF16" s="282" t="s">
        <v>1037</v>
      </c>
      <c r="AG16" s="303">
        <v>0</v>
      </c>
      <c r="AH16" s="293">
        <v>83</v>
      </c>
      <c r="AI16" s="283">
        <v>204</v>
      </c>
      <c r="AJ16" s="307">
        <v>611</v>
      </c>
      <c r="AK16" s="293">
        <v>213</v>
      </c>
      <c r="AL16" s="283">
        <v>344</v>
      </c>
      <c r="AM16" s="307">
        <v>1431</v>
      </c>
      <c r="AN16" s="293">
        <v>145</v>
      </c>
      <c r="AO16" s="283">
        <v>239</v>
      </c>
      <c r="AP16" s="307">
        <v>955</v>
      </c>
      <c r="AQ16" s="293">
        <v>96955</v>
      </c>
      <c r="AR16" s="283" t="s">
        <v>906</v>
      </c>
      <c r="AS16" s="284" t="s">
        <v>906</v>
      </c>
      <c r="AT16" s="282" t="s">
        <v>1037</v>
      </c>
      <c r="AU16" s="303">
        <v>0</v>
      </c>
      <c r="AV16" s="293">
        <v>165</v>
      </c>
      <c r="AW16" s="283">
        <v>261</v>
      </c>
      <c r="AX16" s="286">
        <v>1431</v>
      </c>
      <c r="AY16" s="93"/>
      <c r="AZ16" s="93"/>
      <c r="BA16" s="93"/>
    </row>
    <row r="17" spans="1:53" ht="22.5" customHeight="1" x14ac:dyDescent="0.2">
      <c r="A17" s="281" t="s">
        <v>291</v>
      </c>
      <c r="B17" s="296" t="s">
        <v>756</v>
      </c>
      <c r="C17" s="293">
        <v>455830</v>
      </c>
      <c r="D17" s="283">
        <v>503863</v>
      </c>
      <c r="E17" s="284">
        <v>0.9</v>
      </c>
      <c r="F17" s="298" t="s">
        <v>712</v>
      </c>
      <c r="G17" s="293">
        <v>455830</v>
      </c>
      <c r="H17" s="283">
        <v>10465</v>
      </c>
      <c r="I17" s="285">
        <v>0.02</v>
      </c>
      <c r="J17" s="300">
        <v>0</v>
      </c>
      <c r="K17" s="293">
        <v>445365</v>
      </c>
      <c r="L17" s="283">
        <v>3555</v>
      </c>
      <c r="M17" s="300">
        <v>0.01</v>
      </c>
      <c r="N17" s="293">
        <v>456255</v>
      </c>
      <c r="O17" s="283">
        <v>425</v>
      </c>
      <c r="P17" s="300">
        <v>0</v>
      </c>
      <c r="Q17" s="293">
        <v>455830</v>
      </c>
      <c r="R17" s="283">
        <v>44020</v>
      </c>
      <c r="S17" s="303">
        <v>0.1</v>
      </c>
      <c r="T17" s="302">
        <v>0</v>
      </c>
      <c r="U17" s="293">
        <v>97625</v>
      </c>
      <c r="V17" s="283">
        <v>1260</v>
      </c>
      <c r="W17" s="284">
        <v>0.01</v>
      </c>
      <c r="X17" s="282" t="s">
        <v>1037</v>
      </c>
      <c r="Y17" s="303">
        <v>0</v>
      </c>
      <c r="Z17" s="293">
        <v>12</v>
      </c>
      <c r="AA17" s="283">
        <v>58</v>
      </c>
      <c r="AB17" s="307">
        <v>1439</v>
      </c>
      <c r="AC17" s="293">
        <v>441760</v>
      </c>
      <c r="AD17" s="283">
        <v>67040</v>
      </c>
      <c r="AE17" s="284">
        <v>0.15</v>
      </c>
      <c r="AF17" s="282" t="s">
        <v>1037</v>
      </c>
      <c r="AG17" s="303">
        <v>0</v>
      </c>
      <c r="AH17" s="293">
        <v>56</v>
      </c>
      <c r="AI17" s="283">
        <v>205</v>
      </c>
      <c r="AJ17" s="307">
        <v>1439</v>
      </c>
      <c r="AK17" s="293">
        <v>271</v>
      </c>
      <c r="AL17" s="283">
        <v>787</v>
      </c>
      <c r="AM17" s="307">
        <v>1434</v>
      </c>
      <c r="AN17" s="293">
        <v>176</v>
      </c>
      <c r="AO17" s="283">
        <v>375</v>
      </c>
      <c r="AP17" s="307">
        <v>1435</v>
      </c>
      <c r="AQ17" s="293">
        <v>455830</v>
      </c>
      <c r="AR17" s="283">
        <v>780</v>
      </c>
      <c r="AS17" s="284">
        <v>0</v>
      </c>
      <c r="AT17" s="282" t="s">
        <v>1037</v>
      </c>
      <c r="AU17" s="303">
        <v>0</v>
      </c>
      <c r="AV17" s="293">
        <v>188</v>
      </c>
      <c r="AW17" s="283">
        <v>504</v>
      </c>
      <c r="AX17" s="286">
        <v>1435</v>
      </c>
      <c r="AY17" s="93"/>
      <c r="AZ17" s="93"/>
      <c r="BA17" s="93"/>
    </row>
    <row r="18" spans="1:53" ht="22.5" customHeight="1" x14ac:dyDescent="0.2">
      <c r="A18" s="281" t="s">
        <v>292</v>
      </c>
      <c r="B18" s="296" t="s">
        <v>788</v>
      </c>
      <c r="C18" s="293">
        <v>75295</v>
      </c>
      <c r="D18" s="283">
        <v>152551</v>
      </c>
      <c r="E18" s="284">
        <v>0.49</v>
      </c>
      <c r="F18" s="298" t="s">
        <v>735</v>
      </c>
      <c r="G18" s="293">
        <v>75295</v>
      </c>
      <c r="H18" s="283">
        <v>825</v>
      </c>
      <c r="I18" s="285">
        <v>0.01</v>
      </c>
      <c r="J18" s="300">
        <v>0</v>
      </c>
      <c r="K18" s="293">
        <v>74470</v>
      </c>
      <c r="L18" s="283">
        <v>2235</v>
      </c>
      <c r="M18" s="300">
        <v>0.03</v>
      </c>
      <c r="N18" s="293">
        <v>131430</v>
      </c>
      <c r="O18" s="283">
        <v>56135</v>
      </c>
      <c r="P18" s="300">
        <v>0.43</v>
      </c>
      <c r="Q18" s="293">
        <v>75295</v>
      </c>
      <c r="R18" s="283">
        <v>5055</v>
      </c>
      <c r="S18" s="303">
        <v>7.0000000000000007E-2</v>
      </c>
      <c r="T18" s="302">
        <v>0</v>
      </c>
      <c r="U18" s="293">
        <v>16835</v>
      </c>
      <c r="V18" s="283">
        <v>2250</v>
      </c>
      <c r="W18" s="284">
        <v>0.13</v>
      </c>
      <c r="X18" s="282" t="s">
        <v>1037</v>
      </c>
      <c r="Y18" s="303">
        <v>0</v>
      </c>
      <c r="Z18" s="293">
        <v>18</v>
      </c>
      <c r="AA18" s="283">
        <v>58</v>
      </c>
      <c r="AB18" s="307">
        <v>244</v>
      </c>
      <c r="AC18" s="293">
        <v>71945</v>
      </c>
      <c r="AD18" s="283">
        <v>10375</v>
      </c>
      <c r="AE18" s="284">
        <v>0.14000000000000001</v>
      </c>
      <c r="AF18" s="282" t="s">
        <v>1037</v>
      </c>
      <c r="AG18" s="303">
        <v>0</v>
      </c>
      <c r="AH18" s="293">
        <v>78</v>
      </c>
      <c r="AI18" s="283">
        <v>179</v>
      </c>
      <c r="AJ18" s="307">
        <v>953</v>
      </c>
      <c r="AK18" s="293">
        <v>229</v>
      </c>
      <c r="AL18" s="283">
        <v>641</v>
      </c>
      <c r="AM18" s="307">
        <v>1435</v>
      </c>
      <c r="AN18" s="293">
        <v>173</v>
      </c>
      <c r="AO18" s="283">
        <v>281</v>
      </c>
      <c r="AP18" s="307">
        <v>1418</v>
      </c>
      <c r="AQ18" s="293">
        <v>75295</v>
      </c>
      <c r="AR18" s="283" t="s">
        <v>906</v>
      </c>
      <c r="AS18" s="284" t="s">
        <v>906</v>
      </c>
      <c r="AT18" s="282" t="s">
        <v>1037</v>
      </c>
      <c r="AU18" s="303">
        <v>0</v>
      </c>
      <c r="AV18" s="293">
        <v>185</v>
      </c>
      <c r="AW18" s="283">
        <v>392</v>
      </c>
      <c r="AX18" s="286">
        <v>1435</v>
      </c>
      <c r="AY18" s="93"/>
      <c r="AZ18" s="93"/>
      <c r="BA18" s="93"/>
    </row>
    <row r="19" spans="1:53" ht="22.5" customHeight="1" x14ac:dyDescent="0.2">
      <c r="A19" s="281" t="s">
        <v>293</v>
      </c>
      <c r="B19" s="296" t="s">
        <v>714</v>
      </c>
      <c r="C19" s="293">
        <v>47445</v>
      </c>
      <c r="D19" s="283" t="s">
        <v>706</v>
      </c>
      <c r="E19" s="284" t="s">
        <v>706</v>
      </c>
      <c r="F19" s="298" t="s">
        <v>706</v>
      </c>
      <c r="G19" s="293">
        <v>47445</v>
      </c>
      <c r="H19" s="283">
        <v>0</v>
      </c>
      <c r="I19" s="285">
        <v>0</v>
      </c>
      <c r="J19" s="300">
        <v>0.97</v>
      </c>
      <c r="K19" s="293">
        <v>47445</v>
      </c>
      <c r="L19" s="283">
        <v>10</v>
      </c>
      <c r="M19" s="300">
        <v>0</v>
      </c>
      <c r="N19" s="293">
        <v>47445</v>
      </c>
      <c r="O19" s="283">
        <v>0</v>
      </c>
      <c r="P19" s="300">
        <v>0</v>
      </c>
      <c r="Q19" s="293">
        <v>47445</v>
      </c>
      <c r="R19" s="283">
        <v>2080</v>
      </c>
      <c r="S19" s="303">
        <v>0.04</v>
      </c>
      <c r="T19" s="302">
        <v>0</v>
      </c>
      <c r="U19" s="293" t="s">
        <v>706</v>
      </c>
      <c r="V19" s="283" t="s">
        <v>706</v>
      </c>
      <c r="W19" s="284" t="s">
        <v>706</v>
      </c>
      <c r="X19" s="282" t="s">
        <v>1037</v>
      </c>
      <c r="Y19" s="303" t="s">
        <v>706</v>
      </c>
      <c r="Z19" s="293" t="s">
        <v>706</v>
      </c>
      <c r="AA19" s="283" t="s">
        <v>706</v>
      </c>
      <c r="AB19" s="307" t="s">
        <v>706</v>
      </c>
      <c r="AC19" s="293">
        <v>47430</v>
      </c>
      <c r="AD19" s="283">
        <v>1160</v>
      </c>
      <c r="AE19" s="284">
        <v>0.02</v>
      </c>
      <c r="AF19" s="282" t="s">
        <v>1037</v>
      </c>
      <c r="AG19" s="303">
        <v>0</v>
      </c>
      <c r="AH19" s="293">
        <v>10</v>
      </c>
      <c r="AI19" s="283">
        <v>1131</v>
      </c>
      <c r="AJ19" s="307">
        <v>1439</v>
      </c>
      <c r="AK19" s="293">
        <v>81</v>
      </c>
      <c r="AL19" s="283">
        <v>164</v>
      </c>
      <c r="AM19" s="307">
        <v>164</v>
      </c>
      <c r="AN19" s="293">
        <v>78</v>
      </c>
      <c r="AO19" s="283">
        <v>220</v>
      </c>
      <c r="AP19" s="307">
        <v>1439</v>
      </c>
      <c r="AQ19" s="293">
        <v>47445</v>
      </c>
      <c r="AR19" s="283">
        <v>305</v>
      </c>
      <c r="AS19" s="284">
        <v>0.01</v>
      </c>
      <c r="AT19" s="282" t="s">
        <v>1037</v>
      </c>
      <c r="AU19" s="303">
        <v>0</v>
      </c>
      <c r="AV19" s="293">
        <v>78</v>
      </c>
      <c r="AW19" s="283">
        <v>220</v>
      </c>
      <c r="AX19" s="286">
        <v>1439</v>
      </c>
      <c r="AY19" s="93"/>
      <c r="AZ19" s="93"/>
      <c r="BA19" s="93"/>
    </row>
    <row r="20" spans="1:53" ht="22.5" customHeight="1" x14ac:dyDescent="0.2">
      <c r="A20" s="281" t="s">
        <v>294</v>
      </c>
      <c r="B20" s="296" t="s">
        <v>778</v>
      </c>
      <c r="C20" s="293">
        <v>77820</v>
      </c>
      <c r="D20" s="283">
        <v>82972</v>
      </c>
      <c r="E20" s="284">
        <v>0.94</v>
      </c>
      <c r="F20" s="298" t="s">
        <v>712</v>
      </c>
      <c r="G20" s="293">
        <v>77820</v>
      </c>
      <c r="H20" s="283">
        <v>3815</v>
      </c>
      <c r="I20" s="285">
        <v>0.05</v>
      </c>
      <c r="J20" s="300" t="s">
        <v>906</v>
      </c>
      <c r="K20" s="293">
        <v>74010</v>
      </c>
      <c r="L20" s="283" t="s">
        <v>906</v>
      </c>
      <c r="M20" s="300" t="s">
        <v>906</v>
      </c>
      <c r="N20" s="293">
        <v>77820</v>
      </c>
      <c r="O20" s="283">
        <v>0</v>
      </c>
      <c r="P20" s="300">
        <v>0</v>
      </c>
      <c r="Q20" s="293">
        <v>77820</v>
      </c>
      <c r="R20" s="283">
        <v>5600</v>
      </c>
      <c r="S20" s="303">
        <v>7.0000000000000007E-2</v>
      </c>
      <c r="T20" s="302">
        <v>0</v>
      </c>
      <c r="U20" s="293">
        <v>19920</v>
      </c>
      <c r="V20" s="283">
        <v>0</v>
      </c>
      <c r="W20" s="284">
        <v>0</v>
      </c>
      <c r="X20" s="282" t="s">
        <v>1037</v>
      </c>
      <c r="Y20" s="303">
        <v>0</v>
      </c>
      <c r="Z20" s="293">
        <v>3</v>
      </c>
      <c r="AA20" s="283">
        <v>23</v>
      </c>
      <c r="AB20" s="307">
        <v>1439</v>
      </c>
      <c r="AC20" s="293">
        <v>74005</v>
      </c>
      <c r="AD20" s="283">
        <v>25045</v>
      </c>
      <c r="AE20" s="284">
        <v>0.34</v>
      </c>
      <c r="AF20" s="282" t="s">
        <v>1037</v>
      </c>
      <c r="AG20" s="303">
        <v>0</v>
      </c>
      <c r="AH20" s="293">
        <v>54</v>
      </c>
      <c r="AI20" s="283">
        <v>182</v>
      </c>
      <c r="AJ20" s="307">
        <v>1439</v>
      </c>
      <c r="AK20" s="293">
        <v>234</v>
      </c>
      <c r="AL20" s="283">
        <v>490</v>
      </c>
      <c r="AM20" s="307">
        <v>1390</v>
      </c>
      <c r="AN20" s="293">
        <v>144</v>
      </c>
      <c r="AO20" s="283">
        <v>287</v>
      </c>
      <c r="AP20" s="307">
        <v>1413</v>
      </c>
      <c r="AQ20" s="293">
        <v>77820</v>
      </c>
      <c r="AR20" s="283">
        <v>0</v>
      </c>
      <c r="AS20" s="284">
        <v>0</v>
      </c>
      <c r="AT20" s="282" t="s">
        <v>1037</v>
      </c>
      <c r="AU20" s="303">
        <v>0</v>
      </c>
      <c r="AV20" s="293">
        <v>176</v>
      </c>
      <c r="AW20" s="283">
        <v>372</v>
      </c>
      <c r="AX20" s="286">
        <v>1413</v>
      </c>
      <c r="AY20" s="93"/>
      <c r="AZ20" s="93"/>
      <c r="BA20" s="93"/>
    </row>
    <row r="21" spans="1:53" ht="22.5" customHeight="1" x14ac:dyDescent="0.2">
      <c r="A21" s="281" t="s">
        <v>295</v>
      </c>
      <c r="B21" s="296" t="s">
        <v>882</v>
      </c>
      <c r="C21" s="293">
        <v>19700</v>
      </c>
      <c r="D21" s="283">
        <v>26020</v>
      </c>
      <c r="E21" s="284">
        <v>0.76</v>
      </c>
      <c r="F21" s="298" t="s">
        <v>735</v>
      </c>
      <c r="G21" s="293">
        <v>19700</v>
      </c>
      <c r="H21" s="283">
        <v>280</v>
      </c>
      <c r="I21" s="285">
        <v>0.01</v>
      </c>
      <c r="J21" s="300">
        <v>0.1</v>
      </c>
      <c r="K21" s="293">
        <v>19420</v>
      </c>
      <c r="L21" s="283">
        <v>95</v>
      </c>
      <c r="M21" s="300">
        <v>0</v>
      </c>
      <c r="N21" s="293">
        <v>19700</v>
      </c>
      <c r="O21" s="283">
        <v>0</v>
      </c>
      <c r="P21" s="300">
        <v>0</v>
      </c>
      <c r="Q21" s="293">
        <v>19700</v>
      </c>
      <c r="R21" s="283">
        <v>610</v>
      </c>
      <c r="S21" s="303">
        <v>0.03</v>
      </c>
      <c r="T21" s="302">
        <v>0</v>
      </c>
      <c r="U21" s="293" t="s">
        <v>906</v>
      </c>
      <c r="V21" s="283" t="s">
        <v>906</v>
      </c>
      <c r="W21" s="284" t="s">
        <v>1037</v>
      </c>
      <c r="X21" s="282" t="s">
        <v>708</v>
      </c>
      <c r="Y21" s="303" t="s">
        <v>1037</v>
      </c>
      <c r="Z21" s="293" t="s">
        <v>907</v>
      </c>
      <c r="AA21" s="283" t="s">
        <v>907</v>
      </c>
      <c r="AB21" s="307" t="s">
        <v>907</v>
      </c>
      <c r="AC21" s="293">
        <v>19320</v>
      </c>
      <c r="AD21" s="283">
        <v>0</v>
      </c>
      <c r="AE21" s="284">
        <v>0</v>
      </c>
      <c r="AF21" s="282" t="s">
        <v>1037</v>
      </c>
      <c r="AG21" s="303">
        <v>0</v>
      </c>
      <c r="AH21" s="293">
        <v>22</v>
      </c>
      <c r="AI21" s="283">
        <v>122</v>
      </c>
      <c r="AJ21" s="307">
        <v>520</v>
      </c>
      <c r="AK21" s="293">
        <v>96</v>
      </c>
      <c r="AL21" s="283">
        <v>280</v>
      </c>
      <c r="AM21" s="307">
        <v>280</v>
      </c>
      <c r="AN21" s="293">
        <v>71</v>
      </c>
      <c r="AO21" s="283">
        <v>197</v>
      </c>
      <c r="AP21" s="307">
        <v>1227</v>
      </c>
      <c r="AQ21" s="293">
        <v>19700</v>
      </c>
      <c r="AR21" s="283">
        <v>0</v>
      </c>
      <c r="AS21" s="284">
        <v>0</v>
      </c>
      <c r="AT21" s="282" t="s">
        <v>1037</v>
      </c>
      <c r="AU21" s="303">
        <v>0</v>
      </c>
      <c r="AV21" s="293">
        <v>71</v>
      </c>
      <c r="AW21" s="283">
        <v>196</v>
      </c>
      <c r="AX21" s="286">
        <v>1227</v>
      </c>
      <c r="AY21" s="93"/>
      <c r="AZ21" s="93"/>
      <c r="BA21" s="93"/>
    </row>
    <row r="22" spans="1:53" ht="22.5" customHeight="1" x14ac:dyDescent="0.2">
      <c r="A22" s="281" t="s">
        <v>296</v>
      </c>
      <c r="B22" s="296" t="s">
        <v>846</v>
      </c>
      <c r="C22" s="293">
        <v>60210</v>
      </c>
      <c r="D22" s="283">
        <v>60228</v>
      </c>
      <c r="E22" s="284">
        <v>1</v>
      </c>
      <c r="F22" s="298" t="s">
        <v>712</v>
      </c>
      <c r="G22" s="293">
        <v>60210</v>
      </c>
      <c r="H22" s="283">
        <v>75</v>
      </c>
      <c r="I22" s="285">
        <v>0</v>
      </c>
      <c r="J22" s="300">
        <v>0</v>
      </c>
      <c r="K22" s="293">
        <v>60135</v>
      </c>
      <c r="L22" s="283">
        <v>2780</v>
      </c>
      <c r="M22" s="300">
        <v>0.05</v>
      </c>
      <c r="N22" s="293">
        <v>60210</v>
      </c>
      <c r="O22" s="283">
        <v>0</v>
      </c>
      <c r="P22" s="300">
        <v>0</v>
      </c>
      <c r="Q22" s="293">
        <v>60210</v>
      </c>
      <c r="R22" s="283">
        <v>4710</v>
      </c>
      <c r="S22" s="303">
        <v>0.08</v>
      </c>
      <c r="T22" s="302">
        <v>0</v>
      </c>
      <c r="U22" s="293">
        <v>6635</v>
      </c>
      <c r="V22" s="283">
        <v>0</v>
      </c>
      <c r="W22" s="284">
        <v>0</v>
      </c>
      <c r="X22" s="282" t="s">
        <v>1037</v>
      </c>
      <c r="Y22" s="303">
        <v>0</v>
      </c>
      <c r="Z22" s="293">
        <v>3</v>
      </c>
      <c r="AA22" s="283">
        <v>16</v>
      </c>
      <c r="AB22" s="307">
        <v>157</v>
      </c>
      <c r="AC22" s="293">
        <v>57360</v>
      </c>
      <c r="AD22" s="283">
        <v>0</v>
      </c>
      <c r="AE22" s="284">
        <v>0</v>
      </c>
      <c r="AF22" s="282" t="s">
        <v>1037</v>
      </c>
      <c r="AG22" s="303">
        <v>0</v>
      </c>
      <c r="AH22" s="293">
        <v>77</v>
      </c>
      <c r="AI22" s="283">
        <v>246</v>
      </c>
      <c r="AJ22" s="307">
        <v>1424</v>
      </c>
      <c r="AK22" s="293">
        <v>222</v>
      </c>
      <c r="AL22" s="283">
        <v>421</v>
      </c>
      <c r="AM22" s="307">
        <v>1106</v>
      </c>
      <c r="AN22" s="293">
        <v>154</v>
      </c>
      <c r="AO22" s="283">
        <v>317</v>
      </c>
      <c r="AP22" s="307">
        <v>881</v>
      </c>
      <c r="AQ22" s="293">
        <v>60210</v>
      </c>
      <c r="AR22" s="283">
        <v>0</v>
      </c>
      <c r="AS22" s="284">
        <v>0</v>
      </c>
      <c r="AT22" s="282" t="s">
        <v>1037</v>
      </c>
      <c r="AU22" s="303">
        <v>0</v>
      </c>
      <c r="AV22" s="293">
        <v>163</v>
      </c>
      <c r="AW22" s="283">
        <v>331</v>
      </c>
      <c r="AX22" s="286">
        <v>1106</v>
      </c>
      <c r="AY22" s="93"/>
      <c r="AZ22" s="93"/>
      <c r="BA22" s="93"/>
    </row>
    <row r="23" spans="1:53" ht="22.5" customHeight="1" x14ac:dyDescent="0.2">
      <c r="A23" s="281" t="s">
        <v>297</v>
      </c>
      <c r="B23" s="296" t="s">
        <v>889</v>
      </c>
      <c r="C23" s="293">
        <v>76850</v>
      </c>
      <c r="D23" s="283">
        <v>216636</v>
      </c>
      <c r="E23" s="284">
        <v>0.35</v>
      </c>
      <c r="F23" s="298" t="s">
        <v>735</v>
      </c>
      <c r="G23" s="293">
        <v>76850</v>
      </c>
      <c r="H23" s="283">
        <v>0</v>
      </c>
      <c r="I23" s="285">
        <v>0</v>
      </c>
      <c r="J23" s="300">
        <v>0.03</v>
      </c>
      <c r="K23" s="293">
        <v>76850</v>
      </c>
      <c r="L23" s="283">
        <v>5795</v>
      </c>
      <c r="M23" s="300">
        <v>0.08</v>
      </c>
      <c r="N23" s="293">
        <v>76850</v>
      </c>
      <c r="O23" s="283">
        <v>0</v>
      </c>
      <c r="P23" s="300">
        <v>0</v>
      </c>
      <c r="Q23" s="293">
        <v>76850</v>
      </c>
      <c r="R23" s="283">
        <v>6305</v>
      </c>
      <c r="S23" s="303">
        <v>0.08</v>
      </c>
      <c r="T23" s="302">
        <v>0</v>
      </c>
      <c r="U23" s="293">
        <v>35350</v>
      </c>
      <c r="V23" s="283">
        <v>0</v>
      </c>
      <c r="W23" s="284">
        <v>0</v>
      </c>
      <c r="X23" s="282" t="s">
        <v>1037</v>
      </c>
      <c r="Y23" s="303">
        <v>0.05</v>
      </c>
      <c r="Z23" s="293">
        <v>12</v>
      </c>
      <c r="AA23" s="283">
        <v>130</v>
      </c>
      <c r="AB23" s="307">
        <v>1439</v>
      </c>
      <c r="AC23" s="293">
        <v>70850</v>
      </c>
      <c r="AD23" s="283">
        <v>0</v>
      </c>
      <c r="AE23" s="284">
        <v>0</v>
      </c>
      <c r="AF23" s="282" t="s">
        <v>1037</v>
      </c>
      <c r="AG23" s="303">
        <v>0.01</v>
      </c>
      <c r="AH23" s="293">
        <v>10</v>
      </c>
      <c r="AI23" s="283">
        <v>73</v>
      </c>
      <c r="AJ23" s="307">
        <v>1430</v>
      </c>
      <c r="AK23" s="293">
        <v>363</v>
      </c>
      <c r="AL23" s="283">
        <v>930</v>
      </c>
      <c r="AM23" s="307">
        <v>1436</v>
      </c>
      <c r="AN23" s="293">
        <v>182</v>
      </c>
      <c r="AO23" s="283">
        <v>577</v>
      </c>
      <c r="AP23" s="307">
        <v>1439</v>
      </c>
      <c r="AQ23" s="293">
        <v>76850</v>
      </c>
      <c r="AR23" s="283">
        <v>0</v>
      </c>
      <c r="AS23" s="284">
        <v>0</v>
      </c>
      <c r="AT23" s="282" t="s">
        <v>1037</v>
      </c>
      <c r="AU23" s="303">
        <v>0</v>
      </c>
      <c r="AV23" s="293">
        <v>222</v>
      </c>
      <c r="AW23" s="283">
        <v>820</v>
      </c>
      <c r="AX23" s="286">
        <v>1439</v>
      </c>
      <c r="AY23" s="93"/>
      <c r="AZ23" s="93"/>
      <c r="BA23" s="93"/>
    </row>
    <row r="24" spans="1:53" ht="22.5" customHeight="1" x14ac:dyDescent="0.2">
      <c r="A24" s="281" t="s">
        <v>298</v>
      </c>
      <c r="B24" s="296" t="s">
        <v>830</v>
      </c>
      <c r="C24" s="293">
        <v>119040</v>
      </c>
      <c r="D24" s="283">
        <v>119769</v>
      </c>
      <c r="E24" s="284">
        <v>0.99</v>
      </c>
      <c r="F24" s="298" t="s">
        <v>712</v>
      </c>
      <c r="G24" s="293">
        <v>119040</v>
      </c>
      <c r="H24" s="283">
        <v>30</v>
      </c>
      <c r="I24" s="285">
        <v>0</v>
      </c>
      <c r="J24" s="300">
        <v>0</v>
      </c>
      <c r="K24" s="293">
        <v>119010</v>
      </c>
      <c r="L24" s="283">
        <v>3475</v>
      </c>
      <c r="M24" s="300">
        <v>0.03</v>
      </c>
      <c r="N24" s="293">
        <v>119040</v>
      </c>
      <c r="O24" s="283">
        <v>0</v>
      </c>
      <c r="P24" s="300">
        <v>0</v>
      </c>
      <c r="Q24" s="293">
        <v>119040</v>
      </c>
      <c r="R24" s="283">
        <v>7825</v>
      </c>
      <c r="S24" s="303">
        <v>7.0000000000000007E-2</v>
      </c>
      <c r="T24" s="302">
        <v>0</v>
      </c>
      <c r="U24" s="293">
        <v>29790</v>
      </c>
      <c r="V24" s="283">
        <v>25</v>
      </c>
      <c r="W24" s="284">
        <v>0</v>
      </c>
      <c r="X24" s="282" t="s">
        <v>1037</v>
      </c>
      <c r="Y24" s="303">
        <v>0</v>
      </c>
      <c r="Z24" s="293">
        <v>9</v>
      </c>
      <c r="AA24" s="283">
        <v>37</v>
      </c>
      <c r="AB24" s="307">
        <v>1439</v>
      </c>
      <c r="AC24" s="293">
        <v>115250</v>
      </c>
      <c r="AD24" s="283">
        <v>4980</v>
      </c>
      <c r="AE24" s="284">
        <v>0.04</v>
      </c>
      <c r="AF24" s="282" t="s">
        <v>1037</v>
      </c>
      <c r="AG24" s="303">
        <v>0</v>
      </c>
      <c r="AH24" s="293">
        <v>66</v>
      </c>
      <c r="AI24" s="283">
        <v>196</v>
      </c>
      <c r="AJ24" s="307">
        <v>1330</v>
      </c>
      <c r="AK24" s="293">
        <v>233</v>
      </c>
      <c r="AL24" s="283">
        <v>529</v>
      </c>
      <c r="AM24" s="307">
        <v>1435</v>
      </c>
      <c r="AN24" s="293">
        <v>133</v>
      </c>
      <c r="AO24" s="283">
        <v>311</v>
      </c>
      <c r="AP24" s="307">
        <v>1406</v>
      </c>
      <c r="AQ24" s="293">
        <v>119040</v>
      </c>
      <c r="AR24" s="283">
        <v>10</v>
      </c>
      <c r="AS24" s="284">
        <v>0</v>
      </c>
      <c r="AT24" s="282" t="s">
        <v>1037</v>
      </c>
      <c r="AU24" s="303">
        <v>0</v>
      </c>
      <c r="AV24" s="293">
        <v>155</v>
      </c>
      <c r="AW24" s="283">
        <v>391</v>
      </c>
      <c r="AX24" s="286">
        <v>1435</v>
      </c>
      <c r="AY24" s="93"/>
      <c r="AZ24" s="93"/>
      <c r="BA24" s="93"/>
    </row>
    <row r="25" spans="1:53" ht="22.5" customHeight="1" x14ac:dyDescent="0.2">
      <c r="A25" s="281" t="s">
        <v>299</v>
      </c>
      <c r="B25" s="296" t="s">
        <v>764</v>
      </c>
      <c r="C25" s="293">
        <v>139180</v>
      </c>
      <c r="D25" s="283">
        <v>139115</v>
      </c>
      <c r="E25" s="284">
        <v>1</v>
      </c>
      <c r="F25" s="298" t="s">
        <v>712</v>
      </c>
      <c r="G25" s="293">
        <v>139180</v>
      </c>
      <c r="H25" s="283">
        <v>200</v>
      </c>
      <c r="I25" s="285">
        <v>0</v>
      </c>
      <c r="J25" s="300">
        <v>0</v>
      </c>
      <c r="K25" s="293">
        <v>138980</v>
      </c>
      <c r="L25" s="283">
        <v>0</v>
      </c>
      <c r="M25" s="300">
        <v>0</v>
      </c>
      <c r="N25" s="293">
        <v>139180</v>
      </c>
      <c r="O25" s="283">
        <v>0</v>
      </c>
      <c r="P25" s="300">
        <v>0</v>
      </c>
      <c r="Q25" s="293">
        <v>139180</v>
      </c>
      <c r="R25" s="283">
        <v>10785</v>
      </c>
      <c r="S25" s="303">
        <v>0.08</v>
      </c>
      <c r="T25" s="302">
        <v>0</v>
      </c>
      <c r="U25" s="293">
        <v>41495</v>
      </c>
      <c r="V25" s="283">
        <v>0</v>
      </c>
      <c r="W25" s="284">
        <v>0</v>
      </c>
      <c r="X25" s="282" t="s">
        <v>1037</v>
      </c>
      <c r="Y25" s="303">
        <v>0</v>
      </c>
      <c r="Z25" s="293">
        <v>25</v>
      </c>
      <c r="AA25" s="283">
        <v>97</v>
      </c>
      <c r="AB25" s="307">
        <v>1437</v>
      </c>
      <c r="AC25" s="293">
        <v>138980</v>
      </c>
      <c r="AD25" s="283">
        <v>0</v>
      </c>
      <c r="AE25" s="284">
        <v>0</v>
      </c>
      <c r="AF25" s="282" t="s">
        <v>1037</v>
      </c>
      <c r="AG25" s="303">
        <v>0</v>
      </c>
      <c r="AH25" s="293">
        <v>109</v>
      </c>
      <c r="AI25" s="283">
        <v>250</v>
      </c>
      <c r="AJ25" s="307">
        <v>1411</v>
      </c>
      <c r="AK25" s="293">
        <v>233</v>
      </c>
      <c r="AL25" s="283">
        <v>498</v>
      </c>
      <c r="AM25" s="307">
        <v>1408</v>
      </c>
      <c r="AN25" s="293">
        <v>199</v>
      </c>
      <c r="AO25" s="283">
        <v>466</v>
      </c>
      <c r="AP25" s="307">
        <v>1438</v>
      </c>
      <c r="AQ25" s="293">
        <v>139180</v>
      </c>
      <c r="AR25" s="283">
        <v>15</v>
      </c>
      <c r="AS25" s="284">
        <v>0</v>
      </c>
      <c r="AT25" s="282" t="s">
        <v>1037</v>
      </c>
      <c r="AU25" s="303">
        <v>0</v>
      </c>
      <c r="AV25" s="293">
        <v>199</v>
      </c>
      <c r="AW25" s="283">
        <v>466</v>
      </c>
      <c r="AX25" s="286">
        <v>1438</v>
      </c>
      <c r="AY25" s="93"/>
      <c r="AZ25" s="93"/>
      <c r="BA25" s="93"/>
    </row>
    <row r="26" spans="1:53" ht="22.5" customHeight="1" x14ac:dyDescent="0.2">
      <c r="A26" s="281" t="s">
        <v>300</v>
      </c>
      <c r="B26" s="296" t="s">
        <v>730</v>
      </c>
      <c r="C26" s="293">
        <v>28440</v>
      </c>
      <c r="D26" s="283">
        <v>28724</v>
      </c>
      <c r="E26" s="284">
        <v>0.99</v>
      </c>
      <c r="F26" s="298" t="s">
        <v>712</v>
      </c>
      <c r="G26" s="293">
        <v>28440</v>
      </c>
      <c r="H26" s="283">
        <v>20</v>
      </c>
      <c r="I26" s="285">
        <v>0</v>
      </c>
      <c r="J26" s="300">
        <v>0.05</v>
      </c>
      <c r="K26" s="293">
        <v>28415</v>
      </c>
      <c r="L26" s="283">
        <v>605</v>
      </c>
      <c r="M26" s="300">
        <v>0.02</v>
      </c>
      <c r="N26" s="293">
        <v>28440</v>
      </c>
      <c r="O26" s="283">
        <v>0</v>
      </c>
      <c r="P26" s="300">
        <v>0</v>
      </c>
      <c r="Q26" s="293">
        <v>28440</v>
      </c>
      <c r="R26" s="283">
        <v>1555</v>
      </c>
      <c r="S26" s="303">
        <v>0.05</v>
      </c>
      <c r="T26" s="302">
        <v>0</v>
      </c>
      <c r="U26" s="293">
        <v>55</v>
      </c>
      <c r="V26" s="283" t="s">
        <v>906</v>
      </c>
      <c r="W26" s="284" t="s">
        <v>1037</v>
      </c>
      <c r="X26" s="282" t="s">
        <v>1037</v>
      </c>
      <c r="Y26" s="303" t="s">
        <v>1037</v>
      </c>
      <c r="Z26" s="293">
        <v>0</v>
      </c>
      <c r="AA26" s="283">
        <v>2</v>
      </c>
      <c r="AB26" s="307">
        <v>63</v>
      </c>
      <c r="AC26" s="293">
        <v>27795</v>
      </c>
      <c r="AD26" s="283">
        <v>10</v>
      </c>
      <c r="AE26" s="284">
        <v>0</v>
      </c>
      <c r="AF26" s="282" t="s">
        <v>1037</v>
      </c>
      <c r="AG26" s="303">
        <v>0</v>
      </c>
      <c r="AH26" s="293">
        <v>37</v>
      </c>
      <c r="AI26" s="283">
        <v>121</v>
      </c>
      <c r="AJ26" s="307">
        <v>298</v>
      </c>
      <c r="AK26" s="293">
        <v>86</v>
      </c>
      <c r="AL26" s="283">
        <v>211</v>
      </c>
      <c r="AM26" s="307">
        <v>221</v>
      </c>
      <c r="AN26" s="293">
        <v>82</v>
      </c>
      <c r="AO26" s="283">
        <v>179</v>
      </c>
      <c r="AP26" s="307">
        <v>1046</v>
      </c>
      <c r="AQ26" s="293">
        <v>28440</v>
      </c>
      <c r="AR26" s="283">
        <v>0</v>
      </c>
      <c r="AS26" s="284">
        <v>0</v>
      </c>
      <c r="AT26" s="282" t="s">
        <v>1037</v>
      </c>
      <c r="AU26" s="303">
        <v>0</v>
      </c>
      <c r="AV26" s="293">
        <v>82</v>
      </c>
      <c r="AW26" s="283">
        <v>179</v>
      </c>
      <c r="AX26" s="286">
        <v>1046</v>
      </c>
      <c r="AY26" s="93"/>
      <c r="AZ26" s="93"/>
      <c r="BA26" s="93"/>
    </row>
    <row r="27" spans="1:53" ht="22.5" customHeight="1" x14ac:dyDescent="0.2">
      <c r="A27" s="281" t="s">
        <v>642</v>
      </c>
      <c r="B27" s="296" t="s">
        <v>748</v>
      </c>
      <c r="C27" s="293">
        <v>24770</v>
      </c>
      <c r="D27" s="283" t="s">
        <v>706</v>
      </c>
      <c r="E27" s="284" t="s">
        <v>706</v>
      </c>
      <c r="F27" s="298" t="s">
        <v>706</v>
      </c>
      <c r="G27" s="293">
        <v>24770</v>
      </c>
      <c r="H27" s="283" t="s">
        <v>906</v>
      </c>
      <c r="I27" s="285" t="s">
        <v>906</v>
      </c>
      <c r="J27" s="300">
        <v>0</v>
      </c>
      <c r="K27" s="293">
        <v>24765</v>
      </c>
      <c r="L27" s="283">
        <v>0</v>
      </c>
      <c r="M27" s="300">
        <v>0</v>
      </c>
      <c r="N27" s="293">
        <v>24770</v>
      </c>
      <c r="O27" s="283">
        <v>0</v>
      </c>
      <c r="P27" s="300">
        <v>0</v>
      </c>
      <c r="Q27" s="293">
        <v>24770</v>
      </c>
      <c r="R27" s="283">
        <v>1700</v>
      </c>
      <c r="S27" s="303">
        <v>7.0000000000000007E-2</v>
      </c>
      <c r="T27" s="302">
        <v>0</v>
      </c>
      <c r="U27" s="293">
        <v>70</v>
      </c>
      <c r="V27" s="283">
        <v>0</v>
      </c>
      <c r="W27" s="284" t="s">
        <v>1037</v>
      </c>
      <c r="X27" s="282" t="s">
        <v>1037</v>
      </c>
      <c r="Y27" s="303" t="s">
        <v>1037</v>
      </c>
      <c r="Z27" s="293">
        <v>3</v>
      </c>
      <c r="AA27" s="283">
        <v>12</v>
      </c>
      <c r="AB27" s="307">
        <v>13</v>
      </c>
      <c r="AC27" s="293">
        <v>24765</v>
      </c>
      <c r="AD27" s="283">
        <v>0</v>
      </c>
      <c r="AE27" s="284">
        <v>0</v>
      </c>
      <c r="AF27" s="282" t="s">
        <v>1037</v>
      </c>
      <c r="AG27" s="303">
        <v>0.01</v>
      </c>
      <c r="AH27" s="293">
        <v>35</v>
      </c>
      <c r="AI27" s="283">
        <v>172</v>
      </c>
      <c r="AJ27" s="307">
        <v>1439</v>
      </c>
      <c r="AK27" s="293" t="s">
        <v>906</v>
      </c>
      <c r="AL27" s="283" t="s">
        <v>906</v>
      </c>
      <c r="AM27" s="307" t="s">
        <v>906</v>
      </c>
      <c r="AN27" s="293">
        <v>89</v>
      </c>
      <c r="AO27" s="283">
        <v>210</v>
      </c>
      <c r="AP27" s="307">
        <v>1435</v>
      </c>
      <c r="AQ27" s="293">
        <v>24770</v>
      </c>
      <c r="AR27" s="283">
        <v>0</v>
      </c>
      <c r="AS27" s="284">
        <v>0</v>
      </c>
      <c r="AT27" s="282" t="s">
        <v>1037</v>
      </c>
      <c r="AU27" s="303">
        <v>0</v>
      </c>
      <c r="AV27" s="293">
        <v>89</v>
      </c>
      <c r="AW27" s="283">
        <v>210</v>
      </c>
      <c r="AX27" s="286">
        <v>1435</v>
      </c>
      <c r="AY27" s="93"/>
      <c r="AZ27" s="93"/>
      <c r="BA27" s="93"/>
    </row>
    <row r="28" spans="1:53" ht="22.5" customHeight="1" x14ac:dyDescent="0.2">
      <c r="A28" s="281" t="s">
        <v>301</v>
      </c>
      <c r="B28" s="296" t="s">
        <v>895</v>
      </c>
      <c r="C28" s="293">
        <v>140825</v>
      </c>
      <c r="D28" s="283">
        <v>141507</v>
      </c>
      <c r="E28" s="284">
        <v>1</v>
      </c>
      <c r="F28" s="298" t="s">
        <v>712</v>
      </c>
      <c r="G28" s="293">
        <v>140825</v>
      </c>
      <c r="H28" s="283">
        <v>505</v>
      </c>
      <c r="I28" s="285">
        <v>0</v>
      </c>
      <c r="J28" s="300">
        <v>0.03</v>
      </c>
      <c r="K28" s="293">
        <v>140320</v>
      </c>
      <c r="L28" s="283">
        <v>4285</v>
      </c>
      <c r="M28" s="300">
        <v>0.03</v>
      </c>
      <c r="N28" s="293">
        <v>140825</v>
      </c>
      <c r="O28" s="283">
        <v>0</v>
      </c>
      <c r="P28" s="300">
        <v>0</v>
      </c>
      <c r="Q28" s="293">
        <v>140825</v>
      </c>
      <c r="R28" s="283">
        <v>9790</v>
      </c>
      <c r="S28" s="303">
        <v>7.0000000000000007E-2</v>
      </c>
      <c r="T28" s="302">
        <v>0</v>
      </c>
      <c r="U28" s="293">
        <v>265</v>
      </c>
      <c r="V28" s="283" t="s">
        <v>906</v>
      </c>
      <c r="W28" s="284" t="s">
        <v>1037</v>
      </c>
      <c r="X28" s="282" t="s">
        <v>1037</v>
      </c>
      <c r="Y28" s="303" t="s">
        <v>1037</v>
      </c>
      <c r="Z28" s="293">
        <v>2</v>
      </c>
      <c r="AA28" s="283">
        <v>26</v>
      </c>
      <c r="AB28" s="307">
        <v>59</v>
      </c>
      <c r="AC28" s="293">
        <v>136020</v>
      </c>
      <c r="AD28" s="283">
        <v>440</v>
      </c>
      <c r="AE28" s="284">
        <v>0</v>
      </c>
      <c r="AF28" s="282" t="s">
        <v>1037</v>
      </c>
      <c r="AG28" s="303">
        <v>0</v>
      </c>
      <c r="AH28" s="293">
        <v>50</v>
      </c>
      <c r="AI28" s="283">
        <v>183</v>
      </c>
      <c r="AJ28" s="307">
        <v>1420</v>
      </c>
      <c r="AK28" s="293">
        <v>93</v>
      </c>
      <c r="AL28" s="283">
        <v>219</v>
      </c>
      <c r="AM28" s="307">
        <v>248</v>
      </c>
      <c r="AN28" s="293">
        <v>79</v>
      </c>
      <c r="AO28" s="283">
        <v>212</v>
      </c>
      <c r="AP28" s="307">
        <v>515</v>
      </c>
      <c r="AQ28" s="293">
        <v>140825</v>
      </c>
      <c r="AR28" s="283">
        <v>0</v>
      </c>
      <c r="AS28" s="284">
        <v>0</v>
      </c>
      <c r="AT28" s="282" t="s">
        <v>1037</v>
      </c>
      <c r="AU28" s="303">
        <v>0</v>
      </c>
      <c r="AV28" s="293">
        <v>79</v>
      </c>
      <c r="AW28" s="283">
        <v>212</v>
      </c>
      <c r="AX28" s="286">
        <v>515</v>
      </c>
      <c r="AY28" s="93"/>
      <c r="AZ28" s="93"/>
      <c r="BA28" s="93"/>
    </row>
    <row r="29" spans="1:53" ht="22.5" customHeight="1" x14ac:dyDescent="0.2">
      <c r="A29" s="281" t="s">
        <v>302</v>
      </c>
      <c r="B29" s="296" t="s">
        <v>731</v>
      </c>
      <c r="C29" s="293">
        <v>19790</v>
      </c>
      <c r="D29" s="283" t="s">
        <v>706</v>
      </c>
      <c r="E29" s="284" t="s">
        <v>706</v>
      </c>
      <c r="F29" s="298" t="s">
        <v>706</v>
      </c>
      <c r="G29" s="293">
        <v>19790</v>
      </c>
      <c r="H29" s="283">
        <v>0</v>
      </c>
      <c r="I29" s="285">
        <v>0</v>
      </c>
      <c r="J29" s="300">
        <v>0.01</v>
      </c>
      <c r="K29" s="293">
        <v>19790</v>
      </c>
      <c r="L29" s="283">
        <v>455</v>
      </c>
      <c r="M29" s="300">
        <v>0.02</v>
      </c>
      <c r="N29" s="293">
        <v>19790</v>
      </c>
      <c r="O29" s="283">
        <v>0</v>
      </c>
      <c r="P29" s="300">
        <v>0</v>
      </c>
      <c r="Q29" s="293">
        <v>19790</v>
      </c>
      <c r="R29" s="283">
        <v>1060</v>
      </c>
      <c r="S29" s="303">
        <v>0.05</v>
      </c>
      <c r="T29" s="302">
        <v>0</v>
      </c>
      <c r="U29" s="293">
        <v>75</v>
      </c>
      <c r="V29" s="283">
        <v>20</v>
      </c>
      <c r="W29" s="284" t="s">
        <v>1037</v>
      </c>
      <c r="X29" s="282" t="s">
        <v>1037</v>
      </c>
      <c r="Y29" s="303" t="s">
        <v>1037</v>
      </c>
      <c r="Z29" s="293">
        <v>18</v>
      </c>
      <c r="AA29" s="283">
        <v>139</v>
      </c>
      <c r="AB29" s="307">
        <v>153</v>
      </c>
      <c r="AC29" s="293">
        <v>19315</v>
      </c>
      <c r="AD29" s="283">
        <v>45</v>
      </c>
      <c r="AE29" s="284">
        <v>0</v>
      </c>
      <c r="AF29" s="282" t="s">
        <v>1037</v>
      </c>
      <c r="AG29" s="303">
        <v>0</v>
      </c>
      <c r="AH29" s="293">
        <v>27</v>
      </c>
      <c r="AI29" s="283">
        <v>119</v>
      </c>
      <c r="AJ29" s="307">
        <v>298</v>
      </c>
      <c r="AK29" s="293">
        <v>77</v>
      </c>
      <c r="AL29" s="283">
        <v>187</v>
      </c>
      <c r="AM29" s="307">
        <v>206</v>
      </c>
      <c r="AN29" s="293">
        <v>64</v>
      </c>
      <c r="AO29" s="283">
        <v>167</v>
      </c>
      <c r="AP29" s="307">
        <v>429</v>
      </c>
      <c r="AQ29" s="293">
        <v>19790</v>
      </c>
      <c r="AR29" s="283">
        <v>0</v>
      </c>
      <c r="AS29" s="284">
        <v>0</v>
      </c>
      <c r="AT29" s="282" t="s">
        <v>1037</v>
      </c>
      <c r="AU29" s="303">
        <v>0</v>
      </c>
      <c r="AV29" s="293">
        <v>64</v>
      </c>
      <c r="AW29" s="283">
        <v>167</v>
      </c>
      <c r="AX29" s="286">
        <v>429</v>
      </c>
      <c r="AY29" s="93"/>
      <c r="AZ29" s="93"/>
      <c r="BA29" s="93"/>
    </row>
    <row r="30" spans="1:53" ht="22.5" customHeight="1" x14ac:dyDescent="0.2">
      <c r="A30" s="281" t="s">
        <v>303</v>
      </c>
      <c r="B30" s="296" t="s">
        <v>887</v>
      </c>
      <c r="C30" s="293">
        <v>173135</v>
      </c>
      <c r="D30" s="283">
        <v>172659</v>
      </c>
      <c r="E30" s="284">
        <v>1</v>
      </c>
      <c r="F30" s="298" t="s">
        <v>712</v>
      </c>
      <c r="G30" s="293">
        <v>173135</v>
      </c>
      <c r="H30" s="283">
        <v>435</v>
      </c>
      <c r="I30" s="285">
        <v>0</v>
      </c>
      <c r="J30" s="300">
        <v>0</v>
      </c>
      <c r="K30" s="293">
        <v>172700</v>
      </c>
      <c r="L30" s="283">
        <v>1675</v>
      </c>
      <c r="M30" s="300">
        <v>0.01</v>
      </c>
      <c r="N30" s="293">
        <v>173140</v>
      </c>
      <c r="O30" s="283" t="s">
        <v>906</v>
      </c>
      <c r="P30" s="300" t="s">
        <v>906</v>
      </c>
      <c r="Q30" s="293">
        <v>173135</v>
      </c>
      <c r="R30" s="283">
        <v>19110</v>
      </c>
      <c r="S30" s="303">
        <v>0.11</v>
      </c>
      <c r="T30" s="302">
        <v>0</v>
      </c>
      <c r="U30" s="293">
        <v>41940</v>
      </c>
      <c r="V30" s="283">
        <v>2695</v>
      </c>
      <c r="W30" s="284">
        <v>0.06</v>
      </c>
      <c r="X30" s="282" t="s">
        <v>1037</v>
      </c>
      <c r="Y30" s="303">
        <v>0</v>
      </c>
      <c r="Z30" s="293">
        <v>0</v>
      </c>
      <c r="AA30" s="283">
        <v>110</v>
      </c>
      <c r="AB30" s="307">
        <v>1439</v>
      </c>
      <c r="AC30" s="293">
        <v>170445</v>
      </c>
      <c r="AD30" s="283">
        <v>260</v>
      </c>
      <c r="AE30" s="284">
        <v>0</v>
      </c>
      <c r="AF30" s="282" t="s">
        <v>1037</v>
      </c>
      <c r="AG30" s="303">
        <v>0</v>
      </c>
      <c r="AH30" s="293">
        <v>62</v>
      </c>
      <c r="AI30" s="283">
        <v>217</v>
      </c>
      <c r="AJ30" s="307">
        <v>1439</v>
      </c>
      <c r="AK30" s="293">
        <v>313</v>
      </c>
      <c r="AL30" s="283">
        <v>1085</v>
      </c>
      <c r="AM30" s="307">
        <v>1439</v>
      </c>
      <c r="AN30" s="293">
        <v>159</v>
      </c>
      <c r="AO30" s="283">
        <v>495</v>
      </c>
      <c r="AP30" s="307">
        <v>1439</v>
      </c>
      <c r="AQ30" s="293">
        <v>173135</v>
      </c>
      <c r="AR30" s="283" t="s">
        <v>906</v>
      </c>
      <c r="AS30" s="284" t="s">
        <v>906</v>
      </c>
      <c r="AT30" s="282" t="s">
        <v>1037</v>
      </c>
      <c r="AU30" s="303">
        <v>0</v>
      </c>
      <c r="AV30" s="293">
        <v>177</v>
      </c>
      <c r="AW30" s="283">
        <v>736</v>
      </c>
      <c r="AX30" s="286">
        <v>1439</v>
      </c>
      <c r="AY30" s="93"/>
      <c r="AZ30" s="93"/>
      <c r="BA30" s="93"/>
    </row>
    <row r="31" spans="1:53" ht="22.5" customHeight="1" x14ac:dyDescent="0.2">
      <c r="A31" s="281" t="s">
        <v>304</v>
      </c>
      <c r="B31" s="296" t="s">
        <v>892</v>
      </c>
      <c r="C31" s="293">
        <v>93160</v>
      </c>
      <c r="D31" s="283">
        <v>155415</v>
      </c>
      <c r="E31" s="284">
        <v>0.6</v>
      </c>
      <c r="F31" s="298" t="s">
        <v>735</v>
      </c>
      <c r="G31" s="293">
        <v>93160</v>
      </c>
      <c r="H31" s="283">
        <v>70</v>
      </c>
      <c r="I31" s="285">
        <v>0</v>
      </c>
      <c r="J31" s="300" t="s">
        <v>906</v>
      </c>
      <c r="K31" s="293">
        <v>93085</v>
      </c>
      <c r="L31" s="283">
        <v>0</v>
      </c>
      <c r="M31" s="300">
        <v>0</v>
      </c>
      <c r="N31" s="293">
        <v>93160</v>
      </c>
      <c r="O31" s="283">
        <v>0</v>
      </c>
      <c r="P31" s="300">
        <v>0</v>
      </c>
      <c r="Q31" s="293">
        <v>93160</v>
      </c>
      <c r="R31" s="283">
        <v>7320</v>
      </c>
      <c r="S31" s="303">
        <v>0.08</v>
      </c>
      <c r="T31" s="302">
        <v>0</v>
      </c>
      <c r="U31" s="293">
        <v>22855</v>
      </c>
      <c r="V31" s="283">
        <v>4140</v>
      </c>
      <c r="W31" s="284">
        <v>0.18</v>
      </c>
      <c r="X31" s="282" t="s">
        <v>1037</v>
      </c>
      <c r="Y31" s="303">
        <v>0</v>
      </c>
      <c r="Z31" s="293">
        <v>18</v>
      </c>
      <c r="AA31" s="283">
        <v>123</v>
      </c>
      <c r="AB31" s="307">
        <v>1060</v>
      </c>
      <c r="AC31" s="293">
        <v>93085</v>
      </c>
      <c r="AD31" s="283">
        <v>910</v>
      </c>
      <c r="AE31" s="284">
        <v>0.01</v>
      </c>
      <c r="AF31" s="282" t="s">
        <v>1037</v>
      </c>
      <c r="AG31" s="303">
        <v>0</v>
      </c>
      <c r="AH31" s="293">
        <v>50</v>
      </c>
      <c r="AI31" s="283">
        <v>197</v>
      </c>
      <c r="AJ31" s="307">
        <v>1428</v>
      </c>
      <c r="AK31" s="293">
        <v>238</v>
      </c>
      <c r="AL31" s="283">
        <v>1025</v>
      </c>
      <c r="AM31" s="307">
        <v>1439</v>
      </c>
      <c r="AN31" s="293">
        <v>146</v>
      </c>
      <c r="AO31" s="283">
        <v>374</v>
      </c>
      <c r="AP31" s="307">
        <v>1429</v>
      </c>
      <c r="AQ31" s="293">
        <v>93160</v>
      </c>
      <c r="AR31" s="283">
        <v>15</v>
      </c>
      <c r="AS31" s="284">
        <v>0</v>
      </c>
      <c r="AT31" s="282" t="s">
        <v>1037</v>
      </c>
      <c r="AU31" s="303">
        <v>0</v>
      </c>
      <c r="AV31" s="293">
        <v>167</v>
      </c>
      <c r="AW31" s="283">
        <v>696</v>
      </c>
      <c r="AX31" s="286">
        <v>1439</v>
      </c>
      <c r="AY31" s="93"/>
      <c r="AZ31" s="93"/>
      <c r="BA31" s="93"/>
    </row>
    <row r="32" spans="1:53" ht="22.5" customHeight="1" x14ac:dyDescent="0.2">
      <c r="A32" s="281" t="s">
        <v>625</v>
      </c>
      <c r="B32" s="296" t="s">
        <v>716</v>
      </c>
      <c r="C32" s="293">
        <v>25780</v>
      </c>
      <c r="D32" s="283" t="s">
        <v>706</v>
      </c>
      <c r="E32" s="284" t="s">
        <v>706</v>
      </c>
      <c r="F32" s="298" t="s">
        <v>706</v>
      </c>
      <c r="G32" s="293">
        <v>25780</v>
      </c>
      <c r="H32" s="283">
        <v>0</v>
      </c>
      <c r="I32" s="285">
        <v>0</v>
      </c>
      <c r="J32" s="300">
        <v>1</v>
      </c>
      <c r="K32" s="293">
        <v>25780</v>
      </c>
      <c r="L32" s="283" t="s">
        <v>906</v>
      </c>
      <c r="M32" s="300" t="s">
        <v>906</v>
      </c>
      <c r="N32" s="293">
        <v>25780</v>
      </c>
      <c r="O32" s="283">
        <v>0</v>
      </c>
      <c r="P32" s="300">
        <v>0</v>
      </c>
      <c r="Q32" s="293">
        <v>25780</v>
      </c>
      <c r="R32" s="283">
        <v>995</v>
      </c>
      <c r="S32" s="303">
        <v>0.04</v>
      </c>
      <c r="T32" s="302">
        <v>0</v>
      </c>
      <c r="U32" s="293" t="s">
        <v>706</v>
      </c>
      <c r="V32" s="283" t="s">
        <v>706</v>
      </c>
      <c r="W32" s="284" t="s">
        <v>706</v>
      </c>
      <c r="X32" s="282" t="s">
        <v>1037</v>
      </c>
      <c r="Y32" s="303" t="s">
        <v>706</v>
      </c>
      <c r="Z32" s="293" t="s">
        <v>706</v>
      </c>
      <c r="AA32" s="283" t="s">
        <v>706</v>
      </c>
      <c r="AB32" s="307" t="s">
        <v>706</v>
      </c>
      <c r="AC32" s="293">
        <v>25780</v>
      </c>
      <c r="AD32" s="283">
        <v>870</v>
      </c>
      <c r="AE32" s="284">
        <v>0.03</v>
      </c>
      <c r="AF32" s="282" t="s">
        <v>1037</v>
      </c>
      <c r="AG32" s="303">
        <v>0</v>
      </c>
      <c r="AH32" s="293">
        <v>25</v>
      </c>
      <c r="AI32" s="283">
        <v>287</v>
      </c>
      <c r="AJ32" s="307">
        <v>1439</v>
      </c>
      <c r="AK32" s="293" t="s">
        <v>706</v>
      </c>
      <c r="AL32" s="283" t="s">
        <v>706</v>
      </c>
      <c r="AM32" s="307" t="s">
        <v>706</v>
      </c>
      <c r="AN32" s="293">
        <v>49</v>
      </c>
      <c r="AO32" s="283">
        <v>135</v>
      </c>
      <c r="AP32" s="307">
        <v>1439</v>
      </c>
      <c r="AQ32" s="293">
        <v>25780</v>
      </c>
      <c r="AR32" s="283">
        <v>870</v>
      </c>
      <c r="AS32" s="284">
        <v>0.03</v>
      </c>
      <c r="AT32" s="282" t="s">
        <v>1037</v>
      </c>
      <c r="AU32" s="303">
        <v>0</v>
      </c>
      <c r="AV32" s="293">
        <v>49</v>
      </c>
      <c r="AW32" s="283">
        <v>135</v>
      </c>
      <c r="AX32" s="286">
        <v>1439</v>
      </c>
      <c r="AY32" s="93"/>
      <c r="AZ32" s="93"/>
      <c r="BA32" s="93"/>
    </row>
    <row r="33" spans="1:53" ht="22.5" customHeight="1" x14ac:dyDescent="0.2">
      <c r="A33" s="281" t="s">
        <v>306</v>
      </c>
      <c r="B33" s="296" t="s">
        <v>883</v>
      </c>
      <c r="C33" s="293">
        <v>150905</v>
      </c>
      <c r="D33" s="283">
        <v>151658</v>
      </c>
      <c r="E33" s="284">
        <v>1</v>
      </c>
      <c r="F33" s="298" t="s">
        <v>712</v>
      </c>
      <c r="G33" s="293">
        <v>150905</v>
      </c>
      <c r="H33" s="283">
        <v>215</v>
      </c>
      <c r="I33" s="285">
        <v>0</v>
      </c>
      <c r="J33" s="300">
        <v>0</v>
      </c>
      <c r="K33" s="293">
        <v>150690</v>
      </c>
      <c r="L33" s="283">
        <v>1450</v>
      </c>
      <c r="M33" s="300">
        <v>0.01</v>
      </c>
      <c r="N33" s="293">
        <v>150910</v>
      </c>
      <c r="O33" s="283" t="s">
        <v>906</v>
      </c>
      <c r="P33" s="300" t="s">
        <v>906</v>
      </c>
      <c r="Q33" s="293">
        <v>150905</v>
      </c>
      <c r="R33" s="283">
        <v>10800</v>
      </c>
      <c r="S33" s="303">
        <v>7.0000000000000007E-2</v>
      </c>
      <c r="T33" s="302">
        <v>0</v>
      </c>
      <c r="U33" s="293">
        <v>39750</v>
      </c>
      <c r="V33" s="283">
        <v>1190</v>
      </c>
      <c r="W33" s="284">
        <v>0.03</v>
      </c>
      <c r="X33" s="282" t="s">
        <v>1037</v>
      </c>
      <c r="Y33" s="303">
        <v>0</v>
      </c>
      <c r="Z33" s="293">
        <v>10</v>
      </c>
      <c r="AA33" s="283">
        <v>36</v>
      </c>
      <c r="AB33" s="307">
        <v>1408</v>
      </c>
      <c r="AC33" s="293">
        <v>149240</v>
      </c>
      <c r="AD33" s="283">
        <v>855</v>
      </c>
      <c r="AE33" s="284">
        <v>0.01</v>
      </c>
      <c r="AF33" s="282" t="s">
        <v>1037</v>
      </c>
      <c r="AG33" s="303">
        <v>0</v>
      </c>
      <c r="AH33" s="293">
        <v>63</v>
      </c>
      <c r="AI33" s="283">
        <v>187</v>
      </c>
      <c r="AJ33" s="307">
        <v>1437</v>
      </c>
      <c r="AK33" s="293">
        <v>226</v>
      </c>
      <c r="AL33" s="283">
        <v>448</v>
      </c>
      <c r="AM33" s="307">
        <v>1439</v>
      </c>
      <c r="AN33" s="293">
        <v>160</v>
      </c>
      <c r="AO33" s="283">
        <v>333</v>
      </c>
      <c r="AP33" s="307">
        <v>1438</v>
      </c>
      <c r="AQ33" s="293">
        <v>150905</v>
      </c>
      <c r="AR33" s="283">
        <v>20</v>
      </c>
      <c r="AS33" s="284">
        <v>0</v>
      </c>
      <c r="AT33" s="282" t="s">
        <v>1037</v>
      </c>
      <c r="AU33" s="303">
        <v>0</v>
      </c>
      <c r="AV33" s="293">
        <v>165</v>
      </c>
      <c r="AW33" s="283">
        <v>344</v>
      </c>
      <c r="AX33" s="286">
        <v>1439</v>
      </c>
      <c r="AY33" s="93"/>
      <c r="AZ33" s="93"/>
      <c r="BA33" s="93"/>
    </row>
    <row r="34" spans="1:53" ht="22.5" customHeight="1" x14ac:dyDescent="0.2">
      <c r="A34" s="281" t="s">
        <v>307</v>
      </c>
      <c r="B34" s="296" t="s">
        <v>803</v>
      </c>
      <c r="C34" s="293">
        <v>156975</v>
      </c>
      <c r="D34" s="283">
        <v>162131</v>
      </c>
      <c r="E34" s="284">
        <v>0.97</v>
      </c>
      <c r="F34" s="298" t="s">
        <v>712</v>
      </c>
      <c r="G34" s="293">
        <v>156975</v>
      </c>
      <c r="H34" s="283">
        <v>36140</v>
      </c>
      <c r="I34" s="285">
        <v>0.23</v>
      </c>
      <c r="J34" s="300">
        <v>0</v>
      </c>
      <c r="K34" s="293">
        <v>120835</v>
      </c>
      <c r="L34" s="283">
        <v>0</v>
      </c>
      <c r="M34" s="300">
        <v>0</v>
      </c>
      <c r="N34" s="293">
        <v>157580</v>
      </c>
      <c r="O34" s="283">
        <v>605</v>
      </c>
      <c r="P34" s="300">
        <v>0</v>
      </c>
      <c r="Q34" s="293">
        <v>156975</v>
      </c>
      <c r="R34" s="283">
        <v>12715</v>
      </c>
      <c r="S34" s="303">
        <v>0.08</v>
      </c>
      <c r="T34" s="302">
        <v>0</v>
      </c>
      <c r="U34" s="293">
        <v>33165</v>
      </c>
      <c r="V34" s="283">
        <v>125</v>
      </c>
      <c r="W34" s="284">
        <v>0</v>
      </c>
      <c r="X34" s="282" t="s">
        <v>1037</v>
      </c>
      <c r="Y34" s="303">
        <v>0</v>
      </c>
      <c r="Z34" s="293">
        <v>3</v>
      </c>
      <c r="AA34" s="283">
        <v>20</v>
      </c>
      <c r="AB34" s="307">
        <v>1439</v>
      </c>
      <c r="AC34" s="293">
        <v>120835</v>
      </c>
      <c r="AD34" s="283">
        <v>15725</v>
      </c>
      <c r="AE34" s="284">
        <v>0.13</v>
      </c>
      <c r="AF34" s="282" t="s">
        <v>1037</v>
      </c>
      <c r="AG34" s="303">
        <v>0</v>
      </c>
      <c r="AH34" s="293">
        <v>81</v>
      </c>
      <c r="AI34" s="283">
        <v>208</v>
      </c>
      <c r="AJ34" s="307">
        <v>1439</v>
      </c>
      <c r="AK34" s="293">
        <v>235</v>
      </c>
      <c r="AL34" s="283">
        <v>503</v>
      </c>
      <c r="AM34" s="307">
        <v>1344</v>
      </c>
      <c r="AN34" s="293">
        <v>174</v>
      </c>
      <c r="AO34" s="283">
        <v>326</v>
      </c>
      <c r="AP34" s="307">
        <v>1265</v>
      </c>
      <c r="AQ34" s="293">
        <v>156975</v>
      </c>
      <c r="AR34" s="283" t="s">
        <v>906</v>
      </c>
      <c r="AS34" s="284" t="s">
        <v>906</v>
      </c>
      <c r="AT34" s="282" t="s">
        <v>1037</v>
      </c>
      <c r="AU34" s="303">
        <v>0</v>
      </c>
      <c r="AV34" s="293">
        <v>162</v>
      </c>
      <c r="AW34" s="283">
        <v>377</v>
      </c>
      <c r="AX34" s="286">
        <v>1434</v>
      </c>
      <c r="AY34" s="93"/>
      <c r="AZ34" s="93"/>
      <c r="BA34" s="93"/>
    </row>
    <row r="35" spans="1:53" ht="22.5" customHeight="1" x14ac:dyDescent="0.2">
      <c r="A35" s="281" t="s">
        <v>308</v>
      </c>
      <c r="B35" s="296" t="s">
        <v>904</v>
      </c>
      <c r="C35" s="293" t="s">
        <v>706</v>
      </c>
      <c r="D35" s="283">
        <v>219144</v>
      </c>
      <c r="E35" s="284" t="s">
        <v>706</v>
      </c>
      <c r="F35" s="298" t="s">
        <v>706</v>
      </c>
      <c r="G35" s="293" t="s">
        <v>706</v>
      </c>
      <c r="H35" s="283" t="s">
        <v>706</v>
      </c>
      <c r="I35" s="285" t="s">
        <v>706</v>
      </c>
      <c r="J35" s="300" t="s">
        <v>706</v>
      </c>
      <c r="K35" s="293" t="s">
        <v>706</v>
      </c>
      <c r="L35" s="283" t="s">
        <v>706</v>
      </c>
      <c r="M35" s="300" t="s">
        <v>706</v>
      </c>
      <c r="N35" s="293">
        <v>218615</v>
      </c>
      <c r="O35" s="283">
        <v>218615</v>
      </c>
      <c r="P35" s="300">
        <v>1</v>
      </c>
      <c r="Q35" s="293" t="s">
        <v>706</v>
      </c>
      <c r="R35" s="283" t="s">
        <v>706</v>
      </c>
      <c r="S35" s="303" t="s">
        <v>706</v>
      </c>
      <c r="T35" s="302" t="s">
        <v>706</v>
      </c>
      <c r="U35" s="293" t="s">
        <v>706</v>
      </c>
      <c r="V35" s="283" t="s">
        <v>706</v>
      </c>
      <c r="W35" s="284" t="s">
        <v>706</v>
      </c>
      <c r="X35" s="282" t="s">
        <v>1037</v>
      </c>
      <c r="Y35" s="303" t="s">
        <v>706</v>
      </c>
      <c r="Z35" s="293" t="s">
        <v>706</v>
      </c>
      <c r="AA35" s="283" t="s">
        <v>706</v>
      </c>
      <c r="AB35" s="307" t="s">
        <v>706</v>
      </c>
      <c r="AC35" s="293" t="s">
        <v>706</v>
      </c>
      <c r="AD35" s="283" t="s">
        <v>706</v>
      </c>
      <c r="AE35" s="284" t="s">
        <v>706</v>
      </c>
      <c r="AF35" s="282" t="s">
        <v>1037</v>
      </c>
      <c r="AG35" s="303" t="s">
        <v>706</v>
      </c>
      <c r="AH35" s="293" t="s">
        <v>706</v>
      </c>
      <c r="AI35" s="283" t="s">
        <v>706</v>
      </c>
      <c r="AJ35" s="307" t="s">
        <v>706</v>
      </c>
      <c r="AK35" s="293" t="s">
        <v>706</v>
      </c>
      <c r="AL35" s="283" t="s">
        <v>706</v>
      </c>
      <c r="AM35" s="307" t="s">
        <v>706</v>
      </c>
      <c r="AN35" s="293" t="s">
        <v>706</v>
      </c>
      <c r="AO35" s="283" t="s">
        <v>706</v>
      </c>
      <c r="AP35" s="307" t="s">
        <v>706</v>
      </c>
      <c r="AQ35" s="293" t="s">
        <v>706</v>
      </c>
      <c r="AR35" s="283" t="s">
        <v>706</v>
      </c>
      <c r="AS35" s="284" t="s">
        <v>706</v>
      </c>
      <c r="AT35" s="282" t="s">
        <v>1037</v>
      </c>
      <c r="AU35" s="303" t="s">
        <v>706</v>
      </c>
      <c r="AV35" s="293" t="s">
        <v>706</v>
      </c>
      <c r="AW35" s="283" t="s">
        <v>706</v>
      </c>
      <c r="AX35" s="286" t="s">
        <v>706</v>
      </c>
      <c r="AY35" s="93"/>
      <c r="AZ35" s="93"/>
      <c r="BA35" s="93"/>
    </row>
    <row r="36" spans="1:53" ht="22.5" customHeight="1" x14ac:dyDescent="0.2">
      <c r="A36" s="281" t="s">
        <v>309</v>
      </c>
      <c r="B36" s="296" t="s">
        <v>849</v>
      </c>
      <c r="C36" s="293">
        <v>221045</v>
      </c>
      <c r="D36" s="283">
        <v>326141</v>
      </c>
      <c r="E36" s="284">
        <v>0.68</v>
      </c>
      <c r="F36" s="298" t="s">
        <v>735</v>
      </c>
      <c r="G36" s="293">
        <v>221045</v>
      </c>
      <c r="H36" s="283" t="s">
        <v>906</v>
      </c>
      <c r="I36" s="285" t="s">
        <v>906</v>
      </c>
      <c r="J36" s="300">
        <v>0</v>
      </c>
      <c r="K36" s="293">
        <v>221040</v>
      </c>
      <c r="L36" s="283">
        <v>8550</v>
      </c>
      <c r="M36" s="300">
        <v>0.04</v>
      </c>
      <c r="N36" s="293">
        <v>221045</v>
      </c>
      <c r="O36" s="283">
        <v>0</v>
      </c>
      <c r="P36" s="300">
        <v>0</v>
      </c>
      <c r="Q36" s="293">
        <v>221045</v>
      </c>
      <c r="R36" s="283">
        <v>20925</v>
      </c>
      <c r="S36" s="303">
        <v>0.09</v>
      </c>
      <c r="T36" s="302">
        <v>0</v>
      </c>
      <c r="U36" s="293">
        <v>92335</v>
      </c>
      <c r="V36" s="283">
        <v>3400</v>
      </c>
      <c r="W36" s="284">
        <v>0.04</v>
      </c>
      <c r="X36" s="282" t="s">
        <v>1037</v>
      </c>
      <c r="Y36" s="303">
        <v>0</v>
      </c>
      <c r="Z36" s="293">
        <v>25</v>
      </c>
      <c r="AA36" s="283">
        <v>148</v>
      </c>
      <c r="AB36" s="307">
        <v>1434</v>
      </c>
      <c r="AC36" s="293">
        <v>211725</v>
      </c>
      <c r="AD36" s="283">
        <v>4585</v>
      </c>
      <c r="AE36" s="284">
        <v>0.02</v>
      </c>
      <c r="AF36" s="282" t="s">
        <v>1037</v>
      </c>
      <c r="AG36" s="303">
        <v>0</v>
      </c>
      <c r="AH36" s="293">
        <v>60</v>
      </c>
      <c r="AI36" s="283">
        <v>180</v>
      </c>
      <c r="AJ36" s="307">
        <v>1439</v>
      </c>
      <c r="AK36" s="293">
        <v>233</v>
      </c>
      <c r="AL36" s="283">
        <v>488</v>
      </c>
      <c r="AM36" s="307">
        <v>1439</v>
      </c>
      <c r="AN36" s="293">
        <v>182</v>
      </c>
      <c r="AO36" s="283">
        <v>293</v>
      </c>
      <c r="AP36" s="307">
        <v>1439</v>
      </c>
      <c r="AQ36" s="293">
        <v>221045</v>
      </c>
      <c r="AR36" s="283">
        <v>35</v>
      </c>
      <c r="AS36" s="284">
        <v>0</v>
      </c>
      <c r="AT36" s="282" t="s">
        <v>1037</v>
      </c>
      <c r="AU36" s="303">
        <v>0</v>
      </c>
      <c r="AV36" s="293">
        <v>201</v>
      </c>
      <c r="AW36" s="283">
        <v>355</v>
      </c>
      <c r="AX36" s="286">
        <v>1439</v>
      </c>
      <c r="AY36" s="93"/>
      <c r="AZ36" s="93"/>
      <c r="BA36" s="93"/>
    </row>
    <row r="37" spans="1:53" ht="22.5" customHeight="1" x14ac:dyDescent="0.2">
      <c r="A37" s="281" t="s">
        <v>310</v>
      </c>
      <c r="B37" s="296" t="s">
        <v>799</v>
      </c>
      <c r="C37" s="293">
        <v>90265</v>
      </c>
      <c r="D37" s="283">
        <v>90237</v>
      </c>
      <c r="E37" s="284">
        <v>1</v>
      </c>
      <c r="F37" s="298" t="s">
        <v>712</v>
      </c>
      <c r="G37" s="293">
        <v>90265</v>
      </c>
      <c r="H37" s="283">
        <v>0</v>
      </c>
      <c r="I37" s="285">
        <v>0</v>
      </c>
      <c r="J37" s="300">
        <v>0</v>
      </c>
      <c r="K37" s="293">
        <v>90265</v>
      </c>
      <c r="L37" s="283">
        <v>0</v>
      </c>
      <c r="M37" s="300">
        <v>0</v>
      </c>
      <c r="N37" s="293">
        <v>90265</v>
      </c>
      <c r="O37" s="283">
        <v>0</v>
      </c>
      <c r="P37" s="300">
        <v>0</v>
      </c>
      <c r="Q37" s="293">
        <v>90265</v>
      </c>
      <c r="R37" s="283">
        <v>8710</v>
      </c>
      <c r="S37" s="303">
        <v>0.1</v>
      </c>
      <c r="T37" s="302">
        <v>0</v>
      </c>
      <c r="U37" s="293">
        <v>25330</v>
      </c>
      <c r="V37" s="283">
        <v>20</v>
      </c>
      <c r="W37" s="284">
        <v>0</v>
      </c>
      <c r="X37" s="282" t="s">
        <v>1037</v>
      </c>
      <c r="Y37" s="303">
        <v>0</v>
      </c>
      <c r="Z37" s="293">
        <v>8</v>
      </c>
      <c r="AA37" s="283">
        <v>37</v>
      </c>
      <c r="AB37" s="307">
        <v>1436</v>
      </c>
      <c r="AC37" s="293">
        <v>90265</v>
      </c>
      <c r="AD37" s="283">
        <v>0</v>
      </c>
      <c r="AE37" s="284">
        <v>0</v>
      </c>
      <c r="AF37" s="282" t="s">
        <v>1037</v>
      </c>
      <c r="AG37" s="303">
        <v>0</v>
      </c>
      <c r="AH37" s="293">
        <v>62</v>
      </c>
      <c r="AI37" s="283">
        <v>194</v>
      </c>
      <c r="AJ37" s="307">
        <v>1433</v>
      </c>
      <c r="AK37" s="293">
        <v>230</v>
      </c>
      <c r="AL37" s="283">
        <v>400</v>
      </c>
      <c r="AM37" s="307">
        <v>1151</v>
      </c>
      <c r="AN37" s="293">
        <v>124</v>
      </c>
      <c r="AO37" s="283">
        <v>246</v>
      </c>
      <c r="AP37" s="307">
        <v>1411</v>
      </c>
      <c r="AQ37" s="293">
        <v>90265</v>
      </c>
      <c r="AR37" s="283">
        <v>0</v>
      </c>
      <c r="AS37" s="284">
        <v>0</v>
      </c>
      <c r="AT37" s="282" t="s">
        <v>1037</v>
      </c>
      <c r="AU37" s="303">
        <v>0</v>
      </c>
      <c r="AV37" s="293">
        <v>159</v>
      </c>
      <c r="AW37" s="283">
        <v>314</v>
      </c>
      <c r="AX37" s="286">
        <v>1411</v>
      </c>
      <c r="AY37" s="93"/>
      <c r="AZ37" s="93"/>
      <c r="BA37" s="93"/>
    </row>
    <row r="38" spans="1:53" ht="22.5" customHeight="1" x14ac:dyDescent="0.2">
      <c r="A38" s="281" t="s">
        <v>311</v>
      </c>
      <c r="B38" s="296" t="s">
        <v>825</v>
      </c>
      <c r="C38" s="293">
        <v>163725</v>
      </c>
      <c r="D38" s="283">
        <v>163665</v>
      </c>
      <c r="E38" s="284">
        <v>1</v>
      </c>
      <c r="F38" s="298" t="s">
        <v>712</v>
      </c>
      <c r="G38" s="293">
        <v>163725</v>
      </c>
      <c r="H38" s="283">
        <v>0</v>
      </c>
      <c r="I38" s="285">
        <v>0</v>
      </c>
      <c r="J38" s="300">
        <v>0</v>
      </c>
      <c r="K38" s="293">
        <v>163725</v>
      </c>
      <c r="L38" s="283">
        <v>0</v>
      </c>
      <c r="M38" s="300">
        <v>0</v>
      </c>
      <c r="N38" s="293">
        <v>163725</v>
      </c>
      <c r="O38" s="283">
        <v>0</v>
      </c>
      <c r="P38" s="300">
        <v>0</v>
      </c>
      <c r="Q38" s="293">
        <v>163725</v>
      </c>
      <c r="R38" s="283">
        <v>23950</v>
      </c>
      <c r="S38" s="303">
        <v>0.15</v>
      </c>
      <c r="T38" s="302">
        <v>0</v>
      </c>
      <c r="U38" s="293">
        <v>33325</v>
      </c>
      <c r="V38" s="283">
        <v>155</v>
      </c>
      <c r="W38" s="284">
        <v>0</v>
      </c>
      <c r="X38" s="282" t="s">
        <v>1037</v>
      </c>
      <c r="Y38" s="303">
        <v>0</v>
      </c>
      <c r="Z38" s="293">
        <v>11</v>
      </c>
      <c r="AA38" s="283">
        <v>43</v>
      </c>
      <c r="AB38" s="307">
        <v>1431</v>
      </c>
      <c r="AC38" s="293">
        <v>163725</v>
      </c>
      <c r="AD38" s="283">
        <v>17435</v>
      </c>
      <c r="AE38" s="284">
        <v>0.11</v>
      </c>
      <c r="AF38" s="282" t="s">
        <v>1037</v>
      </c>
      <c r="AG38" s="303">
        <v>0</v>
      </c>
      <c r="AH38" s="293">
        <v>59</v>
      </c>
      <c r="AI38" s="283">
        <v>190</v>
      </c>
      <c r="AJ38" s="307">
        <v>1439</v>
      </c>
      <c r="AK38" s="293">
        <v>219</v>
      </c>
      <c r="AL38" s="283">
        <v>442</v>
      </c>
      <c r="AM38" s="307">
        <v>931</v>
      </c>
      <c r="AN38" s="293">
        <v>103</v>
      </c>
      <c r="AO38" s="283">
        <v>265</v>
      </c>
      <c r="AP38" s="307">
        <v>1194</v>
      </c>
      <c r="AQ38" s="293">
        <v>163725</v>
      </c>
      <c r="AR38" s="283">
        <v>50</v>
      </c>
      <c r="AS38" s="284">
        <v>0</v>
      </c>
      <c r="AT38" s="282" t="s">
        <v>1037</v>
      </c>
      <c r="AU38" s="303">
        <v>0</v>
      </c>
      <c r="AV38" s="293">
        <v>122</v>
      </c>
      <c r="AW38" s="283">
        <v>327</v>
      </c>
      <c r="AX38" s="286">
        <v>1194</v>
      </c>
      <c r="AY38" s="93"/>
      <c r="AZ38" s="93"/>
      <c r="BA38" s="93"/>
    </row>
    <row r="39" spans="1:53" ht="22.5" customHeight="1" x14ac:dyDescent="0.2">
      <c r="A39" s="281" t="s">
        <v>312</v>
      </c>
      <c r="B39" s="296" t="s">
        <v>739</v>
      </c>
      <c r="C39" s="293">
        <v>26095</v>
      </c>
      <c r="D39" s="283">
        <v>31404</v>
      </c>
      <c r="E39" s="284">
        <v>0.83</v>
      </c>
      <c r="F39" s="298" t="s">
        <v>721</v>
      </c>
      <c r="G39" s="293">
        <v>26095</v>
      </c>
      <c r="H39" s="283">
        <v>70</v>
      </c>
      <c r="I39" s="285">
        <v>0</v>
      </c>
      <c r="J39" s="300">
        <v>0.05</v>
      </c>
      <c r="K39" s="293">
        <v>26025</v>
      </c>
      <c r="L39" s="283">
        <v>390</v>
      </c>
      <c r="M39" s="300">
        <v>0.01</v>
      </c>
      <c r="N39" s="293">
        <v>26095</v>
      </c>
      <c r="O39" s="283">
        <v>0</v>
      </c>
      <c r="P39" s="300">
        <v>0</v>
      </c>
      <c r="Q39" s="293">
        <v>26095</v>
      </c>
      <c r="R39" s="283">
        <v>880</v>
      </c>
      <c r="S39" s="303">
        <v>0.03</v>
      </c>
      <c r="T39" s="302">
        <v>0</v>
      </c>
      <c r="U39" s="293">
        <v>80</v>
      </c>
      <c r="V39" s="283" t="s">
        <v>906</v>
      </c>
      <c r="W39" s="284" t="s">
        <v>1037</v>
      </c>
      <c r="X39" s="282" t="s">
        <v>1037</v>
      </c>
      <c r="Y39" s="303" t="s">
        <v>1037</v>
      </c>
      <c r="Z39" s="293">
        <v>1</v>
      </c>
      <c r="AA39" s="283">
        <v>43</v>
      </c>
      <c r="AB39" s="307">
        <v>57</v>
      </c>
      <c r="AC39" s="293">
        <v>25630</v>
      </c>
      <c r="AD39" s="283">
        <v>55</v>
      </c>
      <c r="AE39" s="284">
        <v>0</v>
      </c>
      <c r="AF39" s="282" t="s">
        <v>1037</v>
      </c>
      <c r="AG39" s="303">
        <v>0</v>
      </c>
      <c r="AH39" s="293">
        <v>20</v>
      </c>
      <c r="AI39" s="283">
        <v>92</v>
      </c>
      <c r="AJ39" s="307">
        <v>414</v>
      </c>
      <c r="AK39" s="293">
        <v>0</v>
      </c>
      <c r="AL39" s="283">
        <v>0</v>
      </c>
      <c r="AM39" s="307">
        <v>0</v>
      </c>
      <c r="AN39" s="293">
        <v>55</v>
      </c>
      <c r="AO39" s="283">
        <v>150</v>
      </c>
      <c r="AP39" s="307">
        <v>498</v>
      </c>
      <c r="AQ39" s="293">
        <v>26095</v>
      </c>
      <c r="AR39" s="283">
        <v>13330</v>
      </c>
      <c r="AS39" s="284">
        <v>0.51</v>
      </c>
      <c r="AT39" s="282" t="s">
        <v>1037</v>
      </c>
      <c r="AU39" s="303">
        <v>0</v>
      </c>
      <c r="AV39" s="293">
        <v>55</v>
      </c>
      <c r="AW39" s="283">
        <v>150</v>
      </c>
      <c r="AX39" s="286">
        <v>498</v>
      </c>
      <c r="AY39" s="93"/>
      <c r="AZ39" s="93"/>
      <c r="BA39" s="93"/>
    </row>
    <row r="40" spans="1:53" ht="22.5" customHeight="1" x14ac:dyDescent="0.2">
      <c r="A40" s="281" t="s">
        <v>315</v>
      </c>
      <c r="B40" s="296" t="s">
        <v>891</v>
      </c>
      <c r="C40" s="293">
        <v>230345</v>
      </c>
      <c r="D40" s="283">
        <v>214904</v>
      </c>
      <c r="E40" s="284">
        <v>1.07</v>
      </c>
      <c r="F40" s="298" t="s">
        <v>712</v>
      </c>
      <c r="G40" s="293">
        <v>230345</v>
      </c>
      <c r="H40" s="283">
        <v>0</v>
      </c>
      <c r="I40" s="285">
        <v>0</v>
      </c>
      <c r="J40" s="300">
        <v>0</v>
      </c>
      <c r="K40" s="293">
        <v>230345</v>
      </c>
      <c r="L40" s="283">
        <v>4950</v>
      </c>
      <c r="M40" s="300">
        <v>0.02</v>
      </c>
      <c r="N40" s="293">
        <v>230345</v>
      </c>
      <c r="O40" s="283">
        <v>0</v>
      </c>
      <c r="P40" s="300">
        <v>0</v>
      </c>
      <c r="Q40" s="293">
        <v>230345</v>
      </c>
      <c r="R40" s="283">
        <v>10305</v>
      </c>
      <c r="S40" s="303">
        <v>0.04</v>
      </c>
      <c r="T40" s="302">
        <v>0</v>
      </c>
      <c r="U40" s="293">
        <v>47640</v>
      </c>
      <c r="V40" s="283">
        <v>480</v>
      </c>
      <c r="W40" s="284">
        <v>0.01</v>
      </c>
      <c r="X40" s="282" t="s">
        <v>1037</v>
      </c>
      <c r="Y40" s="303">
        <v>0</v>
      </c>
      <c r="Z40" s="293">
        <v>5</v>
      </c>
      <c r="AA40" s="283">
        <v>42</v>
      </c>
      <c r="AB40" s="307">
        <v>268</v>
      </c>
      <c r="AC40" s="293">
        <v>225395</v>
      </c>
      <c r="AD40" s="283">
        <v>18635</v>
      </c>
      <c r="AE40" s="284">
        <v>0.08</v>
      </c>
      <c r="AF40" s="282" t="s">
        <v>1037</v>
      </c>
      <c r="AG40" s="303">
        <v>0</v>
      </c>
      <c r="AH40" s="293">
        <v>41</v>
      </c>
      <c r="AI40" s="283">
        <v>182</v>
      </c>
      <c r="AJ40" s="307">
        <v>1395</v>
      </c>
      <c r="AK40" s="293">
        <v>235</v>
      </c>
      <c r="AL40" s="283">
        <v>647</v>
      </c>
      <c r="AM40" s="307">
        <v>1289</v>
      </c>
      <c r="AN40" s="293">
        <v>70</v>
      </c>
      <c r="AO40" s="283">
        <v>241</v>
      </c>
      <c r="AP40" s="307">
        <v>1168</v>
      </c>
      <c r="AQ40" s="293">
        <v>230345</v>
      </c>
      <c r="AR40" s="283">
        <v>0</v>
      </c>
      <c r="AS40" s="284">
        <v>0</v>
      </c>
      <c r="AT40" s="282" t="s">
        <v>1037</v>
      </c>
      <c r="AU40" s="303">
        <v>0</v>
      </c>
      <c r="AV40" s="293">
        <v>91</v>
      </c>
      <c r="AW40" s="283">
        <v>360</v>
      </c>
      <c r="AX40" s="286">
        <v>1289</v>
      </c>
      <c r="AY40" s="93"/>
      <c r="AZ40" s="93"/>
      <c r="BA40" s="93"/>
    </row>
    <row r="41" spans="1:53" ht="22.5" customHeight="1" x14ac:dyDescent="0.2">
      <c r="A41" s="281" t="s">
        <v>314</v>
      </c>
      <c r="B41" s="296" t="s">
        <v>818</v>
      </c>
      <c r="C41" s="293">
        <v>80830</v>
      </c>
      <c r="D41" s="283">
        <v>80884</v>
      </c>
      <c r="E41" s="284">
        <v>1</v>
      </c>
      <c r="F41" s="298" t="s">
        <v>712</v>
      </c>
      <c r="G41" s="293">
        <v>80830</v>
      </c>
      <c r="H41" s="283">
        <v>8700</v>
      </c>
      <c r="I41" s="285">
        <v>0.11</v>
      </c>
      <c r="J41" s="300" t="s">
        <v>906</v>
      </c>
      <c r="K41" s="293">
        <v>72130</v>
      </c>
      <c r="L41" s="283">
        <v>2395</v>
      </c>
      <c r="M41" s="300">
        <v>0.03</v>
      </c>
      <c r="N41" s="293">
        <v>88035</v>
      </c>
      <c r="O41" s="283">
        <v>7205</v>
      </c>
      <c r="P41" s="300">
        <v>0.08</v>
      </c>
      <c r="Q41" s="293">
        <v>80830</v>
      </c>
      <c r="R41" s="283">
        <v>6150</v>
      </c>
      <c r="S41" s="303">
        <v>0.08</v>
      </c>
      <c r="T41" s="302">
        <v>0</v>
      </c>
      <c r="U41" s="293">
        <v>21390</v>
      </c>
      <c r="V41" s="283">
        <v>0</v>
      </c>
      <c r="W41" s="284">
        <v>0</v>
      </c>
      <c r="X41" s="282" t="s">
        <v>708</v>
      </c>
      <c r="Y41" s="303">
        <v>0</v>
      </c>
      <c r="Z41" s="293" t="s">
        <v>907</v>
      </c>
      <c r="AA41" s="283" t="s">
        <v>907</v>
      </c>
      <c r="AB41" s="307" t="s">
        <v>907</v>
      </c>
      <c r="AC41" s="293">
        <v>69730</v>
      </c>
      <c r="AD41" s="283">
        <v>2605</v>
      </c>
      <c r="AE41" s="284">
        <v>0.04</v>
      </c>
      <c r="AF41" s="282" t="s">
        <v>1037</v>
      </c>
      <c r="AG41" s="303">
        <v>0</v>
      </c>
      <c r="AH41" s="293">
        <v>108</v>
      </c>
      <c r="AI41" s="283">
        <v>312</v>
      </c>
      <c r="AJ41" s="307">
        <v>1439</v>
      </c>
      <c r="AK41" s="293">
        <v>232</v>
      </c>
      <c r="AL41" s="283">
        <v>570</v>
      </c>
      <c r="AM41" s="307">
        <v>1212</v>
      </c>
      <c r="AN41" s="293">
        <v>155</v>
      </c>
      <c r="AO41" s="283">
        <v>353</v>
      </c>
      <c r="AP41" s="307">
        <v>1415</v>
      </c>
      <c r="AQ41" s="293">
        <v>80830</v>
      </c>
      <c r="AR41" s="283">
        <v>0</v>
      </c>
      <c r="AS41" s="284">
        <v>0</v>
      </c>
      <c r="AT41" s="282" t="s">
        <v>1037</v>
      </c>
      <c r="AU41" s="303">
        <v>0</v>
      </c>
      <c r="AV41" s="293">
        <v>172</v>
      </c>
      <c r="AW41" s="283">
        <v>426</v>
      </c>
      <c r="AX41" s="286">
        <v>1415</v>
      </c>
      <c r="AY41" s="93"/>
      <c r="AZ41" s="93"/>
      <c r="BA41" s="93"/>
    </row>
    <row r="42" spans="1:53" ht="22.5" customHeight="1" x14ac:dyDescent="0.2">
      <c r="A42" s="281" t="s">
        <v>641</v>
      </c>
      <c r="B42" s="296" t="s">
        <v>745</v>
      </c>
      <c r="C42" s="293">
        <v>3890</v>
      </c>
      <c r="D42" s="283" t="s">
        <v>706</v>
      </c>
      <c r="E42" s="284" t="s">
        <v>706</v>
      </c>
      <c r="F42" s="298" t="s">
        <v>706</v>
      </c>
      <c r="G42" s="293">
        <v>3890</v>
      </c>
      <c r="H42" s="283">
        <v>35</v>
      </c>
      <c r="I42" s="285">
        <v>0.01</v>
      </c>
      <c r="J42" s="300">
        <v>0.01</v>
      </c>
      <c r="K42" s="293">
        <v>3855</v>
      </c>
      <c r="L42" s="283">
        <v>120</v>
      </c>
      <c r="M42" s="300">
        <v>0.03</v>
      </c>
      <c r="N42" s="293">
        <v>3890</v>
      </c>
      <c r="O42" s="283">
        <v>0</v>
      </c>
      <c r="P42" s="300">
        <v>0</v>
      </c>
      <c r="Q42" s="293">
        <v>3890</v>
      </c>
      <c r="R42" s="283">
        <v>305</v>
      </c>
      <c r="S42" s="303">
        <v>0.08</v>
      </c>
      <c r="T42" s="302">
        <v>0</v>
      </c>
      <c r="U42" s="293">
        <v>10</v>
      </c>
      <c r="V42" s="283">
        <v>0</v>
      </c>
      <c r="W42" s="284" t="s">
        <v>1037</v>
      </c>
      <c r="X42" s="282" t="s">
        <v>1037</v>
      </c>
      <c r="Y42" s="303" t="s">
        <v>1037</v>
      </c>
      <c r="Z42" s="293">
        <v>91</v>
      </c>
      <c r="AA42" s="283">
        <v>148</v>
      </c>
      <c r="AB42" s="307">
        <v>148</v>
      </c>
      <c r="AC42" s="293">
        <v>3675</v>
      </c>
      <c r="AD42" s="283">
        <v>0</v>
      </c>
      <c r="AE42" s="284">
        <v>0</v>
      </c>
      <c r="AF42" s="282" t="s">
        <v>1037</v>
      </c>
      <c r="AG42" s="303">
        <v>0</v>
      </c>
      <c r="AH42" s="293">
        <v>56</v>
      </c>
      <c r="AI42" s="283">
        <v>174</v>
      </c>
      <c r="AJ42" s="307">
        <v>436</v>
      </c>
      <c r="AK42" s="293" t="s">
        <v>706</v>
      </c>
      <c r="AL42" s="283" t="s">
        <v>706</v>
      </c>
      <c r="AM42" s="307" t="s">
        <v>706</v>
      </c>
      <c r="AN42" s="293">
        <v>74</v>
      </c>
      <c r="AO42" s="283">
        <v>194</v>
      </c>
      <c r="AP42" s="307">
        <v>442</v>
      </c>
      <c r="AQ42" s="293">
        <v>3890</v>
      </c>
      <c r="AR42" s="283" t="s">
        <v>906</v>
      </c>
      <c r="AS42" s="284" t="s">
        <v>906</v>
      </c>
      <c r="AT42" s="282" t="s">
        <v>1037</v>
      </c>
      <c r="AU42" s="303">
        <v>0</v>
      </c>
      <c r="AV42" s="293">
        <v>74</v>
      </c>
      <c r="AW42" s="283">
        <v>194</v>
      </c>
      <c r="AX42" s="286">
        <v>442</v>
      </c>
      <c r="AY42" s="93"/>
      <c r="AZ42" s="93"/>
      <c r="BA42" s="93"/>
    </row>
    <row r="43" spans="1:53" ht="22.5" customHeight="1" x14ac:dyDescent="0.2">
      <c r="A43" s="281" t="s">
        <v>316</v>
      </c>
      <c r="B43" s="296" t="s">
        <v>812</v>
      </c>
      <c r="C43" s="293">
        <v>212730</v>
      </c>
      <c r="D43" s="283">
        <v>214455</v>
      </c>
      <c r="E43" s="284">
        <v>0.99</v>
      </c>
      <c r="F43" s="298" t="s">
        <v>712</v>
      </c>
      <c r="G43" s="293">
        <v>212730</v>
      </c>
      <c r="H43" s="283">
        <v>325</v>
      </c>
      <c r="I43" s="285">
        <v>0</v>
      </c>
      <c r="J43" s="300">
        <v>0.39</v>
      </c>
      <c r="K43" s="293">
        <v>212400</v>
      </c>
      <c r="L43" s="283">
        <v>0</v>
      </c>
      <c r="M43" s="300">
        <v>0</v>
      </c>
      <c r="N43" s="293">
        <v>212730</v>
      </c>
      <c r="O43" s="283">
        <v>0</v>
      </c>
      <c r="P43" s="300">
        <v>0</v>
      </c>
      <c r="Q43" s="293">
        <v>212730</v>
      </c>
      <c r="R43" s="283">
        <v>25705</v>
      </c>
      <c r="S43" s="303">
        <v>0.12</v>
      </c>
      <c r="T43" s="302">
        <v>0</v>
      </c>
      <c r="U43" s="293">
        <v>34755</v>
      </c>
      <c r="V43" s="283">
        <v>145</v>
      </c>
      <c r="W43" s="284">
        <v>0</v>
      </c>
      <c r="X43" s="282" t="s">
        <v>1037</v>
      </c>
      <c r="Y43" s="303">
        <v>0</v>
      </c>
      <c r="Z43" s="293">
        <v>12</v>
      </c>
      <c r="AA43" s="283">
        <v>134</v>
      </c>
      <c r="AB43" s="307">
        <v>1439</v>
      </c>
      <c r="AC43" s="293">
        <v>212400</v>
      </c>
      <c r="AD43" s="283">
        <v>2570</v>
      </c>
      <c r="AE43" s="284">
        <v>0.01</v>
      </c>
      <c r="AF43" s="282" t="s">
        <v>1037</v>
      </c>
      <c r="AG43" s="303">
        <v>0</v>
      </c>
      <c r="AH43" s="293">
        <v>36</v>
      </c>
      <c r="AI43" s="283">
        <v>172</v>
      </c>
      <c r="AJ43" s="307">
        <v>1439</v>
      </c>
      <c r="AK43" s="293">
        <v>427</v>
      </c>
      <c r="AL43" s="283">
        <v>1076</v>
      </c>
      <c r="AM43" s="307">
        <v>1439</v>
      </c>
      <c r="AN43" s="293">
        <v>97</v>
      </c>
      <c r="AO43" s="283">
        <v>400</v>
      </c>
      <c r="AP43" s="307">
        <v>1439</v>
      </c>
      <c r="AQ43" s="293">
        <v>212730</v>
      </c>
      <c r="AR43" s="283">
        <v>85</v>
      </c>
      <c r="AS43" s="284">
        <v>0</v>
      </c>
      <c r="AT43" s="282" t="s">
        <v>1037</v>
      </c>
      <c r="AU43" s="303">
        <v>0</v>
      </c>
      <c r="AV43" s="293">
        <v>107</v>
      </c>
      <c r="AW43" s="283">
        <v>525</v>
      </c>
      <c r="AX43" s="286">
        <v>1439</v>
      </c>
      <c r="AY43" s="93"/>
      <c r="AZ43" s="93"/>
      <c r="BA43" s="93"/>
    </row>
    <row r="44" spans="1:53" ht="22.5" customHeight="1" x14ac:dyDescent="0.2">
      <c r="A44" s="281" t="s">
        <v>317</v>
      </c>
      <c r="B44" s="296" t="s">
        <v>837</v>
      </c>
      <c r="C44" s="293">
        <v>21865</v>
      </c>
      <c r="D44" s="283" t="s">
        <v>706</v>
      </c>
      <c r="E44" s="284" t="s">
        <v>706</v>
      </c>
      <c r="F44" s="298" t="s">
        <v>706</v>
      </c>
      <c r="G44" s="293">
        <v>21865</v>
      </c>
      <c r="H44" s="283">
        <v>0</v>
      </c>
      <c r="I44" s="285">
        <v>0</v>
      </c>
      <c r="J44" s="300">
        <v>0.17</v>
      </c>
      <c r="K44" s="293">
        <v>21865</v>
      </c>
      <c r="L44" s="283">
        <v>215</v>
      </c>
      <c r="M44" s="300">
        <v>0.01</v>
      </c>
      <c r="N44" s="293">
        <v>21865</v>
      </c>
      <c r="O44" s="283">
        <v>0</v>
      </c>
      <c r="P44" s="300">
        <v>0</v>
      </c>
      <c r="Q44" s="293">
        <v>21865</v>
      </c>
      <c r="R44" s="283">
        <v>1615</v>
      </c>
      <c r="S44" s="303">
        <v>7.0000000000000007E-2</v>
      </c>
      <c r="T44" s="302">
        <v>0</v>
      </c>
      <c r="U44" s="293">
        <v>235</v>
      </c>
      <c r="V44" s="283">
        <v>0</v>
      </c>
      <c r="W44" s="284" t="s">
        <v>1037</v>
      </c>
      <c r="X44" s="282" t="s">
        <v>1037</v>
      </c>
      <c r="Y44" s="303" t="s">
        <v>1037</v>
      </c>
      <c r="Z44" s="293">
        <v>11</v>
      </c>
      <c r="AA44" s="283">
        <v>73</v>
      </c>
      <c r="AB44" s="307">
        <v>900</v>
      </c>
      <c r="AC44" s="293">
        <v>21640</v>
      </c>
      <c r="AD44" s="283">
        <v>0</v>
      </c>
      <c r="AE44" s="284">
        <v>0</v>
      </c>
      <c r="AF44" s="282" t="s">
        <v>1037</v>
      </c>
      <c r="AG44" s="303">
        <v>0</v>
      </c>
      <c r="AH44" s="293">
        <v>52</v>
      </c>
      <c r="AI44" s="283">
        <v>191</v>
      </c>
      <c r="AJ44" s="307">
        <v>1439</v>
      </c>
      <c r="AK44" s="293">
        <v>260</v>
      </c>
      <c r="AL44" s="283">
        <v>413</v>
      </c>
      <c r="AM44" s="307">
        <v>417</v>
      </c>
      <c r="AN44" s="293">
        <v>70</v>
      </c>
      <c r="AO44" s="283">
        <v>208</v>
      </c>
      <c r="AP44" s="307">
        <v>1437</v>
      </c>
      <c r="AQ44" s="293">
        <v>21865</v>
      </c>
      <c r="AR44" s="283">
        <v>0</v>
      </c>
      <c r="AS44" s="284">
        <v>0</v>
      </c>
      <c r="AT44" s="282" t="s">
        <v>1037</v>
      </c>
      <c r="AU44" s="303">
        <v>0</v>
      </c>
      <c r="AV44" s="293">
        <v>70</v>
      </c>
      <c r="AW44" s="283">
        <v>210</v>
      </c>
      <c r="AX44" s="286">
        <v>1437</v>
      </c>
      <c r="AY44" s="93"/>
      <c r="AZ44" s="93"/>
      <c r="BA44" s="93"/>
    </row>
    <row r="45" spans="1:53" ht="22.5" customHeight="1" x14ac:dyDescent="0.2">
      <c r="A45" s="281" t="s">
        <v>448</v>
      </c>
      <c r="B45" s="296" t="s">
        <v>834</v>
      </c>
      <c r="C45" s="293">
        <v>132290</v>
      </c>
      <c r="D45" s="283">
        <v>132278</v>
      </c>
      <c r="E45" s="284">
        <v>1</v>
      </c>
      <c r="F45" s="298" t="s">
        <v>712</v>
      </c>
      <c r="G45" s="293">
        <v>132290</v>
      </c>
      <c r="H45" s="283">
        <v>57960</v>
      </c>
      <c r="I45" s="285">
        <v>0.44</v>
      </c>
      <c r="J45" s="300">
        <v>0.01</v>
      </c>
      <c r="K45" s="293">
        <v>74330</v>
      </c>
      <c r="L45" s="283">
        <v>2970</v>
      </c>
      <c r="M45" s="300">
        <v>0.04</v>
      </c>
      <c r="N45" s="293">
        <v>132290</v>
      </c>
      <c r="O45" s="283">
        <v>0</v>
      </c>
      <c r="P45" s="300">
        <v>0</v>
      </c>
      <c r="Q45" s="293">
        <v>132290</v>
      </c>
      <c r="R45" s="283">
        <v>15215</v>
      </c>
      <c r="S45" s="303">
        <v>0.12</v>
      </c>
      <c r="T45" s="302">
        <v>0</v>
      </c>
      <c r="U45" s="293">
        <v>27415</v>
      </c>
      <c r="V45" s="283">
        <v>90</v>
      </c>
      <c r="W45" s="284">
        <v>0</v>
      </c>
      <c r="X45" s="282" t="s">
        <v>1037</v>
      </c>
      <c r="Y45" s="303">
        <v>0</v>
      </c>
      <c r="Z45" s="293">
        <v>7</v>
      </c>
      <c r="AA45" s="283">
        <v>33</v>
      </c>
      <c r="AB45" s="307">
        <v>1439</v>
      </c>
      <c r="AC45" s="293">
        <v>71185</v>
      </c>
      <c r="AD45" s="283">
        <v>5135</v>
      </c>
      <c r="AE45" s="284">
        <v>7.0000000000000007E-2</v>
      </c>
      <c r="AF45" s="282" t="s">
        <v>1037</v>
      </c>
      <c r="AG45" s="303">
        <v>0</v>
      </c>
      <c r="AH45" s="293">
        <v>71</v>
      </c>
      <c r="AI45" s="283">
        <v>209</v>
      </c>
      <c r="AJ45" s="307">
        <v>1437</v>
      </c>
      <c r="AK45" s="293">
        <v>235</v>
      </c>
      <c r="AL45" s="283">
        <v>632</v>
      </c>
      <c r="AM45" s="307">
        <v>1432</v>
      </c>
      <c r="AN45" s="293">
        <v>132</v>
      </c>
      <c r="AO45" s="283">
        <v>270</v>
      </c>
      <c r="AP45" s="307">
        <v>1427</v>
      </c>
      <c r="AQ45" s="293">
        <v>132290</v>
      </c>
      <c r="AR45" s="283">
        <v>0</v>
      </c>
      <c r="AS45" s="284">
        <v>0</v>
      </c>
      <c r="AT45" s="282" t="s">
        <v>1037</v>
      </c>
      <c r="AU45" s="303">
        <v>0</v>
      </c>
      <c r="AV45" s="293">
        <v>171</v>
      </c>
      <c r="AW45" s="283">
        <v>503</v>
      </c>
      <c r="AX45" s="286">
        <v>1438</v>
      </c>
      <c r="AY45" s="93"/>
      <c r="AZ45" s="93"/>
      <c r="BA45" s="93"/>
    </row>
    <row r="46" spans="1:53" ht="22.5" customHeight="1" x14ac:dyDescent="0.2">
      <c r="A46" s="281" t="s">
        <v>319</v>
      </c>
      <c r="B46" s="296" t="s">
        <v>899</v>
      </c>
      <c r="C46" s="293">
        <v>70800</v>
      </c>
      <c r="D46" s="283">
        <v>71315</v>
      </c>
      <c r="E46" s="284">
        <v>0.99</v>
      </c>
      <c r="F46" s="298" t="s">
        <v>712</v>
      </c>
      <c r="G46" s="293">
        <v>70800</v>
      </c>
      <c r="H46" s="283">
        <v>945</v>
      </c>
      <c r="I46" s="285">
        <v>0.01</v>
      </c>
      <c r="J46" s="300">
        <v>0.02</v>
      </c>
      <c r="K46" s="293">
        <v>69850</v>
      </c>
      <c r="L46" s="283">
        <v>205</v>
      </c>
      <c r="M46" s="300">
        <v>0</v>
      </c>
      <c r="N46" s="293">
        <v>70800</v>
      </c>
      <c r="O46" s="283">
        <v>0</v>
      </c>
      <c r="P46" s="300">
        <v>0</v>
      </c>
      <c r="Q46" s="293">
        <v>70800</v>
      </c>
      <c r="R46" s="283">
        <v>1950</v>
      </c>
      <c r="S46" s="303">
        <v>0.03</v>
      </c>
      <c r="T46" s="302">
        <v>0</v>
      </c>
      <c r="U46" s="293">
        <v>60</v>
      </c>
      <c r="V46" s="283" t="s">
        <v>906</v>
      </c>
      <c r="W46" s="284" t="s">
        <v>1037</v>
      </c>
      <c r="X46" s="282" t="s">
        <v>1037</v>
      </c>
      <c r="Y46" s="303" t="s">
        <v>1037</v>
      </c>
      <c r="Z46" s="293">
        <v>4</v>
      </c>
      <c r="AA46" s="283">
        <v>16</v>
      </c>
      <c r="AB46" s="307">
        <v>40</v>
      </c>
      <c r="AC46" s="293">
        <v>69645</v>
      </c>
      <c r="AD46" s="283">
        <v>45</v>
      </c>
      <c r="AE46" s="284">
        <v>0</v>
      </c>
      <c r="AF46" s="282" t="s">
        <v>1037</v>
      </c>
      <c r="AG46" s="303">
        <v>0</v>
      </c>
      <c r="AH46" s="293">
        <v>16</v>
      </c>
      <c r="AI46" s="283">
        <v>67</v>
      </c>
      <c r="AJ46" s="307">
        <v>326</v>
      </c>
      <c r="AK46" s="293">
        <v>61</v>
      </c>
      <c r="AL46" s="283">
        <v>132</v>
      </c>
      <c r="AM46" s="307">
        <v>172</v>
      </c>
      <c r="AN46" s="293">
        <v>52</v>
      </c>
      <c r="AO46" s="283">
        <v>128</v>
      </c>
      <c r="AP46" s="307">
        <v>383</v>
      </c>
      <c r="AQ46" s="293">
        <v>70800</v>
      </c>
      <c r="AR46" s="283" t="s">
        <v>906</v>
      </c>
      <c r="AS46" s="284" t="s">
        <v>906</v>
      </c>
      <c r="AT46" s="282" t="s">
        <v>1037</v>
      </c>
      <c r="AU46" s="303">
        <v>0</v>
      </c>
      <c r="AV46" s="293">
        <v>52</v>
      </c>
      <c r="AW46" s="283">
        <v>127</v>
      </c>
      <c r="AX46" s="286">
        <v>383</v>
      </c>
      <c r="AY46" s="93"/>
      <c r="AZ46" s="93"/>
      <c r="BA46" s="93"/>
    </row>
    <row r="47" spans="1:53" ht="22.5" customHeight="1" x14ac:dyDescent="0.2">
      <c r="A47" s="281" t="s">
        <v>1005</v>
      </c>
      <c r="B47" s="296" t="s">
        <v>1004</v>
      </c>
      <c r="C47" s="293">
        <v>43990</v>
      </c>
      <c r="D47" s="283" t="s">
        <v>706</v>
      </c>
      <c r="E47" s="284" t="s">
        <v>706</v>
      </c>
      <c r="F47" s="298" t="s">
        <v>706</v>
      </c>
      <c r="G47" s="293">
        <v>43990</v>
      </c>
      <c r="H47" s="283">
        <v>0</v>
      </c>
      <c r="I47" s="285">
        <v>0</v>
      </c>
      <c r="J47" s="300">
        <v>0.24</v>
      </c>
      <c r="K47" s="293">
        <v>43990</v>
      </c>
      <c r="L47" s="283">
        <v>1385</v>
      </c>
      <c r="M47" s="300">
        <v>0.03</v>
      </c>
      <c r="N47" s="293">
        <v>43990</v>
      </c>
      <c r="O47" s="283">
        <v>0</v>
      </c>
      <c r="P47" s="300">
        <v>0</v>
      </c>
      <c r="Q47" s="293">
        <v>43990</v>
      </c>
      <c r="R47" s="283">
        <v>2185</v>
      </c>
      <c r="S47" s="303">
        <v>0.05</v>
      </c>
      <c r="T47" s="302">
        <v>0</v>
      </c>
      <c r="U47" s="293">
        <v>125</v>
      </c>
      <c r="V47" s="283">
        <v>0</v>
      </c>
      <c r="W47" s="284" t="s">
        <v>1037</v>
      </c>
      <c r="X47" s="282" t="s">
        <v>1037</v>
      </c>
      <c r="Y47" s="303" t="s">
        <v>1037</v>
      </c>
      <c r="Z47" s="293">
        <v>14</v>
      </c>
      <c r="AA47" s="283">
        <v>53</v>
      </c>
      <c r="AB47" s="307">
        <v>106</v>
      </c>
      <c r="AC47" s="293">
        <v>42585</v>
      </c>
      <c r="AD47" s="283">
        <v>10</v>
      </c>
      <c r="AE47" s="284">
        <v>0</v>
      </c>
      <c r="AF47" s="282" t="s">
        <v>1037</v>
      </c>
      <c r="AG47" s="303">
        <v>0</v>
      </c>
      <c r="AH47" s="293">
        <v>10</v>
      </c>
      <c r="AI47" s="283">
        <v>57</v>
      </c>
      <c r="AJ47" s="307">
        <v>392</v>
      </c>
      <c r="AK47" s="293">
        <v>92</v>
      </c>
      <c r="AL47" s="283">
        <v>228</v>
      </c>
      <c r="AM47" s="307">
        <v>565</v>
      </c>
      <c r="AN47" s="293">
        <v>75</v>
      </c>
      <c r="AO47" s="283">
        <v>223</v>
      </c>
      <c r="AP47" s="307">
        <v>702</v>
      </c>
      <c r="AQ47" s="293">
        <v>43990</v>
      </c>
      <c r="AR47" s="283">
        <v>0</v>
      </c>
      <c r="AS47" s="284">
        <v>0</v>
      </c>
      <c r="AT47" s="282" t="s">
        <v>1037</v>
      </c>
      <c r="AU47" s="303">
        <v>0</v>
      </c>
      <c r="AV47" s="293">
        <v>76</v>
      </c>
      <c r="AW47" s="283">
        <v>223</v>
      </c>
      <c r="AX47" s="286">
        <v>702</v>
      </c>
      <c r="AY47" s="93"/>
      <c r="AZ47" s="93"/>
      <c r="BA47" s="93"/>
    </row>
    <row r="48" spans="1:53" ht="22.5" customHeight="1" x14ac:dyDescent="0.2">
      <c r="A48" s="281" t="s">
        <v>320</v>
      </c>
      <c r="B48" s="296" t="s">
        <v>842</v>
      </c>
      <c r="C48" s="293">
        <v>175220</v>
      </c>
      <c r="D48" s="283">
        <v>175464</v>
      </c>
      <c r="E48" s="284">
        <v>1</v>
      </c>
      <c r="F48" s="298" t="s">
        <v>712</v>
      </c>
      <c r="G48" s="293">
        <v>175220</v>
      </c>
      <c r="H48" s="283">
        <v>10</v>
      </c>
      <c r="I48" s="285">
        <v>0</v>
      </c>
      <c r="J48" s="300">
        <v>0</v>
      </c>
      <c r="K48" s="293">
        <v>175210</v>
      </c>
      <c r="L48" s="283">
        <v>5250</v>
      </c>
      <c r="M48" s="300">
        <v>0.03</v>
      </c>
      <c r="N48" s="293">
        <v>175220</v>
      </c>
      <c r="O48" s="283">
        <v>0</v>
      </c>
      <c r="P48" s="300">
        <v>0</v>
      </c>
      <c r="Q48" s="293">
        <v>175220</v>
      </c>
      <c r="R48" s="283">
        <v>14790</v>
      </c>
      <c r="S48" s="303">
        <v>0.08</v>
      </c>
      <c r="T48" s="302">
        <v>0</v>
      </c>
      <c r="U48" s="293">
        <v>44645</v>
      </c>
      <c r="V48" s="283">
        <v>3345</v>
      </c>
      <c r="W48" s="284">
        <v>7.0000000000000007E-2</v>
      </c>
      <c r="X48" s="282" t="s">
        <v>1037</v>
      </c>
      <c r="Y48" s="303">
        <v>0</v>
      </c>
      <c r="Z48" s="293">
        <v>6</v>
      </c>
      <c r="AA48" s="283">
        <v>33</v>
      </c>
      <c r="AB48" s="307">
        <v>1417</v>
      </c>
      <c r="AC48" s="293">
        <v>169960</v>
      </c>
      <c r="AD48" s="283">
        <v>16245</v>
      </c>
      <c r="AE48" s="284">
        <v>0.1</v>
      </c>
      <c r="AF48" s="282" t="s">
        <v>1037</v>
      </c>
      <c r="AG48" s="303">
        <v>0</v>
      </c>
      <c r="AH48" s="293">
        <v>56</v>
      </c>
      <c r="AI48" s="283">
        <v>167</v>
      </c>
      <c r="AJ48" s="307">
        <v>1358</v>
      </c>
      <c r="AK48" s="293">
        <v>220</v>
      </c>
      <c r="AL48" s="283">
        <v>470</v>
      </c>
      <c r="AM48" s="307">
        <v>1388</v>
      </c>
      <c r="AN48" s="293">
        <v>131</v>
      </c>
      <c r="AO48" s="283">
        <v>240</v>
      </c>
      <c r="AP48" s="307">
        <v>1310</v>
      </c>
      <c r="AQ48" s="293">
        <v>175220</v>
      </c>
      <c r="AR48" s="283" t="s">
        <v>906</v>
      </c>
      <c r="AS48" s="284" t="s">
        <v>906</v>
      </c>
      <c r="AT48" s="282" t="s">
        <v>1037</v>
      </c>
      <c r="AU48" s="303">
        <v>0</v>
      </c>
      <c r="AV48" s="293">
        <v>147</v>
      </c>
      <c r="AW48" s="283">
        <v>320</v>
      </c>
      <c r="AX48" s="286">
        <v>1388</v>
      </c>
      <c r="AY48" s="93"/>
      <c r="AZ48" s="93"/>
      <c r="BA48" s="93"/>
    </row>
    <row r="49" spans="1:53" ht="22.5" customHeight="1" x14ac:dyDescent="0.2">
      <c r="A49" s="281" t="s">
        <v>321</v>
      </c>
      <c r="B49" s="296" t="s">
        <v>772</v>
      </c>
      <c r="C49" s="293">
        <v>100635</v>
      </c>
      <c r="D49" s="283">
        <v>100596</v>
      </c>
      <c r="E49" s="284">
        <v>1</v>
      </c>
      <c r="F49" s="298" t="s">
        <v>712</v>
      </c>
      <c r="G49" s="293">
        <v>100635</v>
      </c>
      <c r="H49" s="283">
        <v>3620</v>
      </c>
      <c r="I49" s="285">
        <v>0.04</v>
      </c>
      <c r="J49" s="300">
        <v>0.02</v>
      </c>
      <c r="K49" s="293">
        <v>97020</v>
      </c>
      <c r="L49" s="283">
        <v>485</v>
      </c>
      <c r="M49" s="300">
        <v>0</v>
      </c>
      <c r="N49" s="293">
        <v>100635</v>
      </c>
      <c r="O49" s="283">
        <v>0</v>
      </c>
      <c r="P49" s="300">
        <v>0</v>
      </c>
      <c r="Q49" s="293">
        <v>100635</v>
      </c>
      <c r="R49" s="283">
        <v>10130</v>
      </c>
      <c r="S49" s="303">
        <v>0.1</v>
      </c>
      <c r="T49" s="302">
        <v>0</v>
      </c>
      <c r="U49" s="293">
        <v>16325</v>
      </c>
      <c r="V49" s="283">
        <v>11380</v>
      </c>
      <c r="W49" s="284">
        <v>0.7</v>
      </c>
      <c r="X49" s="282" t="s">
        <v>1037</v>
      </c>
      <c r="Y49" s="303">
        <v>0</v>
      </c>
      <c r="Z49" s="293">
        <v>11</v>
      </c>
      <c r="AA49" s="283">
        <v>50</v>
      </c>
      <c r="AB49" s="307">
        <v>254</v>
      </c>
      <c r="AC49" s="293">
        <v>96535</v>
      </c>
      <c r="AD49" s="283">
        <v>16445</v>
      </c>
      <c r="AE49" s="284">
        <v>0.17</v>
      </c>
      <c r="AF49" s="282" t="s">
        <v>1037</v>
      </c>
      <c r="AG49" s="303">
        <v>0</v>
      </c>
      <c r="AH49" s="293">
        <v>36</v>
      </c>
      <c r="AI49" s="283">
        <v>160</v>
      </c>
      <c r="AJ49" s="307">
        <v>1376</v>
      </c>
      <c r="AK49" s="293">
        <v>206</v>
      </c>
      <c r="AL49" s="283">
        <v>379</v>
      </c>
      <c r="AM49" s="307">
        <v>1197</v>
      </c>
      <c r="AN49" s="293">
        <v>73</v>
      </c>
      <c r="AO49" s="283">
        <v>234</v>
      </c>
      <c r="AP49" s="307">
        <v>1174</v>
      </c>
      <c r="AQ49" s="293">
        <v>100635</v>
      </c>
      <c r="AR49" s="283">
        <v>0</v>
      </c>
      <c r="AS49" s="284">
        <v>0</v>
      </c>
      <c r="AT49" s="282" t="s">
        <v>1037</v>
      </c>
      <c r="AU49" s="303">
        <v>0</v>
      </c>
      <c r="AV49" s="293">
        <v>82</v>
      </c>
      <c r="AW49" s="283">
        <v>239</v>
      </c>
      <c r="AX49" s="286">
        <v>1197</v>
      </c>
      <c r="AY49" s="93"/>
      <c r="AZ49" s="93"/>
      <c r="BA49" s="93"/>
    </row>
    <row r="50" spans="1:53" ht="22.5" customHeight="1" x14ac:dyDescent="0.2">
      <c r="A50" s="281" t="s">
        <v>529</v>
      </c>
      <c r="B50" s="296" t="s">
        <v>711</v>
      </c>
      <c r="C50" s="293">
        <v>68625</v>
      </c>
      <c r="D50" s="283" t="s">
        <v>706</v>
      </c>
      <c r="E50" s="284" t="s">
        <v>706</v>
      </c>
      <c r="F50" s="298" t="s">
        <v>706</v>
      </c>
      <c r="G50" s="293">
        <v>68625</v>
      </c>
      <c r="H50" s="283">
        <v>0</v>
      </c>
      <c r="I50" s="285">
        <v>0</v>
      </c>
      <c r="J50" s="300">
        <v>0.04</v>
      </c>
      <c r="K50" s="293">
        <v>68625</v>
      </c>
      <c r="L50" s="283">
        <v>5665</v>
      </c>
      <c r="M50" s="300">
        <v>0.08</v>
      </c>
      <c r="N50" s="293">
        <v>68625</v>
      </c>
      <c r="O50" s="283">
        <v>0</v>
      </c>
      <c r="P50" s="300">
        <v>0</v>
      </c>
      <c r="Q50" s="293">
        <v>68625</v>
      </c>
      <c r="R50" s="283">
        <v>4180</v>
      </c>
      <c r="S50" s="303">
        <v>0.06</v>
      </c>
      <c r="T50" s="302">
        <v>0</v>
      </c>
      <c r="U50" s="293">
        <v>2550</v>
      </c>
      <c r="V50" s="283">
        <v>0</v>
      </c>
      <c r="W50" s="284">
        <v>0</v>
      </c>
      <c r="X50" s="282" t="s">
        <v>1037</v>
      </c>
      <c r="Y50" s="303">
        <v>0.03</v>
      </c>
      <c r="Z50" s="293">
        <v>7</v>
      </c>
      <c r="AA50" s="283">
        <v>28</v>
      </c>
      <c r="AB50" s="307">
        <v>1397</v>
      </c>
      <c r="AC50" s="293">
        <v>60610</v>
      </c>
      <c r="AD50" s="283">
        <v>0</v>
      </c>
      <c r="AE50" s="284">
        <v>0</v>
      </c>
      <c r="AF50" s="282" t="s">
        <v>1037</v>
      </c>
      <c r="AG50" s="303">
        <v>0</v>
      </c>
      <c r="AH50" s="293">
        <v>72</v>
      </c>
      <c r="AI50" s="283">
        <v>189</v>
      </c>
      <c r="AJ50" s="307">
        <v>1186</v>
      </c>
      <c r="AK50" s="293" t="s">
        <v>706</v>
      </c>
      <c r="AL50" s="283" t="s">
        <v>706</v>
      </c>
      <c r="AM50" s="307" t="s">
        <v>706</v>
      </c>
      <c r="AN50" s="293">
        <v>97</v>
      </c>
      <c r="AO50" s="283">
        <v>213</v>
      </c>
      <c r="AP50" s="307">
        <v>550</v>
      </c>
      <c r="AQ50" s="293">
        <v>68625</v>
      </c>
      <c r="AR50" s="283">
        <v>0</v>
      </c>
      <c r="AS50" s="284">
        <v>0</v>
      </c>
      <c r="AT50" s="282" t="s">
        <v>1037</v>
      </c>
      <c r="AU50" s="303">
        <v>0</v>
      </c>
      <c r="AV50" s="293">
        <v>97</v>
      </c>
      <c r="AW50" s="283">
        <v>213</v>
      </c>
      <c r="AX50" s="286">
        <v>550</v>
      </c>
      <c r="AY50" s="93"/>
      <c r="AZ50" s="93"/>
      <c r="BA50" s="93"/>
    </row>
    <row r="51" spans="1:53" ht="22.5" customHeight="1" x14ac:dyDescent="0.2">
      <c r="A51" s="281" t="s">
        <v>322</v>
      </c>
      <c r="B51" s="296" t="s">
        <v>878</v>
      </c>
      <c r="C51" s="293">
        <v>136445</v>
      </c>
      <c r="D51" s="283">
        <v>162468</v>
      </c>
      <c r="E51" s="284">
        <v>0.84</v>
      </c>
      <c r="F51" s="298" t="s">
        <v>721</v>
      </c>
      <c r="G51" s="293">
        <v>136445</v>
      </c>
      <c r="H51" s="283">
        <v>0</v>
      </c>
      <c r="I51" s="285">
        <v>0</v>
      </c>
      <c r="J51" s="300">
        <v>0</v>
      </c>
      <c r="K51" s="293">
        <v>136445</v>
      </c>
      <c r="L51" s="283">
        <v>20</v>
      </c>
      <c r="M51" s="300">
        <v>0</v>
      </c>
      <c r="N51" s="293">
        <v>137960</v>
      </c>
      <c r="O51" s="283">
        <v>1515</v>
      </c>
      <c r="P51" s="300">
        <v>0.01</v>
      </c>
      <c r="Q51" s="293">
        <v>136445</v>
      </c>
      <c r="R51" s="283">
        <v>10585</v>
      </c>
      <c r="S51" s="303">
        <v>0.08</v>
      </c>
      <c r="T51" s="302">
        <v>0</v>
      </c>
      <c r="U51" s="293">
        <v>26235</v>
      </c>
      <c r="V51" s="283">
        <v>26235</v>
      </c>
      <c r="W51" s="284">
        <v>1</v>
      </c>
      <c r="X51" s="282" t="s">
        <v>1037</v>
      </c>
      <c r="Y51" s="303">
        <v>0</v>
      </c>
      <c r="Z51" s="293" t="s">
        <v>908</v>
      </c>
      <c r="AA51" s="283" t="s">
        <v>908</v>
      </c>
      <c r="AB51" s="307" t="s">
        <v>908</v>
      </c>
      <c r="AC51" s="293">
        <v>136425</v>
      </c>
      <c r="AD51" s="283">
        <v>104740</v>
      </c>
      <c r="AE51" s="284">
        <v>0.77</v>
      </c>
      <c r="AF51" s="282" t="s">
        <v>1037</v>
      </c>
      <c r="AG51" s="303">
        <v>0</v>
      </c>
      <c r="AH51" s="293">
        <v>98</v>
      </c>
      <c r="AI51" s="283">
        <v>1426</v>
      </c>
      <c r="AJ51" s="307">
        <v>1439</v>
      </c>
      <c r="AK51" s="293">
        <v>244</v>
      </c>
      <c r="AL51" s="283">
        <v>764</v>
      </c>
      <c r="AM51" s="307">
        <v>1439</v>
      </c>
      <c r="AN51" s="293">
        <v>123</v>
      </c>
      <c r="AO51" s="283">
        <v>353</v>
      </c>
      <c r="AP51" s="307">
        <v>1439</v>
      </c>
      <c r="AQ51" s="293">
        <v>136445</v>
      </c>
      <c r="AR51" s="283">
        <v>75</v>
      </c>
      <c r="AS51" s="284">
        <v>0</v>
      </c>
      <c r="AT51" s="282" t="s">
        <v>1037</v>
      </c>
      <c r="AU51" s="303">
        <v>0</v>
      </c>
      <c r="AV51" s="293">
        <v>140</v>
      </c>
      <c r="AW51" s="283">
        <v>498</v>
      </c>
      <c r="AX51" s="286">
        <v>1439</v>
      </c>
      <c r="AY51" s="93"/>
      <c r="AZ51" s="93"/>
      <c r="BA51" s="93"/>
    </row>
    <row r="52" spans="1:53" ht="22.5" customHeight="1" x14ac:dyDescent="0.2">
      <c r="A52" s="281" t="s">
        <v>323</v>
      </c>
      <c r="B52" s="296" t="s">
        <v>817</v>
      </c>
      <c r="C52" s="293">
        <v>49535</v>
      </c>
      <c r="D52" s="283">
        <v>49550</v>
      </c>
      <c r="E52" s="284">
        <v>1</v>
      </c>
      <c r="F52" s="298" t="s">
        <v>712</v>
      </c>
      <c r="G52" s="293">
        <v>49535</v>
      </c>
      <c r="H52" s="283">
        <v>0</v>
      </c>
      <c r="I52" s="285">
        <v>0</v>
      </c>
      <c r="J52" s="300">
        <v>0.01</v>
      </c>
      <c r="K52" s="293">
        <v>49535</v>
      </c>
      <c r="L52" s="283">
        <v>1110</v>
      </c>
      <c r="M52" s="300">
        <v>0.02</v>
      </c>
      <c r="N52" s="293">
        <v>49535</v>
      </c>
      <c r="O52" s="283">
        <v>0</v>
      </c>
      <c r="P52" s="300">
        <v>0</v>
      </c>
      <c r="Q52" s="293">
        <v>49535</v>
      </c>
      <c r="R52" s="283">
        <v>3200</v>
      </c>
      <c r="S52" s="303">
        <v>0.06</v>
      </c>
      <c r="T52" s="302">
        <v>0</v>
      </c>
      <c r="U52" s="293">
        <v>13290</v>
      </c>
      <c r="V52" s="283" t="s">
        <v>906</v>
      </c>
      <c r="W52" s="284" t="s">
        <v>906</v>
      </c>
      <c r="X52" s="282" t="s">
        <v>1037</v>
      </c>
      <c r="Y52" s="303">
        <v>0</v>
      </c>
      <c r="Z52" s="293">
        <v>4</v>
      </c>
      <c r="AA52" s="283">
        <v>20</v>
      </c>
      <c r="AB52" s="307">
        <v>212</v>
      </c>
      <c r="AC52" s="293">
        <v>48110</v>
      </c>
      <c r="AD52" s="283">
        <v>620</v>
      </c>
      <c r="AE52" s="284">
        <v>0.01</v>
      </c>
      <c r="AF52" s="282" t="s">
        <v>1037</v>
      </c>
      <c r="AG52" s="303">
        <v>0</v>
      </c>
      <c r="AH52" s="293">
        <v>61</v>
      </c>
      <c r="AI52" s="283">
        <v>206</v>
      </c>
      <c r="AJ52" s="307">
        <v>1322</v>
      </c>
      <c r="AK52" s="293">
        <v>238</v>
      </c>
      <c r="AL52" s="283">
        <v>811</v>
      </c>
      <c r="AM52" s="307">
        <v>1431</v>
      </c>
      <c r="AN52" s="293">
        <v>134</v>
      </c>
      <c r="AO52" s="283">
        <v>335</v>
      </c>
      <c r="AP52" s="307">
        <v>1403</v>
      </c>
      <c r="AQ52" s="293">
        <v>49535</v>
      </c>
      <c r="AR52" s="283">
        <v>0</v>
      </c>
      <c r="AS52" s="284">
        <v>0</v>
      </c>
      <c r="AT52" s="282" t="s">
        <v>1037</v>
      </c>
      <c r="AU52" s="303">
        <v>0</v>
      </c>
      <c r="AV52" s="293">
        <v>160</v>
      </c>
      <c r="AW52" s="283">
        <v>464</v>
      </c>
      <c r="AX52" s="286">
        <v>1431</v>
      </c>
      <c r="AY52" s="93"/>
      <c r="AZ52" s="93"/>
      <c r="BA52" s="93"/>
    </row>
    <row r="53" spans="1:53" ht="22.5" customHeight="1" x14ac:dyDescent="0.2">
      <c r="A53" s="281" t="s">
        <v>324</v>
      </c>
      <c r="B53" s="296" t="s">
        <v>869</v>
      </c>
      <c r="C53" s="293">
        <v>218115</v>
      </c>
      <c r="D53" s="283">
        <v>220738</v>
      </c>
      <c r="E53" s="284">
        <v>0.99</v>
      </c>
      <c r="F53" s="298" t="s">
        <v>712</v>
      </c>
      <c r="G53" s="293">
        <v>218115</v>
      </c>
      <c r="H53" s="283">
        <v>42085</v>
      </c>
      <c r="I53" s="285">
        <v>0.19</v>
      </c>
      <c r="J53" s="300">
        <v>0</v>
      </c>
      <c r="K53" s="293">
        <v>176025</v>
      </c>
      <c r="L53" s="283">
        <v>6355</v>
      </c>
      <c r="M53" s="300">
        <v>0.04</v>
      </c>
      <c r="N53" s="293">
        <v>218115</v>
      </c>
      <c r="O53" s="283">
        <v>0</v>
      </c>
      <c r="P53" s="300">
        <v>0</v>
      </c>
      <c r="Q53" s="293">
        <v>218115</v>
      </c>
      <c r="R53" s="283">
        <v>21620</v>
      </c>
      <c r="S53" s="303">
        <v>0.1</v>
      </c>
      <c r="T53" s="302">
        <v>0</v>
      </c>
      <c r="U53" s="293">
        <v>66235</v>
      </c>
      <c r="V53" s="283">
        <v>3105</v>
      </c>
      <c r="W53" s="284">
        <v>0.05</v>
      </c>
      <c r="X53" s="282" t="s">
        <v>1037</v>
      </c>
      <c r="Y53" s="303">
        <v>0</v>
      </c>
      <c r="Z53" s="293">
        <v>3</v>
      </c>
      <c r="AA53" s="283">
        <v>67</v>
      </c>
      <c r="AB53" s="307">
        <v>1439</v>
      </c>
      <c r="AC53" s="293">
        <v>169670</v>
      </c>
      <c r="AD53" s="283">
        <v>12960</v>
      </c>
      <c r="AE53" s="284">
        <v>0.08</v>
      </c>
      <c r="AF53" s="282" t="s">
        <v>1037</v>
      </c>
      <c r="AG53" s="303">
        <v>0</v>
      </c>
      <c r="AH53" s="293">
        <v>54</v>
      </c>
      <c r="AI53" s="283">
        <v>208</v>
      </c>
      <c r="AJ53" s="307">
        <v>1429</v>
      </c>
      <c r="AK53" s="293">
        <v>374</v>
      </c>
      <c r="AL53" s="283">
        <v>1148</v>
      </c>
      <c r="AM53" s="307">
        <v>1439</v>
      </c>
      <c r="AN53" s="293">
        <v>132</v>
      </c>
      <c r="AO53" s="283">
        <v>464</v>
      </c>
      <c r="AP53" s="307">
        <v>1439</v>
      </c>
      <c r="AQ53" s="293">
        <v>218115</v>
      </c>
      <c r="AR53" s="283">
        <v>0</v>
      </c>
      <c r="AS53" s="284">
        <v>0</v>
      </c>
      <c r="AT53" s="282" t="s">
        <v>1037</v>
      </c>
      <c r="AU53" s="303">
        <v>0</v>
      </c>
      <c r="AV53" s="293">
        <v>158</v>
      </c>
      <c r="AW53" s="283">
        <v>693</v>
      </c>
      <c r="AX53" s="286">
        <v>1439</v>
      </c>
      <c r="AY53" s="93"/>
      <c r="AZ53" s="93"/>
      <c r="BA53" s="93"/>
    </row>
    <row r="54" spans="1:53" ht="22.5" customHeight="1" x14ac:dyDescent="0.2">
      <c r="A54" s="281" t="s">
        <v>325</v>
      </c>
      <c r="B54" s="296" t="s">
        <v>893</v>
      </c>
      <c r="C54" s="293">
        <v>178795</v>
      </c>
      <c r="D54" s="283">
        <v>192854</v>
      </c>
      <c r="E54" s="284">
        <v>0.93</v>
      </c>
      <c r="F54" s="298" t="s">
        <v>712</v>
      </c>
      <c r="G54" s="293">
        <v>178795</v>
      </c>
      <c r="H54" s="283">
        <v>0</v>
      </c>
      <c r="I54" s="285">
        <v>0</v>
      </c>
      <c r="J54" s="300">
        <v>0</v>
      </c>
      <c r="K54" s="293">
        <v>178795</v>
      </c>
      <c r="L54" s="283">
        <v>9420</v>
      </c>
      <c r="M54" s="300">
        <v>0.05</v>
      </c>
      <c r="N54" s="293">
        <v>178795</v>
      </c>
      <c r="O54" s="283">
        <v>0</v>
      </c>
      <c r="P54" s="300">
        <v>0</v>
      </c>
      <c r="Q54" s="293">
        <v>178795</v>
      </c>
      <c r="R54" s="283">
        <v>16365</v>
      </c>
      <c r="S54" s="303">
        <v>0.09</v>
      </c>
      <c r="T54" s="302">
        <v>0</v>
      </c>
      <c r="U54" s="293">
        <v>47400</v>
      </c>
      <c r="V54" s="283">
        <v>80</v>
      </c>
      <c r="W54" s="284">
        <v>0</v>
      </c>
      <c r="X54" s="282" t="s">
        <v>1037</v>
      </c>
      <c r="Y54" s="303">
        <v>0</v>
      </c>
      <c r="Z54" s="293">
        <v>8</v>
      </c>
      <c r="AA54" s="283">
        <v>76</v>
      </c>
      <c r="AB54" s="307">
        <v>1439</v>
      </c>
      <c r="AC54" s="293">
        <v>167920</v>
      </c>
      <c r="AD54" s="283">
        <v>34840</v>
      </c>
      <c r="AE54" s="284">
        <v>0.21</v>
      </c>
      <c r="AF54" s="282" t="s">
        <v>1037</v>
      </c>
      <c r="AG54" s="303">
        <v>0</v>
      </c>
      <c r="AH54" s="293">
        <v>84</v>
      </c>
      <c r="AI54" s="283">
        <v>252</v>
      </c>
      <c r="AJ54" s="307">
        <v>1210</v>
      </c>
      <c r="AK54" s="293">
        <v>239</v>
      </c>
      <c r="AL54" s="283">
        <v>794</v>
      </c>
      <c r="AM54" s="307">
        <v>1437</v>
      </c>
      <c r="AN54" s="293">
        <v>141</v>
      </c>
      <c r="AO54" s="283">
        <v>357</v>
      </c>
      <c r="AP54" s="307">
        <v>1437</v>
      </c>
      <c r="AQ54" s="293">
        <v>178795</v>
      </c>
      <c r="AR54" s="283">
        <v>0</v>
      </c>
      <c r="AS54" s="284">
        <v>0</v>
      </c>
      <c r="AT54" s="282" t="s">
        <v>1037</v>
      </c>
      <c r="AU54" s="303">
        <v>0</v>
      </c>
      <c r="AV54" s="293">
        <v>160</v>
      </c>
      <c r="AW54" s="283">
        <v>519</v>
      </c>
      <c r="AX54" s="286">
        <v>1437</v>
      </c>
      <c r="AY54" s="93"/>
      <c r="AZ54" s="93"/>
      <c r="BA54" s="93"/>
    </row>
    <row r="55" spans="1:53" ht="22.5" customHeight="1" x14ac:dyDescent="0.2">
      <c r="A55" s="281" t="s">
        <v>635</v>
      </c>
      <c r="B55" s="296" t="s">
        <v>736</v>
      </c>
      <c r="C55" s="293">
        <v>25715</v>
      </c>
      <c r="D55" s="283">
        <v>26117</v>
      </c>
      <c r="E55" s="284">
        <v>0.98</v>
      </c>
      <c r="F55" s="298" t="s">
        <v>712</v>
      </c>
      <c r="G55" s="293">
        <v>25715</v>
      </c>
      <c r="H55" s="283">
        <v>0</v>
      </c>
      <c r="I55" s="285">
        <v>0</v>
      </c>
      <c r="J55" s="300">
        <v>0.02</v>
      </c>
      <c r="K55" s="293">
        <v>25715</v>
      </c>
      <c r="L55" s="283">
        <v>365</v>
      </c>
      <c r="M55" s="300">
        <v>0.01</v>
      </c>
      <c r="N55" s="293">
        <v>25715</v>
      </c>
      <c r="O55" s="283">
        <v>0</v>
      </c>
      <c r="P55" s="300">
        <v>0</v>
      </c>
      <c r="Q55" s="293">
        <v>25715</v>
      </c>
      <c r="R55" s="283">
        <v>940</v>
      </c>
      <c r="S55" s="303">
        <v>0.04</v>
      </c>
      <c r="T55" s="302">
        <v>0</v>
      </c>
      <c r="U55" s="293">
        <v>80</v>
      </c>
      <c r="V55" s="283">
        <v>10</v>
      </c>
      <c r="W55" s="284" t="s">
        <v>1037</v>
      </c>
      <c r="X55" s="282" t="s">
        <v>1037</v>
      </c>
      <c r="Y55" s="303" t="s">
        <v>1037</v>
      </c>
      <c r="Z55" s="293">
        <v>0</v>
      </c>
      <c r="AA55" s="283">
        <v>11</v>
      </c>
      <c r="AB55" s="307">
        <v>32</v>
      </c>
      <c r="AC55" s="293">
        <v>25310</v>
      </c>
      <c r="AD55" s="283">
        <v>15</v>
      </c>
      <c r="AE55" s="284">
        <v>0</v>
      </c>
      <c r="AF55" s="282" t="s">
        <v>1037</v>
      </c>
      <c r="AG55" s="303">
        <v>0</v>
      </c>
      <c r="AH55" s="293">
        <v>40</v>
      </c>
      <c r="AI55" s="283">
        <v>131</v>
      </c>
      <c r="AJ55" s="307">
        <v>347</v>
      </c>
      <c r="AK55" s="293">
        <v>77</v>
      </c>
      <c r="AL55" s="283">
        <v>217</v>
      </c>
      <c r="AM55" s="307">
        <v>217</v>
      </c>
      <c r="AN55" s="293">
        <v>73</v>
      </c>
      <c r="AO55" s="283">
        <v>169</v>
      </c>
      <c r="AP55" s="307">
        <v>409</v>
      </c>
      <c r="AQ55" s="293">
        <v>25715</v>
      </c>
      <c r="AR55" s="283">
        <v>0</v>
      </c>
      <c r="AS55" s="284">
        <v>0</v>
      </c>
      <c r="AT55" s="282" t="s">
        <v>1037</v>
      </c>
      <c r="AU55" s="303">
        <v>0</v>
      </c>
      <c r="AV55" s="293">
        <v>73</v>
      </c>
      <c r="AW55" s="283">
        <v>169</v>
      </c>
      <c r="AX55" s="286">
        <v>409</v>
      </c>
      <c r="AY55" s="93"/>
      <c r="AZ55" s="93"/>
      <c r="BA55" s="93"/>
    </row>
    <row r="56" spans="1:53" ht="22.5" customHeight="1" x14ac:dyDescent="0.2">
      <c r="A56" s="281" t="s">
        <v>313</v>
      </c>
      <c r="B56" s="296" t="s">
        <v>1038</v>
      </c>
      <c r="C56" s="293">
        <v>194050</v>
      </c>
      <c r="D56" s="283">
        <v>235413</v>
      </c>
      <c r="E56" s="284">
        <v>0.82</v>
      </c>
      <c r="F56" s="298" t="s">
        <v>721</v>
      </c>
      <c r="G56" s="293">
        <v>194050</v>
      </c>
      <c r="H56" s="283">
        <v>96020</v>
      </c>
      <c r="I56" s="285">
        <v>0.49</v>
      </c>
      <c r="J56" s="300">
        <v>0</v>
      </c>
      <c r="K56" s="293">
        <v>98030</v>
      </c>
      <c r="L56" s="283">
        <v>3015</v>
      </c>
      <c r="M56" s="300">
        <v>0.03</v>
      </c>
      <c r="N56" s="293">
        <v>194140</v>
      </c>
      <c r="O56" s="283">
        <v>90</v>
      </c>
      <c r="P56" s="300">
        <v>0</v>
      </c>
      <c r="Q56" s="293">
        <v>194050</v>
      </c>
      <c r="R56" s="283">
        <v>14605</v>
      </c>
      <c r="S56" s="303">
        <v>0.08</v>
      </c>
      <c r="T56" s="302">
        <v>0</v>
      </c>
      <c r="U56" s="293">
        <v>63595</v>
      </c>
      <c r="V56" s="283">
        <v>2420</v>
      </c>
      <c r="W56" s="284">
        <v>0.04</v>
      </c>
      <c r="X56" s="282" t="s">
        <v>1037</v>
      </c>
      <c r="Y56" s="303">
        <v>0</v>
      </c>
      <c r="Z56" s="293">
        <v>4</v>
      </c>
      <c r="AA56" s="283">
        <v>20</v>
      </c>
      <c r="AB56" s="307">
        <v>464</v>
      </c>
      <c r="AC56" s="293">
        <v>95010</v>
      </c>
      <c r="AD56" s="283">
        <v>4420</v>
      </c>
      <c r="AE56" s="284">
        <v>0.05</v>
      </c>
      <c r="AF56" s="282" t="s">
        <v>1037</v>
      </c>
      <c r="AG56" s="303">
        <v>0</v>
      </c>
      <c r="AH56" s="293">
        <v>91</v>
      </c>
      <c r="AI56" s="283">
        <v>202</v>
      </c>
      <c r="AJ56" s="307">
        <v>1437</v>
      </c>
      <c r="AK56" s="293">
        <v>230</v>
      </c>
      <c r="AL56" s="283">
        <v>411</v>
      </c>
      <c r="AM56" s="307">
        <v>906</v>
      </c>
      <c r="AN56" s="293">
        <v>145</v>
      </c>
      <c r="AO56" s="283">
        <v>270</v>
      </c>
      <c r="AP56" s="307">
        <v>1412</v>
      </c>
      <c r="AQ56" s="293">
        <v>194050</v>
      </c>
      <c r="AR56" s="283">
        <v>30</v>
      </c>
      <c r="AS56" s="284">
        <v>0</v>
      </c>
      <c r="AT56" s="282" t="s">
        <v>1037</v>
      </c>
      <c r="AU56" s="303">
        <v>0</v>
      </c>
      <c r="AV56" s="293">
        <v>176</v>
      </c>
      <c r="AW56" s="283">
        <v>331</v>
      </c>
      <c r="AX56" s="286">
        <v>1420</v>
      </c>
      <c r="AY56" s="93"/>
      <c r="AZ56" s="93"/>
      <c r="BA56" s="93"/>
    </row>
    <row r="57" spans="1:53" ht="22.5" customHeight="1" x14ac:dyDescent="0.2">
      <c r="A57" s="281" t="s">
        <v>326</v>
      </c>
      <c r="B57" s="296" t="s">
        <v>885</v>
      </c>
      <c r="C57" s="293">
        <v>128140</v>
      </c>
      <c r="D57" s="283">
        <v>129387</v>
      </c>
      <c r="E57" s="284">
        <v>0.99</v>
      </c>
      <c r="F57" s="298" t="s">
        <v>712</v>
      </c>
      <c r="G57" s="293">
        <v>128140</v>
      </c>
      <c r="H57" s="283">
        <v>21200</v>
      </c>
      <c r="I57" s="285">
        <v>0.17</v>
      </c>
      <c r="J57" s="300">
        <v>0</v>
      </c>
      <c r="K57" s="293">
        <v>106940</v>
      </c>
      <c r="L57" s="283">
        <v>525</v>
      </c>
      <c r="M57" s="300">
        <v>0</v>
      </c>
      <c r="N57" s="293">
        <v>128140</v>
      </c>
      <c r="O57" s="283">
        <v>0</v>
      </c>
      <c r="P57" s="300">
        <v>0</v>
      </c>
      <c r="Q57" s="293">
        <v>128140</v>
      </c>
      <c r="R57" s="283">
        <v>9720</v>
      </c>
      <c r="S57" s="303">
        <v>0.08</v>
      </c>
      <c r="T57" s="302">
        <v>0</v>
      </c>
      <c r="U57" s="293">
        <v>38495</v>
      </c>
      <c r="V57" s="283">
        <v>105</v>
      </c>
      <c r="W57" s="284">
        <v>0</v>
      </c>
      <c r="X57" s="282" t="s">
        <v>1037</v>
      </c>
      <c r="Y57" s="303">
        <v>0</v>
      </c>
      <c r="Z57" s="293">
        <v>5</v>
      </c>
      <c r="AA57" s="283">
        <v>45</v>
      </c>
      <c r="AB57" s="307">
        <v>1439</v>
      </c>
      <c r="AC57" s="293">
        <v>103755</v>
      </c>
      <c r="AD57" s="283">
        <v>4395</v>
      </c>
      <c r="AE57" s="284">
        <v>0.04</v>
      </c>
      <c r="AF57" s="282" t="s">
        <v>1037</v>
      </c>
      <c r="AG57" s="303">
        <v>0</v>
      </c>
      <c r="AH57" s="293">
        <v>62</v>
      </c>
      <c r="AI57" s="283">
        <v>176</v>
      </c>
      <c r="AJ57" s="307">
        <v>1385</v>
      </c>
      <c r="AK57" s="293">
        <v>232</v>
      </c>
      <c r="AL57" s="283">
        <v>773</v>
      </c>
      <c r="AM57" s="307">
        <v>1439</v>
      </c>
      <c r="AN57" s="293">
        <v>135</v>
      </c>
      <c r="AO57" s="283">
        <v>425</v>
      </c>
      <c r="AP57" s="307">
        <v>1439</v>
      </c>
      <c r="AQ57" s="293">
        <v>128140</v>
      </c>
      <c r="AR57" s="283">
        <v>70</v>
      </c>
      <c r="AS57" s="284">
        <v>0</v>
      </c>
      <c r="AT57" s="282" t="s">
        <v>1037</v>
      </c>
      <c r="AU57" s="303">
        <v>0</v>
      </c>
      <c r="AV57" s="293">
        <v>157</v>
      </c>
      <c r="AW57" s="283">
        <v>553</v>
      </c>
      <c r="AX57" s="286">
        <v>1439</v>
      </c>
      <c r="AY57" s="93"/>
      <c r="AZ57" s="93"/>
      <c r="BA57" s="93"/>
    </row>
    <row r="58" spans="1:53" ht="22.5" customHeight="1" x14ac:dyDescent="0.2">
      <c r="A58" s="281" t="s">
        <v>449</v>
      </c>
      <c r="B58" s="296" t="s">
        <v>868</v>
      </c>
      <c r="C58" s="293">
        <v>155835</v>
      </c>
      <c r="D58" s="283">
        <v>176958</v>
      </c>
      <c r="E58" s="284">
        <v>0.88</v>
      </c>
      <c r="F58" s="298" t="s">
        <v>721</v>
      </c>
      <c r="G58" s="293">
        <v>155835</v>
      </c>
      <c r="H58" s="283">
        <v>131445</v>
      </c>
      <c r="I58" s="285">
        <v>0.84</v>
      </c>
      <c r="J58" s="300">
        <v>0</v>
      </c>
      <c r="K58" s="293">
        <v>24390</v>
      </c>
      <c r="L58" s="283">
        <v>210</v>
      </c>
      <c r="M58" s="300">
        <v>0.01</v>
      </c>
      <c r="N58" s="293">
        <v>155835</v>
      </c>
      <c r="O58" s="283">
        <v>0</v>
      </c>
      <c r="P58" s="300">
        <v>0</v>
      </c>
      <c r="Q58" s="293">
        <v>155835</v>
      </c>
      <c r="R58" s="283">
        <v>12735</v>
      </c>
      <c r="S58" s="303">
        <v>0.08</v>
      </c>
      <c r="T58" s="302">
        <v>0</v>
      </c>
      <c r="U58" s="293">
        <v>33560</v>
      </c>
      <c r="V58" s="283" t="s">
        <v>906</v>
      </c>
      <c r="W58" s="284" t="s">
        <v>906</v>
      </c>
      <c r="X58" s="282" t="s">
        <v>1037</v>
      </c>
      <c r="Y58" s="303">
        <v>0</v>
      </c>
      <c r="Z58" s="293">
        <v>2</v>
      </c>
      <c r="AA58" s="283">
        <v>214</v>
      </c>
      <c r="AB58" s="307">
        <v>1439</v>
      </c>
      <c r="AC58" s="293">
        <v>24180</v>
      </c>
      <c r="AD58" s="283">
        <v>17040</v>
      </c>
      <c r="AE58" s="284">
        <v>0.7</v>
      </c>
      <c r="AF58" s="282" t="s">
        <v>1037</v>
      </c>
      <c r="AG58" s="303">
        <v>0</v>
      </c>
      <c r="AH58" s="293">
        <v>82</v>
      </c>
      <c r="AI58" s="283">
        <v>228</v>
      </c>
      <c r="AJ58" s="307">
        <v>1439</v>
      </c>
      <c r="AK58" s="293">
        <v>237</v>
      </c>
      <c r="AL58" s="283">
        <v>726</v>
      </c>
      <c r="AM58" s="307">
        <v>1424</v>
      </c>
      <c r="AN58" s="293">
        <v>166</v>
      </c>
      <c r="AO58" s="283">
        <v>333</v>
      </c>
      <c r="AP58" s="307">
        <v>1433</v>
      </c>
      <c r="AQ58" s="293">
        <v>155835</v>
      </c>
      <c r="AR58" s="283" t="s">
        <v>906</v>
      </c>
      <c r="AS58" s="284" t="s">
        <v>906</v>
      </c>
      <c r="AT58" s="282" t="s">
        <v>1037</v>
      </c>
      <c r="AU58" s="303">
        <v>0</v>
      </c>
      <c r="AV58" s="293">
        <v>175</v>
      </c>
      <c r="AW58" s="283">
        <v>398</v>
      </c>
      <c r="AX58" s="286">
        <v>1439</v>
      </c>
      <c r="AY58" s="93"/>
      <c r="AZ58" s="93"/>
      <c r="BA58" s="93"/>
    </row>
    <row r="59" spans="1:53" ht="22.5" customHeight="1" x14ac:dyDescent="0.2">
      <c r="A59" s="281" t="s">
        <v>327</v>
      </c>
      <c r="B59" s="296" t="s">
        <v>790</v>
      </c>
      <c r="C59" s="293">
        <v>244795</v>
      </c>
      <c r="D59" s="283">
        <v>243060</v>
      </c>
      <c r="E59" s="284">
        <v>1.01</v>
      </c>
      <c r="F59" s="298" t="s">
        <v>712</v>
      </c>
      <c r="G59" s="293">
        <v>244795</v>
      </c>
      <c r="H59" s="283">
        <v>845</v>
      </c>
      <c r="I59" s="285">
        <v>0</v>
      </c>
      <c r="J59" s="300">
        <v>0</v>
      </c>
      <c r="K59" s="293">
        <v>243955</v>
      </c>
      <c r="L59" s="283">
        <v>65</v>
      </c>
      <c r="M59" s="300">
        <v>0</v>
      </c>
      <c r="N59" s="293">
        <v>244795</v>
      </c>
      <c r="O59" s="283">
        <v>0</v>
      </c>
      <c r="P59" s="300">
        <v>0</v>
      </c>
      <c r="Q59" s="293">
        <v>244795</v>
      </c>
      <c r="R59" s="283">
        <v>19320</v>
      </c>
      <c r="S59" s="303">
        <v>0.08</v>
      </c>
      <c r="T59" s="302">
        <v>0</v>
      </c>
      <c r="U59" s="293">
        <v>66495</v>
      </c>
      <c r="V59" s="283">
        <v>60</v>
      </c>
      <c r="W59" s="284">
        <v>0</v>
      </c>
      <c r="X59" s="282" t="s">
        <v>1037</v>
      </c>
      <c r="Y59" s="303">
        <v>0</v>
      </c>
      <c r="Z59" s="293">
        <v>5</v>
      </c>
      <c r="AA59" s="283">
        <v>22</v>
      </c>
      <c r="AB59" s="307">
        <v>1439</v>
      </c>
      <c r="AC59" s="293">
        <v>243890</v>
      </c>
      <c r="AD59" s="283">
        <v>12605</v>
      </c>
      <c r="AE59" s="284">
        <v>0.05</v>
      </c>
      <c r="AF59" s="282" t="s">
        <v>1037</v>
      </c>
      <c r="AG59" s="303">
        <v>0</v>
      </c>
      <c r="AH59" s="293">
        <v>98</v>
      </c>
      <c r="AI59" s="283">
        <v>223</v>
      </c>
      <c r="AJ59" s="307">
        <v>1433</v>
      </c>
      <c r="AK59" s="293">
        <v>236</v>
      </c>
      <c r="AL59" s="283">
        <v>673</v>
      </c>
      <c r="AM59" s="307">
        <v>1435</v>
      </c>
      <c r="AN59" s="293">
        <v>192</v>
      </c>
      <c r="AO59" s="283">
        <v>336</v>
      </c>
      <c r="AP59" s="307">
        <v>1433</v>
      </c>
      <c r="AQ59" s="293">
        <v>244795</v>
      </c>
      <c r="AR59" s="283">
        <v>120</v>
      </c>
      <c r="AS59" s="284">
        <v>0</v>
      </c>
      <c r="AT59" s="282" t="s">
        <v>1037</v>
      </c>
      <c r="AU59" s="303">
        <v>0</v>
      </c>
      <c r="AV59" s="293">
        <v>204</v>
      </c>
      <c r="AW59" s="283">
        <v>443</v>
      </c>
      <c r="AX59" s="286">
        <v>1435</v>
      </c>
      <c r="AY59" s="93"/>
      <c r="AZ59" s="93"/>
      <c r="BA59" s="93"/>
    </row>
    <row r="60" spans="1:53" ht="22.5" customHeight="1" x14ac:dyDescent="0.2">
      <c r="A60" s="281" t="s">
        <v>328</v>
      </c>
      <c r="B60" s="296" t="s">
        <v>738</v>
      </c>
      <c r="C60" s="293">
        <v>6075</v>
      </c>
      <c r="D60" s="283">
        <v>7155</v>
      </c>
      <c r="E60" s="284">
        <v>0.85</v>
      </c>
      <c r="F60" s="298" t="s">
        <v>721</v>
      </c>
      <c r="G60" s="293">
        <v>6075</v>
      </c>
      <c r="H60" s="283">
        <v>10</v>
      </c>
      <c r="I60" s="285">
        <v>0</v>
      </c>
      <c r="J60" s="300">
        <v>7.0000000000000007E-2</v>
      </c>
      <c r="K60" s="293">
        <v>6065</v>
      </c>
      <c r="L60" s="283">
        <v>45</v>
      </c>
      <c r="M60" s="300">
        <v>0.01</v>
      </c>
      <c r="N60" s="293">
        <v>6075</v>
      </c>
      <c r="O60" s="283">
        <v>0</v>
      </c>
      <c r="P60" s="300">
        <v>0</v>
      </c>
      <c r="Q60" s="293">
        <v>6075</v>
      </c>
      <c r="R60" s="283">
        <v>205</v>
      </c>
      <c r="S60" s="303">
        <v>0.03</v>
      </c>
      <c r="T60" s="302">
        <v>0</v>
      </c>
      <c r="U60" s="293">
        <v>10</v>
      </c>
      <c r="V60" s="283">
        <v>0</v>
      </c>
      <c r="W60" s="284" t="s">
        <v>1037</v>
      </c>
      <c r="X60" s="282" t="s">
        <v>1037</v>
      </c>
      <c r="Y60" s="303" t="s">
        <v>1037</v>
      </c>
      <c r="Z60" s="293">
        <v>0</v>
      </c>
      <c r="AA60" s="283">
        <v>18</v>
      </c>
      <c r="AB60" s="307">
        <v>18</v>
      </c>
      <c r="AC60" s="293">
        <v>6020</v>
      </c>
      <c r="AD60" s="283" t="s">
        <v>906</v>
      </c>
      <c r="AE60" s="284" t="s">
        <v>906</v>
      </c>
      <c r="AF60" s="282" t="s">
        <v>1037</v>
      </c>
      <c r="AG60" s="303">
        <v>0</v>
      </c>
      <c r="AH60" s="293">
        <v>14</v>
      </c>
      <c r="AI60" s="283">
        <v>76</v>
      </c>
      <c r="AJ60" s="307">
        <v>279</v>
      </c>
      <c r="AK60" s="293" t="s">
        <v>906</v>
      </c>
      <c r="AL60" s="283" t="s">
        <v>906</v>
      </c>
      <c r="AM60" s="307" t="s">
        <v>906</v>
      </c>
      <c r="AN60" s="293">
        <v>36</v>
      </c>
      <c r="AO60" s="283">
        <v>141</v>
      </c>
      <c r="AP60" s="307">
        <v>288</v>
      </c>
      <c r="AQ60" s="293">
        <v>6075</v>
      </c>
      <c r="AR60" s="283">
        <v>2975</v>
      </c>
      <c r="AS60" s="284">
        <v>0.49</v>
      </c>
      <c r="AT60" s="282" t="s">
        <v>1037</v>
      </c>
      <c r="AU60" s="303">
        <v>0</v>
      </c>
      <c r="AV60" s="293">
        <v>36</v>
      </c>
      <c r="AW60" s="283">
        <v>141</v>
      </c>
      <c r="AX60" s="286">
        <v>288</v>
      </c>
      <c r="AY60" s="93"/>
      <c r="AZ60" s="93"/>
      <c r="BA60" s="93"/>
    </row>
    <row r="61" spans="1:53" ht="22.5" customHeight="1" x14ac:dyDescent="0.2">
      <c r="A61" s="281" t="s">
        <v>450</v>
      </c>
      <c r="B61" s="296" t="s">
        <v>852</v>
      </c>
      <c r="C61" s="293">
        <v>123885</v>
      </c>
      <c r="D61" s="283">
        <v>123890</v>
      </c>
      <c r="E61" s="284">
        <v>1</v>
      </c>
      <c r="F61" s="298" t="s">
        <v>712</v>
      </c>
      <c r="G61" s="293">
        <v>123885</v>
      </c>
      <c r="H61" s="283">
        <v>0</v>
      </c>
      <c r="I61" s="285">
        <v>0</v>
      </c>
      <c r="J61" s="300">
        <v>0</v>
      </c>
      <c r="K61" s="293">
        <v>123885</v>
      </c>
      <c r="L61" s="283">
        <v>15</v>
      </c>
      <c r="M61" s="300">
        <v>0</v>
      </c>
      <c r="N61" s="293">
        <v>123885</v>
      </c>
      <c r="O61" s="283">
        <v>0</v>
      </c>
      <c r="P61" s="300">
        <v>0</v>
      </c>
      <c r="Q61" s="293">
        <v>123885</v>
      </c>
      <c r="R61" s="283">
        <v>11945</v>
      </c>
      <c r="S61" s="303">
        <v>0.1</v>
      </c>
      <c r="T61" s="302">
        <v>0</v>
      </c>
      <c r="U61" s="293">
        <v>21540</v>
      </c>
      <c r="V61" s="283">
        <v>15</v>
      </c>
      <c r="W61" s="284">
        <v>0</v>
      </c>
      <c r="X61" s="282" t="s">
        <v>1037</v>
      </c>
      <c r="Y61" s="303">
        <v>0</v>
      </c>
      <c r="Z61" s="293">
        <v>4</v>
      </c>
      <c r="AA61" s="283">
        <v>19</v>
      </c>
      <c r="AB61" s="307">
        <v>107</v>
      </c>
      <c r="AC61" s="293">
        <v>123870</v>
      </c>
      <c r="AD61" s="283">
        <v>580</v>
      </c>
      <c r="AE61" s="284">
        <v>0</v>
      </c>
      <c r="AF61" s="282" t="s">
        <v>1037</v>
      </c>
      <c r="AG61" s="303">
        <v>0</v>
      </c>
      <c r="AH61" s="293">
        <v>65</v>
      </c>
      <c r="AI61" s="283">
        <v>171</v>
      </c>
      <c r="AJ61" s="307">
        <v>553</v>
      </c>
      <c r="AK61" s="293">
        <v>233</v>
      </c>
      <c r="AL61" s="283">
        <v>413</v>
      </c>
      <c r="AM61" s="307">
        <v>851</v>
      </c>
      <c r="AN61" s="293">
        <v>130</v>
      </c>
      <c r="AO61" s="283">
        <v>238</v>
      </c>
      <c r="AP61" s="307">
        <v>1396</v>
      </c>
      <c r="AQ61" s="293">
        <v>123885</v>
      </c>
      <c r="AR61" s="283">
        <v>0</v>
      </c>
      <c r="AS61" s="284">
        <v>0</v>
      </c>
      <c r="AT61" s="282" t="s">
        <v>1037</v>
      </c>
      <c r="AU61" s="303">
        <v>0</v>
      </c>
      <c r="AV61" s="293">
        <v>147</v>
      </c>
      <c r="AW61" s="283">
        <v>297</v>
      </c>
      <c r="AX61" s="286">
        <v>1396</v>
      </c>
      <c r="AY61" s="93"/>
      <c r="AZ61" s="93"/>
      <c r="BA61" s="93"/>
    </row>
    <row r="62" spans="1:53" ht="22.5" customHeight="1" x14ac:dyDescent="0.2">
      <c r="A62" s="281" t="s">
        <v>329</v>
      </c>
      <c r="B62" s="296" t="s">
        <v>827</v>
      </c>
      <c r="C62" s="293">
        <v>81565</v>
      </c>
      <c r="D62" s="283">
        <v>85333</v>
      </c>
      <c r="E62" s="284">
        <v>0.96</v>
      </c>
      <c r="F62" s="298" t="s">
        <v>712</v>
      </c>
      <c r="G62" s="293">
        <v>81565</v>
      </c>
      <c r="H62" s="283" t="s">
        <v>906</v>
      </c>
      <c r="I62" s="285" t="s">
        <v>906</v>
      </c>
      <c r="J62" s="300" t="s">
        <v>906</v>
      </c>
      <c r="K62" s="293">
        <v>81565</v>
      </c>
      <c r="L62" s="283">
        <v>1280</v>
      </c>
      <c r="M62" s="300">
        <v>0.02</v>
      </c>
      <c r="N62" s="293">
        <v>85220</v>
      </c>
      <c r="O62" s="283">
        <v>3655</v>
      </c>
      <c r="P62" s="300">
        <v>0.04</v>
      </c>
      <c r="Q62" s="293">
        <v>81565</v>
      </c>
      <c r="R62" s="283">
        <v>2305</v>
      </c>
      <c r="S62" s="303">
        <v>0.03</v>
      </c>
      <c r="T62" s="302">
        <v>0</v>
      </c>
      <c r="U62" s="293">
        <v>15795</v>
      </c>
      <c r="V62" s="283">
        <v>50</v>
      </c>
      <c r="W62" s="284">
        <v>0</v>
      </c>
      <c r="X62" s="282" t="s">
        <v>1037</v>
      </c>
      <c r="Y62" s="303">
        <v>0</v>
      </c>
      <c r="Z62" s="293">
        <v>0</v>
      </c>
      <c r="AA62" s="283">
        <v>8</v>
      </c>
      <c r="AB62" s="307">
        <v>666</v>
      </c>
      <c r="AC62" s="293">
        <v>80285</v>
      </c>
      <c r="AD62" s="283">
        <v>1195</v>
      </c>
      <c r="AE62" s="284">
        <v>0.01</v>
      </c>
      <c r="AF62" s="282" t="s">
        <v>1037</v>
      </c>
      <c r="AG62" s="303">
        <v>0</v>
      </c>
      <c r="AH62" s="293">
        <v>35</v>
      </c>
      <c r="AI62" s="283">
        <v>111</v>
      </c>
      <c r="AJ62" s="307">
        <v>1408</v>
      </c>
      <c r="AK62" s="293">
        <v>264</v>
      </c>
      <c r="AL62" s="283">
        <v>864</v>
      </c>
      <c r="AM62" s="307">
        <v>1433</v>
      </c>
      <c r="AN62" s="293">
        <v>102</v>
      </c>
      <c r="AO62" s="283">
        <v>295</v>
      </c>
      <c r="AP62" s="307">
        <v>1437</v>
      </c>
      <c r="AQ62" s="293">
        <v>81565</v>
      </c>
      <c r="AR62" s="283" t="s">
        <v>906</v>
      </c>
      <c r="AS62" s="284" t="s">
        <v>906</v>
      </c>
      <c r="AT62" s="282" t="s">
        <v>1037</v>
      </c>
      <c r="AU62" s="303">
        <v>0</v>
      </c>
      <c r="AV62" s="293">
        <v>123</v>
      </c>
      <c r="AW62" s="283">
        <v>497</v>
      </c>
      <c r="AX62" s="286">
        <v>1437</v>
      </c>
      <c r="AY62" s="93"/>
      <c r="AZ62" s="93"/>
      <c r="BA62" s="93"/>
    </row>
    <row r="63" spans="1:53" ht="22.5" customHeight="1" x14ac:dyDescent="0.2">
      <c r="A63" s="281" t="s">
        <v>330</v>
      </c>
      <c r="B63" s="296" t="s">
        <v>757</v>
      </c>
      <c r="C63" s="293">
        <v>73995</v>
      </c>
      <c r="D63" s="283">
        <v>73665</v>
      </c>
      <c r="E63" s="284">
        <v>1</v>
      </c>
      <c r="F63" s="298" t="s">
        <v>712</v>
      </c>
      <c r="G63" s="293">
        <v>73995</v>
      </c>
      <c r="H63" s="283">
        <v>4870</v>
      </c>
      <c r="I63" s="285">
        <v>7.0000000000000007E-2</v>
      </c>
      <c r="J63" s="300">
        <v>0.06</v>
      </c>
      <c r="K63" s="293">
        <v>69125</v>
      </c>
      <c r="L63" s="283">
        <v>2250</v>
      </c>
      <c r="M63" s="300">
        <v>0.03</v>
      </c>
      <c r="N63" s="293">
        <v>73995</v>
      </c>
      <c r="O63" s="283">
        <v>0</v>
      </c>
      <c r="P63" s="300">
        <v>0</v>
      </c>
      <c r="Q63" s="293">
        <v>73995</v>
      </c>
      <c r="R63" s="283">
        <v>5815</v>
      </c>
      <c r="S63" s="303">
        <v>0.08</v>
      </c>
      <c r="T63" s="302">
        <v>0</v>
      </c>
      <c r="U63" s="293">
        <v>225</v>
      </c>
      <c r="V63" s="283" t="s">
        <v>906</v>
      </c>
      <c r="W63" s="284" t="s">
        <v>1037</v>
      </c>
      <c r="X63" s="282" t="s">
        <v>1037</v>
      </c>
      <c r="Y63" s="303" t="s">
        <v>1037</v>
      </c>
      <c r="Z63" s="293">
        <v>7</v>
      </c>
      <c r="AA63" s="283">
        <v>28</v>
      </c>
      <c r="AB63" s="307">
        <v>126</v>
      </c>
      <c r="AC63" s="293">
        <v>66880</v>
      </c>
      <c r="AD63" s="283">
        <v>495</v>
      </c>
      <c r="AE63" s="284">
        <v>0.01</v>
      </c>
      <c r="AF63" s="282" t="s">
        <v>1037</v>
      </c>
      <c r="AG63" s="303">
        <v>0</v>
      </c>
      <c r="AH63" s="293">
        <v>34</v>
      </c>
      <c r="AI63" s="283">
        <v>139</v>
      </c>
      <c r="AJ63" s="307">
        <v>415</v>
      </c>
      <c r="AK63" s="293" t="s">
        <v>706</v>
      </c>
      <c r="AL63" s="283" t="s">
        <v>706</v>
      </c>
      <c r="AM63" s="307" t="s">
        <v>706</v>
      </c>
      <c r="AN63" s="293">
        <v>70</v>
      </c>
      <c r="AO63" s="283">
        <v>185</v>
      </c>
      <c r="AP63" s="307">
        <v>700</v>
      </c>
      <c r="AQ63" s="293">
        <v>73995</v>
      </c>
      <c r="AR63" s="283">
        <v>0</v>
      </c>
      <c r="AS63" s="284">
        <v>0</v>
      </c>
      <c r="AT63" s="282" t="s">
        <v>1037</v>
      </c>
      <c r="AU63" s="303">
        <v>0</v>
      </c>
      <c r="AV63" s="293">
        <v>69</v>
      </c>
      <c r="AW63" s="283">
        <v>185</v>
      </c>
      <c r="AX63" s="286">
        <v>700</v>
      </c>
      <c r="AY63" s="93"/>
      <c r="AZ63" s="93"/>
      <c r="BA63" s="93"/>
    </row>
    <row r="64" spans="1:53" ht="22.5" customHeight="1" x14ac:dyDescent="0.2">
      <c r="A64" s="281" t="s">
        <v>331</v>
      </c>
      <c r="B64" s="296" t="s">
        <v>858</v>
      </c>
      <c r="C64" s="293">
        <v>150650</v>
      </c>
      <c r="D64" s="283">
        <v>150686</v>
      </c>
      <c r="E64" s="284">
        <v>1</v>
      </c>
      <c r="F64" s="298" t="s">
        <v>712</v>
      </c>
      <c r="G64" s="293">
        <v>150650</v>
      </c>
      <c r="H64" s="283">
        <v>70</v>
      </c>
      <c r="I64" s="285">
        <v>0</v>
      </c>
      <c r="J64" s="300">
        <v>0.02</v>
      </c>
      <c r="K64" s="293">
        <v>150580</v>
      </c>
      <c r="L64" s="283">
        <v>4510</v>
      </c>
      <c r="M64" s="300">
        <v>0.03</v>
      </c>
      <c r="N64" s="293">
        <v>150650</v>
      </c>
      <c r="O64" s="283" t="s">
        <v>906</v>
      </c>
      <c r="P64" s="300" t="s">
        <v>906</v>
      </c>
      <c r="Q64" s="293">
        <v>150650</v>
      </c>
      <c r="R64" s="283">
        <v>12580</v>
      </c>
      <c r="S64" s="303">
        <v>0.08</v>
      </c>
      <c r="T64" s="302">
        <v>0</v>
      </c>
      <c r="U64" s="293">
        <v>46525</v>
      </c>
      <c r="V64" s="283">
        <v>105</v>
      </c>
      <c r="W64" s="284">
        <v>0</v>
      </c>
      <c r="X64" s="282" t="s">
        <v>1037</v>
      </c>
      <c r="Y64" s="303">
        <v>0</v>
      </c>
      <c r="Z64" s="293">
        <v>5</v>
      </c>
      <c r="AA64" s="283">
        <v>17</v>
      </c>
      <c r="AB64" s="307">
        <v>175</v>
      </c>
      <c r="AC64" s="293">
        <v>145635</v>
      </c>
      <c r="AD64" s="283">
        <v>30075</v>
      </c>
      <c r="AE64" s="284">
        <v>0.21</v>
      </c>
      <c r="AF64" s="282" t="s">
        <v>1037</v>
      </c>
      <c r="AG64" s="303">
        <v>0</v>
      </c>
      <c r="AH64" s="293">
        <v>70</v>
      </c>
      <c r="AI64" s="283">
        <v>194</v>
      </c>
      <c r="AJ64" s="307">
        <v>1433</v>
      </c>
      <c r="AK64" s="293">
        <v>214</v>
      </c>
      <c r="AL64" s="283">
        <v>513</v>
      </c>
      <c r="AM64" s="307">
        <v>1410</v>
      </c>
      <c r="AN64" s="293">
        <v>133</v>
      </c>
      <c r="AO64" s="283">
        <v>281</v>
      </c>
      <c r="AP64" s="307">
        <v>1332</v>
      </c>
      <c r="AQ64" s="293">
        <v>150650</v>
      </c>
      <c r="AR64" s="283">
        <v>0</v>
      </c>
      <c r="AS64" s="284">
        <v>0</v>
      </c>
      <c r="AT64" s="282" t="s">
        <v>1037</v>
      </c>
      <c r="AU64" s="303">
        <v>0</v>
      </c>
      <c r="AV64" s="293">
        <v>162</v>
      </c>
      <c r="AW64" s="283">
        <v>367</v>
      </c>
      <c r="AX64" s="286">
        <v>1410</v>
      </c>
      <c r="AY64" s="93"/>
      <c r="AZ64" s="93"/>
      <c r="BA64" s="93"/>
    </row>
    <row r="65" spans="1:53" ht="22.5" customHeight="1" x14ac:dyDescent="0.2">
      <c r="A65" s="281" t="s">
        <v>1009</v>
      </c>
      <c r="B65" s="296" t="s">
        <v>1008</v>
      </c>
      <c r="C65" s="293">
        <v>14920</v>
      </c>
      <c r="D65" s="283">
        <v>11998</v>
      </c>
      <c r="E65" s="284">
        <v>1.24</v>
      </c>
      <c r="F65" s="298" t="s">
        <v>735</v>
      </c>
      <c r="G65" s="293">
        <v>14920</v>
      </c>
      <c r="H65" s="283">
        <v>0</v>
      </c>
      <c r="I65" s="285">
        <v>0</v>
      </c>
      <c r="J65" s="300">
        <v>0</v>
      </c>
      <c r="K65" s="293">
        <v>14920</v>
      </c>
      <c r="L65" s="283">
        <v>90</v>
      </c>
      <c r="M65" s="300">
        <v>0.01</v>
      </c>
      <c r="N65" s="293">
        <v>14920</v>
      </c>
      <c r="O65" s="283">
        <v>0</v>
      </c>
      <c r="P65" s="300">
        <v>0</v>
      </c>
      <c r="Q65" s="293">
        <v>14920</v>
      </c>
      <c r="R65" s="283">
        <v>725</v>
      </c>
      <c r="S65" s="303">
        <v>0.05</v>
      </c>
      <c r="T65" s="302">
        <v>0</v>
      </c>
      <c r="U65" s="293">
        <v>45</v>
      </c>
      <c r="V65" s="283">
        <v>0</v>
      </c>
      <c r="W65" s="284" t="s">
        <v>1037</v>
      </c>
      <c r="X65" s="282" t="s">
        <v>1037</v>
      </c>
      <c r="Y65" s="303" t="s">
        <v>1037</v>
      </c>
      <c r="Z65" s="293">
        <v>0</v>
      </c>
      <c r="AA65" s="283">
        <v>1</v>
      </c>
      <c r="AB65" s="307">
        <v>1</v>
      </c>
      <c r="AC65" s="293">
        <v>14785</v>
      </c>
      <c r="AD65" s="283" t="s">
        <v>906</v>
      </c>
      <c r="AE65" s="284" t="s">
        <v>906</v>
      </c>
      <c r="AF65" s="282" t="s">
        <v>1037</v>
      </c>
      <c r="AG65" s="303">
        <v>0</v>
      </c>
      <c r="AH65" s="293">
        <v>15</v>
      </c>
      <c r="AI65" s="283">
        <v>58</v>
      </c>
      <c r="AJ65" s="307">
        <v>1324</v>
      </c>
      <c r="AK65" s="293">
        <v>57</v>
      </c>
      <c r="AL65" s="283">
        <v>151</v>
      </c>
      <c r="AM65" s="307">
        <v>151</v>
      </c>
      <c r="AN65" s="293">
        <v>48</v>
      </c>
      <c r="AO65" s="283">
        <v>129</v>
      </c>
      <c r="AP65" s="307">
        <v>1331</v>
      </c>
      <c r="AQ65" s="293">
        <v>14920</v>
      </c>
      <c r="AR65" s="283">
        <v>0</v>
      </c>
      <c r="AS65" s="284">
        <v>0</v>
      </c>
      <c r="AT65" s="282" t="s">
        <v>1037</v>
      </c>
      <c r="AU65" s="303">
        <v>0</v>
      </c>
      <c r="AV65" s="293">
        <v>48</v>
      </c>
      <c r="AW65" s="283">
        <v>129</v>
      </c>
      <c r="AX65" s="286">
        <v>1331</v>
      </c>
      <c r="AY65" s="93"/>
      <c r="AZ65" s="93"/>
      <c r="BA65" s="93"/>
    </row>
    <row r="66" spans="1:53" ht="22.5" customHeight="1" x14ac:dyDescent="0.2">
      <c r="A66" s="281" t="s">
        <v>332</v>
      </c>
      <c r="B66" s="296" t="s">
        <v>832</v>
      </c>
      <c r="C66" s="293">
        <v>109055</v>
      </c>
      <c r="D66" s="283">
        <v>140051</v>
      </c>
      <c r="E66" s="284">
        <v>0.78</v>
      </c>
      <c r="F66" s="298" t="s">
        <v>735</v>
      </c>
      <c r="G66" s="293">
        <v>109055</v>
      </c>
      <c r="H66" s="283">
        <v>0</v>
      </c>
      <c r="I66" s="285">
        <v>0</v>
      </c>
      <c r="J66" s="300" t="s">
        <v>906</v>
      </c>
      <c r="K66" s="293">
        <v>109055</v>
      </c>
      <c r="L66" s="283">
        <v>150</v>
      </c>
      <c r="M66" s="300">
        <v>0</v>
      </c>
      <c r="N66" s="293">
        <v>109055</v>
      </c>
      <c r="O66" s="283">
        <v>0</v>
      </c>
      <c r="P66" s="300">
        <v>0</v>
      </c>
      <c r="Q66" s="293">
        <v>109055</v>
      </c>
      <c r="R66" s="283">
        <v>6925</v>
      </c>
      <c r="S66" s="303">
        <v>0.06</v>
      </c>
      <c r="T66" s="302">
        <v>0</v>
      </c>
      <c r="U66" s="293">
        <v>27830</v>
      </c>
      <c r="V66" s="283">
        <v>3210</v>
      </c>
      <c r="W66" s="284">
        <v>0.12</v>
      </c>
      <c r="X66" s="282" t="s">
        <v>1037</v>
      </c>
      <c r="Y66" s="303">
        <v>0</v>
      </c>
      <c r="Z66" s="293">
        <v>21</v>
      </c>
      <c r="AA66" s="283">
        <v>107</v>
      </c>
      <c r="AB66" s="307">
        <v>1013</v>
      </c>
      <c r="AC66" s="293">
        <v>108905</v>
      </c>
      <c r="AD66" s="283">
        <v>2415</v>
      </c>
      <c r="AE66" s="284">
        <v>0.02</v>
      </c>
      <c r="AF66" s="282" t="s">
        <v>1037</v>
      </c>
      <c r="AG66" s="303">
        <v>0</v>
      </c>
      <c r="AH66" s="293">
        <v>81</v>
      </c>
      <c r="AI66" s="283">
        <v>214</v>
      </c>
      <c r="AJ66" s="307">
        <v>960</v>
      </c>
      <c r="AK66" s="293">
        <v>236</v>
      </c>
      <c r="AL66" s="283">
        <v>930</v>
      </c>
      <c r="AM66" s="307">
        <v>1432</v>
      </c>
      <c r="AN66" s="293">
        <v>140</v>
      </c>
      <c r="AO66" s="283">
        <v>287</v>
      </c>
      <c r="AP66" s="307">
        <v>1418</v>
      </c>
      <c r="AQ66" s="293">
        <v>109055</v>
      </c>
      <c r="AR66" s="283">
        <v>0</v>
      </c>
      <c r="AS66" s="284">
        <v>0</v>
      </c>
      <c r="AT66" s="282" t="s">
        <v>1037</v>
      </c>
      <c r="AU66" s="303">
        <v>0</v>
      </c>
      <c r="AV66" s="293">
        <v>164</v>
      </c>
      <c r="AW66" s="283">
        <v>574</v>
      </c>
      <c r="AX66" s="286">
        <v>1432</v>
      </c>
      <c r="AY66" s="93"/>
      <c r="AZ66" s="93"/>
      <c r="BA66" s="93"/>
    </row>
    <row r="67" spans="1:53" ht="22.5" customHeight="1" x14ac:dyDescent="0.2">
      <c r="A67" s="281" t="s">
        <v>451</v>
      </c>
      <c r="B67" s="296" t="s">
        <v>810</v>
      </c>
      <c r="C67" s="293">
        <v>175370</v>
      </c>
      <c r="D67" s="283">
        <v>211177</v>
      </c>
      <c r="E67" s="284">
        <v>0.83</v>
      </c>
      <c r="F67" s="298" t="s">
        <v>721</v>
      </c>
      <c r="G67" s="293">
        <v>175370</v>
      </c>
      <c r="H67" s="283">
        <v>6225</v>
      </c>
      <c r="I67" s="285">
        <v>0.04</v>
      </c>
      <c r="J67" s="300">
        <v>0.02</v>
      </c>
      <c r="K67" s="293">
        <v>169145</v>
      </c>
      <c r="L67" s="283">
        <v>4600</v>
      </c>
      <c r="M67" s="300">
        <v>0.03</v>
      </c>
      <c r="N67" s="293">
        <v>176545</v>
      </c>
      <c r="O67" s="283">
        <v>1175</v>
      </c>
      <c r="P67" s="300">
        <v>0.01</v>
      </c>
      <c r="Q67" s="293">
        <v>175370</v>
      </c>
      <c r="R67" s="283">
        <v>13835</v>
      </c>
      <c r="S67" s="303">
        <v>0.08</v>
      </c>
      <c r="T67" s="302">
        <v>0</v>
      </c>
      <c r="U67" s="293">
        <v>37255</v>
      </c>
      <c r="V67" s="283">
        <v>34725</v>
      </c>
      <c r="W67" s="284">
        <v>0.93</v>
      </c>
      <c r="X67" s="282" t="s">
        <v>1037</v>
      </c>
      <c r="Y67" s="303">
        <v>0</v>
      </c>
      <c r="Z67" s="293">
        <v>24</v>
      </c>
      <c r="AA67" s="283">
        <v>50</v>
      </c>
      <c r="AB67" s="307">
        <v>1437</v>
      </c>
      <c r="AC67" s="293">
        <v>164540</v>
      </c>
      <c r="AD67" s="283">
        <v>146435</v>
      </c>
      <c r="AE67" s="284">
        <v>0.89</v>
      </c>
      <c r="AF67" s="282" t="s">
        <v>1037</v>
      </c>
      <c r="AG67" s="303">
        <v>0</v>
      </c>
      <c r="AH67" s="293">
        <v>60</v>
      </c>
      <c r="AI67" s="283">
        <v>158</v>
      </c>
      <c r="AJ67" s="307">
        <v>1433</v>
      </c>
      <c r="AK67" s="293">
        <v>237</v>
      </c>
      <c r="AL67" s="283">
        <v>458</v>
      </c>
      <c r="AM67" s="307">
        <v>1418</v>
      </c>
      <c r="AN67" s="293">
        <v>160</v>
      </c>
      <c r="AO67" s="283">
        <v>351</v>
      </c>
      <c r="AP67" s="307">
        <v>1430</v>
      </c>
      <c r="AQ67" s="293">
        <v>175370</v>
      </c>
      <c r="AR67" s="283">
        <v>0</v>
      </c>
      <c r="AS67" s="284">
        <v>0</v>
      </c>
      <c r="AT67" s="282" t="s">
        <v>1037</v>
      </c>
      <c r="AU67" s="303">
        <v>0</v>
      </c>
      <c r="AV67" s="293">
        <v>171</v>
      </c>
      <c r="AW67" s="283">
        <v>371</v>
      </c>
      <c r="AX67" s="286">
        <v>1430</v>
      </c>
      <c r="AY67" s="93"/>
      <c r="AZ67" s="93"/>
      <c r="BA67" s="93"/>
    </row>
    <row r="68" spans="1:53" ht="22.5" customHeight="1" x14ac:dyDescent="0.2">
      <c r="A68" s="281" t="s">
        <v>452</v>
      </c>
      <c r="B68" s="296" t="s">
        <v>833</v>
      </c>
      <c r="C68" s="293">
        <v>126430</v>
      </c>
      <c r="D68" s="283">
        <v>126419</v>
      </c>
      <c r="E68" s="284">
        <v>1</v>
      </c>
      <c r="F68" s="298" t="s">
        <v>712</v>
      </c>
      <c r="G68" s="293">
        <v>126430</v>
      </c>
      <c r="H68" s="283">
        <v>11590</v>
      </c>
      <c r="I68" s="285">
        <v>0.09</v>
      </c>
      <c r="J68" s="300">
        <v>0</v>
      </c>
      <c r="K68" s="293">
        <v>114840</v>
      </c>
      <c r="L68" s="283">
        <v>3325</v>
      </c>
      <c r="M68" s="300">
        <v>0.03</v>
      </c>
      <c r="N68" s="293">
        <v>126430</v>
      </c>
      <c r="O68" s="283">
        <v>0</v>
      </c>
      <c r="P68" s="300">
        <v>0</v>
      </c>
      <c r="Q68" s="293">
        <v>126430</v>
      </c>
      <c r="R68" s="283">
        <v>8315</v>
      </c>
      <c r="S68" s="303">
        <v>7.0000000000000007E-2</v>
      </c>
      <c r="T68" s="302">
        <v>0</v>
      </c>
      <c r="U68" s="293">
        <v>33370</v>
      </c>
      <c r="V68" s="283">
        <v>0</v>
      </c>
      <c r="W68" s="284">
        <v>0</v>
      </c>
      <c r="X68" s="282" t="s">
        <v>1037</v>
      </c>
      <c r="Y68" s="303">
        <v>0</v>
      </c>
      <c r="Z68" s="293">
        <v>4</v>
      </c>
      <c r="AA68" s="283">
        <v>45</v>
      </c>
      <c r="AB68" s="307">
        <v>1439</v>
      </c>
      <c r="AC68" s="293">
        <v>111515</v>
      </c>
      <c r="AD68" s="283" t="s">
        <v>906</v>
      </c>
      <c r="AE68" s="284" t="s">
        <v>906</v>
      </c>
      <c r="AF68" s="282" t="s">
        <v>1037</v>
      </c>
      <c r="AG68" s="303">
        <v>0</v>
      </c>
      <c r="AH68" s="293">
        <v>72</v>
      </c>
      <c r="AI68" s="283">
        <v>221</v>
      </c>
      <c r="AJ68" s="307">
        <v>1435</v>
      </c>
      <c r="AK68" s="293">
        <v>235</v>
      </c>
      <c r="AL68" s="283">
        <v>601</v>
      </c>
      <c r="AM68" s="307">
        <v>1352</v>
      </c>
      <c r="AN68" s="293">
        <v>144</v>
      </c>
      <c r="AO68" s="283">
        <v>330</v>
      </c>
      <c r="AP68" s="307">
        <v>1370</v>
      </c>
      <c r="AQ68" s="293">
        <v>126430</v>
      </c>
      <c r="AR68" s="283">
        <v>0</v>
      </c>
      <c r="AS68" s="284">
        <v>0</v>
      </c>
      <c r="AT68" s="282" t="s">
        <v>1037</v>
      </c>
      <c r="AU68" s="303">
        <v>0</v>
      </c>
      <c r="AV68" s="293">
        <v>164</v>
      </c>
      <c r="AW68" s="283">
        <v>416</v>
      </c>
      <c r="AX68" s="286">
        <v>1370</v>
      </c>
      <c r="AY68" s="93"/>
      <c r="AZ68" s="93"/>
      <c r="BA68" s="93"/>
    </row>
    <row r="69" spans="1:53" ht="22.5" customHeight="1" x14ac:dyDescent="0.2">
      <c r="A69" s="281" t="s">
        <v>333</v>
      </c>
      <c r="B69" s="296" t="s">
        <v>781</v>
      </c>
      <c r="C69" s="293">
        <v>51710</v>
      </c>
      <c r="D69" s="283">
        <v>60966</v>
      </c>
      <c r="E69" s="284">
        <v>0.85</v>
      </c>
      <c r="F69" s="298" t="s">
        <v>721</v>
      </c>
      <c r="G69" s="293">
        <v>51710</v>
      </c>
      <c r="H69" s="283" t="s">
        <v>906</v>
      </c>
      <c r="I69" s="285" t="s">
        <v>906</v>
      </c>
      <c r="J69" s="300" t="s">
        <v>906</v>
      </c>
      <c r="K69" s="293">
        <v>51710</v>
      </c>
      <c r="L69" s="283">
        <v>470</v>
      </c>
      <c r="M69" s="300">
        <v>0.01</v>
      </c>
      <c r="N69" s="293">
        <v>51710</v>
      </c>
      <c r="O69" s="283">
        <v>0</v>
      </c>
      <c r="P69" s="300">
        <v>0</v>
      </c>
      <c r="Q69" s="293">
        <v>51710</v>
      </c>
      <c r="R69" s="283">
        <v>3605</v>
      </c>
      <c r="S69" s="303">
        <v>7.0000000000000007E-2</v>
      </c>
      <c r="T69" s="302">
        <v>0</v>
      </c>
      <c r="U69" s="293">
        <v>13470</v>
      </c>
      <c r="V69" s="283">
        <v>410</v>
      </c>
      <c r="W69" s="284">
        <v>0.03</v>
      </c>
      <c r="X69" s="282" t="s">
        <v>1037</v>
      </c>
      <c r="Y69" s="303">
        <v>0</v>
      </c>
      <c r="Z69" s="293">
        <v>10</v>
      </c>
      <c r="AA69" s="283">
        <v>35</v>
      </c>
      <c r="AB69" s="307">
        <v>169</v>
      </c>
      <c r="AC69" s="293">
        <v>51240</v>
      </c>
      <c r="AD69" s="283">
        <v>7520</v>
      </c>
      <c r="AE69" s="284">
        <v>0.15</v>
      </c>
      <c r="AF69" s="282" t="s">
        <v>1037</v>
      </c>
      <c r="AG69" s="303">
        <v>0</v>
      </c>
      <c r="AH69" s="293">
        <v>58</v>
      </c>
      <c r="AI69" s="283">
        <v>173</v>
      </c>
      <c r="AJ69" s="307">
        <v>1439</v>
      </c>
      <c r="AK69" s="293">
        <v>221</v>
      </c>
      <c r="AL69" s="283">
        <v>368</v>
      </c>
      <c r="AM69" s="307">
        <v>842</v>
      </c>
      <c r="AN69" s="293">
        <v>129</v>
      </c>
      <c r="AO69" s="283">
        <v>239</v>
      </c>
      <c r="AP69" s="307">
        <v>981</v>
      </c>
      <c r="AQ69" s="293">
        <v>51710</v>
      </c>
      <c r="AR69" s="283" t="s">
        <v>906</v>
      </c>
      <c r="AS69" s="284" t="s">
        <v>906</v>
      </c>
      <c r="AT69" s="282" t="s">
        <v>1037</v>
      </c>
      <c r="AU69" s="303">
        <v>0</v>
      </c>
      <c r="AV69" s="293">
        <v>152</v>
      </c>
      <c r="AW69" s="283">
        <v>284</v>
      </c>
      <c r="AX69" s="286">
        <v>981</v>
      </c>
      <c r="AY69" s="93"/>
      <c r="AZ69" s="93"/>
      <c r="BA69" s="93"/>
    </row>
    <row r="70" spans="1:53" ht="22.5" customHeight="1" x14ac:dyDescent="0.2">
      <c r="A70" s="281" t="s">
        <v>453</v>
      </c>
      <c r="B70" s="296" t="s">
        <v>713</v>
      </c>
      <c r="C70" s="293">
        <v>22440</v>
      </c>
      <c r="D70" s="283">
        <v>22754</v>
      </c>
      <c r="E70" s="284">
        <v>0.99</v>
      </c>
      <c r="F70" s="298" t="s">
        <v>712</v>
      </c>
      <c r="G70" s="293">
        <v>22440</v>
      </c>
      <c r="H70" s="283">
        <v>0</v>
      </c>
      <c r="I70" s="285">
        <v>0</v>
      </c>
      <c r="J70" s="300">
        <v>0.1</v>
      </c>
      <c r="K70" s="293">
        <v>22440</v>
      </c>
      <c r="L70" s="283">
        <v>240</v>
      </c>
      <c r="M70" s="300">
        <v>0.01</v>
      </c>
      <c r="N70" s="293">
        <v>22440</v>
      </c>
      <c r="O70" s="283">
        <v>0</v>
      </c>
      <c r="P70" s="300">
        <v>0</v>
      </c>
      <c r="Q70" s="293">
        <v>22440</v>
      </c>
      <c r="R70" s="283">
        <v>695</v>
      </c>
      <c r="S70" s="303">
        <v>0.03</v>
      </c>
      <c r="T70" s="302">
        <v>0</v>
      </c>
      <c r="U70" s="293">
        <v>15</v>
      </c>
      <c r="V70" s="283">
        <v>0</v>
      </c>
      <c r="W70" s="284" t="s">
        <v>1037</v>
      </c>
      <c r="X70" s="282" t="s">
        <v>1037</v>
      </c>
      <c r="Y70" s="303" t="s">
        <v>1037</v>
      </c>
      <c r="Z70" s="293">
        <v>0</v>
      </c>
      <c r="AA70" s="283">
        <v>1</v>
      </c>
      <c r="AB70" s="307">
        <v>1</v>
      </c>
      <c r="AC70" s="293">
        <v>22200</v>
      </c>
      <c r="AD70" s="283">
        <v>0</v>
      </c>
      <c r="AE70" s="284">
        <v>0</v>
      </c>
      <c r="AF70" s="282" t="s">
        <v>1037</v>
      </c>
      <c r="AG70" s="303">
        <v>0</v>
      </c>
      <c r="AH70" s="293">
        <v>11</v>
      </c>
      <c r="AI70" s="283">
        <v>63</v>
      </c>
      <c r="AJ70" s="307">
        <v>165</v>
      </c>
      <c r="AK70" s="293" t="s">
        <v>706</v>
      </c>
      <c r="AL70" s="283" t="s">
        <v>706</v>
      </c>
      <c r="AM70" s="307" t="s">
        <v>706</v>
      </c>
      <c r="AN70" s="293">
        <v>48</v>
      </c>
      <c r="AO70" s="283">
        <v>124</v>
      </c>
      <c r="AP70" s="307">
        <v>285</v>
      </c>
      <c r="AQ70" s="293">
        <v>22440</v>
      </c>
      <c r="AR70" s="283">
        <v>0</v>
      </c>
      <c r="AS70" s="284">
        <v>0</v>
      </c>
      <c r="AT70" s="282" t="s">
        <v>1037</v>
      </c>
      <c r="AU70" s="303">
        <v>0</v>
      </c>
      <c r="AV70" s="293">
        <v>48</v>
      </c>
      <c r="AW70" s="283">
        <v>124</v>
      </c>
      <c r="AX70" s="286">
        <v>285</v>
      </c>
      <c r="AY70" s="93"/>
      <c r="AZ70" s="93"/>
      <c r="BA70" s="93"/>
    </row>
    <row r="71" spans="1:53" ht="22.5" customHeight="1" x14ac:dyDescent="0.2">
      <c r="A71" s="281" t="s">
        <v>335</v>
      </c>
      <c r="B71" s="296" t="s">
        <v>896</v>
      </c>
      <c r="C71" s="293">
        <v>11565</v>
      </c>
      <c r="D71" s="283">
        <v>11357</v>
      </c>
      <c r="E71" s="284">
        <v>1.02</v>
      </c>
      <c r="F71" s="298" t="s">
        <v>712</v>
      </c>
      <c r="G71" s="293">
        <v>11565</v>
      </c>
      <c r="H71" s="283">
        <v>0</v>
      </c>
      <c r="I71" s="285">
        <v>0</v>
      </c>
      <c r="J71" s="300">
        <v>0.08</v>
      </c>
      <c r="K71" s="293">
        <v>11565</v>
      </c>
      <c r="L71" s="283">
        <v>140</v>
      </c>
      <c r="M71" s="300">
        <v>0.01</v>
      </c>
      <c r="N71" s="293">
        <v>11565</v>
      </c>
      <c r="O71" s="283">
        <v>0</v>
      </c>
      <c r="P71" s="300">
        <v>0</v>
      </c>
      <c r="Q71" s="293">
        <v>11565</v>
      </c>
      <c r="R71" s="283">
        <v>245</v>
      </c>
      <c r="S71" s="303">
        <v>0.02</v>
      </c>
      <c r="T71" s="302">
        <v>0</v>
      </c>
      <c r="U71" s="293">
        <v>10</v>
      </c>
      <c r="V71" s="283">
        <v>0</v>
      </c>
      <c r="W71" s="284" t="s">
        <v>1037</v>
      </c>
      <c r="X71" s="282" t="s">
        <v>1037</v>
      </c>
      <c r="Y71" s="303" t="s">
        <v>1037</v>
      </c>
      <c r="Z71" s="293">
        <v>17</v>
      </c>
      <c r="AA71" s="283">
        <v>69</v>
      </c>
      <c r="AB71" s="307">
        <v>69</v>
      </c>
      <c r="AC71" s="293">
        <v>11420</v>
      </c>
      <c r="AD71" s="283" t="s">
        <v>906</v>
      </c>
      <c r="AE71" s="284" t="s">
        <v>906</v>
      </c>
      <c r="AF71" s="282" t="s">
        <v>1037</v>
      </c>
      <c r="AG71" s="303">
        <v>0</v>
      </c>
      <c r="AH71" s="293">
        <v>41</v>
      </c>
      <c r="AI71" s="283">
        <v>146</v>
      </c>
      <c r="AJ71" s="307">
        <v>308</v>
      </c>
      <c r="AK71" s="293" t="s">
        <v>906</v>
      </c>
      <c r="AL71" s="283" t="s">
        <v>906</v>
      </c>
      <c r="AM71" s="307" t="s">
        <v>906</v>
      </c>
      <c r="AN71" s="293">
        <v>74</v>
      </c>
      <c r="AO71" s="283">
        <v>187</v>
      </c>
      <c r="AP71" s="307">
        <v>475</v>
      </c>
      <c r="AQ71" s="293">
        <v>11565</v>
      </c>
      <c r="AR71" s="283">
        <v>0</v>
      </c>
      <c r="AS71" s="284">
        <v>0</v>
      </c>
      <c r="AT71" s="282" t="s">
        <v>1037</v>
      </c>
      <c r="AU71" s="303">
        <v>0</v>
      </c>
      <c r="AV71" s="293">
        <v>74</v>
      </c>
      <c r="AW71" s="283">
        <v>187</v>
      </c>
      <c r="AX71" s="286">
        <v>475</v>
      </c>
      <c r="AY71" s="93"/>
      <c r="AZ71" s="93"/>
      <c r="BA71" s="93"/>
    </row>
    <row r="72" spans="1:53" ht="22.5" customHeight="1" x14ac:dyDescent="0.2">
      <c r="A72" s="281" t="s">
        <v>336</v>
      </c>
      <c r="B72" s="296" t="s">
        <v>851</v>
      </c>
      <c r="C72" s="293">
        <v>124175</v>
      </c>
      <c r="D72" s="283">
        <v>125845</v>
      </c>
      <c r="E72" s="284">
        <v>0.99</v>
      </c>
      <c r="F72" s="298" t="s">
        <v>712</v>
      </c>
      <c r="G72" s="293">
        <v>124175</v>
      </c>
      <c r="H72" s="283">
        <v>55</v>
      </c>
      <c r="I72" s="285">
        <v>0</v>
      </c>
      <c r="J72" s="300">
        <v>0.09</v>
      </c>
      <c r="K72" s="293">
        <v>124120</v>
      </c>
      <c r="L72" s="283">
        <v>3505</v>
      </c>
      <c r="M72" s="300">
        <v>0.03</v>
      </c>
      <c r="N72" s="293">
        <v>124250</v>
      </c>
      <c r="O72" s="283">
        <v>75</v>
      </c>
      <c r="P72" s="300">
        <v>0</v>
      </c>
      <c r="Q72" s="293">
        <v>124175</v>
      </c>
      <c r="R72" s="283">
        <v>11675</v>
      </c>
      <c r="S72" s="303">
        <v>0.09</v>
      </c>
      <c r="T72" s="302">
        <v>0</v>
      </c>
      <c r="U72" s="293">
        <v>19300</v>
      </c>
      <c r="V72" s="283">
        <v>0</v>
      </c>
      <c r="W72" s="284">
        <v>0</v>
      </c>
      <c r="X72" s="282" t="s">
        <v>1037</v>
      </c>
      <c r="Y72" s="303">
        <v>0</v>
      </c>
      <c r="Z72" s="293">
        <v>5</v>
      </c>
      <c r="AA72" s="283">
        <v>26</v>
      </c>
      <c r="AB72" s="307">
        <v>1431</v>
      </c>
      <c r="AC72" s="293">
        <v>120525</v>
      </c>
      <c r="AD72" s="283">
        <v>0</v>
      </c>
      <c r="AE72" s="284">
        <v>0</v>
      </c>
      <c r="AF72" s="282" t="s">
        <v>1037</v>
      </c>
      <c r="AG72" s="303">
        <v>0</v>
      </c>
      <c r="AH72" s="293">
        <v>86</v>
      </c>
      <c r="AI72" s="283">
        <v>211</v>
      </c>
      <c r="AJ72" s="307">
        <v>1435</v>
      </c>
      <c r="AK72" s="293">
        <v>240</v>
      </c>
      <c r="AL72" s="283">
        <v>1120</v>
      </c>
      <c r="AM72" s="307">
        <v>1439</v>
      </c>
      <c r="AN72" s="293">
        <v>181</v>
      </c>
      <c r="AO72" s="283">
        <v>564</v>
      </c>
      <c r="AP72" s="307">
        <v>1437</v>
      </c>
      <c r="AQ72" s="293">
        <v>124175</v>
      </c>
      <c r="AR72" s="283">
        <v>0</v>
      </c>
      <c r="AS72" s="284">
        <v>0</v>
      </c>
      <c r="AT72" s="282" t="s">
        <v>1037</v>
      </c>
      <c r="AU72" s="303">
        <v>0</v>
      </c>
      <c r="AV72" s="293">
        <v>192</v>
      </c>
      <c r="AW72" s="283">
        <v>628</v>
      </c>
      <c r="AX72" s="286">
        <v>1439</v>
      </c>
      <c r="AY72" s="93"/>
      <c r="AZ72" s="93"/>
      <c r="BA72" s="93"/>
    </row>
    <row r="73" spans="1:53" ht="22.5" customHeight="1" x14ac:dyDescent="0.2">
      <c r="A73" s="281" t="s">
        <v>636</v>
      </c>
      <c r="B73" s="296" t="s">
        <v>737</v>
      </c>
      <c r="C73" s="293">
        <v>25</v>
      </c>
      <c r="D73" s="283">
        <v>25</v>
      </c>
      <c r="E73" s="284" t="s">
        <v>1037</v>
      </c>
      <c r="F73" s="298" t="s">
        <v>712</v>
      </c>
      <c r="G73" s="293">
        <v>25</v>
      </c>
      <c r="H73" s="283">
        <v>0</v>
      </c>
      <c r="I73" s="285" t="s">
        <v>1037</v>
      </c>
      <c r="J73" s="300" t="s">
        <v>1037</v>
      </c>
      <c r="K73" s="293">
        <v>25</v>
      </c>
      <c r="L73" s="283">
        <v>0</v>
      </c>
      <c r="M73" s="300" t="s">
        <v>1037</v>
      </c>
      <c r="N73" s="293">
        <v>25</v>
      </c>
      <c r="O73" s="283">
        <v>0</v>
      </c>
      <c r="P73" s="300" t="s">
        <v>1037</v>
      </c>
      <c r="Q73" s="293">
        <v>25</v>
      </c>
      <c r="R73" s="283" t="s">
        <v>906</v>
      </c>
      <c r="S73" s="303" t="s">
        <v>1037</v>
      </c>
      <c r="T73" s="302" t="s">
        <v>1037</v>
      </c>
      <c r="U73" s="293" t="s">
        <v>706</v>
      </c>
      <c r="V73" s="283" t="s">
        <v>706</v>
      </c>
      <c r="W73" s="284" t="s">
        <v>706</v>
      </c>
      <c r="X73" s="282" t="s">
        <v>1037</v>
      </c>
      <c r="Y73" s="303" t="s">
        <v>706</v>
      </c>
      <c r="Z73" s="293" t="s">
        <v>706</v>
      </c>
      <c r="AA73" s="283" t="s">
        <v>706</v>
      </c>
      <c r="AB73" s="307" t="s">
        <v>706</v>
      </c>
      <c r="AC73" s="293">
        <v>25</v>
      </c>
      <c r="AD73" s="283">
        <v>0</v>
      </c>
      <c r="AE73" s="284" t="s">
        <v>1037</v>
      </c>
      <c r="AF73" s="282" t="s">
        <v>1037</v>
      </c>
      <c r="AG73" s="303" t="s">
        <v>1037</v>
      </c>
      <c r="AH73" s="293">
        <v>76</v>
      </c>
      <c r="AI73" s="283">
        <v>126</v>
      </c>
      <c r="AJ73" s="307">
        <v>134</v>
      </c>
      <c r="AK73" s="293" t="s">
        <v>706</v>
      </c>
      <c r="AL73" s="283" t="s">
        <v>706</v>
      </c>
      <c r="AM73" s="307" t="s">
        <v>706</v>
      </c>
      <c r="AN73" s="293">
        <v>85</v>
      </c>
      <c r="AO73" s="283">
        <v>143</v>
      </c>
      <c r="AP73" s="307">
        <v>146</v>
      </c>
      <c r="AQ73" s="293">
        <v>25</v>
      </c>
      <c r="AR73" s="283">
        <v>0</v>
      </c>
      <c r="AS73" s="284" t="s">
        <v>1037</v>
      </c>
      <c r="AT73" s="282" t="s">
        <v>1037</v>
      </c>
      <c r="AU73" s="303" t="s">
        <v>1037</v>
      </c>
      <c r="AV73" s="293">
        <v>85</v>
      </c>
      <c r="AW73" s="283">
        <v>143</v>
      </c>
      <c r="AX73" s="286">
        <v>146</v>
      </c>
      <c r="AY73" s="93"/>
      <c r="AZ73" s="93"/>
      <c r="BA73" s="93"/>
    </row>
    <row r="74" spans="1:53" ht="22.5" customHeight="1" x14ac:dyDescent="0.2">
      <c r="A74" s="281" t="s">
        <v>624</v>
      </c>
      <c r="B74" s="296" t="s">
        <v>715</v>
      </c>
      <c r="C74" s="293">
        <v>20480</v>
      </c>
      <c r="D74" s="283" t="s">
        <v>706</v>
      </c>
      <c r="E74" s="284" t="s">
        <v>706</v>
      </c>
      <c r="F74" s="298" t="s">
        <v>706</v>
      </c>
      <c r="G74" s="293">
        <v>20480</v>
      </c>
      <c r="H74" s="283">
        <v>0</v>
      </c>
      <c r="I74" s="285">
        <v>0</v>
      </c>
      <c r="J74" s="300">
        <v>1</v>
      </c>
      <c r="K74" s="293">
        <v>20480</v>
      </c>
      <c r="L74" s="283" t="s">
        <v>906</v>
      </c>
      <c r="M74" s="300" t="s">
        <v>906</v>
      </c>
      <c r="N74" s="293">
        <v>20480</v>
      </c>
      <c r="O74" s="283">
        <v>0</v>
      </c>
      <c r="P74" s="300">
        <v>0</v>
      </c>
      <c r="Q74" s="293">
        <v>20480</v>
      </c>
      <c r="R74" s="283">
        <v>855</v>
      </c>
      <c r="S74" s="303">
        <v>0.04</v>
      </c>
      <c r="T74" s="302">
        <v>0</v>
      </c>
      <c r="U74" s="293" t="s">
        <v>706</v>
      </c>
      <c r="V74" s="283" t="s">
        <v>706</v>
      </c>
      <c r="W74" s="284" t="s">
        <v>706</v>
      </c>
      <c r="X74" s="282" t="s">
        <v>1037</v>
      </c>
      <c r="Y74" s="303" t="s">
        <v>706</v>
      </c>
      <c r="Z74" s="293" t="s">
        <v>706</v>
      </c>
      <c r="AA74" s="283" t="s">
        <v>706</v>
      </c>
      <c r="AB74" s="307" t="s">
        <v>706</v>
      </c>
      <c r="AC74" s="293">
        <v>20475</v>
      </c>
      <c r="AD74" s="283">
        <v>740</v>
      </c>
      <c r="AE74" s="284">
        <v>0.04</v>
      </c>
      <c r="AF74" s="282" t="s">
        <v>1037</v>
      </c>
      <c r="AG74" s="303">
        <v>0</v>
      </c>
      <c r="AH74" s="293">
        <v>20</v>
      </c>
      <c r="AI74" s="283">
        <v>181</v>
      </c>
      <c r="AJ74" s="307">
        <v>1439</v>
      </c>
      <c r="AK74" s="293" t="s">
        <v>706</v>
      </c>
      <c r="AL74" s="283" t="s">
        <v>706</v>
      </c>
      <c r="AM74" s="307" t="s">
        <v>706</v>
      </c>
      <c r="AN74" s="293">
        <v>44</v>
      </c>
      <c r="AO74" s="283">
        <v>124</v>
      </c>
      <c r="AP74" s="307">
        <v>1438</v>
      </c>
      <c r="AQ74" s="293">
        <v>20480</v>
      </c>
      <c r="AR74" s="283">
        <v>740</v>
      </c>
      <c r="AS74" s="284">
        <v>0.04</v>
      </c>
      <c r="AT74" s="282" t="s">
        <v>1037</v>
      </c>
      <c r="AU74" s="303">
        <v>0</v>
      </c>
      <c r="AV74" s="293">
        <v>44</v>
      </c>
      <c r="AW74" s="283">
        <v>124</v>
      </c>
      <c r="AX74" s="286">
        <v>1438</v>
      </c>
      <c r="AY74" s="93"/>
      <c r="AZ74" s="93"/>
      <c r="BA74" s="93"/>
    </row>
    <row r="75" spans="1:53" ht="22.5" customHeight="1" x14ac:dyDescent="0.2">
      <c r="A75" s="281" t="s">
        <v>337</v>
      </c>
      <c r="B75" s="296" t="s">
        <v>900</v>
      </c>
      <c r="C75" s="293">
        <v>147525</v>
      </c>
      <c r="D75" s="283">
        <v>51985</v>
      </c>
      <c r="E75" s="284">
        <v>2.84</v>
      </c>
      <c r="F75" s="298" t="s">
        <v>735</v>
      </c>
      <c r="G75" s="293">
        <v>147525</v>
      </c>
      <c r="H75" s="283">
        <v>83890</v>
      </c>
      <c r="I75" s="285">
        <v>0.56999999999999995</v>
      </c>
      <c r="J75" s="300">
        <v>0.01</v>
      </c>
      <c r="K75" s="293">
        <v>63635</v>
      </c>
      <c r="L75" s="283">
        <v>9350</v>
      </c>
      <c r="M75" s="300">
        <v>0.15</v>
      </c>
      <c r="N75" s="293">
        <v>149205</v>
      </c>
      <c r="O75" s="283">
        <v>1685</v>
      </c>
      <c r="P75" s="300">
        <v>0.01</v>
      </c>
      <c r="Q75" s="293">
        <v>147525</v>
      </c>
      <c r="R75" s="283">
        <v>11360</v>
      </c>
      <c r="S75" s="303">
        <v>0.08</v>
      </c>
      <c r="T75" s="302">
        <v>0</v>
      </c>
      <c r="U75" s="293">
        <v>1435</v>
      </c>
      <c r="V75" s="283">
        <v>100</v>
      </c>
      <c r="W75" s="284">
        <v>7.0000000000000007E-2</v>
      </c>
      <c r="X75" s="282" t="s">
        <v>1037</v>
      </c>
      <c r="Y75" s="303">
        <v>0</v>
      </c>
      <c r="Z75" s="293">
        <v>13</v>
      </c>
      <c r="AA75" s="283">
        <v>35</v>
      </c>
      <c r="AB75" s="307">
        <v>197</v>
      </c>
      <c r="AC75" s="293">
        <v>52970</v>
      </c>
      <c r="AD75" s="283" t="s">
        <v>906</v>
      </c>
      <c r="AE75" s="284" t="s">
        <v>906</v>
      </c>
      <c r="AF75" s="282" t="s">
        <v>1037</v>
      </c>
      <c r="AG75" s="303">
        <v>0</v>
      </c>
      <c r="AH75" s="293">
        <v>58</v>
      </c>
      <c r="AI75" s="283">
        <v>189</v>
      </c>
      <c r="AJ75" s="307">
        <v>1410</v>
      </c>
      <c r="AK75" s="293" t="s">
        <v>706</v>
      </c>
      <c r="AL75" s="283" t="s">
        <v>706</v>
      </c>
      <c r="AM75" s="307" t="s">
        <v>706</v>
      </c>
      <c r="AN75" s="293">
        <v>85</v>
      </c>
      <c r="AO75" s="283">
        <v>211</v>
      </c>
      <c r="AP75" s="307">
        <v>1404</v>
      </c>
      <c r="AQ75" s="293">
        <v>147525</v>
      </c>
      <c r="AR75" s="283">
        <v>0</v>
      </c>
      <c r="AS75" s="284">
        <v>0</v>
      </c>
      <c r="AT75" s="282" t="s">
        <v>1037</v>
      </c>
      <c r="AU75" s="303">
        <v>0</v>
      </c>
      <c r="AV75" s="293">
        <v>84</v>
      </c>
      <c r="AW75" s="283">
        <v>214</v>
      </c>
      <c r="AX75" s="286">
        <v>1404</v>
      </c>
      <c r="AY75" s="93"/>
      <c r="AZ75" s="93"/>
      <c r="BA75" s="93"/>
    </row>
    <row r="76" spans="1:53" ht="22.5" customHeight="1" x14ac:dyDescent="0.2">
      <c r="A76" s="281" t="s">
        <v>338</v>
      </c>
      <c r="B76" s="296" t="s">
        <v>1039</v>
      </c>
      <c r="C76" s="293">
        <v>137495</v>
      </c>
      <c r="D76" s="283">
        <v>137521</v>
      </c>
      <c r="E76" s="284">
        <v>1</v>
      </c>
      <c r="F76" s="298" t="s">
        <v>712</v>
      </c>
      <c r="G76" s="293">
        <v>137495</v>
      </c>
      <c r="H76" s="283">
        <v>0</v>
      </c>
      <c r="I76" s="285">
        <v>0</v>
      </c>
      <c r="J76" s="300">
        <v>0</v>
      </c>
      <c r="K76" s="293">
        <v>137495</v>
      </c>
      <c r="L76" s="283">
        <v>6420</v>
      </c>
      <c r="M76" s="300">
        <v>0.05</v>
      </c>
      <c r="N76" s="293">
        <v>137495</v>
      </c>
      <c r="O76" s="283">
        <v>0</v>
      </c>
      <c r="P76" s="300">
        <v>0</v>
      </c>
      <c r="Q76" s="293">
        <v>137495</v>
      </c>
      <c r="R76" s="283">
        <v>11375</v>
      </c>
      <c r="S76" s="303">
        <v>0.08</v>
      </c>
      <c r="T76" s="302">
        <v>0</v>
      </c>
      <c r="U76" s="293">
        <v>52870</v>
      </c>
      <c r="V76" s="283">
        <v>28065</v>
      </c>
      <c r="W76" s="284">
        <v>0.53</v>
      </c>
      <c r="X76" s="282" t="s">
        <v>1037</v>
      </c>
      <c r="Y76" s="303">
        <v>0</v>
      </c>
      <c r="Z76" s="293">
        <v>10</v>
      </c>
      <c r="AA76" s="283">
        <v>59</v>
      </c>
      <c r="AB76" s="307">
        <v>554</v>
      </c>
      <c r="AC76" s="293">
        <v>131075</v>
      </c>
      <c r="AD76" s="283">
        <v>5870</v>
      </c>
      <c r="AE76" s="284">
        <v>0.04</v>
      </c>
      <c r="AF76" s="282" t="s">
        <v>1037</v>
      </c>
      <c r="AG76" s="303">
        <v>0</v>
      </c>
      <c r="AH76" s="293">
        <v>71</v>
      </c>
      <c r="AI76" s="283">
        <v>203</v>
      </c>
      <c r="AJ76" s="307">
        <v>1415</v>
      </c>
      <c r="AK76" s="293">
        <v>237</v>
      </c>
      <c r="AL76" s="283">
        <v>597</v>
      </c>
      <c r="AM76" s="307">
        <v>1227</v>
      </c>
      <c r="AN76" s="293">
        <v>151</v>
      </c>
      <c r="AO76" s="283">
        <v>348</v>
      </c>
      <c r="AP76" s="307">
        <v>1396</v>
      </c>
      <c r="AQ76" s="293">
        <v>137495</v>
      </c>
      <c r="AR76" s="283">
        <v>0</v>
      </c>
      <c r="AS76" s="284">
        <v>0</v>
      </c>
      <c r="AT76" s="282" t="s">
        <v>1037</v>
      </c>
      <c r="AU76" s="303">
        <v>0</v>
      </c>
      <c r="AV76" s="293">
        <v>177</v>
      </c>
      <c r="AW76" s="283">
        <v>436</v>
      </c>
      <c r="AX76" s="286">
        <v>1396</v>
      </c>
      <c r="AY76" s="93"/>
      <c r="AZ76" s="93"/>
      <c r="BA76" s="93"/>
    </row>
    <row r="77" spans="1:53" ht="22.5" customHeight="1" x14ac:dyDescent="0.2">
      <c r="A77" s="281" t="s">
        <v>454</v>
      </c>
      <c r="B77" s="296" t="s">
        <v>866</v>
      </c>
      <c r="C77" s="293">
        <v>8275</v>
      </c>
      <c r="D77" s="283">
        <v>8201</v>
      </c>
      <c r="E77" s="284">
        <v>1.01</v>
      </c>
      <c r="F77" s="298" t="s">
        <v>712</v>
      </c>
      <c r="G77" s="293">
        <v>8275</v>
      </c>
      <c r="H77" s="283">
        <v>2835</v>
      </c>
      <c r="I77" s="285">
        <v>0.34</v>
      </c>
      <c r="J77" s="300">
        <v>0.21</v>
      </c>
      <c r="K77" s="293">
        <v>5440</v>
      </c>
      <c r="L77" s="283">
        <v>55</v>
      </c>
      <c r="M77" s="300">
        <v>0.01</v>
      </c>
      <c r="N77" s="293">
        <v>8275</v>
      </c>
      <c r="O77" s="283">
        <v>0</v>
      </c>
      <c r="P77" s="300">
        <v>0</v>
      </c>
      <c r="Q77" s="293">
        <v>8275</v>
      </c>
      <c r="R77" s="283">
        <v>755</v>
      </c>
      <c r="S77" s="303">
        <v>0.09</v>
      </c>
      <c r="T77" s="302">
        <v>0</v>
      </c>
      <c r="U77" s="293">
        <v>55</v>
      </c>
      <c r="V77" s="283">
        <v>55</v>
      </c>
      <c r="W77" s="284" t="s">
        <v>1037</v>
      </c>
      <c r="X77" s="282" t="s">
        <v>1037</v>
      </c>
      <c r="Y77" s="303" t="s">
        <v>1037</v>
      </c>
      <c r="Z77" s="293" t="s">
        <v>908</v>
      </c>
      <c r="AA77" s="283" t="s">
        <v>908</v>
      </c>
      <c r="AB77" s="307" t="s">
        <v>908</v>
      </c>
      <c r="AC77" s="293">
        <v>5380</v>
      </c>
      <c r="AD77" s="283" t="s">
        <v>906</v>
      </c>
      <c r="AE77" s="284" t="s">
        <v>906</v>
      </c>
      <c r="AF77" s="282" t="s">
        <v>1037</v>
      </c>
      <c r="AG77" s="303">
        <v>0</v>
      </c>
      <c r="AH77" s="293">
        <v>11</v>
      </c>
      <c r="AI77" s="283">
        <v>65</v>
      </c>
      <c r="AJ77" s="307">
        <v>1339</v>
      </c>
      <c r="AK77" s="293" t="s">
        <v>706</v>
      </c>
      <c r="AL77" s="283" t="s">
        <v>706</v>
      </c>
      <c r="AM77" s="307" t="s">
        <v>706</v>
      </c>
      <c r="AN77" s="293">
        <v>57</v>
      </c>
      <c r="AO77" s="283">
        <v>154</v>
      </c>
      <c r="AP77" s="307">
        <v>398</v>
      </c>
      <c r="AQ77" s="293">
        <v>8275</v>
      </c>
      <c r="AR77" s="283">
        <v>0</v>
      </c>
      <c r="AS77" s="284">
        <v>0</v>
      </c>
      <c r="AT77" s="282" t="s">
        <v>1037</v>
      </c>
      <c r="AU77" s="303">
        <v>0</v>
      </c>
      <c r="AV77" s="293">
        <v>53</v>
      </c>
      <c r="AW77" s="283">
        <v>150</v>
      </c>
      <c r="AX77" s="286">
        <v>398</v>
      </c>
      <c r="AY77" s="93"/>
      <c r="AZ77" s="93"/>
      <c r="BA77" s="93"/>
    </row>
    <row r="78" spans="1:53" ht="22.5" customHeight="1" x14ac:dyDescent="0.2">
      <c r="A78" s="281" t="s">
        <v>339</v>
      </c>
      <c r="B78" s="296" t="s">
        <v>902</v>
      </c>
      <c r="C78" s="293">
        <v>246170</v>
      </c>
      <c r="D78" s="283">
        <v>290675</v>
      </c>
      <c r="E78" s="284">
        <v>0.85</v>
      </c>
      <c r="F78" s="298" t="s">
        <v>721</v>
      </c>
      <c r="G78" s="293">
        <v>246170</v>
      </c>
      <c r="H78" s="283">
        <v>65055</v>
      </c>
      <c r="I78" s="285">
        <v>0.26</v>
      </c>
      <c r="J78" s="300">
        <v>0</v>
      </c>
      <c r="K78" s="293">
        <v>181115</v>
      </c>
      <c r="L78" s="283">
        <v>9120</v>
      </c>
      <c r="M78" s="300">
        <v>0.05</v>
      </c>
      <c r="N78" s="293">
        <v>246735</v>
      </c>
      <c r="O78" s="283">
        <v>565</v>
      </c>
      <c r="P78" s="300">
        <v>0</v>
      </c>
      <c r="Q78" s="293">
        <v>246170</v>
      </c>
      <c r="R78" s="283">
        <v>27955</v>
      </c>
      <c r="S78" s="303">
        <v>0.11</v>
      </c>
      <c r="T78" s="302">
        <v>0</v>
      </c>
      <c r="U78" s="293">
        <v>49115</v>
      </c>
      <c r="V78" s="283">
        <v>15</v>
      </c>
      <c r="W78" s="284">
        <v>0</v>
      </c>
      <c r="X78" s="282" t="s">
        <v>1037</v>
      </c>
      <c r="Y78" s="303">
        <v>0</v>
      </c>
      <c r="Z78" s="293">
        <v>229</v>
      </c>
      <c r="AA78" s="283">
        <v>663</v>
      </c>
      <c r="AB78" s="307">
        <v>1436</v>
      </c>
      <c r="AC78" s="293">
        <v>171805</v>
      </c>
      <c r="AD78" s="283">
        <v>22260</v>
      </c>
      <c r="AE78" s="284">
        <v>0.13</v>
      </c>
      <c r="AF78" s="282" t="s">
        <v>1037</v>
      </c>
      <c r="AG78" s="303">
        <v>0</v>
      </c>
      <c r="AH78" s="293">
        <v>78</v>
      </c>
      <c r="AI78" s="283">
        <v>212</v>
      </c>
      <c r="AJ78" s="307">
        <v>1439</v>
      </c>
      <c r="AK78" s="293">
        <v>237</v>
      </c>
      <c r="AL78" s="283">
        <v>719</v>
      </c>
      <c r="AM78" s="307">
        <v>1435</v>
      </c>
      <c r="AN78" s="293">
        <v>155</v>
      </c>
      <c r="AO78" s="283">
        <v>362</v>
      </c>
      <c r="AP78" s="307">
        <v>1439</v>
      </c>
      <c r="AQ78" s="293">
        <v>246170</v>
      </c>
      <c r="AR78" s="283">
        <v>1000</v>
      </c>
      <c r="AS78" s="284">
        <v>0</v>
      </c>
      <c r="AT78" s="282" t="s">
        <v>1037</v>
      </c>
      <c r="AU78" s="303">
        <v>0</v>
      </c>
      <c r="AV78" s="293">
        <v>162</v>
      </c>
      <c r="AW78" s="283">
        <v>459</v>
      </c>
      <c r="AX78" s="286">
        <v>1439</v>
      </c>
      <c r="AY78" s="93"/>
      <c r="AZ78" s="93"/>
      <c r="BA78" s="93"/>
    </row>
    <row r="79" spans="1:53" ht="22.5" customHeight="1" x14ac:dyDescent="0.2">
      <c r="A79" s="281" t="s">
        <v>455</v>
      </c>
      <c r="B79" s="296" t="s">
        <v>755</v>
      </c>
      <c r="C79" s="293">
        <v>48415</v>
      </c>
      <c r="D79" s="283">
        <v>55618</v>
      </c>
      <c r="E79" s="284">
        <v>0.87</v>
      </c>
      <c r="F79" s="298" t="s">
        <v>721</v>
      </c>
      <c r="G79" s="293">
        <v>48415</v>
      </c>
      <c r="H79" s="283">
        <v>785</v>
      </c>
      <c r="I79" s="285">
        <v>0.02</v>
      </c>
      <c r="J79" s="300" t="s">
        <v>906</v>
      </c>
      <c r="K79" s="293">
        <v>47630</v>
      </c>
      <c r="L79" s="283">
        <v>0</v>
      </c>
      <c r="M79" s="300">
        <v>0</v>
      </c>
      <c r="N79" s="293">
        <v>48415</v>
      </c>
      <c r="O79" s="283">
        <v>0</v>
      </c>
      <c r="P79" s="300">
        <v>0</v>
      </c>
      <c r="Q79" s="293">
        <v>48415</v>
      </c>
      <c r="R79" s="283">
        <v>3895</v>
      </c>
      <c r="S79" s="303">
        <v>0.08</v>
      </c>
      <c r="T79" s="302">
        <v>0</v>
      </c>
      <c r="U79" s="293">
        <v>14240</v>
      </c>
      <c r="V79" s="283">
        <v>1840</v>
      </c>
      <c r="W79" s="284">
        <v>0.13</v>
      </c>
      <c r="X79" s="282" t="s">
        <v>1037</v>
      </c>
      <c r="Y79" s="303">
        <v>0</v>
      </c>
      <c r="Z79" s="293">
        <v>0</v>
      </c>
      <c r="AA79" s="283">
        <v>8</v>
      </c>
      <c r="AB79" s="307">
        <v>1439</v>
      </c>
      <c r="AC79" s="293">
        <v>47630</v>
      </c>
      <c r="AD79" s="283">
        <v>110</v>
      </c>
      <c r="AE79" s="284">
        <v>0</v>
      </c>
      <c r="AF79" s="282" t="s">
        <v>1037</v>
      </c>
      <c r="AG79" s="303">
        <v>0</v>
      </c>
      <c r="AH79" s="293">
        <v>49</v>
      </c>
      <c r="AI79" s="283">
        <v>176</v>
      </c>
      <c r="AJ79" s="307">
        <v>1438</v>
      </c>
      <c r="AK79" s="293">
        <v>329</v>
      </c>
      <c r="AL79" s="283">
        <v>919</v>
      </c>
      <c r="AM79" s="307">
        <v>1417</v>
      </c>
      <c r="AN79" s="293">
        <v>161</v>
      </c>
      <c r="AO79" s="283">
        <v>401</v>
      </c>
      <c r="AP79" s="307">
        <v>1439</v>
      </c>
      <c r="AQ79" s="293">
        <v>48415</v>
      </c>
      <c r="AR79" s="283">
        <v>155</v>
      </c>
      <c r="AS79" s="284">
        <v>0</v>
      </c>
      <c r="AT79" s="282" t="s">
        <v>1037</v>
      </c>
      <c r="AU79" s="303">
        <v>0</v>
      </c>
      <c r="AV79" s="293">
        <v>185</v>
      </c>
      <c r="AW79" s="283">
        <v>688</v>
      </c>
      <c r="AX79" s="286">
        <v>1439</v>
      </c>
      <c r="AY79" s="93"/>
      <c r="AZ79" s="93"/>
      <c r="BA79" s="93"/>
    </row>
    <row r="80" spans="1:53" ht="22.5" customHeight="1" x14ac:dyDescent="0.2">
      <c r="A80" s="281" t="s">
        <v>341</v>
      </c>
      <c r="B80" s="296" t="s">
        <v>801</v>
      </c>
      <c r="C80" s="293">
        <v>79745</v>
      </c>
      <c r="D80" s="283">
        <v>81074</v>
      </c>
      <c r="E80" s="284">
        <v>0.98</v>
      </c>
      <c r="F80" s="298" t="s">
        <v>712</v>
      </c>
      <c r="G80" s="293">
        <v>79745</v>
      </c>
      <c r="H80" s="283">
        <v>0</v>
      </c>
      <c r="I80" s="285">
        <v>0</v>
      </c>
      <c r="J80" s="300" t="s">
        <v>906</v>
      </c>
      <c r="K80" s="293">
        <v>79745</v>
      </c>
      <c r="L80" s="283">
        <v>1210</v>
      </c>
      <c r="M80" s="300">
        <v>0.02</v>
      </c>
      <c r="N80" s="293">
        <v>79745</v>
      </c>
      <c r="O80" s="283">
        <v>0</v>
      </c>
      <c r="P80" s="300">
        <v>0</v>
      </c>
      <c r="Q80" s="293">
        <v>79745</v>
      </c>
      <c r="R80" s="283">
        <v>5405</v>
      </c>
      <c r="S80" s="303">
        <v>7.0000000000000007E-2</v>
      </c>
      <c r="T80" s="302">
        <v>0</v>
      </c>
      <c r="U80" s="293">
        <v>23680</v>
      </c>
      <c r="V80" s="283">
        <v>390</v>
      </c>
      <c r="W80" s="284">
        <v>0.02</v>
      </c>
      <c r="X80" s="282" t="s">
        <v>1037</v>
      </c>
      <c r="Y80" s="303">
        <v>0</v>
      </c>
      <c r="Z80" s="293">
        <v>5</v>
      </c>
      <c r="AA80" s="283">
        <v>31</v>
      </c>
      <c r="AB80" s="307">
        <v>1388</v>
      </c>
      <c r="AC80" s="293">
        <v>78535</v>
      </c>
      <c r="AD80" s="283">
        <v>145</v>
      </c>
      <c r="AE80" s="284">
        <v>0</v>
      </c>
      <c r="AF80" s="282" t="s">
        <v>1037</v>
      </c>
      <c r="AG80" s="303">
        <v>0</v>
      </c>
      <c r="AH80" s="293">
        <v>26</v>
      </c>
      <c r="AI80" s="283">
        <v>165</v>
      </c>
      <c r="AJ80" s="307">
        <v>1347</v>
      </c>
      <c r="AK80" s="293">
        <v>231</v>
      </c>
      <c r="AL80" s="283">
        <v>653</v>
      </c>
      <c r="AM80" s="307">
        <v>1439</v>
      </c>
      <c r="AN80" s="293">
        <v>129</v>
      </c>
      <c r="AO80" s="283">
        <v>289</v>
      </c>
      <c r="AP80" s="307">
        <v>1437</v>
      </c>
      <c r="AQ80" s="293">
        <v>79745</v>
      </c>
      <c r="AR80" s="283">
        <v>0</v>
      </c>
      <c r="AS80" s="284">
        <v>0</v>
      </c>
      <c r="AT80" s="282" t="s">
        <v>1037</v>
      </c>
      <c r="AU80" s="303">
        <v>0</v>
      </c>
      <c r="AV80" s="293">
        <v>151</v>
      </c>
      <c r="AW80" s="283">
        <v>405</v>
      </c>
      <c r="AX80" s="286">
        <v>1439</v>
      </c>
      <c r="AY80" s="93"/>
      <c r="AZ80" s="93"/>
      <c r="BA80" s="93"/>
    </row>
    <row r="81" spans="1:53" ht="22.5" customHeight="1" x14ac:dyDescent="0.2">
      <c r="A81" s="281" t="s">
        <v>342</v>
      </c>
      <c r="B81" s="296" t="s">
        <v>905</v>
      </c>
      <c r="C81" s="293">
        <v>79995</v>
      </c>
      <c r="D81" s="283">
        <v>79789</v>
      </c>
      <c r="E81" s="284">
        <v>1</v>
      </c>
      <c r="F81" s="298" t="s">
        <v>712</v>
      </c>
      <c r="G81" s="293">
        <v>79995</v>
      </c>
      <c r="H81" s="283">
        <v>25</v>
      </c>
      <c r="I81" s="285">
        <v>0</v>
      </c>
      <c r="J81" s="300">
        <v>0.01</v>
      </c>
      <c r="K81" s="293">
        <v>79975</v>
      </c>
      <c r="L81" s="283">
        <v>1245</v>
      </c>
      <c r="M81" s="300">
        <v>0.02</v>
      </c>
      <c r="N81" s="293">
        <v>79995</v>
      </c>
      <c r="O81" s="283">
        <v>0</v>
      </c>
      <c r="P81" s="300">
        <v>0</v>
      </c>
      <c r="Q81" s="293">
        <v>79995</v>
      </c>
      <c r="R81" s="283">
        <v>17865</v>
      </c>
      <c r="S81" s="303">
        <v>0.22</v>
      </c>
      <c r="T81" s="302">
        <v>0</v>
      </c>
      <c r="U81" s="293">
        <v>95</v>
      </c>
      <c r="V81" s="283" t="s">
        <v>906</v>
      </c>
      <c r="W81" s="284" t="s">
        <v>1037</v>
      </c>
      <c r="X81" s="282" t="s">
        <v>1037</v>
      </c>
      <c r="Y81" s="303" t="s">
        <v>1037</v>
      </c>
      <c r="Z81" s="293">
        <v>39</v>
      </c>
      <c r="AA81" s="283">
        <v>125</v>
      </c>
      <c r="AB81" s="307">
        <v>146</v>
      </c>
      <c r="AC81" s="293">
        <v>78660</v>
      </c>
      <c r="AD81" s="283">
        <v>150</v>
      </c>
      <c r="AE81" s="284">
        <v>0</v>
      </c>
      <c r="AF81" s="282" t="s">
        <v>1037</v>
      </c>
      <c r="AG81" s="303">
        <v>0</v>
      </c>
      <c r="AH81" s="293">
        <v>25</v>
      </c>
      <c r="AI81" s="283">
        <v>102</v>
      </c>
      <c r="AJ81" s="307">
        <v>1439</v>
      </c>
      <c r="AK81" s="293">
        <v>106</v>
      </c>
      <c r="AL81" s="283">
        <v>290</v>
      </c>
      <c r="AM81" s="307">
        <v>290</v>
      </c>
      <c r="AN81" s="293">
        <v>60</v>
      </c>
      <c r="AO81" s="283">
        <v>153</v>
      </c>
      <c r="AP81" s="307">
        <v>1432</v>
      </c>
      <c r="AQ81" s="293">
        <v>79995</v>
      </c>
      <c r="AR81" s="283">
        <v>0</v>
      </c>
      <c r="AS81" s="284">
        <v>0</v>
      </c>
      <c r="AT81" s="282" t="s">
        <v>1037</v>
      </c>
      <c r="AU81" s="303">
        <v>0</v>
      </c>
      <c r="AV81" s="293">
        <v>60</v>
      </c>
      <c r="AW81" s="283">
        <v>153</v>
      </c>
      <c r="AX81" s="286">
        <v>1432</v>
      </c>
      <c r="AY81" s="93"/>
      <c r="AZ81" s="93"/>
      <c r="BA81" s="93"/>
    </row>
    <row r="82" spans="1:53" ht="22.5" customHeight="1" x14ac:dyDescent="0.2">
      <c r="A82" s="281" t="s">
        <v>343</v>
      </c>
      <c r="B82" s="296" t="s">
        <v>838</v>
      </c>
      <c r="C82" s="293">
        <v>60850</v>
      </c>
      <c r="D82" s="283">
        <v>93334</v>
      </c>
      <c r="E82" s="284">
        <v>0.65</v>
      </c>
      <c r="F82" s="298" t="s">
        <v>735</v>
      </c>
      <c r="G82" s="293">
        <v>60850</v>
      </c>
      <c r="H82" s="283">
        <v>0</v>
      </c>
      <c r="I82" s="285">
        <v>0</v>
      </c>
      <c r="J82" s="300" t="s">
        <v>906</v>
      </c>
      <c r="K82" s="293">
        <v>60850</v>
      </c>
      <c r="L82" s="283">
        <v>0</v>
      </c>
      <c r="M82" s="300">
        <v>0</v>
      </c>
      <c r="N82" s="293">
        <v>92115</v>
      </c>
      <c r="O82" s="283">
        <v>31265</v>
      </c>
      <c r="P82" s="300">
        <v>0.34</v>
      </c>
      <c r="Q82" s="293">
        <v>60850</v>
      </c>
      <c r="R82" s="283">
        <v>4830</v>
      </c>
      <c r="S82" s="303">
        <v>0.08</v>
      </c>
      <c r="T82" s="302">
        <v>0</v>
      </c>
      <c r="U82" s="293">
        <v>19495</v>
      </c>
      <c r="V82" s="283">
        <v>16425</v>
      </c>
      <c r="W82" s="284">
        <v>0.84</v>
      </c>
      <c r="X82" s="282" t="s">
        <v>1037</v>
      </c>
      <c r="Y82" s="303">
        <v>0</v>
      </c>
      <c r="Z82" s="293">
        <v>15</v>
      </c>
      <c r="AA82" s="283">
        <v>56</v>
      </c>
      <c r="AB82" s="307">
        <v>319</v>
      </c>
      <c r="AC82" s="293">
        <v>60850</v>
      </c>
      <c r="AD82" s="283">
        <v>45</v>
      </c>
      <c r="AE82" s="284">
        <v>0</v>
      </c>
      <c r="AF82" s="282" t="s">
        <v>1037</v>
      </c>
      <c r="AG82" s="303">
        <v>0</v>
      </c>
      <c r="AH82" s="293">
        <v>61</v>
      </c>
      <c r="AI82" s="283">
        <v>172</v>
      </c>
      <c r="AJ82" s="307">
        <v>820</v>
      </c>
      <c r="AK82" s="293">
        <v>235</v>
      </c>
      <c r="AL82" s="283">
        <v>680</v>
      </c>
      <c r="AM82" s="307">
        <v>1355</v>
      </c>
      <c r="AN82" s="293">
        <v>135</v>
      </c>
      <c r="AO82" s="283">
        <v>320</v>
      </c>
      <c r="AP82" s="307">
        <v>1408</v>
      </c>
      <c r="AQ82" s="293">
        <v>60850</v>
      </c>
      <c r="AR82" s="283">
        <v>0</v>
      </c>
      <c r="AS82" s="284">
        <v>0</v>
      </c>
      <c r="AT82" s="282" t="s">
        <v>1037</v>
      </c>
      <c r="AU82" s="303">
        <v>0</v>
      </c>
      <c r="AV82" s="293">
        <v>175</v>
      </c>
      <c r="AW82" s="283">
        <v>469</v>
      </c>
      <c r="AX82" s="286">
        <v>1408</v>
      </c>
      <c r="AY82" s="93"/>
      <c r="AZ82" s="93"/>
      <c r="BA82" s="93"/>
    </row>
    <row r="83" spans="1:53" ht="22.5" customHeight="1" x14ac:dyDescent="0.2">
      <c r="A83" s="281" t="s">
        <v>344</v>
      </c>
      <c r="B83" s="296" t="s">
        <v>819</v>
      </c>
      <c r="C83" s="293">
        <v>237240</v>
      </c>
      <c r="D83" s="283">
        <v>282057</v>
      </c>
      <c r="E83" s="284">
        <v>0.84</v>
      </c>
      <c r="F83" s="298" t="s">
        <v>721</v>
      </c>
      <c r="G83" s="293">
        <v>237240</v>
      </c>
      <c r="H83" s="283">
        <v>195530</v>
      </c>
      <c r="I83" s="285">
        <v>0.82</v>
      </c>
      <c r="J83" s="300">
        <v>0</v>
      </c>
      <c r="K83" s="293">
        <v>41710</v>
      </c>
      <c r="L83" s="283">
        <v>0</v>
      </c>
      <c r="M83" s="300">
        <v>0</v>
      </c>
      <c r="N83" s="293">
        <v>237240</v>
      </c>
      <c r="O83" s="283">
        <v>0</v>
      </c>
      <c r="P83" s="300">
        <v>0</v>
      </c>
      <c r="Q83" s="293">
        <v>237240</v>
      </c>
      <c r="R83" s="283">
        <v>22525</v>
      </c>
      <c r="S83" s="303">
        <v>0.09</v>
      </c>
      <c r="T83" s="302">
        <v>0</v>
      </c>
      <c r="U83" s="293">
        <v>66735</v>
      </c>
      <c r="V83" s="283">
        <v>12820</v>
      </c>
      <c r="W83" s="284">
        <v>0.19</v>
      </c>
      <c r="X83" s="282" t="s">
        <v>1037</v>
      </c>
      <c r="Y83" s="303">
        <v>0</v>
      </c>
      <c r="Z83" s="293">
        <v>0</v>
      </c>
      <c r="AA83" s="283">
        <v>34</v>
      </c>
      <c r="AB83" s="307">
        <v>1439</v>
      </c>
      <c r="AC83" s="293">
        <v>41710</v>
      </c>
      <c r="AD83" s="283">
        <v>10690</v>
      </c>
      <c r="AE83" s="284">
        <v>0.26</v>
      </c>
      <c r="AF83" s="282" t="s">
        <v>1037</v>
      </c>
      <c r="AG83" s="303">
        <v>0</v>
      </c>
      <c r="AH83" s="293">
        <v>76</v>
      </c>
      <c r="AI83" s="283">
        <v>276</v>
      </c>
      <c r="AJ83" s="307">
        <v>1433</v>
      </c>
      <c r="AK83" s="293">
        <v>371</v>
      </c>
      <c r="AL83" s="283">
        <v>991</v>
      </c>
      <c r="AM83" s="307">
        <v>1436</v>
      </c>
      <c r="AN83" s="293" t="s">
        <v>706</v>
      </c>
      <c r="AO83" s="283" t="s">
        <v>706</v>
      </c>
      <c r="AP83" s="307" t="s">
        <v>706</v>
      </c>
      <c r="AQ83" s="293">
        <v>237240</v>
      </c>
      <c r="AR83" s="283" t="s">
        <v>906</v>
      </c>
      <c r="AS83" s="284" t="s">
        <v>906</v>
      </c>
      <c r="AT83" s="282" t="s">
        <v>1037</v>
      </c>
      <c r="AU83" s="303">
        <v>0</v>
      </c>
      <c r="AV83" s="293">
        <v>203</v>
      </c>
      <c r="AW83" s="283">
        <v>615</v>
      </c>
      <c r="AX83" s="286">
        <v>1439</v>
      </c>
      <c r="AY83" s="93"/>
      <c r="AZ83" s="93"/>
      <c r="BA83" s="93"/>
    </row>
    <row r="84" spans="1:53" ht="22.5" customHeight="1" x14ac:dyDescent="0.2">
      <c r="A84" s="281" t="s">
        <v>345</v>
      </c>
      <c r="B84" s="296" t="s">
        <v>770</v>
      </c>
      <c r="C84" s="293">
        <v>123005</v>
      </c>
      <c r="D84" s="283">
        <v>127482</v>
      </c>
      <c r="E84" s="284">
        <v>0.96</v>
      </c>
      <c r="F84" s="298" t="s">
        <v>712</v>
      </c>
      <c r="G84" s="293">
        <v>123005</v>
      </c>
      <c r="H84" s="283">
        <v>420</v>
      </c>
      <c r="I84" s="285">
        <v>0</v>
      </c>
      <c r="J84" s="300">
        <v>0</v>
      </c>
      <c r="K84" s="293">
        <v>122585</v>
      </c>
      <c r="L84" s="283">
        <v>0</v>
      </c>
      <c r="M84" s="300">
        <v>0</v>
      </c>
      <c r="N84" s="293">
        <v>123005</v>
      </c>
      <c r="O84" s="283">
        <v>0</v>
      </c>
      <c r="P84" s="300">
        <v>0</v>
      </c>
      <c r="Q84" s="293">
        <v>123005</v>
      </c>
      <c r="R84" s="283">
        <v>9500</v>
      </c>
      <c r="S84" s="303">
        <v>0.08</v>
      </c>
      <c r="T84" s="302">
        <v>0</v>
      </c>
      <c r="U84" s="293">
        <v>26030</v>
      </c>
      <c r="V84" s="283">
        <v>205</v>
      </c>
      <c r="W84" s="284">
        <v>0.01</v>
      </c>
      <c r="X84" s="282" t="s">
        <v>1037</v>
      </c>
      <c r="Y84" s="303">
        <v>0</v>
      </c>
      <c r="Z84" s="293">
        <v>17</v>
      </c>
      <c r="AA84" s="283">
        <v>1435</v>
      </c>
      <c r="AB84" s="307">
        <v>1439</v>
      </c>
      <c r="AC84" s="293">
        <v>122585</v>
      </c>
      <c r="AD84" s="283">
        <v>445</v>
      </c>
      <c r="AE84" s="284">
        <v>0</v>
      </c>
      <c r="AF84" s="282" t="s">
        <v>1037</v>
      </c>
      <c r="AG84" s="303">
        <v>0</v>
      </c>
      <c r="AH84" s="293">
        <v>21</v>
      </c>
      <c r="AI84" s="283">
        <v>69</v>
      </c>
      <c r="AJ84" s="307">
        <v>1438</v>
      </c>
      <c r="AK84" s="293">
        <v>241</v>
      </c>
      <c r="AL84" s="283">
        <v>738</v>
      </c>
      <c r="AM84" s="307">
        <v>1433</v>
      </c>
      <c r="AN84" s="293">
        <v>175</v>
      </c>
      <c r="AO84" s="283">
        <v>308</v>
      </c>
      <c r="AP84" s="307">
        <v>1437</v>
      </c>
      <c r="AQ84" s="293">
        <v>123005</v>
      </c>
      <c r="AR84" s="283">
        <v>110</v>
      </c>
      <c r="AS84" s="284">
        <v>0</v>
      </c>
      <c r="AT84" s="282" t="s">
        <v>1037</v>
      </c>
      <c r="AU84" s="303">
        <v>0</v>
      </c>
      <c r="AV84" s="293">
        <v>186</v>
      </c>
      <c r="AW84" s="283">
        <v>422</v>
      </c>
      <c r="AX84" s="286">
        <v>1437</v>
      </c>
      <c r="AY84" s="93"/>
      <c r="AZ84" s="93"/>
      <c r="BA84" s="93"/>
    </row>
    <row r="85" spans="1:53" ht="22.5" customHeight="1" x14ac:dyDescent="0.2">
      <c r="A85" s="281" t="s">
        <v>1016</v>
      </c>
      <c r="B85" s="296" t="s">
        <v>1015</v>
      </c>
      <c r="C85" s="293">
        <v>48600</v>
      </c>
      <c r="D85" s="283" t="s">
        <v>706</v>
      </c>
      <c r="E85" s="284" t="s">
        <v>706</v>
      </c>
      <c r="F85" s="298" t="s">
        <v>706</v>
      </c>
      <c r="G85" s="293">
        <v>48600</v>
      </c>
      <c r="H85" s="283">
        <v>40</v>
      </c>
      <c r="I85" s="285">
        <v>0</v>
      </c>
      <c r="J85" s="300">
        <v>0</v>
      </c>
      <c r="K85" s="293">
        <v>48560</v>
      </c>
      <c r="L85" s="283">
        <v>605</v>
      </c>
      <c r="M85" s="300">
        <v>0.01</v>
      </c>
      <c r="N85" s="293">
        <v>48600</v>
      </c>
      <c r="O85" s="283">
        <v>0</v>
      </c>
      <c r="P85" s="300">
        <v>0</v>
      </c>
      <c r="Q85" s="293">
        <v>48600</v>
      </c>
      <c r="R85" s="283">
        <v>3215</v>
      </c>
      <c r="S85" s="303">
        <v>7.0000000000000007E-2</v>
      </c>
      <c r="T85" s="302">
        <v>0</v>
      </c>
      <c r="U85" s="293">
        <v>120</v>
      </c>
      <c r="V85" s="283">
        <v>0</v>
      </c>
      <c r="W85" s="284" t="s">
        <v>1037</v>
      </c>
      <c r="X85" s="282" t="s">
        <v>1037</v>
      </c>
      <c r="Y85" s="303" t="s">
        <v>1037</v>
      </c>
      <c r="Z85" s="293">
        <v>8</v>
      </c>
      <c r="AA85" s="283">
        <v>18</v>
      </c>
      <c r="AB85" s="307">
        <v>33</v>
      </c>
      <c r="AC85" s="293">
        <v>47955</v>
      </c>
      <c r="AD85" s="283">
        <v>90</v>
      </c>
      <c r="AE85" s="284">
        <v>0</v>
      </c>
      <c r="AF85" s="282" t="s">
        <v>1037</v>
      </c>
      <c r="AG85" s="303">
        <v>0</v>
      </c>
      <c r="AH85" s="293">
        <v>13</v>
      </c>
      <c r="AI85" s="283">
        <v>93</v>
      </c>
      <c r="AJ85" s="307">
        <v>396</v>
      </c>
      <c r="AK85" s="293">
        <v>82</v>
      </c>
      <c r="AL85" s="283">
        <v>181</v>
      </c>
      <c r="AM85" s="307">
        <v>304</v>
      </c>
      <c r="AN85" s="293">
        <v>39</v>
      </c>
      <c r="AO85" s="283">
        <v>142</v>
      </c>
      <c r="AP85" s="307">
        <v>745</v>
      </c>
      <c r="AQ85" s="293">
        <v>48600</v>
      </c>
      <c r="AR85" s="283">
        <v>0</v>
      </c>
      <c r="AS85" s="284">
        <v>0</v>
      </c>
      <c r="AT85" s="282" t="s">
        <v>1037</v>
      </c>
      <c r="AU85" s="303">
        <v>0</v>
      </c>
      <c r="AV85" s="293">
        <v>40</v>
      </c>
      <c r="AW85" s="283">
        <v>143</v>
      </c>
      <c r="AX85" s="286">
        <v>745</v>
      </c>
      <c r="AY85" s="93"/>
      <c r="AZ85" s="93"/>
      <c r="BA85" s="93"/>
    </row>
    <row r="86" spans="1:53" ht="22.5" customHeight="1" x14ac:dyDescent="0.2">
      <c r="A86" s="281" t="s">
        <v>346</v>
      </c>
      <c r="B86" s="296" t="s">
        <v>890</v>
      </c>
      <c r="C86" s="293">
        <v>117350</v>
      </c>
      <c r="D86" s="283">
        <v>157005</v>
      </c>
      <c r="E86" s="284">
        <v>0.75</v>
      </c>
      <c r="F86" s="298" t="s">
        <v>735</v>
      </c>
      <c r="G86" s="293">
        <v>117350</v>
      </c>
      <c r="H86" s="283">
        <v>2660</v>
      </c>
      <c r="I86" s="285">
        <v>0.02</v>
      </c>
      <c r="J86" s="300">
        <v>0</v>
      </c>
      <c r="K86" s="293">
        <v>114690</v>
      </c>
      <c r="L86" s="283" t="s">
        <v>906</v>
      </c>
      <c r="M86" s="300" t="s">
        <v>906</v>
      </c>
      <c r="N86" s="293">
        <v>117350</v>
      </c>
      <c r="O86" s="283">
        <v>0</v>
      </c>
      <c r="P86" s="300">
        <v>0</v>
      </c>
      <c r="Q86" s="293">
        <v>117350</v>
      </c>
      <c r="R86" s="283">
        <v>9020</v>
      </c>
      <c r="S86" s="303">
        <v>0.08</v>
      </c>
      <c r="T86" s="302">
        <v>0</v>
      </c>
      <c r="U86" s="293">
        <v>35110</v>
      </c>
      <c r="V86" s="283">
        <v>35</v>
      </c>
      <c r="W86" s="284">
        <v>0</v>
      </c>
      <c r="X86" s="282" t="s">
        <v>1037</v>
      </c>
      <c r="Y86" s="303">
        <v>0</v>
      </c>
      <c r="Z86" s="293">
        <v>7</v>
      </c>
      <c r="AA86" s="283">
        <v>57</v>
      </c>
      <c r="AB86" s="307">
        <v>1439</v>
      </c>
      <c r="AC86" s="293">
        <v>114685</v>
      </c>
      <c r="AD86" s="283">
        <v>8830</v>
      </c>
      <c r="AE86" s="284">
        <v>0.08</v>
      </c>
      <c r="AF86" s="282" t="s">
        <v>1037</v>
      </c>
      <c r="AG86" s="303">
        <v>0</v>
      </c>
      <c r="AH86" s="293">
        <v>69</v>
      </c>
      <c r="AI86" s="283">
        <v>236</v>
      </c>
      <c r="AJ86" s="307">
        <v>1439</v>
      </c>
      <c r="AK86" s="293">
        <v>293</v>
      </c>
      <c r="AL86" s="283">
        <v>901</v>
      </c>
      <c r="AM86" s="307">
        <v>1439</v>
      </c>
      <c r="AN86" s="293">
        <v>147</v>
      </c>
      <c r="AO86" s="283">
        <v>383</v>
      </c>
      <c r="AP86" s="307">
        <v>1436</v>
      </c>
      <c r="AQ86" s="293">
        <v>117350</v>
      </c>
      <c r="AR86" s="283">
        <v>10</v>
      </c>
      <c r="AS86" s="284">
        <v>0</v>
      </c>
      <c r="AT86" s="282" t="s">
        <v>1037</v>
      </c>
      <c r="AU86" s="303">
        <v>0</v>
      </c>
      <c r="AV86" s="293">
        <v>170</v>
      </c>
      <c r="AW86" s="283">
        <v>635</v>
      </c>
      <c r="AX86" s="286">
        <v>1439</v>
      </c>
      <c r="AY86" s="93"/>
      <c r="AZ86" s="93"/>
      <c r="BA86" s="93"/>
    </row>
    <row r="87" spans="1:53" ht="22.5" customHeight="1" x14ac:dyDescent="0.2">
      <c r="A87" s="281" t="s">
        <v>347</v>
      </c>
      <c r="B87" s="296" t="s">
        <v>853</v>
      </c>
      <c r="C87" s="293">
        <v>221110</v>
      </c>
      <c r="D87" s="283">
        <v>247404</v>
      </c>
      <c r="E87" s="284">
        <v>0.89</v>
      </c>
      <c r="F87" s="298" t="s">
        <v>721</v>
      </c>
      <c r="G87" s="293">
        <v>221110</v>
      </c>
      <c r="H87" s="283" t="s">
        <v>906</v>
      </c>
      <c r="I87" s="285" t="s">
        <v>906</v>
      </c>
      <c r="J87" s="300">
        <v>0</v>
      </c>
      <c r="K87" s="293">
        <v>221110</v>
      </c>
      <c r="L87" s="283">
        <v>10</v>
      </c>
      <c r="M87" s="300">
        <v>0</v>
      </c>
      <c r="N87" s="293">
        <v>221190</v>
      </c>
      <c r="O87" s="283">
        <v>80</v>
      </c>
      <c r="P87" s="300">
        <v>0</v>
      </c>
      <c r="Q87" s="293">
        <v>221110</v>
      </c>
      <c r="R87" s="283">
        <v>18915</v>
      </c>
      <c r="S87" s="303">
        <v>0.09</v>
      </c>
      <c r="T87" s="302">
        <v>0</v>
      </c>
      <c r="U87" s="293">
        <v>45995</v>
      </c>
      <c r="V87" s="283">
        <v>305</v>
      </c>
      <c r="W87" s="284">
        <v>0.01</v>
      </c>
      <c r="X87" s="282" t="s">
        <v>1037</v>
      </c>
      <c r="Y87" s="303">
        <v>0</v>
      </c>
      <c r="Z87" s="293">
        <v>7</v>
      </c>
      <c r="AA87" s="283">
        <v>24</v>
      </c>
      <c r="AB87" s="307">
        <v>1394</v>
      </c>
      <c r="AC87" s="293">
        <v>221100</v>
      </c>
      <c r="AD87" s="283">
        <v>165</v>
      </c>
      <c r="AE87" s="284">
        <v>0</v>
      </c>
      <c r="AF87" s="282" t="s">
        <v>1037</v>
      </c>
      <c r="AG87" s="303">
        <v>0</v>
      </c>
      <c r="AH87" s="293">
        <v>103</v>
      </c>
      <c r="AI87" s="283">
        <v>387</v>
      </c>
      <c r="AJ87" s="307">
        <v>1439</v>
      </c>
      <c r="AK87" s="293">
        <v>235</v>
      </c>
      <c r="AL87" s="283">
        <v>785</v>
      </c>
      <c r="AM87" s="307">
        <v>1414</v>
      </c>
      <c r="AN87" s="293">
        <v>166</v>
      </c>
      <c r="AO87" s="283">
        <v>343</v>
      </c>
      <c r="AP87" s="307">
        <v>1439</v>
      </c>
      <c r="AQ87" s="293">
        <v>221110</v>
      </c>
      <c r="AR87" s="283">
        <v>0</v>
      </c>
      <c r="AS87" s="284">
        <v>0</v>
      </c>
      <c r="AT87" s="282" t="s">
        <v>1037</v>
      </c>
      <c r="AU87" s="303">
        <v>0</v>
      </c>
      <c r="AV87" s="293">
        <v>182</v>
      </c>
      <c r="AW87" s="283">
        <v>522</v>
      </c>
      <c r="AX87" s="286">
        <v>1439</v>
      </c>
      <c r="AY87" s="93"/>
      <c r="AZ87" s="93"/>
      <c r="BA87" s="93"/>
    </row>
    <row r="88" spans="1:53" ht="22.5" customHeight="1" x14ac:dyDescent="0.2">
      <c r="A88" s="281" t="s">
        <v>348</v>
      </c>
      <c r="B88" s="296" t="s">
        <v>811</v>
      </c>
      <c r="C88" s="293">
        <v>222285</v>
      </c>
      <c r="D88" s="283">
        <v>301943</v>
      </c>
      <c r="E88" s="284">
        <v>0.74</v>
      </c>
      <c r="F88" s="298" t="s">
        <v>735</v>
      </c>
      <c r="G88" s="293">
        <v>222285</v>
      </c>
      <c r="H88" s="283">
        <v>375</v>
      </c>
      <c r="I88" s="285">
        <v>0</v>
      </c>
      <c r="J88" s="300">
        <v>0</v>
      </c>
      <c r="K88" s="293">
        <v>221910</v>
      </c>
      <c r="L88" s="283">
        <v>120</v>
      </c>
      <c r="M88" s="300">
        <v>0</v>
      </c>
      <c r="N88" s="293">
        <v>222285</v>
      </c>
      <c r="O88" s="283">
        <v>0</v>
      </c>
      <c r="P88" s="300">
        <v>0</v>
      </c>
      <c r="Q88" s="293">
        <v>222285</v>
      </c>
      <c r="R88" s="283">
        <v>22605</v>
      </c>
      <c r="S88" s="303">
        <v>0.1</v>
      </c>
      <c r="T88" s="302">
        <v>0</v>
      </c>
      <c r="U88" s="293">
        <v>62900</v>
      </c>
      <c r="V88" s="283">
        <v>1240</v>
      </c>
      <c r="W88" s="284">
        <v>0.02</v>
      </c>
      <c r="X88" s="282" t="s">
        <v>1037</v>
      </c>
      <c r="Y88" s="303">
        <v>0</v>
      </c>
      <c r="Z88" s="293">
        <v>16</v>
      </c>
      <c r="AA88" s="283">
        <v>53</v>
      </c>
      <c r="AB88" s="307">
        <v>1439</v>
      </c>
      <c r="AC88" s="293">
        <v>221795</v>
      </c>
      <c r="AD88" s="283">
        <v>1440</v>
      </c>
      <c r="AE88" s="284">
        <v>0.01</v>
      </c>
      <c r="AF88" s="282" t="s">
        <v>1037</v>
      </c>
      <c r="AG88" s="303">
        <v>0</v>
      </c>
      <c r="AH88" s="293">
        <v>19</v>
      </c>
      <c r="AI88" s="283">
        <v>144</v>
      </c>
      <c r="AJ88" s="307">
        <v>1439</v>
      </c>
      <c r="AK88" s="293">
        <v>306</v>
      </c>
      <c r="AL88" s="283">
        <v>1034</v>
      </c>
      <c r="AM88" s="307">
        <v>1437</v>
      </c>
      <c r="AN88" s="293">
        <v>195</v>
      </c>
      <c r="AO88" s="283">
        <v>430</v>
      </c>
      <c r="AP88" s="307">
        <v>1439</v>
      </c>
      <c r="AQ88" s="293">
        <v>222285</v>
      </c>
      <c r="AR88" s="283">
        <v>10</v>
      </c>
      <c r="AS88" s="284">
        <v>0</v>
      </c>
      <c r="AT88" s="282" t="s">
        <v>1037</v>
      </c>
      <c r="AU88" s="303">
        <v>0</v>
      </c>
      <c r="AV88" s="293">
        <v>206</v>
      </c>
      <c r="AW88" s="283">
        <v>624</v>
      </c>
      <c r="AX88" s="286">
        <v>1439</v>
      </c>
      <c r="AY88" s="93"/>
      <c r="AZ88" s="93"/>
      <c r="BA88" s="93"/>
    </row>
    <row r="89" spans="1:53" ht="22.5" customHeight="1" x14ac:dyDescent="0.2">
      <c r="A89" s="281" t="s">
        <v>349</v>
      </c>
      <c r="B89" s="296" t="s">
        <v>897</v>
      </c>
      <c r="C89" s="293">
        <v>112350</v>
      </c>
      <c r="D89" s="283">
        <v>128405</v>
      </c>
      <c r="E89" s="284">
        <v>0.87</v>
      </c>
      <c r="F89" s="298" t="s">
        <v>721</v>
      </c>
      <c r="G89" s="293">
        <v>112350</v>
      </c>
      <c r="H89" s="283">
        <v>0</v>
      </c>
      <c r="I89" s="285">
        <v>0</v>
      </c>
      <c r="J89" s="300">
        <v>0.02</v>
      </c>
      <c r="K89" s="293">
        <v>112350</v>
      </c>
      <c r="L89" s="283">
        <v>3435</v>
      </c>
      <c r="M89" s="300">
        <v>0.03</v>
      </c>
      <c r="N89" s="293">
        <v>112350</v>
      </c>
      <c r="O89" s="283">
        <v>0</v>
      </c>
      <c r="P89" s="300">
        <v>0</v>
      </c>
      <c r="Q89" s="293">
        <v>112350</v>
      </c>
      <c r="R89" s="283">
        <v>5360</v>
      </c>
      <c r="S89" s="303">
        <v>0.05</v>
      </c>
      <c r="T89" s="302">
        <v>0</v>
      </c>
      <c r="U89" s="293">
        <v>245</v>
      </c>
      <c r="V89" s="283">
        <v>0</v>
      </c>
      <c r="W89" s="284" t="s">
        <v>1037</v>
      </c>
      <c r="X89" s="282" t="s">
        <v>1037</v>
      </c>
      <c r="Y89" s="303" t="s">
        <v>1037</v>
      </c>
      <c r="Z89" s="293">
        <v>1</v>
      </c>
      <c r="AA89" s="283">
        <v>23</v>
      </c>
      <c r="AB89" s="307">
        <v>1438</v>
      </c>
      <c r="AC89" s="293">
        <v>108760</v>
      </c>
      <c r="AD89" s="283">
        <v>30</v>
      </c>
      <c r="AE89" s="284">
        <v>0</v>
      </c>
      <c r="AF89" s="282" t="s">
        <v>1037</v>
      </c>
      <c r="AG89" s="303">
        <v>0</v>
      </c>
      <c r="AH89" s="293">
        <v>17</v>
      </c>
      <c r="AI89" s="283">
        <v>100</v>
      </c>
      <c r="AJ89" s="307">
        <v>1385</v>
      </c>
      <c r="AK89" s="293">
        <v>103</v>
      </c>
      <c r="AL89" s="283">
        <v>308</v>
      </c>
      <c r="AM89" s="307">
        <v>1051</v>
      </c>
      <c r="AN89" s="293">
        <v>83</v>
      </c>
      <c r="AO89" s="283">
        <v>217</v>
      </c>
      <c r="AP89" s="307">
        <v>1399</v>
      </c>
      <c r="AQ89" s="293">
        <v>112350</v>
      </c>
      <c r="AR89" s="283">
        <v>0</v>
      </c>
      <c r="AS89" s="284">
        <v>0</v>
      </c>
      <c r="AT89" s="282" t="s">
        <v>1037</v>
      </c>
      <c r="AU89" s="303">
        <v>0</v>
      </c>
      <c r="AV89" s="293">
        <v>84</v>
      </c>
      <c r="AW89" s="283">
        <v>217</v>
      </c>
      <c r="AX89" s="286">
        <v>1399</v>
      </c>
      <c r="AY89" s="93"/>
      <c r="AZ89" s="93"/>
      <c r="BA89" s="93"/>
    </row>
    <row r="90" spans="1:53" ht="22.5" customHeight="1" x14ac:dyDescent="0.2">
      <c r="A90" s="281" t="s">
        <v>350</v>
      </c>
      <c r="B90" s="296" t="s">
        <v>795</v>
      </c>
      <c r="C90" s="293">
        <v>13180</v>
      </c>
      <c r="D90" s="283">
        <v>13191</v>
      </c>
      <c r="E90" s="284">
        <v>1</v>
      </c>
      <c r="F90" s="298" t="s">
        <v>712</v>
      </c>
      <c r="G90" s="293">
        <v>13180</v>
      </c>
      <c r="H90" s="283">
        <v>4485</v>
      </c>
      <c r="I90" s="285">
        <v>0.34</v>
      </c>
      <c r="J90" s="300">
        <v>0</v>
      </c>
      <c r="K90" s="293">
        <v>8695</v>
      </c>
      <c r="L90" s="283">
        <v>525</v>
      </c>
      <c r="M90" s="300">
        <v>0.06</v>
      </c>
      <c r="N90" s="293">
        <v>13180</v>
      </c>
      <c r="O90" s="283">
        <v>0</v>
      </c>
      <c r="P90" s="300">
        <v>0</v>
      </c>
      <c r="Q90" s="293">
        <v>13180</v>
      </c>
      <c r="R90" s="283">
        <v>1375</v>
      </c>
      <c r="S90" s="303">
        <v>0.1</v>
      </c>
      <c r="T90" s="302">
        <v>0</v>
      </c>
      <c r="U90" s="293">
        <v>420</v>
      </c>
      <c r="V90" s="283">
        <v>0</v>
      </c>
      <c r="W90" s="284">
        <v>0</v>
      </c>
      <c r="X90" s="282" t="s">
        <v>1037</v>
      </c>
      <c r="Y90" s="303">
        <v>0</v>
      </c>
      <c r="Z90" s="293">
        <v>3</v>
      </c>
      <c r="AA90" s="283">
        <v>15</v>
      </c>
      <c r="AB90" s="307">
        <v>40</v>
      </c>
      <c r="AC90" s="293">
        <v>8170</v>
      </c>
      <c r="AD90" s="283" t="s">
        <v>906</v>
      </c>
      <c r="AE90" s="284" t="s">
        <v>906</v>
      </c>
      <c r="AF90" s="282" t="s">
        <v>1037</v>
      </c>
      <c r="AG90" s="303">
        <v>0</v>
      </c>
      <c r="AH90" s="293">
        <v>80</v>
      </c>
      <c r="AI90" s="283">
        <v>199</v>
      </c>
      <c r="AJ90" s="307">
        <v>504</v>
      </c>
      <c r="AK90" s="293">
        <v>117</v>
      </c>
      <c r="AL90" s="283">
        <v>233</v>
      </c>
      <c r="AM90" s="307">
        <v>754</v>
      </c>
      <c r="AN90" s="293">
        <v>115</v>
      </c>
      <c r="AO90" s="283">
        <v>229</v>
      </c>
      <c r="AP90" s="307">
        <v>549</v>
      </c>
      <c r="AQ90" s="293">
        <v>13180</v>
      </c>
      <c r="AR90" s="283">
        <v>10</v>
      </c>
      <c r="AS90" s="284">
        <v>0</v>
      </c>
      <c r="AT90" s="282" t="s">
        <v>1037</v>
      </c>
      <c r="AU90" s="303">
        <v>0</v>
      </c>
      <c r="AV90" s="293">
        <v>113</v>
      </c>
      <c r="AW90" s="283">
        <v>231</v>
      </c>
      <c r="AX90" s="286">
        <v>754</v>
      </c>
      <c r="AY90" s="93"/>
      <c r="AZ90" s="93"/>
      <c r="BA90" s="93"/>
    </row>
    <row r="91" spans="1:53" ht="22.5" customHeight="1" x14ac:dyDescent="0.2">
      <c r="A91" s="281" t="s">
        <v>351</v>
      </c>
      <c r="B91" s="296" t="s">
        <v>758</v>
      </c>
      <c r="C91" s="293">
        <v>145425</v>
      </c>
      <c r="D91" s="283">
        <v>356083</v>
      </c>
      <c r="E91" s="284">
        <v>0.41</v>
      </c>
      <c r="F91" s="298" t="s">
        <v>735</v>
      </c>
      <c r="G91" s="293">
        <v>145425</v>
      </c>
      <c r="H91" s="283">
        <v>90</v>
      </c>
      <c r="I91" s="285">
        <v>0</v>
      </c>
      <c r="J91" s="300">
        <v>0</v>
      </c>
      <c r="K91" s="293">
        <v>145335</v>
      </c>
      <c r="L91" s="283">
        <v>3195</v>
      </c>
      <c r="M91" s="300">
        <v>0.02</v>
      </c>
      <c r="N91" s="293">
        <v>145425</v>
      </c>
      <c r="O91" s="283">
        <v>0</v>
      </c>
      <c r="P91" s="300">
        <v>0</v>
      </c>
      <c r="Q91" s="293">
        <v>145425</v>
      </c>
      <c r="R91" s="283">
        <v>12810</v>
      </c>
      <c r="S91" s="303">
        <v>0.09</v>
      </c>
      <c r="T91" s="302">
        <v>0</v>
      </c>
      <c r="U91" s="293">
        <v>63295</v>
      </c>
      <c r="V91" s="283">
        <v>510</v>
      </c>
      <c r="W91" s="284">
        <v>0.01</v>
      </c>
      <c r="X91" s="282" t="s">
        <v>1037</v>
      </c>
      <c r="Y91" s="303">
        <v>0</v>
      </c>
      <c r="Z91" s="293">
        <v>5</v>
      </c>
      <c r="AA91" s="283">
        <v>36</v>
      </c>
      <c r="AB91" s="307">
        <v>351</v>
      </c>
      <c r="AC91" s="293">
        <v>142140</v>
      </c>
      <c r="AD91" s="283">
        <v>705</v>
      </c>
      <c r="AE91" s="284">
        <v>0</v>
      </c>
      <c r="AF91" s="282" t="s">
        <v>1037</v>
      </c>
      <c r="AG91" s="303">
        <v>0</v>
      </c>
      <c r="AH91" s="293">
        <v>86</v>
      </c>
      <c r="AI91" s="283">
        <v>324</v>
      </c>
      <c r="AJ91" s="307">
        <v>1439</v>
      </c>
      <c r="AK91" s="293">
        <v>299</v>
      </c>
      <c r="AL91" s="283">
        <v>995</v>
      </c>
      <c r="AM91" s="307">
        <v>1439</v>
      </c>
      <c r="AN91" s="293">
        <v>222</v>
      </c>
      <c r="AO91" s="283">
        <v>653</v>
      </c>
      <c r="AP91" s="307">
        <v>1439</v>
      </c>
      <c r="AQ91" s="293">
        <v>145425</v>
      </c>
      <c r="AR91" s="283">
        <v>0</v>
      </c>
      <c r="AS91" s="284">
        <v>0</v>
      </c>
      <c r="AT91" s="282" t="s">
        <v>1037</v>
      </c>
      <c r="AU91" s="303">
        <v>0</v>
      </c>
      <c r="AV91" s="293">
        <v>236</v>
      </c>
      <c r="AW91" s="283">
        <v>850</v>
      </c>
      <c r="AX91" s="286">
        <v>1439</v>
      </c>
      <c r="AY91" s="93"/>
      <c r="AZ91" s="93"/>
      <c r="BA91" s="93"/>
    </row>
    <row r="92" spans="1:53" ht="22.5" customHeight="1" x14ac:dyDescent="0.2">
      <c r="A92" s="281" t="s">
        <v>352</v>
      </c>
      <c r="B92" s="296" t="s">
        <v>779</v>
      </c>
      <c r="C92" s="293">
        <v>108180</v>
      </c>
      <c r="D92" s="283">
        <v>151310</v>
      </c>
      <c r="E92" s="284">
        <v>0.71</v>
      </c>
      <c r="F92" s="298" t="s">
        <v>735</v>
      </c>
      <c r="G92" s="293">
        <v>108180</v>
      </c>
      <c r="H92" s="283" t="s">
        <v>906</v>
      </c>
      <c r="I92" s="285" t="s">
        <v>906</v>
      </c>
      <c r="J92" s="300">
        <v>0</v>
      </c>
      <c r="K92" s="293">
        <v>108180</v>
      </c>
      <c r="L92" s="283">
        <v>1200</v>
      </c>
      <c r="M92" s="300">
        <v>0.01</v>
      </c>
      <c r="N92" s="293">
        <v>108180</v>
      </c>
      <c r="O92" s="283">
        <v>0</v>
      </c>
      <c r="P92" s="300">
        <v>0</v>
      </c>
      <c r="Q92" s="293">
        <v>108180</v>
      </c>
      <c r="R92" s="283">
        <v>3695</v>
      </c>
      <c r="S92" s="303">
        <v>0.03</v>
      </c>
      <c r="T92" s="302">
        <v>0</v>
      </c>
      <c r="U92" s="293">
        <v>32170</v>
      </c>
      <c r="V92" s="283">
        <v>105</v>
      </c>
      <c r="W92" s="284">
        <v>0</v>
      </c>
      <c r="X92" s="282" t="s">
        <v>1037</v>
      </c>
      <c r="Y92" s="303">
        <v>0</v>
      </c>
      <c r="Z92" s="293">
        <v>12</v>
      </c>
      <c r="AA92" s="283">
        <v>51</v>
      </c>
      <c r="AB92" s="307">
        <v>1285</v>
      </c>
      <c r="AC92" s="293">
        <v>106975</v>
      </c>
      <c r="AD92" s="283">
        <v>26740</v>
      </c>
      <c r="AE92" s="284">
        <v>0.25</v>
      </c>
      <c r="AF92" s="282" t="s">
        <v>1037</v>
      </c>
      <c r="AG92" s="303">
        <v>0</v>
      </c>
      <c r="AH92" s="293">
        <v>80</v>
      </c>
      <c r="AI92" s="283">
        <v>881</v>
      </c>
      <c r="AJ92" s="307">
        <v>1439</v>
      </c>
      <c r="AK92" s="293">
        <v>220</v>
      </c>
      <c r="AL92" s="283">
        <v>293</v>
      </c>
      <c r="AM92" s="307">
        <v>1231</v>
      </c>
      <c r="AN92" s="293">
        <v>150</v>
      </c>
      <c r="AO92" s="283">
        <v>236</v>
      </c>
      <c r="AP92" s="307">
        <v>1408</v>
      </c>
      <c r="AQ92" s="293">
        <v>108180</v>
      </c>
      <c r="AR92" s="283">
        <v>0</v>
      </c>
      <c r="AS92" s="284">
        <v>0</v>
      </c>
      <c r="AT92" s="282" t="s">
        <v>1037</v>
      </c>
      <c r="AU92" s="303">
        <v>0</v>
      </c>
      <c r="AV92" s="293">
        <v>172</v>
      </c>
      <c r="AW92" s="283">
        <v>240</v>
      </c>
      <c r="AX92" s="286">
        <v>1408</v>
      </c>
      <c r="AY92" s="93"/>
      <c r="AZ92" s="93"/>
      <c r="BA92" s="93"/>
    </row>
    <row r="93" spans="1:53" ht="22.5" customHeight="1" x14ac:dyDescent="0.2">
      <c r="A93" s="281" t="s">
        <v>637</v>
      </c>
      <c r="B93" s="296" t="s">
        <v>741</v>
      </c>
      <c r="C93" s="293">
        <v>655</v>
      </c>
      <c r="D93" s="283" t="s">
        <v>706</v>
      </c>
      <c r="E93" s="284" t="s">
        <v>706</v>
      </c>
      <c r="F93" s="298" t="s">
        <v>706</v>
      </c>
      <c r="G93" s="293">
        <v>655</v>
      </c>
      <c r="H93" s="283">
        <v>75</v>
      </c>
      <c r="I93" s="285">
        <v>0.11</v>
      </c>
      <c r="J93" s="300">
        <v>0</v>
      </c>
      <c r="K93" s="293">
        <v>580</v>
      </c>
      <c r="L93" s="283">
        <v>0</v>
      </c>
      <c r="M93" s="300">
        <v>0</v>
      </c>
      <c r="N93" s="293">
        <v>655</v>
      </c>
      <c r="O93" s="283">
        <v>0</v>
      </c>
      <c r="P93" s="300">
        <v>0</v>
      </c>
      <c r="Q93" s="293">
        <v>655</v>
      </c>
      <c r="R93" s="283">
        <v>10</v>
      </c>
      <c r="S93" s="303">
        <v>0.02</v>
      </c>
      <c r="T93" s="302">
        <v>0</v>
      </c>
      <c r="U93" s="293" t="s">
        <v>906</v>
      </c>
      <c r="V93" s="283" t="s">
        <v>906</v>
      </c>
      <c r="W93" s="284" t="s">
        <v>1037</v>
      </c>
      <c r="X93" s="282" t="s">
        <v>1037</v>
      </c>
      <c r="Y93" s="303" t="s">
        <v>1037</v>
      </c>
      <c r="Z93" s="293" t="s">
        <v>906</v>
      </c>
      <c r="AA93" s="283" t="s">
        <v>906</v>
      </c>
      <c r="AB93" s="307" t="s">
        <v>906</v>
      </c>
      <c r="AC93" s="293">
        <v>575</v>
      </c>
      <c r="AD93" s="283" t="s">
        <v>906</v>
      </c>
      <c r="AE93" s="284" t="s">
        <v>906</v>
      </c>
      <c r="AF93" s="282" t="s">
        <v>1037</v>
      </c>
      <c r="AG93" s="303">
        <v>0</v>
      </c>
      <c r="AH93" s="293">
        <v>10</v>
      </c>
      <c r="AI93" s="283">
        <v>45</v>
      </c>
      <c r="AJ93" s="307">
        <v>1190</v>
      </c>
      <c r="AK93" s="293" t="s">
        <v>706</v>
      </c>
      <c r="AL93" s="283" t="s">
        <v>706</v>
      </c>
      <c r="AM93" s="307" t="s">
        <v>706</v>
      </c>
      <c r="AN93" s="293">
        <v>38</v>
      </c>
      <c r="AO93" s="283">
        <v>215</v>
      </c>
      <c r="AP93" s="307">
        <v>1439</v>
      </c>
      <c r="AQ93" s="293">
        <v>655</v>
      </c>
      <c r="AR93" s="283">
        <v>75</v>
      </c>
      <c r="AS93" s="284">
        <v>0.11</v>
      </c>
      <c r="AT93" s="282" t="s">
        <v>1037</v>
      </c>
      <c r="AU93" s="303">
        <v>0</v>
      </c>
      <c r="AV93" s="293">
        <v>38</v>
      </c>
      <c r="AW93" s="283">
        <v>215</v>
      </c>
      <c r="AX93" s="286">
        <v>1439</v>
      </c>
      <c r="AY93" s="93"/>
      <c r="AZ93" s="93"/>
      <c r="BA93" s="93"/>
    </row>
    <row r="94" spans="1:53" ht="22.5" customHeight="1" x14ac:dyDescent="0.2">
      <c r="A94" s="281" t="s">
        <v>353</v>
      </c>
      <c r="B94" s="296" t="s">
        <v>876</v>
      </c>
      <c r="C94" s="293">
        <v>181870</v>
      </c>
      <c r="D94" s="283">
        <v>181878</v>
      </c>
      <c r="E94" s="284">
        <v>1</v>
      </c>
      <c r="F94" s="298" t="s">
        <v>712</v>
      </c>
      <c r="G94" s="293">
        <v>181870</v>
      </c>
      <c r="H94" s="283">
        <v>10</v>
      </c>
      <c r="I94" s="285">
        <v>0</v>
      </c>
      <c r="J94" s="300">
        <v>0.02</v>
      </c>
      <c r="K94" s="293">
        <v>181860</v>
      </c>
      <c r="L94" s="283">
        <v>4805</v>
      </c>
      <c r="M94" s="300">
        <v>0.03</v>
      </c>
      <c r="N94" s="293">
        <v>181870</v>
      </c>
      <c r="O94" s="283">
        <v>0</v>
      </c>
      <c r="P94" s="300">
        <v>0</v>
      </c>
      <c r="Q94" s="293">
        <v>181870</v>
      </c>
      <c r="R94" s="283">
        <v>20005</v>
      </c>
      <c r="S94" s="303">
        <v>0.11</v>
      </c>
      <c r="T94" s="302">
        <v>0</v>
      </c>
      <c r="U94" s="293">
        <v>40620</v>
      </c>
      <c r="V94" s="283">
        <v>12450</v>
      </c>
      <c r="W94" s="284">
        <v>0.31</v>
      </c>
      <c r="X94" s="282" t="s">
        <v>1037</v>
      </c>
      <c r="Y94" s="303">
        <v>0</v>
      </c>
      <c r="Z94" s="293">
        <v>0</v>
      </c>
      <c r="AA94" s="283">
        <v>15</v>
      </c>
      <c r="AB94" s="307">
        <v>914</v>
      </c>
      <c r="AC94" s="293">
        <v>176570</v>
      </c>
      <c r="AD94" s="283">
        <v>40</v>
      </c>
      <c r="AE94" s="284">
        <v>0</v>
      </c>
      <c r="AF94" s="282" t="s">
        <v>1037</v>
      </c>
      <c r="AG94" s="303">
        <v>0</v>
      </c>
      <c r="AH94" s="293">
        <v>46</v>
      </c>
      <c r="AI94" s="283">
        <v>191</v>
      </c>
      <c r="AJ94" s="307">
        <v>1439</v>
      </c>
      <c r="AK94" s="293">
        <v>237</v>
      </c>
      <c r="AL94" s="283">
        <v>885</v>
      </c>
      <c r="AM94" s="307">
        <v>1437</v>
      </c>
      <c r="AN94" s="293">
        <v>152</v>
      </c>
      <c r="AO94" s="283">
        <v>240</v>
      </c>
      <c r="AP94" s="307">
        <v>1439</v>
      </c>
      <c r="AQ94" s="293">
        <v>181870</v>
      </c>
      <c r="AR94" s="283">
        <v>0</v>
      </c>
      <c r="AS94" s="284">
        <v>0</v>
      </c>
      <c r="AT94" s="282" t="s">
        <v>1037</v>
      </c>
      <c r="AU94" s="303">
        <v>0</v>
      </c>
      <c r="AV94" s="293">
        <v>171</v>
      </c>
      <c r="AW94" s="283">
        <v>426</v>
      </c>
      <c r="AX94" s="286">
        <v>1439</v>
      </c>
      <c r="AY94" s="93"/>
      <c r="AZ94" s="93"/>
      <c r="BA94" s="93"/>
    </row>
    <row r="95" spans="1:53" ht="22.5" customHeight="1" x14ac:dyDescent="0.2">
      <c r="A95" s="281" t="s">
        <v>628</v>
      </c>
      <c r="B95" s="296" t="s">
        <v>724</v>
      </c>
      <c r="C95" s="293">
        <v>12600</v>
      </c>
      <c r="D95" s="283" t="s">
        <v>706</v>
      </c>
      <c r="E95" s="284" t="s">
        <v>706</v>
      </c>
      <c r="F95" s="298" t="s">
        <v>706</v>
      </c>
      <c r="G95" s="293">
        <v>12600</v>
      </c>
      <c r="H95" s="283">
        <v>0</v>
      </c>
      <c r="I95" s="285">
        <v>0</v>
      </c>
      <c r="J95" s="300">
        <v>7.0000000000000007E-2</v>
      </c>
      <c r="K95" s="293">
        <v>12600</v>
      </c>
      <c r="L95" s="283" t="s">
        <v>906</v>
      </c>
      <c r="M95" s="300" t="s">
        <v>906</v>
      </c>
      <c r="N95" s="293">
        <v>12600</v>
      </c>
      <c r="O95" s="283">
        <v>0</v>
      </c>
      <c r="P95" s="300">
        <v>0</v>
      </c>
      <c r="Q95" s="293">
        <v>12600</v>
      </c>
      <c r="R95" s="283">
        <v>860</v>
      </c>
      <c r="S95" s="303">
        <v>7.0000000000000007E-2</v>
      </c>
      <c r="T95" s="302">
        <v>0</v>
      </c>
      <c r="U95" s="293" t="s">
        <v>706</v>
      </c>
      <c r="V95" s="283" t="s">
        <v>706</v>
      </c>
      <c r="W95" s="284" t="s">
        <v>706</v>
      </c>
      <c r="X95" s="282" t="s">
        <v>1037</v>
      </c>
      <c r="Y95" s="303" t="s">
        <v>706</v>
      </c>
      <c r="Z95" s="293" t="s">
        <v>706</v>
      </c>
      <c r="AA95" s="283" t="s">
        <v>706</v>
      </c>
      <c r="AB95" s="307" t="s">
        <v>706</v>
      </c>
      <c r="AC95" s="293">
        <v>12585</v>
      </c>
      <c r="AD95" s="283">
        <v>90</v>
      </c>
      <c r="AE95" s="284">
        <v>0.01</v>
      </c>
      <c r="AF95" s="282" t="s">
        <v>1037</v>
      </c>
      <c r="AG95" s="303">
        <v>0</v>
      </c>
      <c r="AH95" s="293">
        <v>23</v>
      </c>
      <c r="AI95" s="283">
        <v>1335</v>
      </c>
      <c r="AJ95" s="307">
        <v>1439</v>
      </c>
      <c r="AK95" s="293">
        <v>50</v>
      </c>
      <c r="AL95" s="283">
        <v>160</v>
      </c>
      <c r="AM95" s="307">
        <v>1434</v>
      </c>
      <c r="AN95" s="293">
        <v>46</v>
      </c>
      <c r="AO95" s="283">
        <v>125</v>
      </c>
      <c r="AP95" s="307">
        <v>1439</v>
      </c>
      <c r="AQ95" s="293">
        <v>12600</v>
      </c>
      <c r="AR95" s="283">
        <v>90</v>
      </c>
      <c r="AS95" s="284">
        <v>0.01</v>
      </c>
      <c r="AT95" s="282" t="s">
        <v>1037</v>
      </c>
      <c r="AU95" s="303">
        <v>0</v>
      </c>
      <c r="AV95" s="293">
        <v>46</v>
      </c>
      <c r="AW95" s="283">
        <v>126</v>
      </c>
      <c r="AX95" s="286">
        <v>1439</v>
      </c>
      <c r="AY95" s="93"/>
      <c r="AZ95" s="93"/>
      <c r="BA95" s="93"/>
    </row>
    <row r="96" spans="1:53" ht="22.5" customHeight="1" x14ac:dyDescent="0.2">
      <c r="A96" s="281" t="s">
        <v>646</v>
      </c>
      <c r="B96" s="296" t="s">
        <v>753</v>
      </c>
      <c r="C96" s="293">
        <v>372290</v>
      </c>
      <c r="D96" s="283">
        <v>410854</v>
      </c>
      <c r="E96" s="284">
        <v>0.91</v>
      </c>
      <c r="F96" s="298" t="s">
        <v>712</v>
      </c>
      <c r="G96" s="293">
        <v>372290</v>
      </c>
      <c r="H96" s="283">
        <v>5570</v>
      </c>
      <c r="I96" s="285">
        <v>0.01</v>
      </c>
      <c r="J96" s="300">
        <v>0</v>
      </c>
      <c r="K96" s="293">
        <v>366720</v>
      </c>
      <c r="L96" s="283">
        <v>11045</v>
      </c>
      <c r="M96" s="300">
        <v>0.03</v>
      </c>
      <c r="N96" s="293">
        <v>372290</v>
      </c>
      <c r="O96" s="283">
        <v>0</v>
      </c>
      <c r="P96" s="300">
        <v>0</v>
      </c>
      <c r="Q96" s="293">
        <v>372290</v>
      </c>
      <c r="R96" s="283">
        <v>37835</v>
      </c>
      <c r="S96" s="303">
        <v>0.1</v>
      </c>
      <c r="T96" s="302">
        <v>0</v>
      </c>
      <c r="U96" s="293">
        <v>63275</v>
      </c>
      <c r="V96" s="283">
        <v>355</v>
      </c>
      <c r="W96" s="284">
        <v>0.01</v>
      </c>
      <c r="X96" s="282" t="s">
        <v>1037</v>
      </c>
      <c r="Y96" s="303">
        <v>0</v>
      </c>
      <c r="Z96" s="293">
        <v>2</v>
      </c>
      <c r="AA96" s="283">
        <v>27</v>
      </c>
      <c r="AB96" s="307">
        <v>1439</v>
      </c>
      <c r="AC96" s="293">
        <v>355625</v>
      </c>
      <c r="AD96" s="283">
        <v>20635</v>
      </c>
      <c r="AE96" s="284">
        <v>0.06</v>
      </c>
      <c r="AF96" s="282" t="s">
        <v>1037</v>
      </c>
      <c r="AG96" s="303">
        <v>0</v>
      </c>
      <c r="AH96" s="293">
        <v>86</v>
      </c>
      <c r="AI96" s="283">
        <v>235</v>
      </c>
      <c r="AJ96" s="307">
        <v>1439</v>
      </c>
      <c r="AK96" s="293">
        <v>237</v>
      </c>
      <c r="AL96" s="283">
        <v>654</v>
      </c>
      <c r="AM96" s="307">
        <v>1396</v>
      </c>
      <c r="AN96" s="293">
        <v>165</v>
      </c>
      <c r="AO96" s="283">
        <v>387</v>
      </c>
      <c r="AP96" s="307">
        <v>1439</v>
      </c>
      <c r="AQ96" s="293">
        <v>372290</v>
      </c>
      <c r="AR96" s="283">
        <v>0</v>
      </c>
      <c r="AS96" s="284">
        <v>0</v>
      </c>
      <c r="AT96" s="282" t="s">
        <v>1037</v>
      </c>
      <c r="AU96" s="303">
        <v>0</v>
      </c>
      <c r="AV96" s="293">
        <v>174</v>
      </c>
      <c r="AW96" s="283">
        <v>429</v>
      </c>
      <c r="AX96" s="286">
        <v>1439</v>
      </c>
      <c r="AY96" s="93"/>
      <c r="AZ96" s="93"/>
      <c r="BA96" s="93"/>
    </row>
    <row r="97" spans="1:53" ht="22.5" customHeight="1" x14ac:dyDescent="0.2">
      <c r="A97" s="281" t="s">
        <v>456</v>
      </c>
      <c r="B97" s="296" t="s">
        <v>722</v>
      </c>
      <c r="C97" s="293">
        <v>8825</v>
      </c>
      <c r="D97" s="283">
        <v>7321</v>
      </c>
      <c r="E97" s="284">
        <v>1.21</v>
      </c>
      <c r="F97" s="298" t="s">
        <v>735</v>
      </c>
      <c r="G97" s="293">
        <v>8825</v>
      </c>
      <c r="H97" s="283">
        <v>0</v>
      </c>
      <c r="I97" s="285">
        <v>0</v>
      </c>
      <c r="J97" s="300">
        <v>1</v>
      </c>
      <c r="K97" s="293">
        <v>8825</v>
      </c>
      <c r="L97" s="283" t="s">
        <v>906</v>
      </c>
      <c r="M97" s="300" t="s">
        <v>906</v>
      </c>
      <c r="N97" s="293">
        <v>8825</v>
      </c>
      <c r="O97" s="283">
        <v>0</v>
      </c>
      <c r="P97" s="300">
        <v>0</v>
      </c>
      <c r="Q97" s="293">
        <v>8825</v>
      </c>
      <c r="R97" s="283">
        <v>355</v>
      </c>
      <c r="S97" s="303">
        <v>0.04</v>
      </c>
      <c r="T97" s="302">
        <v>0</v>
      </c>
      <c r="U97" s="293" t="s">
        <v>706</v>
      </c>
      <c r="V97" s="283" t="s">
        <v>706</v>
      </c>
      <c r="W97" s="284" t="s">
        <v>706</v>
      </c>
      <c r="X97" s="282" t="s">
        <v>1037</v>
      </c>
      <c r="Y97" s="303" t="s">
        <v>706</v>
      </c>
      <c r="Z97" s="293" t="s">
        <v>706</v>
      </c>
      <c r="AA97" s="283" t="s">
        <v>706</v>
      </c>
      <c r="AB97" s="307" t="s">
        <v>706</v>
      </c>
      <c r="AC97" s="293">
        <v>8825</v>
      </c>
      <c r="AD97" s="283">
        <v>290</v>
      </c>
      <c r="AE97" s="284">
        <v>0.03</v>
      </c>
      <c r="AF97" s="282" t="s">
        <v>1037</v>
      </c>
      <c r="AG97" s="303">
        <v>0</v>
      </c>
      <c r="AH97" s="293">
        <v>23</v>
      </c>
      <c r="AI97" s="283">
        <v>104</v>
      </c>
      <c r="AJ97" s="307">
        <v>1439</v>
      </c>
      <c r="AK97" s="293" t="s">
        <v>706</v>
      </c>
      <c r="AL97" s="283" t="s">
        <v>706</v>
      </c>
      <c r="AM97" s="307" t="s">
        <v>706</v>
      </c>
      <c r="AN97" s="293">
        <v>40</v>
      </c>
      <c r="AO97" s="283">
        <v>120</v>
      </c>
      <c r="AP97" s="307">
        <v>1439</v>
      </c>
      <c r="AQ97" s="293">
        <v>8825</v>
      </c>
      <c r="AR97" s="283">
        <v>290</v>
      </c>
      <c r="AS97" s="284">
        <v>0.03</v>
      </c>
      <c r="AT97" s="282" t="s">
        <v>1037</v>
      </c>
      <c r="AU97" s="303">
        <v>0</v>
      </c>
      <c r="AV97" s="293">
        <v>40</v>
      </c>
      <c r="AW97" s="283">
        <v>120</v>
      </c>
      <c r="AX97" s="286">
        <v>1439</v>
      </c>
      <c r="AY97" s="93"/>
      <c r="AZ97" s="93"/>
      <c r="BA97" s="93"/>
    </row>
    <row r="98" spans="1:53" ht="22.5" customHeight="1" x14ac:dyDescent="0.2">
      <c r="A98" s="281" t="s">
        <v>354</v>
      </c>
      <c r="B98" s="296" t="s">
        <v>844</v>
      </c>
      <c r="C98" s="293">
        <v>125945</v>
      </c>
      <c r="D98" s="283">
        <v>125959</v>
      </c>
      <c r="E98" s="284">
        <v>1</v>
      </c>
      <c r="F98" s="298" t="s">
        <v>712</v>
      </c>
      <c r="G98" s="293">
        <v>125945</v>
      </c>
      <c r="H98" s="283">
        <v>95</v>
      </c>
      <c r="I98" s="285">
        <v>0</v>
      </c>
      <c r="J98" s="300">
        <v>0</v>
      </c>
      <c r="K98" s="293">
        <v>125850</v>
      </c>
      <c r="L98" s="283">
        <v>3450</v>
      </c>
      <c r="M98" s="300">
        <v>0.03</v>
      </c>
      <c r="N98" s="293">
        <v>125945</v>
      </c>
      <c r="O98" s="283">
        <v>0</v>
      </c>
      <c r="P98" s="300">
        <v>0</v>
      </c>
      <c r="Q98" s="293">
        <v>125945</v>
      </c>
      <c r="R98" s="283">
        <v>12320</v>
      </c>
      <c r="S98" s="303">
        <v>0.1</v>
      </c>
      <c r="T98" s="302">
        <v>0</v>
      </c>
      <c r="U98" s="293">
        <v>36410</v>
      </c>
      <c r="V98" s="283">
        <v>7665</v>
      </c>
      <c r="W98" s="284">
        <v>0.21</v>
      </c>
      <c r="X98" s="282" t="s">
        <v>1037</v>
      </c>
      <c r="Y98" s="303">
        <v>0</v>
      </c>
      <c r="Z98" s="293">
        <v>6</v>
      </c>
      <c r="AA98" s="283">
        <v>51</v>
      </c>
      <c r="AB98" s="307">
        <v>1434</v>
      </c>
      <c r="AC98" s="293">
        <v>122400</v>
      </c>
      <c r="AD98" s="283">
        <v>19775</v>
      </c>
      <c r="AE98" s="284">
        <v>0.16</v>
      </c>
      <c r="AF98" s="282" t="s">
        <v>1037</v>
      </c>
      <c r="AG98" s="303">
        <v>0</v>
      </c>
      <c r="AH98" s="293">
        <v>56</v>
      </c>
      <c r="AI98" s="283">
        <v>214</v>
      </c>
      <c r="AJ98" s="307">
        <v>1383</v>
      </c>
      <c r="AK98" s="293">
        <v>469</v>
      </c>
      <c r="AL98" s="283">
        <v>1204</v>
      </c>
      <c r="AM98" s="307">
        <v>1439</v>
      </c>
      <c r="AN98" s="293">
        <v>109</v>
      </c>
      <c r="AO98" s="283">
        <v>362</v>
      </c>
      <c r="AP98" s="307">
        <v>1434</v>
      </c>
      <c r="AQ98" s="293">
        <v>125945</v>
      </c>
      <c r="AR98" s="283">
        <v>0</v>
      </c>
      <c r="AS98" s="284">
        <v>0</v>
      </c>
      <c r="AT98" s="282" t="s">
        <v>1037</v>
      </c>
      <c r="AU98" s="303">
        <v>0</v>
      </c>
      <c r="AV98" s="293">
        <v>138</v>
      </c>
      <c r="AW98" s="283">
        <v>886</v>
      </c>
      <c r="AX98" s="286">
        <v>1439</v>
      </c>
      <c r="AY98" s="93"/>
      <c r="AZ98" s="93"/>
      <c r="BA98" s="93"/>
    </row>
    <row r="99" spans="1:53" ht="22.5" customHeight="1" x14ac:dyDescent="0.2">
      <c r="A99" s="281" t="s">
        <v>457</v>
      </c>
      <c r="B99" s="296" t="s">
        <v>719</v>
      </c>
      <c r="C99" s="293">
        <v>7415</v>
      </c>
      <c r="D99" s="283">
        <v>6296</v>
      </c>
      <c r="E99" s="284">
        <v>1.18</v>
      </c>
      <c r="F99" s="298" t="s">
        <v>721</v>
      </c>
      <c r="G99" s="293">
        <v>7415</v>
      </c>
      <c r="H99" s="283">
        <v>0</v>
      </c>
      <c r="I99" s="285">
        <v>0</v>
      </c>
      <c r="J99" s="300">
        <v>1</v>
      </c>
      <c r="K99" s="293">
        <v>7415</v>
      </c>
      <c r="L99" s="283">
        <v>0</v>
      </c>
      <c r="M99" s="300">
        <v>0</v>
      </c>
      <c r="N99" s="293">
        <v>7415</v>
      </c>
      <c r="O99" s="283">
        <v>0</v>
      </c>
      <c r="P99" s="300">
        <v>0</v>
      </c>
      <c r="Q99" s="293">
        <v>7415</v>
      </c>
      <c r="R99" s="283">
        <v>545</v>
      </c>
      <c r="S99" s="303">
        <v>7.0000000000000007E-2</v>
      </c>
      <c r="T99" s="302">
        <v>0</v>
      </c>
      <c r="U99" s="293" t="s">
        <v>706</v>
      </c>
      <c r="V99" s="283" t="s">
        <v>706</v>
      </c>
      <c r="W99" s="284" t="s">
        <v>706</v>
      </c>
      <c r="X99" s="282" t="s">
        <v>1037</v>
      </c>
      <c r="Y99" s="303" t="s">
        <v>706</v>
      </c>
      <c r="Z99" s="293" t="s">
        <v>706</v>
      </c>
      <c r="AA99" s="283" t="s">
        <v>706</v>
      </c>
      <c r="AB99" s="307" t="s">
        <v>706</v>
      </c>
      <c r="AC99" s="293">
        <v>7415</v>
      </c>
      <c r="AD99" s="283">
        <v>180</v>
      </c>
      <c r="AE99" s="284">
        <v>0.02</v>
      </c>
      <c r="AF99" s="282" t="s">
        <v>1037</v>
      </c>
      <c r="AG99" s="303">
        <v>0</v>
      </c>
      <c r="AH99" s="293">
        <v>26</v>
      </c>
      <c r="AI99" s="283">
        <v>104</v>
      </c>
      <c r="AJ99" s="307">
        <v>1438</v>
      </c>
      <c r="AK99" s="293" t="s">
        <v>706</v>
      </c>
      <c r="AL99" s="283" t="s">
        <v>706</v>
      </c>
      <c r="AM99" s="307" t="s">
        <v>706</v>
      </c>
      <c r="AN99" s="293">
        <v>45</v>
      </c>
      <c r="AO99" s="283">
        <v>120</v>
      </c>
      <c r="AP99" s="307">
        <v>1436</v>
      </c>
      <c r="AQ99" s="293">
        <v>7415</v>
      </c>
      <c r="AR99" s="283">
        <v>180</v>
      </c>
      <c r="AS99" s="284">
        <v>0.02</v>
      </c>
      <c r="AT99" s="282" t="s">
        <v>1037</v>
      </c>
      <c r="AU99" s="303">
        <v>0</v>
      </c>
      <c r="AV99" s="293">
        <v>45</v>
      </c>
      <c r="AW99" s="283">
        <v>120</v>
      </c>
      <c r="AX99" s="286">
        <v>1436</v>
      </c>
      <c r="AY99" s="93"/>
      <c r="AZ99" s="93"/>
      <c r="BA99" s="93"/>
    </row>
    <row r="100" spans="1:53" ht="22.5" customHeight="1" x14ac:dyDescent="0.2">
      <c r="A100" s="281" t="s">
        <v>1018</v>
      </c>
      <c r="B100" s="296" t="s">
        <v>1017</v>
      </c>
      <c r="C100" s="293">
        <v>144635</v>
      </c>
      <c r="D100" s="283">
        <v>28687</v>
      </c>
      <c r="E100" s="284">
        <v>5.04</v>
      </c>
      <c r="F100" s="298" t="s">
        <v>735</v>
      </c>
      <c r="G100" s="293">
        <v>144635</v>
      </c>
      <c r="H100" s="283">
        <v>0</v>
      </c>
      <c r="I100" s="285">
        <v>0</v>
      </c>
      <c r="J100" s="300">
        <v>0.2</v>
      </c>
      <c r="K100" s="293">
        <v>144635</v>
      </c>
      <c r="L100" s="283">
        <v>3255</v>
      </c>
      <c r="M100" s="300">
        <v>0.02</v>
      </c>
      <c r="N100" s="293">
        <v>144635</v>
      </c>
      <c r="O100" s="283">
        <v>0</v>
      </c>
      <c r="P100" s="300">
        <v>0</v>
      </c>
      <c r="Q100" s="293">
        <v>144635</v>
      </c>
      <c r="R100" s="283">
        <v>11960</v>
      </c>
      <c r="S100" s="303">
        <v>0.08</v>
      </c>
      <c r="T100" s="302">
        <v>0</v>
      </c>
      <c r="U100" s="293">
        <v>10</v>
      </c>
      <c r="V100" s="283" t="s">
        <v>906</v>
      </c>
      <c r="W100" s="284" t="s">
        <v>1037</v>
      </c>
      <c r="X100" s="282" t="s">
        <v>1037</v>
      </c>
      <c r="Y100" s="303" t="s">
        <v>1037</v>
      </c>
      <c r="Z100" s="293">
        <v>12</v>
      </c>
      <c r="AA100" s="283">
        <v>37</v>
      </c>
      <c r="AB100" s="307">
        <v>37</v>
      </c>
      <c r="AC100" s="293">
        <v>141295</v>
      </c>
      <c r="AD100" s="283">
        <v>7125</v>
      </c>
      <c r="AE100" s="284">
        <v>0.05</v>
      </c>
      <c r="AF100" s="282" t="s">
        <v>1037</v>
      </c>
      <c r="AG100" s="303">
        <v>0</v>
      </c>
      <c r="AH100" s="293">
        <v>28</v>
      </c>
      <c r="AI100" s="283">
        <v>135</v>
      </c>
      <c r="AJ100" s="307">
        <v>1415</v>
      </c>
      <c r="AK100" s="293">
        <v>88</v>
      </c>
      <c r="AL100" s="283">
        <v>180</v>
      </c>
      <c r="AM100" s="307">
        <v>255</v>
      </c>
      <c r="AN100" s="293">
        <v>75</v>
      </c>
      <c r="AO100" s="283">
        <v>186</v>
      </c>
      <c r="AP100" s="307">
        <v>1438</v>
      </c>
      <c r="AQ100" s="293">
        <v>144635</v>
      </c>
      <c r="AR100" s="283">
        <v>0</v>
      </c>
      <c r="AS100" s="284">
        <v>0</v>
      </c>
      <c r="AT100" s="282" t="s">
        <v>1037</v>
      </c>
      <c r="AU100" s="303">
        <v>0</v>
      </c>
      <c r="AV100" s="293">
        <v>75</v>
      </c>
      <c r="AW100" s="283">
        <v>186</v>
      </c>
      <c r="AX100" s="286">
        <v>1438</v>
      </c>
      <c r="AY100" s="93"/>
      <c r="AZ100" s="93"/>
      <c r="BA100" s="93"/>
    </row>
    <row r="101" spans="1:53" ht="22.5" customHeight="1" x14ac:dyDescent="0.2">
      <c r="A101" s="281" t="s">
        <v>355</v>
      </c>
      <c r="B101" s="296" t="s">
        <v>776</v>
      </c>
      <c r="C101" s="293">
        <v>96460</v>
      </c>
      <c r="D101" s="283">
        <v>92299</v>
      </c>
      <c r="E101" s="284">
        <v>1.05</v>
      </c>
      <c r="F101" s="298" t="s">
        <v>712</v>
      </c>
      <c r="G101" s="293">
        <v>96460</v>
      </c>
      <c r="H101" s="283">
        <v>0</v>
      </c>
      <c r="I101" s="285">
        <v>0</v>
      </c>
      <c r="J101" s="300">
        <v>0</v>
      </c>
      <c r="K101" s="293">
        <v>96460</v>
      </c>
      <c r="L101" s="283">
        <v>885</v>
      </c>
      <c r="M101" s="300">
        <v>0.01</v>
      </c>
      <c r="N101" s="293">
        <v>96460</v>
      </c>
      <c r="O101" s="283">
        <v>0</v>
      </c>
      <c r="P101" s="300">
        <v>0</v>
      </c>
      <c r="Q101" s="293">
        <v>96460</v>
      </c>
      <c r="R101" s="283">
        <v>12315</v>
      </c>
      <c r="S101" s="303">
        <v>0.13</v>
      </c>
      <c r="T101" s="302">
        <v>0</v>
      </c>
      <c r="U101" s="293">
        <v>23925</v>
      </c>
      <c r="V101" s="283">
        <v>1215</v>
      </c>
      <c r="W101" s="284">
        <v>0.05</v>
      </c>
      <c r="X101" s="282" t="s">
        <v>1037</v>
      </c>
      <c r="Y101" s="303">
        <v>0</v>
      </c>
      <c r="Z101" s="293">
        <v>3</v>
      </c>
      <c r="AA101" s="283">
        <v>26</v>
      </c>
      <c r="AB101" s="307">
        <v>222</v>
      </c>
      <c r="AC101" s="293">
        <v>95575</v>
      </c>
      <c r="AD101" s="283">
        <v>74935</v>
      </c>
      <c r="AE101" s="284">
        <v>0.78</v>
      </c>
      <c r="AF101" s="282" t="s">
        <v>1037</v>
      </c>
      <c r="AG101" s="303">
        <v>0</v>
      </c>
      <c r="AH101" s="293">
        <v>77</v>
      </c>
      <c r="AI101" s="283">
        <v>260</v>
      </c>
      <c r="AJ101" s="307">
        <v>1439</v>
      </c>
      <c r="AK101" s="293">
        <v>233</v>
      </c>
      <c r="AL101" s="283">
        <v>679</v>
      </c>
      <c r="AM101" s="307">
        <v>1387</v>
      </c>
      <c r="AN101" s="293">
        <v>119</v>
      </c>
      <c r="AO101" s="283">
        <v>364</v>
      </c>
      <c r="AP101" s="307">
        <v>1319</v>
      </c>
      <c r="AQ101" s="293">
        <v>96460</v>
      </c>
      <c r="AR101" s="283">
        <v>0</v>
      </c>
      <c r="AS101" s="284">
        <v>0</v>
      </c>
      <c r="AT101" s="282" t="s">
        <v>1037</v>
      </c>
      <c r="AU101" s="303">
        <v>0</v>
      </c>
      <c r="AV101" s="293">
        <v>134</v>
      </c>
      <c r="AW101" s="283">
        <v>439</v>
      </c>
      <c r="AX101" s="286">
        <v>1387</v>
      </c>
      <c r="AY101" s="93"/>
      <c r="AZ101" s="93"/>
      <c r="BA101" s="93"/>
    </row>
    <row r="102" spans="1:53" ht="22.5" customHeight="1" x14ac:dyDescent="0.2">
      <c r="A102" s="281" t="s">
        <v>356</v>
      </c>
      <c r="B102" s="296" t="s">
        <v>848</v>
      </c>
      <c r="C102" s="293">
        <v>104135</v>
      </c>
      <c r="D102" s="283">
        <v>106880</v>
      </c>
      <c r="E102" s="284">
        <v>0.97</v>
      </c>
      <c r="F102" s="298" t="s">
        <v>712</v>
      </c>
      <c r="G102" s="293">
        <v>104135</v>
      </c>
      <c r="H102" s="283">
        <v>103635</v>
      </c>
      <c r="I102" s="285">
        <v>1</v>
      </c>
      <c r="J102" s="300">
        <v>0</v>
      </c>
      <c r="K102" s="293">
        <v>500</v>
      </c>
      <c r="L102" s="283">
        <v>500</v>
      </c>
      <c r="M102" s="300">
        <v>1</v>
      </c>
      <c r="N102" s="293">
        <v>106965</v>
      </c>
      <c r="O102" s="283">
        <v>2830</v>
      </c>
      <c r="P102" s="300">
        <v>0.03</v>
      </c>
      <c r="Q102" s="293">
        <v>104135</v>
      </c>
      <c r="R102" s="283">
        <v>4170</v>
      </c>
      <c r="S102" s="303">
        <v>0.04</v>
      </c>
      <c r="T102" s="302">
        <v>0</v>
      </c>
      <c r="U102" s="293">
        <v>29660</v>
      </c>
      <c r="V102" s="283">
        <v>90</v>
      </c>
      <c r="W102" s="284">
        <v>0</v>
      </c>
      <c r="X102" s="282" t="s">
        <v>1037</v>
      </c>
      <c r="Y102" s="303">
        <v>0</v>
      </c>
      <c r="Z102" s="293">
        <v>6</v>
      </c>
      <c r="AA102" s="283">
        <v>44</v>
      </c>
      <c r="AB102" s="307">
        <v>1427</v>
      </c>
      <c r="AC102" s="293" t="s">
        <v>706</v>
      </c>
      <c r="AD102" s="283" t="s">
        <v>706</v>
      </c>
      <c r="AE102" s="284" t="s">
        <v>706</v>
      </c>
      <c r="AF102" s="282" t="s">
        <v>1037</v>
      </c>
      <c r="AG102" s="303" t="s">
        <v>706</v>
      </c>
      <c r="AH102" s="293" t="s">
        <v>706</v>
      </c>
      <c r="AI102" s="283" t="s">
        <v>706</v>
      </c>
      <c r="AJ102" s="307" t="s">
        <v>706</v>
      </c>
      <c r="AK102" s="293" t="s">
        <v>706</v>
      </c>
      <c r="AL102" s="283" t="s">
        <v>706</v>
      </c>
      <c r="AM102" s="307" t="s">
        <v>706</v>
      </c>
      <c r="AN102" s="293">
        <v>145</v>
      </c>
      <c r="AO102" s="283">
        <v>381</v>
      </c>
      <c r="AP102" s="307">
        <v>968</v>
      </c>
      <c r="AQ102" s="293">
        <v>104135</v>
      </c>
      <c r="AR102" s="283">
        <v>0</v>
      </c>
      <c r="AS102" s="284">
        <v>0</v>
      </c>
      <c r="AT102" s="282" t="s">
        <v>1037</v>
      </c>
      <c r="AU102" s="303">
        <v>0</v>
      </c>
      <c r="AV102" s="293">
        <v>187</v>
      </c>
      <c r="AW102" s="283">
        <v>512</v>
      </c>
      <c r="AX102" s="286">
        <v>1437</v>
      </c>
      <c r="AY102" s="93"/>
      <c r="AZ102" s="93"/>
      <c r="BA102" s="93"/>
    </row>
    <row r="103" spans="1:53" ht="22.5" customHeight="1" x14ac:dyDescent="0.2">
      <c r="A103" s="281" t="s">
        <v>458</v>
      </c>
      <c r="B103" s="296" t="s">
        <v>886</v>
      </c>
      <c r="C103" s="293">
        <v>254050</v>
      </c>
      <c r="D103" s="283">
        <v>254419</v>
      </c>
      <c r="E103" s="284">
        <v>1</v>
      </c>
      <c r="F103" s="298" t="s">
        <v>712</v>
      </c>
      <c r="G103" s="293">
        <v>254050</v>
      </c>
      <c r="H103" s="283">
        <v>0</v>
      </c>
      <c r="I103" s="285">
        <v>0</v>
      </c>
      <c r="J103" s="300">
        <v>0</v>
      </c>
      <c r="K103" s="293">
        <v>254050</v>
      </c>
      <c r="L103" s="283" t="s">
        <v>906</v>
      </c>
      <c r="M103" s="300" t="s">
        <v>906</v>
      </c>
      <c r="N103" s="293">
        <v>254050</v>
      </c>
      <c r="O103" s="283">
        <v>0</v>
      </c>
      <c r="P103" s="300">
        <v>0</v>
      </c>
      <c r="Q103" s="293">
        <v>254050</v>
      </c>
      <c r="R103" s="283">
        <v>22500</v>
      </c>
      <c r="S103" s="303">
        <v>0.09</v>
      </c>
      <c r="T103" s="302">
        <v>0</v>
      </c>
      <c r="U103" s="293">
        <v>51780</v>
      </c>
      <c r="V103" s="283">
        <v>3165</v>
      </c>
      <c r="W103" s="284">
        <v>0.06</v>
      </c>
      <c r="X103" s="282" t="s">
        <v>1037</v>
      </c>
      <c r="Y103" s="303">
        <v>0</v>
      </c>
      <c r="Z103" s="293">
        <v>16</v>
      </c>
      <c r="AA103" s="283">
        <v>87</v>
      </c>
      <c r="AB103" s="307">
        <v>1398</v>
      </c>
      <c r="AC103" s="293">
        <v>254045</v>
      </c>
      <c r="AD103" s="283">
        <v>265</v>
      </c>
      <c r="AE103" s="284">
        <v>0</v>
      </c>
      <c r="AF103" s="282" t="s">
        <v>1037</v>
      </c>
      <c r="AG103" s="303">
        <v>0</v>
      </c>
      <c r="AH103" s="293">
        <v>62</v>
      </c>
      <c r="AI103" s="283">
        <v>213</v>
      </c>
      <c r="AJ103" s="307">
        <v>1430</v>
      </c>
      <c r="AK103" s="293">
        <v>238</v>
      </c>
      <c r="AL103" s="283">
        <v>652</v>
      </c>
      <c r="AM103" s="307">
        <v>1360</v>
      </c>
      <c r="AN103" s="293">
        <v>119</v>
      </c>
      <c r="AO103" s="283">
        <v>291</v>
      </c>
      <c r="AP103" s="307">
        <v>1439</v>
      </c>
      <c r="AQ103" s="293">
        <v>254050</v>
      </c>
      <c r="AR103" s="283">
        <v>0</v>
      </c>
      <c r="AS103" s="284">
        <v>0</v>
      </c>
      <c r="AT103" s="282" t="s">
        <v>1037</v>
      </c>
      <c r="AU103" s="303">
        <v>0</v>
      </c>
      <c r="AV103" s="293">
        <v>139</v>
      </c>
      <c r="AW103" s="283">
        <v>422</v>
      </c>
      <c r="AX103" s="286">
        <v>1439</v>
      </c>
      <c r="AY103" s="93"/>
      <c r="AZ103" s="93"/>
      <c r="BA103" s="93"/>
    </row>
    <row r="104" spans="1:53" ht="22.5" customHeight="1" x14ac:dyDescent="0.2">
      <c r="A104" s="281" t="s">
        <v>357</v>
      </c>
      <c r="B104" s="296" t="s">
        <v>787</v>
      </c>
      <c r="C104" s="293">
        <v>87535</v>
      </c>
      <c r="D104" s="283">
        <v>144727</v>
      </c>
      <c r="E104" s="284">
        <v>0.6</v>
      </c>
      <c r="F104" s="298" t="s">
        <v>735</v>
      </c>
      <c r="G104" s="293">
        <v>87535</v>
      </c>
      <c r="H104" s="283">
        <v>975</v>
      </c>
      <c r="I104" s="285">
        <v>0.01</v>
      </c>
      <c r="J104" s="300" t="s">
        <v>906</v>
      </c>
      <c r="K104" s="293">
        <v>86560</v>
      </c>
      <c r="L104" s="283">
        <v>485</v>
      </c>
      <c r="M104" s="300">
        <v>0.01</v>
      </c>
      <c r="N104" s="293">
        <v>87535</v>
      </c>
      <c r="O104" s="283">
        <v>0</v>
      </c>
      <c r="P104" s="300">
        <v>0</v>
      </c>
      <c r="Q104" s="293">
        <v>87535</v>
      </c>
      <c r="R104" s="283">
        <v>5965</v>
      </c>
      <c r="S104" s="303">
        <v>7.0000000000000007E-2</v>
      </c>
      <c r="T104" s="302">
        <v>0</v>
      </c>
      <c r="U104" s="293">
        <v>24880</v>
      </c>
      <c r="V104" s="283">
        <v>4195</v>
      </c>
      <c r="W104" s="284">
        <v>0.17</v>
      </c>
      <c r="X104" s="282" t="s">
        <v>1037</v>
      </c>
      <c r="Y104" s="303">
        <v>0</v>
      </c>
      <c r="Z104" s="293">
        <v>10</v>
      </c>
      <c r="AA104" s="283">
        <v>84</v>
      </c>
      <c r="AB104" s="307">
        <v>1433</v>
      </c>
      <c r="AC104" s="293">
        <v>86075</v>
      </c>
      <c r="AD104" s="283">
        <v>6415</v>
      </c>
      <c r="AE104" s="284">
        <v>7.0000000000000007E-2</v>
      </c>
      <c r="AF104" s="282" t="s">
        <v>1037</v>
      </c>
      <c r="AG104" s="303">
        <v>0</v>
      </c>
      <c r="AH104" s="293">
        <v>87</v>
      </c>
      <c r="AI104" s="283">
        <v>206</v>
      </c>
      <c r="AJ104" s="307">
        <v>1439</v>
      </c>
      <c r="AK104" s="293">
        <v>219</v>
      </c>
      <c r="AL104" s="283">
        <v>537</v>
      </c>
      <c r="AM104" s="307">
        <v>1391</v>
      </c>
      <c r="AN104" s="293">
        <v>193</v>
      </c>
      <c r="AO104" s="283">
        <v>433</v>
      </c>
      <c r="AP104" s="307">
        <v>1435</v>
      </c>
      <c r="AQ104" s="293">
        <v>87535</v>
      </c>
      <c r="AR104" s="283">
        <v>795</v>
      </c>
      <c r="AS104" s="284">
        <v>0.01</v>
      </c>
      <c r="AT104" s="282" t="s">
        <v>1037</v>
      </c>
      <c r="AU104" s="303">
        <v>0</v>
      </c>
      <c r="AV104" s="293">
        <v>195</v>
      </c>
      <c r="AW104" s="283">
        <v>444</v>
      </c>
      <c r="AX104" s="286">
        <v>1435</v>
      </c>
      <c r="AY104" s="93"/>
      <c r="AZ104" s="93"/>
      <c r="BA104" s="93"/>
    </row>
    <row r="105" spans="1:53" ht="22.5" customHeight="1" x14ac:dyDescent="0.2">
      <c r="A105" s="281" t="s">
        <v>358</v>
      </c>
      <c r="B105" s="296" t="s">
        <v>843</v>
      </c>
      <c r="C105" s="293">
        <v>94925</v>
      </c>
      <c r="D105" s="283">
        <v>94991</v>
      </c>
      <c r="E105" s="284">
        <v>1</v>
      </c>
      <c r="F105" s="298" t="s">
        <v>712</v>
      </c>
      <c r="G105" s="293">
        <v>94925</v>
      </c>
      <c r="H105" s="283">
        <v>0</v>
      </c>
      <c r="I105" s="285">
        <v>0</v>
      </c>
      <c r="J105" s="300">
        <v>0</v>
      </c>
      <c r="K105" s="293">
        <v>94925</v>
      </c>
      <c r="L105" s="283">
        <v>0</v>
      </c>
      <c r="M105" s="300">
        <v>0</v>
      </c>
      <c r="N105" s="293">
        <v>94925</v>
      </c>
      <c r="O105" s="283">
        <v>0</v>
      </c>
      <c r="P105" s="300">
        <v>0</v>
      </c>
      <c r="Q105" s="293">
        <v>94925</v>
      </c>
      <c r="R105" s="283">
        <v>4795</v>
      </c>
      <c r="S105" s="303">
        <v>0.05</v>
      </c>
      <c r="T105" s="302">
        <v>0</v>
      </c>
      <c r="U105" s="293">
        <v>50</v>
      </c>
      <c r="V105" s="283">
        <v>15</v>
      </c>
      <c r="W105" s="284" t="s">
        <v>1037</v>
      </c>
      <c r="X105" s="282" t="s">
        <v>1037</v>
      </c>
      <c r="Y105" s="303" t="s">
        <v>1037</v>
      </c>
      <c r="Z105" s="293">
        <v>9</v>
      </c>
      <c r="AA105" s="283">
        <v>35</v>
      </c>
      <c r="AB105" s="307">
        <v>77</v>
      </c>
      <c r="AC105" s="293">
        <v>94925</v>
      </c>
      <c r="AD105" s="283">
        <v>24315</v>
      </c>
      <c r="AE105" s="284">
        <v>0.26</v>
      </c>
      <c r="AF105" s="282" t="s">
        <v>1037</v>
      </c>
      <c r="AG105" s="303">
        <v>0</v>
      </c>
      <c r="AH105" s="293">
        <v>120</v>
      </c>
      <c r="AI105" s="283">
        <v>216</v>
      </c>
      <c r="AJ105" s="307">
        <v>510</v>
      </c>
      <c r="AK105" s="293">
        <v>116</v>
      </c>
      <c r="AL105" s="283">
        <v>234</v>
      </c>
      <c r="AM105" s="307">
        <v>362</v>
      </c>
      <c r="AN105" s="293">
        <v>128</v>
      </c>
      <c r="AO105" s="283">
        <v>230</v>
      </c>
      <c r="AP105" s="307">
        <v>1365</v>
      </c>
      <c r="AQ105" s="293">
        <v>94925</v>
      </c>
      <c r="AR105" s="283">
        <v>0</v>
      </c>
      <c r="AS105" s="284">
        <v>0</v>
      </c>
      <c r="AT105" s="282" t="s">
        <v>1037</v>
      </c>
      <c r="AU105" s="303">
        <v>0</v>
      </c>
      <c r="AV105" s="293">
        <v>128</v>
      </c>
      <c r="AW105" s="283">
        <v>230</v>
      </c>
      <c r="AX105" s="286">
        <v>1365</v>
      </c>
      <c r="AY105" s="93"/>
      <c r="AZ105" s="93"/>
      <c r="BA105" s="93"/>
    </row>
    <row r="106" spans="1:53" ht="22.5" customHeight="1" x14ac:dyDescent="0.2">
      <c r="A106" s="281" t="s">
        <v>460</v>
      </c>
      <c r="B106" s="296" t="s">
        <v>816</v>
      </c>
      <c r="C106" s="293">
        <v>144515</v>
      </c>
      <c r="D106" s="283">
        <v>144847</v>
      </c>
      <c r="E106" s="284">
        <v>1</v>
      </c>
      <c r="F106" s="298" t="s">
        <v>712</v>
      </c>
      <c r="G106" s="293">
        <v>144515</v>
      </c>
      <c r="H106" s="283" t="s">
        <v>906</v>
      </c>
      <c r="I106" s="285" t="s">
        <v>906</v>
      </c>
      <c r="J106" s="300">
        <v>0</v>
      </c>
      <c r="K106" s="293">
        <v>144510</v>
      </c>
      <c r="L106" s="283">
        <v>0</v>
      </c>
      <c r="M106" s="300">
        <v>0</v>
      </c>
      <c r="N106" s="293">
        <v>144515</v>
      </c>
      <c r="O106" s="283">
        <v>0</v>
      </c>
      <c r="P106" s="300">
        <v>0</v>
      </c>
      <c r="Q106" s="293">
        <v>144515</v>
      </c>
      <c r="R106" s="283">
        <v>12600</v>
      </c>
      <c r="S106" s="303">
        <v>0.09</v>
      </c>
      <c r="T106" s="302">
        <v>0</v>
      </c>
      <c r="U106" s="293">
        <v>40705</v>
      </c>
      <c r="V106" s="283">
        <v>825</v>
      </c>
      <c r="W106" s="284">
        <v>0.02</v>
      </c>
      <c r="X106" s="282" t="s">
        <v>1037</v>
      </c>
      <c r="Y106" s="303">
        <v>0</v>
      </c>
      <c r="Z106" s="293">
        <v>18</v>
      </c>
      <c r="AA106" s="283">
        <v>147</v>
      </c>
      <c r="AB106" s="307">
        <v>1439</v>
      </c>
      <c r="AC106" s="293">
        <v>144510</v>
      </c>
      <c r="AD106" s="283">
        <v>15630</v>
      </c>
      <c r="AE106" s="284">
        <v>0.11</v>
      </c>
      <c r="AF106" s="282" t="s">
        <v>1037</v>
      </c>
      <c r="AG106" s="303">
        <v>0</v>
      </c>
      <c r="AH106" s="293">
        <v>66</v>
      </c>
      <c r="AI106" s="283">
        <v>179</v>
      </c>
      <c r="AJ106" s="307">
        <v>1439</v>
      </c>
      <c r="AK106" s="293">
        <v>227</v>
      </c>
      <c r="AL106" s="283">
        <v>517</v>
      </c>
      <c r="AM106" s="307">
        <v>1225</v>
      </c>
      <c r="AN106" s="293">
        <v>140</v>
      </c>
      <c r="AO106" s="283">
        <v>309</v>
      </c>
      <c r="AP106" s="307">
        <v>1250</v>
      </c>
      <c r="AQ106" s="293">
        <v>144515</v>
      </c>
      <c r="AR106" s="283">
        <v>0</v>
      </c>
      <c r="AS106" s="284">
        <v>0</v>
      </c>
      <c r="AT106" s="282" t="s">
        <v>1037</v>
      </c>
      <c r="AU106" s="303">
        <v>0</v>
      </c>
      <c r="AV106" s="293">
        <v>159</v>
      </c>
      <c r="AW106" s="283">
        <v>392</v>
      </c>
      <c r="AX106" s="286">
        <v>1250</v>
      </c>
      <c r="AY106" s="93"/>
      <c r="AZ106" s="93"/>
      <c r="BA106" s="93"/>
    </row>
    <row r="107" spans="1:53" ht="22.5" customHeight="1" x14ac:dyDescent="0.2">
      <c r="A107" s="281" t="s">
        <v>411</v>
      </c>
      <c r="B107" s="296" t="s">
        <v>857</v>
      </c>
      <c r="C107" s="293">
        <v>219780</v>
      </c>
      <c r="D107" s="283">
        <v>241827</v>
      </c>
      <c r="E107" s="284">
        <v>0.91</v>
      </c>
      <c r="F107" s="298" t="s">
        <v>712</v>
      </c>
      <c r="G107" s="293">
        <v>219780</v>
      </c>
      <c r="H107" s="283">
        <v>485</v>
      </c>
      <c r="I107" s="285">
        <v>0</v>
      </c>
      <c r="J107" s="300">
        <v>0.01</v>
      </c>
      <c r="K107" s="293">
        <v>219295</v>
      </c>
      <c r="L107" s="283">
        <v>1825</v>
      </c>
      <c r="M107" s="300">
        <v>0.01</v>
      </c>
      <c r="N107" s="293">
        <v>219780</v>
      </c>
      <c r="O107" s="283">
        <v>0</v>
      </c>
      <c r="P107" s="300">
        <v>0</v>
      </c>
      <c r="Q107" s="293">
        <v>219780</v>
      </c>
      <c r="R107" s="283">
        <v>24140</v>
      </c>
      <c r="S107" s="303">
        <v>0.11</v>
      </c>
      <c r="T107" s="302">
        <v>0</v>
      </c>
      <c r="U107" s="293">
        <v>33185</v>
      </c>
      <c r="V107" s="283">
        <v>1055</v>
      </c>
      <c r="W107" s="284">
        <v>0.03</v>
      </c>
      <c r="X107" s="282" t="s">
        <v>1037</v>
      </c>
      <c r="Y107" s="303">
        <v>0</v>
      </c>
      <c r="Z107" s="293">
        <v>34</v>
      </c>
      <c r="AA107" s="283">
        <v>174</v>
      </c>
      <c r="AB107" s="307">
        <v>1439</v>
      </c>
      <c r="AC107" s="293">
        <v>217440</v>
      </c>
      <c r="AD107" s="283">
        <v>6635</v>
      </c>
      <c r="AE107" s="284">
        <v>0.03</v>
      </c>
      <c r="AF107" s="282" t="s">
        <v>1037</v>
      </c>
      <c r="AG107" s="303">
        <v>0</v>
      </c>
      <c r="AH107" s="293">
        <v>48</v>
      </c>
      <c r="AI107" s="283">
        <v>171</v>
      </c>
      <c r="AJ107" s="307">
        <v>1402</v>
      </c>
      <c r="AK107" s="293">
        <v>213</v>
      </c>
      <c r="AL107" s="283">
        <v>366</v>
      </c>
      <c r="AM107" s="307">
        <v>1395</v>
      </c>
      <c r="AN107" s="293">
        <v>95</v>
      </c>
      <c r="AO107" s="283">
        <v>236</v>
      </c>
      <c r="AP107" s="307">
        <v>1439</v>
      </c>
      <c r="AQ107" s="293">
        <v>219780</v>
      </c>
      <c r="AR107" s="283">
        <v>15</v>
      </c>
      <c r="AS107" s="284">
        <v>0</v>
      </c>
      <c r="AT107" s="282" t="s">
        <v>1037</v>
      </c>
      <c r="AU107" s="303">
        <v>0</v>
      </c>
      <c r="AV107" s="293">
        <v>109</v>
      </c>
      <c r="AW107" s="283">
        <v>245</v>
      </c>
      <c r="AX107" s="286">
        <v>1439</v>
      </c>
      <c r="AY107" s="93"/>
      <c r="AZ107" s="93"/>
      <c r="BA107" s="93"/>
    </row>
    <row r="108" spans="1:53" ht="22.5" customHeight="1" x14ac:dyDescent="0.2">
      <c r="A108" s="281" t="s">
        <v>359</v>
      </c>
      <c r="B108" s="296" t="s">
        <v>828</v>
      </c>
      <c r="C108" s="293">
        <v>141960</v>
      </c>
      <c r="D108" s="283">
        <v>141926</v>
      </c>
      <c r="E108" s="284">
        <v>1</v>
      </c>
      <c r="F108" s="298" t="s">
        <v>712</v>
      </c>
      <c r="G108" s="293">
        <v>141960</v>
      </c>
      <c r="H108" s="283">
        <v>105</v>
      </c>
      <c r="I108" s="285">
        <v>0</v>
      </c>
      <c r="J108" s="300">
        <v>0</v>
      </c>
      <c r="K108" s="293">
        <v>141855</v>
      </c>
      <c r="L108" s="283">
        <v>0</v>
      </c>
      <c r="M108" s="300">
        <v>0</v>
      </c>
      <c r="N108" s="293">
        <v>141960</v>
      </c>
      <c r="O108" s="283">
        <v>0</v>
      </c>
      <c r="P108" s="300">
        <v>0</v>
      </c>
      <c r="Q108" s="293">
        <v>141960</v>
      </c>
      <c r="R108" s="283">
        <v>8215</v>
      </c>
      <c r="S108" s="303">
        <v>0.06</v>
      </c>
      <c r="T108" s="302">
        <v>0</v>
      </c>
      <c r="U108" s="293">
        <v>48870</v>
      </c>
      <c r="V108" s="283">
        <v>20</v>
      </c>
      <c r="W108" s="284">
        <v>0</v>
      </c>
      <c r="X108" s="282" t="s">
        <v>1037</v>
      </c>
      <c r="Y108" s="303">
        <v>0</v>
      </c>
      <c r="Z108" s="293">
        <v>0</v>
      </c>
      <c r="AA108" s="283">
        <v>9</v>
      </c>
      <c r="AB108" s="307">
        <v>1439</v>
      </c>
      <c r="AC108" s="293">
        <v>141855</v>
      </c>
      <c r="AD108" s="283">
        <v>235</v>
      </c>
      <c r="AE108" s="284">
        <v>0</v>
      </c>
      <c r="AF108" s="282" t="s">
        <v>1037</v>
      </c>
      <c r="AG108" s="303">
        <v>0</v>
      </c>
      <c r="AH108" s="293">
        <v>97</v>
      </c>
      <c r="AI108" s="283">
        <v>248</v>
      </c>
      <c r="AJ108" s="307">
        <v>1397</v>
      </c>
      <c r="AK108" s="293">
        <v>238</v>
      </c>
      <c r="AL108" s="283">
        <v>711</v>
      </c>
      <c r="AM108" s="307">
        <v>1227</v>
      </c>
      <c r="AN108" s="293">
        <v>171</v>
      </c>
      <c r="AO108" s="283">
        <v>423</v>
      </c>
      <c r="AP108" s="307">
        <v>1437</v>
      </c>
      <c r="AQ108" s="293">
        <v>141960</v>
      </c>
      <c r="AR108" s="283">
        <v>0</v>
      </c>
      <c r="AS108" s="284">
        <v>0</v>
      </c>
      <c r="AT108" s="282" t="s">
        <v>1037</v>
      </c>
      <c r="AU108" s="303">
        <v>0</v>
      </c>
      <c r="AV108" s="293">
        <v>186</v>
      </c>
      <c r="AW108" s="283">
        <v>511</v>
      </c>
      <c r="AX108" s="286">
        <v>1437</v>
      </c>
      <c r="AY108" s="93"/>
      <c r="AZ108" s="93"/>
      <c r="BA108" s="93"/>
    </row>
    <row r="109" spans="1:53" ht="22.5" customHeight="1" x14ac:dyDescent="0.2">
      <c r="A109" s="281" t="s">
        <v>459</v>
      </c>
      <c r="B109" s="296" t="s">
        <v>867</v>
      </c>
      <c r="C109" s="293">
        <v>93225</v>
      </c>
      <c r="D109" s="283">
        <v>93435</v>
      </c>
      <c r="E109" s="284">
        <v>1</v>
      </c>
      <c r="F109" s="298" t="s">
        <v>712</v>
      </c>
      <c r="G109" s="293">
        <v>93225</v>
      </c>
      <c r="H109" s="283">
        <v>0</v>
      </c>
      <c r="I109" s="285">
        <v>0</v>
      </c>
      <c r="J109" s="300">
        <v>0</v>
      </c>
      <c r="K109" s="293">
        <v>93225</v>
      </c>
      <c r="L109" s="283">
        <v>3595</v>
      </c>
      <c r="M109" s="300">
        <v>0.04</v>
      </c>
      <c r="N109" s="293">
        <v>93225</v>
      </c>
      <c r="O109" s="283">
        <v>0</v>
      </c>
      <c r="P109" s="300">
        <v>0</v>
      </c>
      <c r="Q109" s="293">
        <v>93225</v>
      </c>
      <c r="R109" s="283">
        <v>4860</v>
      </c>
      <c r="S109" s="303">
        <v>0.05</v>
      </c>
      <c r="T109" s="302">
        <v>0</v>
      </c>
      <c r="U109" s="293">
        <v>32125</v>
      </c>
      <c r="V109" s="283">
        <v>190</v>
      </c>
      <c r="W109" s="284">
        <v>0.01</v>
      </c>
      <c r="X109" s="282" t="s">
        <v>1037</v>
      </c>
      <c r="Y109" s="303">
        <v>0</v>
      </c>
      <c r="Z109" s="293">
        <v>6</v>
      </c>
      <c r="AA109" s="283">
        <v>54</v>
      </c>
      <c r="AB109" s="307">
        <v>1043</v>
      </c>
      <c r="AC109" s="293">
        <v>89630</v>
      </c>
      <c r="AD109" s="283">
        <v>5670</v>
      </c>
      <c r="AE109" s="284">
        <v>0.06</v>
      </c>
      <c r="AF109" s="282" t="s">
        <v>1037</v>
      </c>
      <c r="AG109" s="303">
        <v>0</v>
      </c>
      <c r="AH109" s="293">
        <v>106</v>
      </c>
      <c r="AI109" s="283">
        <v>276</v>
      </c>
      <c r="AJ109" s="307">
        <v>1268</v>
      </c>
      <c r="AK109" s="293">
        <v>236</v>
      </c>
      <c r="AL109" s="283">
        <v>681</v>
      </c>
      <c r="AM109" s="307">
        <v>1427</v>
      </c>
      <c r="AN109" s="293">
        <v>184</v>
      </c>
      <c r="AO109" s="283">
        <v>378</v>
      </c>
      <c r="AP109" s="307">
        <v>1428</v>
      </c>
      <c r="AQ109" s="293">
        <v>93225</v>
      </c>
      <c r="AR109" s="283">
        <v>0</v>
      </c>
      <c r="AS109" s="284">
        <v>0</v>
      </c>
      <c r="AT109" s="282" t="s">
        <v>1037</v>
      </c>
      <c r="AU109" s="303">
        <v>0</v>
      </c>
      <c r="AV109" s="293">
        <v>200</v>
      </c>
      <c r="AW109" s="283">
        <v>486</v>
      </c>
      <c r="AX109" s="286">
        <v>1428</v>
      </c>
      <c r="AY109" s="93"/>
      <c r="AZ109" s="93"/>
      <c r="BA109" s="93"/>
    </row>
    <row r="110" spans="1:53" ht="22.5" customHeight="1" x14ac:dyDescent="0.2">
      <c r="A110" s="281" t="s">
        <v>360</v>
      </c>
      <c r="B110" s="296" t="s">
        <v>836</v>
      </c>
      <c r="C110" s="293">
        <v>94940</v>
      </c>
      <c r="D110" s="283">
        <v>115268</v>
      </c>
      <c r="E110" s="284">
        <v>0.82</v>
      </c>
      <c r="F110" s="298" t="s">
        <v>721</v>
      </c>
      <c r="G110" s="293">
        <v>94940</v>
      </c>
      <c r="H110" s="283" t="s">
        <v>906</v>
      </c>
      <c r="I110" s="285" t="s">
        <v>906</v>
      </c>
      <c r="J110" s="300">
        <v>0</v>
      </c>
      <c r="K110" s="293">
        <v>94935</v>
      </c>
      <c r="L110" s="283">
        <v>345</v>
      </c>
      <c r="M110" s="300">
        <v>0</v>
      </c>
      <c r="N110" s="293">
        <v>94945</v>
      </c>
      <c r="O110" s="283" t="s">
        <v>906</v>
      </c>
      <c r="P110" s="300" t="s">
        <v>906</v>
      </c>
      <c r="Q110" s="293">
        <v>94940</v>
      </c>
      <c r="R110" s="283">
        <v>7710</v>
      </c>
      <c r="S110" s="303">
        <v>0.08</v>
      </c>
      <c r="T110" s="302">
        <v>0</v>
      </c>
      <c r="U110" s="293">
        <v>32595</v>
      </c>
      <c r="V110" s="283">
        <v>990</v>
      </c>
      <c r="W110" s="284">
        <v>0.03</v>
      </c>
      <c r="X110" s="282" t="s">
        <v>1037</v>
      </c>
      <c r="Y110" s="303">
        <v>0</v>
      </c>
      <c r="Z110" s="293">
        <v>14</v>
      </c>
      <c r="AA110" s="283">
        <v>56</v>
      </c>
      <c r="AB110" s="307">
        <v>1435</v>
      </c>
      <c r="AC110" s="293">
        <v>94575</v>
      </c>
      <c r="AD110" s="283">
        <v>65</v>
      </c>
      <c r="AE110" s="284">
        <v>0</v>
      </c>
      <c r="AF110" s="282" t="s">
        <v>1037</v>
      </c>
      <c r="AG110" s="303">
        <v>0</v>
      </c>
      <c r="AH110" s="293">
        <v>45</v>
      </c>
      <c r="AI110" s="283">
        <v>718</v>
      </c>
      <c r="AJ110" s="307">
        <v>1439</v>
      </c>
      <c r="AK110" s="293">
        <v>222</v>
      </c>
      <c r="AL110" s="283">
        <v>643</v>
      </c>
      <c r="AM110" s="307">
        <v>1394</v>
      </c>
      <c r="AN110" s="293">
        <v>116</v>
      </c>
      <c r="AO110" s="283">
        <v>271</v>
      </c>
      <c r="AP110" s="307">
        <v>1136</v>
      </c>
      <c r="AQ110" s="293">
        <v>94940</v>
      </c>
      <c r="AR110" s="283">
        <v>0</v>
      </c>
      <c r="AS110" s="284">
        <v>0</v>
      </c>
      <c r="AT110" s="282" t="s">
        <v>1037</v>
      </c>
      <c r="AU110" s="303">
        <v>0</v>
      </c>
      <c r="AV110" s="293">
        <v>140</v>
      </c>
      <c r="AW110" s="283">
        <v>396</v>
      </c>
      <c r="AX110" s="286">
        <v>1394</v>
      </c>
      <c r="AY110" s="93"/>
      <c r="AZ110" s="93"/>
      <c r="BA110" s="93"/>
    </row>
    <row r="111" spans="1:53" ht="22.5" customHeight="1" x14ac:dyDescent="0.2">
      <c r="A111" s="281" t="s">
        <v>361</v>
      </c>
      <c r="B111" s="296" t="s">
        <v>769</v>
      </c>
      <c r="C111" s="293">
        <v>106110</v>
      </c>
      <c r="D111" s="283">
        <v>58773</v>
      </c>
      <c r="E111" s="284">
        <v>1.81</v>
      </c>
      <c r="F111" s="298" t="s">
        <v>735</v>
      </c>
      <c r="G111" s="293">
        <v>106110</v>
      </c>
      <c r="H111" s="283">
        <v>590</v>
      </c>
      <c r="I111" s="285">
        <v>0.01</v>
      </c>
      <c r="J111" s="300">
        <v>0.12</v>
      </c>
      <c r="K111" s="293">
        <v>105520</v>
      </c>
      <c r="L111" s="283">
        <v>1180</v>
      </c>
      <c r="M111" s="300">
        <v>0.01</v>
      </c>
      <c r="N111" s="293">
        <v>108725</v>
      </c>
      <c r="O111" s="283">
        <v>2620</v>
      </c>
      <c r="P111" s="300">
        <v>0.02</v>
      </c>
      <c r="Q111" s="293">
        <v>106110</v>
      </c>
      <c r="R111" s="283">
        <v>6700</v>
      </c>
      <c r="S111" s="303">
        <v>0.06</v>
      </c>
      <c r="T111" s="302">
        <v>0</v>
      </c>
      <c r="U111" s="293">
        <v>1895</v>
      </c>
      <c r="V111" s="283">
        <v>1245</v>
      </c>
      <c r="W111" s="284">
        <v>0.66</v>
      </c>
      <c r="X111" s="282" t="s">
        <v>1037</v>
      </c>
      <c r="Y111" s="303">
        <v>0</v>
      </c>
      <c r="Z111" s="293">
        <v>18</v>
      </c>
      <c r="AA111" s="283">
        <v>141</v>
      </c>
      <c r="AB111" s="307">
        <v>238</v>
      </c>
      <c r="AC111" s="293">
        <v>104315</v>
      </c>
      <c r="AD111" s="283">
        <v>8505</v>
      </c>
      <c r="AE111" s="284">
        <v>0.08</v>
      </c>
      <c r="AF111" s="282" t="s">
        <v>708</v>
      </c>
      <c r="AG111" s="303">
        <v>0</v>
      </c>
      <c r="AH111" s="293" t="s">
        <v>907</v>
      </c>
      <c r="AI111" s="283" t="s">
        <v>907</v>
      </c>
      <c r="AJ111" s="307" t="s">
        <v>907</v>
      </c>
      <c r="AK111" s="293">
        <v>72</v>
      </c>
      <c r="AL111" s="283">
        <v>239</v>
      </c>
      <c r="AM111" s="307">
        <v>1421</v>
      </c>
      <c r="AN111" s="293">
        <v>97</v>
      </c>
      <c r="AO111" s="283">
        <v>233</v>
      </c>
      <c r="AP111" s="307">
        <v>1433</v>
      </c>
      <c r="AQ111" s="293">
        <v>106110</v>
      </c>
      <c r="AR111" s="283">
        <v>0</v>
      </c>
      <c r="AS111" s="284">
        <v>0</v>
      </c>
      <c r="AT111" s="282" t="s">
        <v>1037</v>
      </c>
      <c r="AU111" s="303">
        <v>0</v>
      </c>
      <c r="AV111" s="293">
        <v>96</v>
      </c>
      <c r="AW111" s="283">
        <v>233</v>
      </c>
      <c r="AX111" s="286">
        <v>1433</v>
      </c>
      <c r="AY111" s="93"/>
      <c r="AZ111" s="93"/>
      <c r="BA111" s="93"/>
    </row>
    <row r="112" spans="1:53" ht="22.5" customHeight="1" x14ac:dyDescent="0.2">
      <c r="A112" s="281" t="s">
        <v>362</v>
      </c>
      <c r="B112" s="296" t="s">
        <v>767</v>
      </c>
      <c r="C112" s="293">
        <v>180615</v>
      </c>
      <c r="D112" s="283">
        <v>182311</v>
      </c>
      <c r="E112" s="284">
        <v>0.99</v>
      </c>
      <c r="F112" s="298" t="s">
        <v>712</v>
      </c>
      <c r="G112" s="293">
        <v>180615</v>
      </c>
      <c r="H112" s="283">
        <v>1880</v>
      </c>
      <c r="I112" s="285">
        <v>0.01</v>
      </c>
      <c r="J112" s="300">
        <v>0</v>
      </c>
      <c r="K112" s="293">
        <v>178735</v>
      </c>
      <c r="L112" s="283">
        <v>0</v>
      </c>
      <c r="M112" s="300">
        <v>0</v>
      </c>
      <c r="N112" s="293">
        <v>180615</v>
      </c>
      <c r="O112" s="283">
        <v>0</v>
      </c>
      <c r="P112" s="300">
        <v>0</v>
      </c>
      <c r="Q112" s="293">
        <v>180615</v>
      </c>
      <c r="R112" s="283">
        <v>17005</v>
      </c>
      <c r="S112" s="303">
        <v>0.09</v>
      </c>
      <c r="T112" s="302">
        <v>0</v>
      </c>
      <c r="U112" s="293">
        <v>40210</v>
      </c>
      <c r="V112" s="283">
        <v>1070</v>
      </c>
      <c r="W112" s="284">
        <v>0.03</v>
      </c>
      <c r="X112" s="282" t="s">
        <v>1037</v>
      </c>
      <c r="Y112" s="303">
        <v>0</v>
      </c>
      <c r="Z112" s="293">
        <v>11</v>
      </c>
      <c r="AA112" s="283">
        <v>44</v>
      </c>
      <c r="AB112" s="307">
        <v>1184</v>
      </c>
      <c r="AC112" s="293">
        <v>178735</v>
      </c>
      <c r="AD112" s="283">
        <v>2280</v>
      </c>
      <c r="AE112" s="284">
        <v>0.01</v>
      </c>
      <c r="AF112" s="282" t="s">
        <v>1037</v>
      </c>
      <c r="AG112" s="303">
        <v>0</v>
      </c>
      <c r="AH112" s="293">
        <v>101</v>
      </c>
      <c r="AI112" s="283">
        <v>226</v>
      </c>
      <c r="AJ112" s="307">
        <v>1439</v>
      </c>
      <c r="AK112" s="293">
        <v>150</v>
      </c>
      <c r="AL112" s="283">
        <v>369</v>
      </c>
      <c r="AM112" s="307">
        <v>1161</v>
      </c>
      <c r="AN112" s="293">
        <v>188</v>
      </c>
      <c r="AO112" s="283">
        <v>418</v>
      </c>
      <c r="AP112" s="307">
        <v>1439</v>
      </c>
      <c r="AQ112" s="293">
        <v>180615</v>
      </c>
      <c r="AR112" s="283">
        <v>0</v>
      </c>
      <c r="AS112" s="284">
        <v>0</v>
      </c>
      <c r="AT112" s="282" t="s">
        <v>1037</v>
      </c>
      <c r="AU112" s="303">
        <v>0</v>
      </c>
      <c r="AV112" s="293">
        <v>187</v>
      </c>
      <c r="AW112" s="283">
        <v>415</v>
      </c>
      <c r="AX112" s="286">
        <v>1439</v>
      </c>
      <c r="AY112" s="93"/>
      <c r="AZ112" s="93"/>
      <c r="BA112" s="93"/>
    </row>
    <row r="113" spans="1:53" ht="22.5" customHeight="1" x14ac:dyDescent="0.2">
      <c r="A113" s="281" t="s">
        <v>363</v>
      </c>
      <c r="B113" s="296" t="s">
        <v>728</v>
      </c>
      <c r="C113" s="293">
        <v>15395</v>
      </c>
      <c r="D113" s="283" t="s">
        <v>706</v>
      </c>
      <c r="E113" s="284" t="s">
        <v>706</v>
      </c>
      <c r="F113" s="298" t="s">
        <v>706</v>
      </c>
      <c r="G113" s="293">
        <v>15395</v>
      </c>
      <c r="H113" s="283">
        <v>0</v>
      </c>
      <c r="I113" s="285">
        <v>0</v>
      </c>
      <c r="J113" s="300">
        <v>0.79</v>
      </c>
      <c r="K113" s="293">
        <v>15395</v>
      </c>
      <c r="L113" s="283">
        <v>0</v>
      </c>
      <c r="M113" s="300">
        <v>0</v>
      </c>
      <c r="N113" s="293">
        <v>15395</v>
      </c>
      <c r="O113" s="283">
        <v>0</v>
      </c>
      <c r="P113" s="300">
        <v>0</v>
      </c>
      <c r="Q113" s="293">
        <v>15395</v>
      </c>
      <c r="R113" s="283">
        <v>1355</v>
      </c>
      <c r="S113" s="303">
        <v>0.09</v>
      </c>
      <c r="T113" s="302">
        <v>0</v>
      </c>
      <c r="U113" s="293">
        <v>55</v>
      </c>
      <c r="V113" s="283">
        <v>0</v>
      </c>
      <c r="W113" s="284" t="s">
        <v>1037</v>
      </c>
      <c r="X113" s="282" t="s">
        <v>708</v>
      </c>
      <c r="Y113" s="303" t="s">
        <v>1037</v>
      </c>
      <c r="Z113" s="293" t="s">
        <v>907</v>
      </c>
      <c r="AA113" s="283" t="s">
        <v>907</v>
      </c>
      <c r="AB113" s="307" t="s">
        <v>907</v>
      </c>
      <c r="AC113" s="293">
        <v>15395</v>
      </c>
      <c r="AD113" s="283">
        <v>180</v>
      </c>
      <c r="AE113" s="284">
        <v>0.01</v>
      </c>
      <c r="AF113" s="282" t="s">
        <v>1037</v>
      </c>
      <c r="AG113" s="303">
        <v>0</v>
      </c>
      <c r="AH113" s="293">
        <v>24</v>
      </c>
      <c r="AI113" s="283">
        <v>87</v>
      </c>
      <c r="AJ113" s="307">
        <v>342</v>
      </c>
      <c r="AK113" s="293" t="s">
        <v>706</v>
      </c>
      <c r="AL113" s="283" t="s">
        <v>706</v>
      </c>
      <c r="AM113" s="307" t="s">
        <v>706</v>
      </c>
      <c r="AN113" s="293">
        <v>38</v>
      </c>
      <c r="AO113" s="283">
        <v>120</v>
      </c>
      <c r="AP113" s="307">
        <v>167</v>
      </c>
      <c r="AQ113" s="293">
        <v>15395</v>
      </c>
      <c r="AR113" s="283">
        <v>15150</v>
      </c>
      <c r="AS113" s="284">
        <v>0.98</v>
      </c>
      <c r="AT113" s="282" t="s">
        <v>1037</v>
      </c>
      <c r="AU113" s="303">
        <v>0</v>
      </c>
      <c r="AV113" s="293">
        <v>38</v>
      </c>
      <c r="AW113" s="283">
        <v>120</v>
      </c>
      <c r="AX113" s="286">
        <v>167</v>
      </c>
      <c r="AY113" s="93"/>
      <c r="AZ113" s="93"/>
      <c r="BA113" s="93"/>
    </row>
    <row r="114" spans="1:53" ht="22.5" customHeight="1" x14ac:dyDescent="0.2">
      <c r="A114" s="281" t="s">
        <v>364</v>
      </c>
      <c r="B114" s="296" t="s">
        <v>870</v>
      </c>
      <c r="C114" s="293">
        <v>179235</v>
      </c>
      <c r="D114" s="283">
        <v>175584</v>
      </c>
      <c r="E114" s="284">
        <v>1.02</v>
      </c>
      <c r="F114" s="298" t="s">
        <v>712</v>
      </c>
      <c r="G114" s="293">
        <v>179235</v>
      </c>
      <c r="H114" s="283">
        <v>0</v>
      </c>
      <c r="I114" s="285">
        <v>0</v>
      </c>
      <c r="J114" s="300">
        <v>0.05</v>
      </c>
      <c r="K114" s="293">
        <v>179235</v>
      </c>
      <c r="L114" s="283">
        <v>1560</v>
      </c>
      <c r="M114" s="300">
        <v>0.01</v>
      </c>
      <c r="N114" s="293">
        <v>179235</v>
      </c>
      <c r="O114" s="283">
        <v>0</v>
      </c>
      <c r="P114" s="300">
        <v>0</v>
      </c>
      <c r="Q114" s="293">
        <v>179235</v>
      </c>
      <c r="R114" s="283">
        <v>22470</v>
      </c>
      <c r="S114" s="303">
        <v>0.13</v>
      </c>
      <c r="T114" s="302">
        <v>0</v>
      </c>
      <c r="U114" s="293">
        <v>22060</v>
      </c>
      <c r="V114" s="283">
        <v>125</v>
      </c>
      <c r="W114" s="284">
        <v>0.01</v>
      </c>
      <c r="X114" s="282" t="s">
        <v>1037</v>
      </c>
      <c r="Y114" s="303">
        <v>0</v>
      </c>
      <c r="Z114" s="293">
        <v>7</v>
      </c>
      <c r="AA114" s="283">
        <v>54</v>
      </c>
      <c r="AB114" s="307">
        <v>1439</v>
      </c>
      <c r="AC114" s="293">
        <v>177640</v>
      </c>
      <c r="AD114" s="283">
        <v>3750</v>
      </c>
      <c r="AE114" s="284">
        <v>0.02</v>
      </c>
      <c r="AF114" s="282" t="s">
        <v>1037</v>
      </c>
      <c r="AG114" s="303">
        <v>0</v>
      </c>
      <c r="AH114" s="293">
        <v>24</v>
      </c>
      <c r="AI114" s="283">
        <v>135</v>
      </c>
      <c r="AJ114" s="307">
        <v>1438</v>
      </c>
      <c r="AK114" s="293">
        <v>209</v>
      </c>
      <c r="AL114" s="283">
        <v>362</v>
      </c>
      <c r="AM114" s="307">
        <v>950</v>
      </c>
      <c r="AN114" s="293">
        <v>47</v>
      </c>
      <c r="AO114" s="283">
        <v>216</v>
      </c>
      <c r="AP114" s="307">
        <v>1012</v>
      </c>
      <c r="AQ114" s="293">
        <v>179235</v>
      </c>
      <c r="AR114" s="283">
        <v>2835</v>
      </c>
      <c r="AS114" s="284">
        <v>0.02</v>
      </c>
      <c r="AT114" s="282" t="s">
        <v>1037</v>
      </c>
      <c r="AU114" s="303">
        <v>0</v>
      </c>
      <c r="AV114" s="293">
        <v>55</v>
      </c>
      <c r="AW114" s="283">
        <v>237</v>
      </c>
      <c r="AX114" s="286">
        <v>1012</v>
      </c>
      <c r="AY114" s="93"/>
      <c r="AZ114" s="93"/>
      <c r="BA114" s="93"/>
    </row>
    <row r="115" spans="1:53" ht="22.5" customHeight="1" x14ac:dyDescent="0.2">
      <c r="A115" s="281" t="s">
        <v>372</v>
      </c>
      <c r="B115" s="296" t="s">
        <v>800</v>
      </c>
      <c r="C115" s="293">
        <v>160480</v>
      </c>
      <c r="D115" s="283">
        <v>160130</v>
      </c>
      <c r="E115" s="284">
        <v>1</v>
      </c>
      <c r="F115" s="298" t="s">
        <v>712</v>
      </c>
      <c r="G115" s="293">
        <v>160480</v>
      </c>
      <c r="H115" s="283">
        <v>1840</v>
      </c>
      <c r="I115" s="285">
        <v>0.01</v>
      </c>
      <c r="J115" s="300">
        <v>0</v>
      </c>
      <c r="K115" s="293">
        <v>158645</v>
      </c>
      <c r="L115" s="283">
        <v>2900</v>
      </c>
      <c r="M115" s="300">
        <v>0.02</v>
      </c>
      <c r="N115" s="293">
        <v>160490</v>
      </c>
      <c r="O115" s="283" t="s">
        <v>906</v>
      </c>
      <c r="P115" s="300" t="s">
        <v>906</v>
      </c>
      <c r="Q115" s="293">
        <v>160480</v>
      </c>
      <c r="R115" s="283">
        <v>11860</v>
      </c>
      <c r="S115" s="303">
        <v>7.0000000000000007E-2</v>
      </c>
      <c r="T115" s="302">
        <v>0</v>
      </c>
      <c r="U115" s="293">
        <v>48090</v>
      </c>
      <c r="V115" s="283">
        <v>8725</v>
      </c>
      <c r="W115" s="284">
        <v>0.18</v>
      </c>
      <c r="X115" s="282" t="s">
        <v>1037</v>
      </c>
      <c r="Y115" s="303">
        <v>0</v>
      </c>
      <c r="Z115" s="293">
        <v>3</v>
      </c>
      <c r="AA115" s="283">
        <v>153</v>
      </c>
      <c r="AB115" s="307">
        <v>1439</v>
      </c>
      <c r="AC115" s="293">
        <v>155495</v>
      </c>
      <c r="AD115" s="283">
        <v>12625</v>
      </c>
      <c r="AE115" s="284">
        <v>0.08</v>
      </c>
      <c r="AF115" s="282" t="s">
        <v>1037</v>
      </c>
      <c r="AG115" s="303">
        <v>0</v>
      </c>
      <c r="AH115" s="293">
        <v>74</v>
      </c>
      <c r="AI115" s="283">
        <v>225</v>
      </c>
      <c r="AJ115" s="307">
        <v>1429</v>
      </c>
      <c r="AK115" s="293">
        <v>237</v>
      </c>
      <c r="AL115" s="283">
        <v>658</v>
      </c>
      <c r="AM115" s="307">
        <v>1433</v>
      </c>
      <c r="AN115" s="293">
        <v>146</v>
      </c>
      <c r="AO115" s="283">
        <v>328</v>
      </c>
      <c r="AP115" s="307">
        <v>1390</v>
      </c>
      <c r="AQ115" s="293">
        <v>160480</v>
      </c>
      <c r="AR115" s="283">
        <v>25</v>
      </c>
      <c r="AS115" s="284">
        <v>0</v>
      </c>
      <c r="AT115" s="282" t="s">
        <v>1037</v>
      </c>
      <c r="AU115" s="303">
        <v>0</v>
      </c>
      <c r="AV115" s="293">
        <v>176</v>
      </c>
      <c r="AW115" s="283">
        <v>451</v>
      </c>
      <c r="AX115" s="286">
        <v>1433</v>
      </c>
      <c r="AY115" s="93"/>
      <c r="AZ115" s="93"/>
      <c r="BA115" s="93"/>
    </row>
    <row r="116" spans="1:53" ht="22.5" customHeight="1" x14ac:dyDescent="0.2">
      <c r="A116" s="281" t="s">
        <v>283</v>
      </c>
      <c r="B116" s="296" t="s">
        <v>864</v>
      </c>
      <c r="C116" s="293">
        <v>11245</v>
      </c>
      <c r="D116" s="283">
        <v>70373</v>
      </c>
      <c r="E116" s="284">
        <v>0.16</v>
      </c>
      <c r="F116" s="298" t="s">
        <v>735</v>
      </c>
      <c r="G116" s="293">
        <v>11245</v>
      </c>
      <c r="H116" s="283" t="s">
        <v>906</v>
      </c>
      <c r="I116" s="285" t="s">
        <v>906</v>
      </c>
      <c r="J116" s="300">
        <v>0</v>
      </c>
      <c r="K116" s="293">
        <v>11245</v>
      </c>
      <c r="L116" s="283">
        <v>305</v>
      </c>
      <c r="M116" s="300">
        <v>0.03</v>
      </c>
      <c r="N116" s="293">
        <v>46410</v>
      </c>
      <c r="O116" s="283">
        <v>35165</v>
      </c>
      <c r="P116" s="300">
        <v>0.76</v>
      </c>
      <c r="Q116" s="293">
        <v>11245</v>
      </c>
      <c r="R116" s="283">
        <v>855</v>
      </c>
      <c r="S116" s="303">
        <v>0.08</v>
      </c>
      <c r="T116" s="302">
        <v>0</v>
      </c>
      <c r="U116" s="293" t="s">
        <v>906</v>
      </c>
      <c r="V116" s="283" t="s">
        <v>906</v>
      </c>
      <c r="W116" s="284" t="s">
        <v>1037</v>
      </c>
      <c r="X116" s="282" t="s">
        <v>1037</v>
      </c>
      <c r="Y116" s="303" t="s">
        <v>1037</v>
      </c>
      <c r="Z116" s="293" t="s">
        <v>906</v>
      </c>
      <c r="AA116" s="283" t="s">
        <v>906</v>
      </c>
      <c r="AB116" s="307" t="s">
        <v>906</v>
      </c>
      <c r="AC116" s="293">
        <v>10935</v>
      </c>
      <c r="AD116" s="283">
        <v>0</v>
      </c>
      <c r="AE116" s="284">
        <v>0</v>
      </c>
      <c r="AF116" s="282" t="s">
        <v>1037</v>
      </c>
      <c r="AG116" s="303">
        <v>0</v>
      </c>
      <c r="AH116" s="293">
        <v>20</v>
      </c>
      <c r="AI116" s="283">
        <v>95</v>
      </c>
      <c r="AJ116" s="307">
        <v>1439</v>
      </c>
      <c r="AK116" s="293">
        <v>70</v>
      </c>
      <c r="AL116" s="283">
        <v>160</v>
      </c>
      <c r="AM116" s="307">
        <v>235</v>
      </c>
      <c r="AN116" s="293">
        <v>54</v>
      </c>
      <c r="AO116" s="283">
        <v>160</v>
      </c>
      <c r="AP116" s="307">
        <v>1401</v>
      </c>
      <c r="AQ116" s="293">
        <v>11245</v>
      </c>
      <c r="AR116" s="283" t="s">
        <v>906</v>
      </c>
      <c r="AS116" s="284" t="s">
        <v>906</v>
      </c>
      <c r="AT116" s="282" t="s">
        <v>1037</v>
      </c>
      <c r="AU116" s="303">
        <v>0</v>
      </c>
      <c r="AV116" s="293">
        <v>54</v>
      </c>
      <c r="AW116" s="283">
        <v>160</v>
      </c>
      <c r="AX116" s="286">
        <v>1401</v>
      </c>
      <c r="AY116" s="93"/>
      <c r="AZ116" s="93"/>
      <c r="BA116" s="93"/>
    </row>
    <row r="117" spans="1:53" ht="22.5" customHeight="1" x14ac:dyDescent="0.2">
      <c r="A117" s="281" t="s">
        <v>365</v>
      </c>
      <c r="B117" s="296" t="s">
        <v>839</v>
      </c>
      <c r="C117" s="293">
        <v>133195</v>
      </c>
      <c r="D117" s="283">
        <v>133471</v>
      </c>
      <c r="E117" s="284">
        <v>1</v>
      </c>
      <c r="F117" s="298" t="s">
        <v>712</v>
      </c>
      <c r="G117" s="293">
        <v>133195</v>
      </c>
      <c r="H117" s="283">
        <v>1725</v>
      </c>
      <c r="I117" s="285">
        <v>0.01</v>
      </c>
      <c r="J117" s="300">
        <v>0</v>
      </c>
      <c r="K117" s="293">
        <v>131470</v>
      </c>
      <c r="L117" s="283">
        <v>0</v>
      </c>
      <c r="M117" s="300">
        <v>0</v>
      </c>
      <c r="N117" s="293">
        <v>133200</v>
      </c>
      <c r="O117" s="283" t="s">
        <v>906</v>
      </c>
      <c r="P117" s="300" t="s">
        <v>906</v>
      </c>
      <c r="Q117" s="293">
        <v>133195</v>
      </c>
      <c r="R117" s="283">
        <v>14965</v>
      </c>
      <c r="S117" s="303">
        <v>0.11</v>
      </c>
      <c r="T117" s="302">
        <v>0</v>
      </c>
      <c r="U117" s="293">
        <v>33035</v>
      </c>
      <c r="V117" s="283">
        <v>475</v>
      </c>
      <c r="W117" s="284">
        <v>0.01</v>
      </c>
      <c r="X117" s="282" t="s">
        <v>1037</v>
      </c>
      <c r="Y117" s="303">
        <v>0</v>
      </c>
      <c r="Z117" s="293">
        <v>11</v>
      </c>
      <c r="AA117" s="283">
        <v>63</v>
      </c>
      <c r="AB117" s="307">
        <v>1394</v>
      </c>
      <c r="AC117" s="293">
        <v>131470</v>
      </c>
      <c r="AD117" s="283">
        <v>16010</v>
      </c>
      <c r="AE117" s="284">
        <v>0.12</v>
      </c>
      <c r="AF117" s="282" t="s">
        <v>1037</v>
      </c>
      <c r="AG117" s="303">
        <v>0</v>
      </c>
      <c r="AH117" s="293">
        <v>95</v>
      </c>
      <c r="AI117" s="283">
        <v>681</v>
      </c>
      <c r="AJ117" s="307">
        <v>1439</v>
      </c>
      <c r="AK117" s="293">
        <v>235</v>
      </c>
      <c r="AL117" s="283">
        <v>790</v>
      </c>
      <c r="AM117" s="307">
        <v>1433</v>
      </c>
      <c r="AN117" s="293">
        <v>114</v>
      </c>
      <c r="AO117" s="283">
        <v>294</v>
      </c>
      <c r="AP117" s="307">
        <v>1415</v>
      </c>
      <c r="AQ117" s="293">
        <v>133195</v>
      </c>
      <c r="AR117" s="283">
        <v>0</v>
      </c>
      <c r="AS117" s="284">
        <v>0</v>
      </c>
      <c r="AT117" s="282" t="s">
        <v>1037</v>
      </c>
      <c r="AU117" s="303">
        <v>0</v>
      </c>
      <c r="AV117" s="293">
        <v>147</v>
      </c>
      <c r="AW117" s="283">
        <v>492</v>
      </c>
      <c r="AX117" s="286">
        <v>1433</v>
      </c>
      <c r="AY117" s="93"/>
      <c r="AZ117" s="93"/>
      <c r="BA117" s="93"/>
    </row>
    <row r="118" spans="1:53" ht="22.5" customHeight="1" x14ac:dyDescent="0.2">
      <c r="A118" s="281" t="s">
        <v>366</v>
      </c>
      <c r="B118" s="296" t="s">
        <v>777</v>
      </c>
      <c r="C118" s="293">
        <v>58845</v>
      </c>
      <c r="D118" s="283">
        <v>59713</v>
      </c>
      <c r="E118" s="284">
        <v>0.99</v>
      </c>
      <c r="F118" s="298" t="s">
        <v>712</v>
      </c>
      <c r="G118" s="293">
        <v>58845</v>
      </c>
      <c r="H118" s="283" t="s">
        <v>906</v>
      </c>
      <c r="I118" s="285" t="s">
        <v>906</v>
      </c>
      <c r="J118" s="300">
        <v>0.05</v>
      </c>
      <c r="K118" s="293">
        <v>58840</v>
      </c>
      <c r="L118" s="283">
        <v>1715</v>
      </c>
      <c r="M118" s="300">
        <v>0.03</v>
      </c>
      <c r="N118" s="293">
        <v>58965</v>
      </c>
      <c r="O118" s="283">
        <v>120</v>
      </c>
      <c r="P118" s="300">
        <v>0</v>
      </c>
      <c r="Q118" s="293">
        <v>58845</v>
      </c>
      <c r="R118" s="283">
        <v>5705</v>
      </c>
      <c r="S118" s="303">
        <v>0.1</v>
      </c>
      <c r="T118" s="302">
        <v>0</v>
      </c>
      <c r="U118" s="293">
        <v>16385</v>
      </c>
      <c r="V118" s="283">
        <v>3740</v>
      </c>
      <c r="W118" s="284">
        <v>0.23</v>
      </c>
      <c r="X118" s="282" t="s">
        <v>1037</v>
      </c>
      <c r="Y118" s="303">
        <v>0</v>
      </c>
      <c r="Z118" s="293">
        <v>5</v>
      </c>
      <c r="AA118" s="283">
        <v>24</v>
      </c>
      <c r="AB118" s="307">
        <v>882</v>
      </c>
      <c r="AC118" s="293">
        <v>56900</v>
      </c>
      <c r="AD118" s="283">
        <v>10035</v>
      </c>
      <c r="AE118" s="284">
        <v>0.18</v>
      </c>
      <c r="AF118" s="282" t="s">
        <v>1037</v>
      </c>
      <c r="AG118" s="303">
        <v>0</v>
      </c>
      <c r="AH118" s="293">
        <v>54</v>
      </c>
      <c r="AI118" s="283">
        <v>183</v>
      </c>
      <c r="AJ118" s="307">
        <v>1439</v>
      </c>
      <c r="AK118" s="293">
        <v>236</v>
      </c>
      <c r="AL118" s="283">
        <v>534</v>
      </c>
      <c r="AM118" s="307">
        <v>1435</v>
      </c>
      <c r="AN118" s="293">
        <v>115</v>
      </c>
      <c r="AO118" s="283">
        <v>309</v>
      </c>
      <c r="AP118" s="307">
        <v>1414</v>
      </c>
      <c r="AQ118" s="293">
        <v>58845</v>
      </c>
      <c r="AR118" s="283">
        <v>0</v>
      </c>
      <c r="AS118" s="284">
        <v>0</v>
      </c>
      <c r="AT118" s="282" t="s">
        <v>1037</v>
      </c>
      <c r="AU118" s="303">
        <v>0</v>
      </c>
      <c r="AV118" s="293">
        <v>143</v>
      </c>
      <c r="AW118" s="283">
        <v>407</v>
      </c>
      <c r="AX118" s="286">
        <v>1435</v>
      </c>
      <c r="AY118" s="93"/>
      <c r="AZ118" s="93"/>
      <c r="BA118" s="93"/>
    </row>
    <row r="119" spans="1:53" ht="22.5" customHeight="1" x14ac:dyDescent="0.2">
      <c r="A119" s="281" t="s">
        <v>367</v>
      </c>
      <c r="B119" s="296" t="s">
        <v>859</v>
      </c>
      <c r="C119" s="293">
        <v>215785</v>
      </c>
      <c r="D119" s="283">
        <v>217687</v>
      </c>
      <c r="E119" s="284">
        <v>0.99</v>
      </c>
      <c r="F119" s="298" t="s">
        <v>712</v>
      </c>
      <c r="G119" s="293">
        <v>215785</v>
      </c>
      <c r="H119" s="283">
        <v>0</v>
      </c>
      <c r="I119" s="285">
        <v>0</v>
      </c>
      <c r="J119" s="300" t="s">
        <v>906</v>
      </c>
      <c r="K119" s="293">
        <v>215785</v>
      </c>
      <c r="L119" s="283">
        <v>260</v>
      </c>
      <c r="M119" s="300">
        <v>0</v>
      </c>
      <c r="N119" s="293">
        <v>215785</v>
      </c>
      <c r="O119" s="283">
        <v>0</v>
      </c>
      <c r="P119" s="300">
        <v>0</v>
      </c>
      <c r="Q119" s="293">
        <v>215785</v>
      </c>
      <c r="R119" s="283">
        <v>24530</v>
      </c>
      <c r="S119" s="303">
        <v>0.11</v>
      </c>
      <c r="T119" s="302">
        <v>0</v>
      </c>
      <c r="U119" s="293">
        <v>46050</v>
      </c>
      <c r="V119" s="283">
        <v>455</v>
      </c>
      <c r="W119" s="284">
        <v>0.01</v>
      </c>
      <c r="X119" s="282" t="s">
        <v>1037</v>
      </c>
      <c r="Y119" s="303">
        <v>0</v>
      </c>
      <c r="Z119" s="293">
        <v>6</v>
      </c>
      <c r="AA119" s="283">
        <v>35</v>
      </c>
      <c r="AB119" s="307">
        <v>442</v>
      </c>
      <c r="AC119" s="293">
        <v>215505</v>
      </c>
      <c r="AD119" s="283">
        <v>4215</v>
      </c>
      <c r="AE119" s="284">
        <v>0.02</v>
      </c>
      <c r="AF119" s="282" t="s">
        <v>1037</v>
      </c>
      <c r="AG119" s="303">
        <v>0</v>
      </c>
      <c r="AH119" s="293">
        <v>48</v>
      </c>
      <c r="AI119" s="283">
        <v>214</v>
      </c>
      <c r="AJ119" s="307">
        <v>706</v>
      </c>
      <c r="AK119" s="293">
        <v>170</v>
      </c>
      <c r="AL119" s="283">
        <v>359</v>
      </c>
      <c r="AM119" s="307">
        <v>714</v>
      </c>
      <c r="AN119" s="293">
        <v>93</v>
      </c>
      <c r="AO119" s="283">
        <v>239</v>
      </c>
      <c r="AP119" s="307">
        <v>718</v>
      </c>
      <c r="AQ119" s="293">
        <v>215785</v>
      </c>
      <c r="AR119" s="283">
        <v>0</v>
      </c>
      <c r="AS119" s="284">
        <v>0</v>
      </c>
      <c r="AT119" s="282" t="s">
        <v>1037</v>
      </c>
      <c r="AU119" s="303">
        <v>0</v>
      </c>
      <c r="AV119" s="293">
        <v>102</v>
      </c>
      <c r="AW119" s="283">
        <v>240</v>
      </c>
      <c r="AX119" s="286">
        <v>718</v>
      </c>
      <c r="AY119" s="93"/>
      <c r="AZ119" s="93"/>
      <c r="BA119" s="93"/>
    </row>
    <row r="120" spans="1:53" ht="22.5" customHeight="1" x14ac:dyDescent="0.2">
      <c r="A120" s="281" t="s">
        <v>368</v>
      </c>
      <c r="B120" s="296" t="s">
        <v>884</v>
      </c>
      <c r="C120" s="293">
        <v>206615</v>
      </c>
      <c r="D120" s="283">
        <v>206692</v>
      </c>
      <c r="E120" s="284">
        <v>1</v>
      </c>
      <c r="F120" s="298" t="s">
        <v>712</v>
      </c>
      <c r="G120" s="293">
        <v>206615</v>
      </c>
      <c r="H120" s="283">
        <v>5825</v>
      </c>
      <c r="I120" s="285">
        <v>0.03</v>
      </c>
      <c r="J120" s="300">
        <v>0</v>
      </c>
      <c r="K120" s="293">
        <v>200790</v>
      </c>
      <c r="L120" s="283">
        <v>20235</v>
      </c>
      <c r="M120" s="300">
        <v>0.1</v>
      </c>
      <c r="N120" s="293">
        <v>206615</v>
      </c>
      <c r="O120" s="283">
        <v>0</v>
      </c>
      <c r="P120" s="300">
        <v>0</v>
      </c>
      <c r="Q120" s="293">
        <v>206615</v>
      </c>
      <c r="R120" s="283">
        <v>15710</v>
      </c>
      <c r="S120" s="303">
        <v>0.08</v>
      </c>
      <c r="T120" s="302">
        <v>0</v>
      </c>
      <c r="U120" s="293">
        <v>62100</v>
      </c>
      <c r="V120" s="283">
        <v>1395</v>
      </c>
      <c r="W120" s="284">
        <v>0.02</v>
      </c>
      <c r="X120" s="282" t="s">
        <v>1037</v>
      </c>
      <c r="Y120" s="303">
        <v>0</v>
      </c>
      <c r="Z120" s="293">
        <v>44</v>
      </c>
      <c r="AA120" s="283">
        <v>124</v>
      </c>
      <c r="AB120" s="307">
        <v>931</v>
      </c>
      <c r="AC120" s="293">
        <v>180555</v>
      </c>
      <c r="AD120" s="283">
        <v>23245</v>
      </c>
      <c r="AE120" s="284">
        <v>0.13</v>
      </c>
      <c r="AF120" s="282" t="s">
        <v>1037</v>
      </c>
      <c r="AG120" s="303">
        <v>0</v>
      </c>
      <c r="AH120" s="293">
        <v>86</v>
      </c>
      <c r="AI120" s="283">
        <v>266</v>
      </c>
      <c r="AJ120" s="307">
        <v>1008</v>
      </c>
      <c r="AK120" s="293">
        <v>340</v>
      </c>
      <c r="AL120" s="283">
        <v>924</v>
      </c>
      <c r="AM120" s="307">
        <v>1409</v>
      </c>
      <c r="AN120" s="293">
        <v>176</v>
      </c>
      <c r="AO120" s="283">
        <v>497</v>
      </c>
      <c r="AP120" s="307">
        <v>1438</v>
      </c>
      <c r="AQ120" s="293">
        <v>206615</v>
      </c>
      <c r="AR120" s="283" t="s">
        <v>906</v>
      </c>
      <c r="AS120" s="284" t="s">
        <v>906</v>
      </c>
      <c r="AT120" s="282" t="s">
        <v>1037</v>
      </c>
      <c r="AU120" s="303">
        <v>0</v>
      </c>
      <c r="AV120" s="293">
        <v>178</v>
      </c>
      <c r="AW120" s="283">
        <v>531</v>
      </c>
      <c r="AX120" s="286">
        <v>1438</v>
      </c>
      <c r="AY120" s="93"/>
      <c r="AZ120" s="93"/>
      <c r="BA120" s="93"/>
    </row>
    <row r="121" spans="1:53" ht="22.5" customHeight="1" x14ac:dyDescent="0.2">
      <c r="A121" s="281" t="s">
        <v>461</v>
      </c>
      <c r="B121" s="296" t="s">
        <v>720</v>
      </c>
      <c r="C121" s="293">
        <v>37575</v>
      </c>
      <c r="D121" s="283">
        <v>25696</v>
      </c>
      <c r="E121" s="284">
        <v>1.46</v>
      </c>
      <c r="F121" s="298" t="s">
        <v>735</v>
      </c>
      <c r="G121" s="293">
        <v>37575</v>
      </c>
      <c r="H121" s="283">
        <v>0</v>
      </c>
      <c r="I121" s="285">
        <v>0</v>
      </c>
      <c r="J121" s="300">
        <v>1</v>
      </c>
      <c r="K121" s="293">
        <v>37575</v>
      </c>
      <c r="L121" s="283" t="s">
        <v>906</v>
      </c>
      <c r="M121" s="300" t="s">
        <v>906</v>
      </c>
      <c r="N121" s="293">
        <v>37575</v>
      </c>
      <c r="O121" s="283">
        <v>0</v>
      </c>
      <c r="P121" s="300">
        <v>0</v>
      </c>
      <c r="Q121" s="293">
        <v>37575</v>
      </c>
      <c r="R121" s="283">
        <v>1435</v>
      </c>
      <c r="S121" s="303">
        <v>0.04</v>
      </c>
      <c r="T121" s="302">
        <v>0</v>
      </c>
      <c r="U121" s="293" t="s">
        <v>706</v>
      </c>
      <c r="V121" s="283" t="s">
        <v>706</v>
      </c>
      <c r="W121" s="284" t="s">
        <v>706</v>
      </c>
      <c r="X121" s="282" t="s">
        <v>1037</v>
      </c>
      <c r="Y121" s="303" t="s">
        <v>706</v>
      </c>
      <c r="Z121" s="293" t="s">
        <v>706</v>
      </c>
      <c r="AA121" s="283" t="s">
        <v>706</v>
      </c>
      <c r="AB121" s="307" t="s">
        <v>706</v>
      </c>
      <c r="AC121" s="293">
        <v>37575</v>
      </c>
      <c r="AD121" s="283">
        <v>1710</v>
      </c>
      <c r="AE121" s="284">
        <v>0.05</v>
      </c>
      <c r="AF121" s="282" t="s">
        <v>1037</v>
      </c>
      <c r="AG121" s="303">
        <v>0</v>
      </c>
      <c r="AH121" s="293">
        <v>38</v>
      </c>
      <c r="AI121" s="283">
        <v>107</v>
      </c>
      <c r="AJ121" s="307">
        <v>1438</v>
      </c>
      <c r="AK121" s="293" t="s">
        <v>706</v>
      </c>
      <c r="AL121" s="283" t="s">
        <v>706</v>
      </c>
      <c r="AM121" s="307" t="s">
        <v>706</v>
      </c>
      <c r="AN121" s="293">
        <v>57</v>
      </c>
      <c r="AO121" s="283">
        <v>121</v>
      </c>
      <c r="AP121" s="307">
        <v>1438</v>
      </c>
      <c r="AQ121" s="293">
        <v>37575</v>
      </c>
      <c r="AR121" s="283">
        <v>1710</v>
      </c>
      <c r="AS121" s="284">
        <v>0.05</v>
      </c>
      <c r="AT121" s="282" t="s">
        <v>1037</v>
      </c>
      <c r="AU121" s="303">
        <v>0</v>
      </c>
      <c r="AV121" s="293">
        <v>57</v>
      </c>
      <c r="AW121" s="283">
        <v>121</v>
      </c>
      <c r="AX121" s="286">
        <v>1438</v>
      </c>
      <c r="AY121" s="93"/>
      <c r="AZ121" s="93"/>
      <c r="BA121" s="93"/>
    </row>
    <row r="122" spans="1:53" ht="22.5" customHeight="1" x14ac:dyDescent="0.2">
      <c r="A122" s="281" t="s">
        <v>462</v>
      </c>
      <c r="B122" s="296" t="s">
        <v>723</v>
      </c>
      <c r="C122" s="293">
        <v>4310</v>
      </c>
      <c r="D122" s="283">
        <v>3472</v>
      </c>
      <c r="E122" s="284">
        <v>1.24</v>
      </c>
      <c r="F122" s="298" t="s">
        <v>735</v>
      </c>
      <c r="G122" s="293">
        <v>4310</v>
      </c>
      <c r="H122" s="283">
        <v>0</v>
      </c>
      <c r="I122" s="285">
        <v>0</v>
      </c>
      <c r="J122" s="300">
        <v>1</v>
      </c>
      <c r="K122" s="293">
        <v>4310</v>
      </c>
      <c r="L122" s="283">
        <v>0</v>
      </c>
      <c r="M122" s="300">
        <v>0</v>
      </c>
      <c r="N122" s="293">
        <v>4310</v>
      </c>
      <c r="O122" s="283">
        <v>0</v>
      </c>
      <c r="P122" s="300">
        <v>0</v>
      </c>
      <c r="Q122" s="293">
        <v>4310</v>
      </c>
      <c r="R122" s="283">
        <v>355</v>
      </c>
      <c r="S122" s="303">
        <v>0.08</v>
      </c>
      <c r="T122" s="302">
        <v>0</v>
      </c>
      <c r="U122" s="293" t="s">
        <v>706</v>
      </c>
      <c r="V122" s="283" t="s">
        <v>706</v>
      </c>
      <c r="W122" s="284" t="s">
        <v>706</v>
      </c>
      <c r="X122" s="282" t="s">
        <v>1037</v>
      </c>
      <c r="Y122" s="303" t="s">
        <v>706</v>
      </c>
      <c r="Z122" s="293" t="s">
        <v>706</v>
      </c>
      <c r="AA122" s="283" t="s">
        <v>706</v>
      </c>
      <c r="AB122" s="307" t="s">
        <v>706</v>
      </c>
      <c r="AC122" s="293">
        <v>4310</v>
      </c>
      <c r="AD122" s="283">
        <v>175</v>
      </c>
      <c r="AE122" s="284">
        <v>0.04</v>
      </c>
      <c r="AF122" s="282" t="s">
        <v>1037</v>
      </c>
      <c r="AG122" s="303">
        <v>0</v>
      </c>
      <c r="AH122" s="293">
        <v>14</v>
      </c>
      <c r="AI122" s="283">
        <v>91</v>
      </c>
      <c r="AJ122" s="307">
        <v>1439</v>
      </c>
      <c r="AK122" s="293" t="s">
        <v>706</v>
      </c>
      <c r="AL122" s="283" t="s">
        <v>706</v>
      </c>
      <c r="AM122" s="307" t="s">
        <v>706</v>
      </c>
      <c r="AN122" s="293">
        <v>31</v>
      </c>
      <c r="AO122" s="283">
        <v>106</v>
      </c>
      <c r="AP122" s="307">
        <v>1436</v>
      </c>
      <c r="AQ122" s="293">
        <v>4310</v>
      </c>
      <c r="AR122" s="283">
        <v>175</v>
      </c>
      <c r="AS122" s="284">
        <v>0.04</v>
      </c>
      <c r="AT122" s="282" t="s">
        <v>1037</v>
      </c>
      <c r="AU122" s="303">
        <v>0</v>
      </c>
      <c r="AV122" s="293">
        <v>31</v>
      </c>
      <c r="AW122" s="283">
        <v>106</v>
      </c>
      <c r="AX122" s="286">
        <v>1436</v>
      </c>
      <c r="AY122" s="93"/>
      <c r="AZ122" s="93"/>
      <c r="BA122" s="93"/>
    </row>
    <row r="123" spans="1:53" ht="22.5" customHeight="1" x14ac:dyDescent="0.2">
      <c r="A123" s="281" t="s">
        <v>463</v>
      </c>
      <c r="B123" s="296" t="s">
        <v>705</v>
      </c>
      <c r="C123" s="293">
        <v>67575</v>
      </c>
      <c r="D123" s="283" t="s">
        <v>706</v>
      </c>
      <c r="E123" s="284" t="s">
        <v>706</v>
      </c>
      <c r="F123" s="298" t="s">
        <v>706</v>
      </c>
      <c r="G123" s="293">
        <v>67575</v>
      </c>
      <c r="H123" s="283">
        <v>67575</v>
      </c>
      <c r="I123" s="285">
        <v>1</v>
      </c>
      <c r="J123" s="300">
        <v>0</v>
      </c>
      <c r="K123" s="293" t="s">
        <v>706</v>
      </c>
      <c r="L123" s="283" t="s">
        <v>706</v>
      </c>
      <c r="M123" s="300" t="s">
        <v>706</v>
      </c>
      <c r="N123" s="293">
        <v>67590</v>
      </c>
      <c r="O123" s="283">
        <v>15</v>
      </c>
      <c r="P123" s="300">
        <v>0</v>
      </c>
      <c r="Q123" s="293">
        <v>67575</v>
      </c>
      <c r="R123" s="283">
        <v>2635</v>
      </c>
      <c r="S123" s="303">
        <v>0.04</v>
      </c>
      <c r="T123" s="302">
        <v>0</v>
      </c>
      <c r="U123" s="293" t="s">
        <v>706</v>
      </c>
      <c r="V123" s="283" t="s">
        <v>706</v>
      </c>
      <c r="W123" s="284" t="s">
        <v>706</v>
      </c>
      <c r="X123" s="282" t="s">
        <v>1037</v>
      </c>
      <c r="Y123" s="303" t="s">
        <v>706</v>
      </c>
      <c r="Z123" s="293" t="s">
        <v>706</v>
      </c>
      <c r="AA123" s="283" t="s">
        <v>706</v>
      </c>
      <c r="AB123" s="307" t="s">
        <v>706</v>
      </c>
      <c r="AC123" s="293" t="s">
        <v>706</v>
      </c>
      <c r="AD123" s="283" t="s">
        <v>706</v>
      </c>
      <c r="AE123" s="284" t="s">
        <v>706</v>
      </c>
      <c r="AF123" s="282" t="s">
        <v>1037</v>
      </c>
      <c r="AG123" s="303" t="s">
        <v>706</v>
      </c>
      <c r="AH123" s="293" t="s">
        <v>706</v>
      </c>
      <c r="AI123" s="283" t="s">
        <v>706</v>
      </c>
      <c r="AJ123" s="307" t="s">
        <v>706</v>
      </c>
      <c r="AK123" s="293" t="s">
        <v>706</v>
      </c>
      <c r="AL123" s="283" t="s">
        <v>706</v>
      </c>
      <c r="AM123" s="307" t="s">
        <v>706</v>
      </c>
      <c r="AN123" s="293" t="s">
        <v>706</v>
      </c>
      <c r="AO123" s="283" t="s">
        <v>706</v>
      </c>
      <c r="AP123" s="307" t="s">
        <v>706</v>
      </c>
      <c r="AQ123" s="293">
        <v>67575</v>
      </c>
      <c r="AR123" s="283">
        <v>0</v>
      </c>
      <c r="AS123" s="284">
        <v>0</v>
      </c>
      <c r="AT123" s="282" t="s">
        <v>1037</v>
      </c>
      <c r="AU123" s="303">
        <v>0</v>
      </c>
      <c r="AV123" s="293">
        <v>68</v>
      </c>
      <c r="AW123" s="283">
        <v>211</v>
      </c>
      <c r="AX123" s="286">
        <v>1435</v>
      </c>
      <c r="AY123" s="93"/>
      <c r="AZ123" s="93"/>
      <c r="BA123" s="93"/>
    </row>
    <row r="124" spans="1:53" ht="22.5" customHeight="1" x14ac:dyDescent="0.2">
      <c r="A124" s="281" t="s">
        <v>369</v>
      </c>
      <c r="B124" s="296" t="s">
        <v>840</v>
      </c>
      <c r="C124" s="293">
        <v>38005</v>
      </c>
      <c r="D124" s="283">
        <v>34450</v>
      </c>
      <c r="E124" s="284">
        <v>1.1000000000000001</v>
      </c>
      <c r="F124" s="298" t="s">
        <v>721</v>
      </c>
      <c r="G124" s="293">
        <v>38005</v>
      </c>
      <c r="H124" s="283">
        <v>3500</v>
      </c>
      <c r="I124" s="285">
        <v>0.09</v>
      </c>
      <c r="J124" s="300">
        <v>0.14000000000000001</v>
      </c>
      <c r="K124" s="293">
        <v>34505</v>
      </c>
      <c r="L124" s="283">
        <v>0</v>
      </c>
      <c r="M124" s="300">
        <v>0</v>
      </c>
      <c r="N124" s="293">
        <v>39680</v>
      </c>
      <c r="O124" s="283">
        <v>1675</v>
      </c>
      <c r="P124" s="300">
        <v>0.04</v>
      </c>
      <c r="Q124" s="293">
        <v>38005</v>
      </c>
      <c r="R124" s="283">
        <v>2075</v>
      </c>
      <c r="S124" s="303">
        <v>0.05</v>
      </c>
      <c r="T124" s="302">
        <v>0</v>
      </c>
      <c r="U124" s="293" t="s">
        <v>706</v>
      </c>
      <c r="V124" s="283" t="s">
        <v>706</v>
      </c>
      <c r="W124" s="284" t="s">
        <v>706</v>
      </c>
      <c r="X124" s="282" t="s">
        <v>1037</v>
      </c>
      <c r="Y124" s="303" t="s">
        <v>706</v>
      </c>
      <c r="Z124" s="293" t="s">
        <v>706</v>
      </c>
      <c r="AA124" s="283" t="s">
        <v>706</v>
      </c>
      <c r="AB124" s="307" t="s">
        <v>706</v>
      </c>
      <c r="AC124" s="293">
        <v>34030</v>
      </c>
      <c r="AD124" s="283">
        <v>210</v>
      </c>
      <c r="AE124" s="284">
        <v>0.01</v>
      </c>
      <c r="AF124" s="282" t="s">
        <v>1037</v>
      </c>
      <c r="AG124" s="303">
        <v>0</v>
      </c>
      <c r="AH124" s="293">
        <v>55</v>
      </c>
      <c r="AI124" s="283">
        <v>184</v>
      </c>
      <c r="AJ124" s="307">
        <v>1439</v>
      </c>
      <c r="AK124" s="293">
        <v>58</v>
      </c>
      <c r="AL124" s="283">
        <v>278</v>
      </c>
      <c r="AM124" s="307">
        <v>323</v>
      </c>
      <c r="AN124" s="293">
        <v>87</v>
      </c>
      <c r="AO124" s="283">
        <v>225</v>
      </c>
      <c r="AP124" s="307">
        <v>1439</v>
      </c>
      <c r="AQ124" s="293">
        <v>38005</v>
      </c>
      <c r="AR124" s="283">
        <v>3500</v>
      </c>
      <c r="AS124" s="284">
        <v>0.09</v>
      </c>
      <c r="AT124" s="282" t="s">
        <v>1037</v>
      </c>
      <c r="AU124" s="303">
        <v>0</v>
      </c>
      <c r="AV124" s="293">
        <v>87</v>
      </c>
      <c r="AW124" s="283">
        <v>225</v>
      </c>
      <c r="AX124" s="286">
        <v>1439</v>
      </c>
      <c r="AY124" s="93"/>
      <c r="AZ124" s="93"/>
      <c r="BA124" s="93"/>
    </row>
    <row r="125" spans="1:53" ht="22.5" customHeight="1" x14ac:dyDescent="0.2">
      <c r="A125" s="281" t="s">
        <v>370</v>
      </c>
      <c r="B125" s="296" t="s">
        <v>860</v>
      </c>
      <c r="C125" s="293">
        <v>142640</v>
      </c>
      <c r="D125" s="283">
        <v>160714</v>
      </c>
      <c r="E125" s="284">
        <v>0.89</v>
      </c>
      <c r="F125" s="298" t="s">
        <v>721</v>
      </c>
      <c r="G125" s="293">
        <v>142640</v>
      </c>
      <c r="H125" s="283">
        <v>105</v>
      </c>
      <c r="I125" s="285">
        <v>0</v>
      </c>
      <c r="J125" s="300">
        <v>0</v>
      </c>
      <c r="K125" s="293">
        <v>142535</v>
      </c>
      <c r="L125" s="283">
        <v>2945</v>
      </c>
      <c r="M125" s="300">
        <v>0.02</v>
      </c>
      <c r="N125" s="293">
        <v>142835</v>
      </c>
      <c r="O125" s="283">
        <v>195</v>
      </c>
      <c r="P125" s="300">
        <v>0</v>
      </c>
      <c r="Q125" s="293">
        <v>142640</v>
      </c>
      <c r="R125" s="283">
        <v>8865</v>
      </c>
      <c r="S125" s="303">
        <v>0.06</v>
      </c>
      <c r="T125" s="302">
        <v>0</v>
      </c>
      <c r="U125" s="293">
        <v>42850</v>
      </c>
      <c r="V125" s="283">
        <v>2840</v>
      </c>
      <c r="W125" s="284">
        <v>7.0000000000000007E-2</v>
      </c>
      <c r="X125" s="282" t="s">
        <v>1037</v>
      </c>
      <c r="Y125" s="303">
        <v>0</v>
      </c>
      <c r="Z125" s="293">
        <v>30</v>
      </c>
      <c r="AA125" s="283">
        <v>135</v>
      </c>
      <c r="AB125" s="307">
        <v>1439</v>
      </c>
      <c r="AC125" s="293">
        <v>139385</v>
      </c>
      <c r="AD125" s="283">
        <v>4125</v>
      </c>
      <c r="AE125" s="284">
        <v>0.03</v>
      </c>
      <c r="AF125" s="282" t="s">
        <v>1037</v>
      </c>
      <c r="AG125" s="303">
        <v>0</v>
      </c>
      <c r="AH125" s="293">
        <v>53</v>
      </c>
      <c r="AI125" s="283">
        <v>175</v>
      </c>
      <c r="AJ125" s="307">
        <v>1428</v>
      </c>
      <c r="AK125" s="293">
        <v>232</v>
      </c>
      <c r="AL125" s="283">
        <v>815</v>
      </c>
      <c r="AM125" s="307">
        <v>1439</v>
      </c>
      <c r="AN125" s="293">
        <v>146</v>
      </c>
      <c r="AO125" s="283">
        <v>314</v>
      </c>
      <c r="AP125" s="307">
        <v>1435</v>
      </c>
      <c r="AQ125" s="293">
        <v>142640</v>
      </c>
      <c r="AR125" s="283">
        <v>90</v>
      </c>
      <c r="AS125" s="284">
        <v>0</v>
      </c>
      <c r="AT125" s="282" t="s">
        <v>1037</v>
      </c>
      <c r="AU125" s="303">
        <v>0</v>
      </c>
      <c r="AV125" s="293">
        <v>167</v>
      </c>
      <c r="AW125" s="283">
        <v>497</v>
      </c>
      <c r="AX125" s="286">
        <v>1439</v>
      </c>
      <c r="AY125" s="93"/>
      <c r="AZ125" s="93"/>
      <c r="BA125" s="93"/>
    </row>
    <row r="126" spans="1:53" ht="22.5" customHeight="1" x14ac:dyDescent="0.2">
      <c r="A126" s="281" t="s">
        <v>640</v>
      </c>
      <c r="B126" s="296" t="s">
        <v>744</v>
      </c>
      <c r="C126" s="293">
        <v>7960</v>
      </c>
      <c r="D126" s="283">
        <v>8357</v>
      </c>
      <c r="E126" s="284">
        <v>0.95</v>
      </c>
      <c r="F126" s="298" t="s">
        <v>712</v>
      </c>
      <c r="G126" s="293">
        <v>7960</v>
      </c>
      <c r="H126" s="283">
        <v>3745</v>
      </c>
      <c r="I126" s="285">
        <v>0.47</v>
      </c>
      <c r="J126" s="300">
        <v>0.02</v>
      </c>
      <c r="K126" s="293">
        <v>4215</v>
      </c>
      <c r="L126" s="283">
        <v>25</v>
      </c>
      <c r="M126" s="300">
        <v>0.01</v>
      </c>
      <c r="N126" s="293">
        <v>7960</v>
      </c>
      <c r="O126" s="283">
        <v>0</v>
      </c>
      <c r="P126" s="300">
        <v>0</v>
      </c>
      <c r="Q126" s="293">
        <v>7960</v>
      </c>
      <c r="R126" s="283">
        <v>655</v>
      </c>
      <c r="S126" s="303">
        <v>0.08</v>
      </c>
      <c r="T126" s="302">
        <v>0</v>
      </c>
      <c r="U126" s="293">
        <v>10</v>
      </c>
      <c r="V126" s="283">
        <v>0</v>
      </c>
      <c r="W126" s="284" t="s">
        <v>1037</v>
      </c>
      <c r="X126" s="282" t="s">
        <v>1037</v>
      </c>
      <c r="Y126" s="303" t="s">
        <v>1037</v>
      </c>
      <c r="Z126" s="293">
        <v>1</v>
      </c>
      <c r="AA126" s="283">
        <v>36</v>
      </c>
      <c r="AB126" s="307">
        <v>36</v>
      </c>
      <c r="AC126" s="293">
        <v>4185</v>
      </c>
      <c r="AD126" s="283" t="s">
        <v>906</v>
      </c>
      <c r="AE126" s="284" t="s">
        <v>906</v>
      </c>
      <c r="AF126" s="282" t="s">
        <v>1037</v>
      </c>
      <c r="AG126" s="303">
        <v>0</v>
      </c>
      <c r="AH126" s="293">
        <v>29</v>
      </c>
      <c r="AI126" s="283">
        <v>98</v>
      </c>
      <c r="AJ126" s="307">
        <v>836</v>
      </c>
      <c r="AK126" s="293" t="s">
        <v>706</v>
      </c>
      <c r="AL126" s="283" t="s">
        <v>706</v>
      </c>
      <c r="AM126" s="307" t="s">
        <v>706</v>
      </c>
      <c r="AN126" s="293">
        <v>51</v>
      </c>
      <c r="AO126" s="283">
        <v>128</v>
      </c>
      <c r="AP126" s="307">
        <v>855</v>
      </c>
      <c r="AQ126" s="293">
        <v>7960</v>
      </c>
      <c r="AR126" s="283">
        <v>0</v>
      </c>
      <c r="AS126" s="284">
        <v>0</v>
      </c>
      <c r="AT126" s="282" t="s">
        <v>1037</v>
      </c>
      <c r="AU126" s="303">
        <v>0</v>
      </c>
      <c r="AV126" s="293">
        <v>58</v>
      </c>
      <c r="AW126" s="283">
        <v>150</v>
      </c>
      <c r="AX126" s="286">
        <v>855</v>
      </c>
      <c r="AY126" s="93"/>
      <c r="AZ126" s="93"/>
      <c r="BA126" s="93"/>
    </row>
    <row r="127" spans="1:53" ht="22.5" customHeight="1" x14ac:dyDescent="0.2">
      <c r="A127" s="281" t="s">
        <v>371</v>
      </c>
      <c r="B127" s="296" t="s">
        <v>873</v>
      </c>
      <c r="C127" s="293">
        <v>340235</v>
      </c>
      <c r="D127" s="283">
        <v>394437</v>
      </c>
      <c r="E127" s="284">
        <v>0.86</v>
      </c>
      <c r="F127" s="298" t="s">
        <v>721</v>
      </c>
      <c r="G127" s="293">
        <v>340235</v>
      </c>
      <c r="H127" s="283">
        <v>390</v>
      </c>
      <c r="I127" s="285">
        <v>0</v>
      </c>
      <c r="J127" s="300">
        <v>0</v>
      </c>
      <c r="K127" s="293">
        <v>339845</v>
      </c>
      <c r="L127" s="283">
        <v>13100</v>
      </c>
      <c r="M127" s="300">
        <v>0.04</v>
      </c>
      <c r="N127" s="293">
        <v>340235</v>
      </c>
      <c r="O127" s="283">
        <v>0</v>
      </c>
      <c r="P127" s="300">
        <v>0</v>
      </c>
      <c r="Q127" s="293">
        <v>340235</v>
      </c>
      <c r="R127" s="283">
        <v>31575</v>
      </c>
      <c r="S127" s="303">
        <v>0.09</v>
      </c>
      <c r="T127" s="302">
        <v>0</v>
      </c>
      <c r="U127" s="293">
        <v>77850</v>
      </c>
      <c r="V127" s="283">
        <v>2085</v>
      </c>
      <c r="W127" s="284">
        <v>0.03</v>
      </c>
      <c r="X127" s="282" t="s">
        <v>1037</v>
      </c>
      <c r="Y127" s="303">
        <v>0</v>
      </c>
      <c r="Z127" s="293">
        <v>9</v>
      </c>
      <c r="AA127" s="283">
        <v>40</v>
      </c>
      <c r="AB127" s="307">
        <v>1336</v>
      </c>
      <c r="AC127" s="293">
        <v>324575</v>
      </c>
      <c r="AD127" s="283">
        <v>6875</v>
      </c>
      <c r="AE127" s="284">
        <v>0.02</v>
      </c>
      <c r="AF127" s="282" t="s">
        <v>1037</v>
      </c>
      <c r="AG127" s="303">
        <v>0</v>
      </c>
      <c r="AH127" s="293">
        <v>73</v>
      </c>
      <c r="AI127" s="283">
        <v>240</v>
      </c>
      <c r="AJ127" s="307">
        <v>1439</v>
      </c>
      <c r="AK127" s="293">
        <v>234</v>
      </c>
      <c r="AL127" s="283">
        <v>755</v>
      </c>
      <c r="AM127" s="307">
        <v>1435</v>
      </c>
      <c r="AN127" s="293">
        <v>148</v>
      </c>
      <c r="AO127" s="283">
        <v>343</v>
      </c>
      <c r="AP127" s="307">
        <v>1423</v>
      </c>
      <c r="AQ127" s="293">
        <v>340235</v>
      </c>
      <c r="AR127" s="283">
        <v>230</v>
      </c>
      <c r="AS127" s="284">
        <v>0</v>
      </c>
      <c r="AT127" s="282" t="s">
        <v>1037</v>
      </c>
      <c r="AU127" s="303">
        <v>0</v>
      </c>
      <c r="AV127" s="293">
        <v>166</v>
      </c>
      <c r="AW127" s="283">
        <v>468</v>
      </c>
      <c r="AX127" s="286">
        <v>1435</v>
      </c>
      <c r="AY127" s="93"/>
      <c r="AZ127" s="93"/>
      <c r="BA127" s="93"/>
    </row>
    <row r="128" spans="1:53" ht="22.5" customHeight="1" x14ac:dyDescent="0.2">
      <c r="A128" s="281" t="s">
        <v>374</v>
      </c>
      <c r="B128" s="296" t="s">
        <v>786</v>
      </c>
      <c r="C128" s="293">
        <v>90785</v>
      </c>
      <c r="D128" s="283">
        <v>91063</v>
      </c>
      <c r="E128" s="284">
        <v>1</v>
      </c>
      <c r="F128" s="298" t="s">
        <v>712</v>
      </c>
      <c r="G128" s="293">
        <v>90785</v>
      </c>
      <c r="H128" s="283">
        <v>675</v>
      </c>
      <c r="I128" s="285">
        <v>0.01</v>
      </c>
      <c r="J128" s="300">
        <v>0.01</v>
      </c>
      <c r="K128" s="293">
        <v>90115</v>
      </c>
      <c r="L128" s="283">
        <v>260</v>
      </c>
      <c r="M128" s="300">
        <v>0</v>
      </c>
      <c r="N128" s="293">
        <v>90785</v>
      </c>
      <c r="O128" s="283" t="s">
        <v>906</v>
      </c>
      <c r="P128" s="300" t="s">
        <v>906</v>
      </c>
      <c r="Q128" s="293">
        <v>90785</v>
      </c>
      <c r="R128" s="283">
        <v>6215</v>
      </c>
      <c r="S128" s="303">
        <v>7.0000000000000007E-2</v>
      </c>
      <c r="T128" s="302">
        <v>0</v>
      </c>
      <c r="U128" s="293">
        <v>23725</v>
      </c>
      <c r="V128" s="283">
        <v>2705</v>
      </c>
      <c r="W128" s="284">
        <v>0.11</v>
      </c>
      <c r="X128" s="282" t="s">
        <v>1037</v>
      </c>
      <c r="Y128" s="303">
        <v>0</v>
      </c>
      <c r="Z128" s="293">
        <v>0</v>
      </c>
      <c r="AA128" s="283">
        <v>1</v>
      </c>
      <c r="AB128" s="307">
        <v>1439</v>
      </c>
      <c r="AC128" s="293">
        <v>89850</v>
      </c>
      <c r="AD128" s="283">
        <v>7840</v>
      </c>
      <c r="AE128" s="284">
        <v>0.09</v>
      </c>
      <c r="AF128" s="282" t="s">
        <v>1037</v>
      </c>
      <c r="AG128" s="303">
        <v>0</v>
      </c>
      <c r="AH128" s="293">
        <v>56</v>
      </c>
      <c r="AI128" s="283">
        <v>201</v>
      </c>
      <c r="AJ128" s="307">
        <v>1366</v>
      </c>
      <c r="AK128" s="293">
        <v>228</v>
      </c>
      <c r="AL128" s="283">
        <v>453</v>
      </c>
      <c r="AM128" s="307">
        <v>1064</v>
      </c>
      <c r="AN128" s="293">
        <v>130</v>
      </c>
      <c r="AO128" s="283">
        <v>284</v>
      </c>
      <c r="AP128" s="307">
        <v>979</v>
      </c>
      <c r="AQ128" s="293">
        <v>90785</v>
      </c>
      <c r="AR128" s="283">
        <v>0</v>
      </c>
      <c r="AS128" s="284">
        <v>0</v>
      </c>
      <c r="AT128" s="282" t="s">
        <v>1037</v>
      </c>
      <c r="AU128" s="303">
        <v>0</v>
      </c>
      <c r="AV128" s="293">
        <v>158</v>
      </c>
      <c r="AW128" s="283">
        <v>346</v>
      </c>
      <c r="AX128" s="286">
        <v>1064</v>
      </c>
      <c r="AY128" s="93"/>
      <c r="AZ128" s="93"/>
      <c r="BA128" s="93"/>
    </row>
    <row r="129" spans="1:53" ht="22.5" customHeight="1" x14ac:dyDescent="0.2">
      <c r="A129" s="281" t="s">
        <v>375</v>
      </c>
      <c r="B129" s="296" t="s">
        <v>808</v>
      </c>
      <c r="C129" s="293">
        <v>152460</v>
      </c>
      <c r="D129" s="283">
        <v>152433</v>
      </c>
      <c r="E129" s="284">
        <v>1</v>
      </c>
      <c r="F129" s="298" t="s">
        <v>712</v>
      </c>
      <c r="G129" s="293">
        <v>152460</v>
      </c>
      <c r="H129" s="283">
        <v>0</v>
      </c>
      <c r="I129" s="285">
        <v>0</v>
      </c>
      <c r="J129" s="300">
        <v>0</v>
      </c>
      <c r="K129" s="293">
        <v>152460</v>
      </c>
      <c r="L129" s="283">
        <v>4840</v>
      </c>
      <c r="M129" s="300">
        <v>0.03</v>
      </c>
      <c r="N129" s="293">
        <v>152460</v>
      </c>
      <c r="O129" s="283">
        <v>0</v>
      </c>
      <c r="P129" s="300">
        <v>0</v>
      </c>
      <c r="Q129" s="293">
        <v>152460</v>
      </c>
      <c r="R129" s="283">
        <v>11430</v>
      </c>
      <c r="S129" s="303">
        <v>7.0000000000000007E-2</v>
      </c>
      <c r="T129" s="302">
        <v>0</v>
      </c>
      <c r="U129" s="293">
        <v>44840</v>
      </c>
      <c r="V129" s="283" t="s">
        <v>906</v>
      </c>
      <c r="W129" s="284" t="s">
        <v>906</v>
      </c>
      <c r="X129" s="282" t="s">
        <v>1037</v>
      </c>
      <c r="Y129" s="303">
        <v>0</v>
      </c>
      <c r="Z129" s="293">
        <v>212</v>
      </c>
      <c r="AA129" s="283">
        <v>768</v>
      </c>
      <c r="AB129" s="307">
        <v>1414</v>
      </c>
      <c r="AC129" s="293">
        <v>147625</v>
      </c>
      <c r="AD129" s="283">
        <v>0</v>
      </c>
      <c r="AE129" s="284">
        <v>0</v>
      </c>
      <c r="AF129" s="282" t="s">
        <v>1037</v>
      </c>
      <c r="AG129" s="303">
        <v>0</v>
      </c>
      <c r="AH129" s="293">
        <v>55</v>
      </c>
      <c r="AI129" s="283">
        <v>224</v>
      </c>
      <c r="AJ129" s="307">
        <v>829</v>
      </c>
      <c r="AK129" s="293">
        <v>295</v>
      </c>
      <c r="AL129" s="283">
        <v>861</v>
      </c>
      <c r="AM129" s="307">
        <v>1438</v>
      </c>
      <c r="AN129" s="293">
        <v>130</v>
      </c>
      <c r="AO129" s="283">
        <v>393</v>
      </c>
      <c r="AP129" s="307">
        <v>1414</v>
      </c>
      <c r="AQ129" s="293">
        <v>152460</v>
      </c>
      <c r="AR129" s="283">
        <v>0</v>
      </c>
      <c r="AS129" s="284">
        <v>0</v>
      </c>
      <c r="AT129" s="282" t="s">
        <v>1037</v>
      </c>
      <c r="AU129" s="303">
        <v>0</v>
      </c>
      <c r="AV129" s="293">
        <v>162</v>
      </c>
      <c r="AW129" s="283">
        <v>616</v>
      </c>
      <c r="AX129" s="286">
        <v>1438</v>
      </c>
      <c r="AY129" s="93"/>
      <c r="AZ129" s="93"/>
      <c r="BA129" s="93"/>
    </row>
    <row r="130" spans="1:53" ht="22.5" customHeight="1" x14ac:dyDescent="0.2">
      <c r="A130" s="281" t="s">
        <v>412</v>
      </c>
      <c r="B130" s="296" t="s">
        <v>850</v>
      </c>
      <c r="C130" s="293">
        <v>27135</v>
      </c>
      <c r="D130" s="283">
        <v>106539</v>
      </c>
      <c r="E130" s="284">
        <v>0.25</v>
      </c>
      <c r="F130" s="298" t="s">
        <v>735</v>
      </c>
      <c r="G130" s="293">
        <v>27135</v>
      </c>
      <c r="H130" s="283">
        <v>10</v>
      </c>
      <c r="I130" s="285">
        <v>0</v>
      </c>
      <c r="J130" s="300" t="s">
        <v>906</v>
      </c>
      <c r="K130" s="293">
        <v>27125</v>
      </c>
      <c r="L130" s="283">
        <v>1355</v>
      </c>
      <c r="M130" s="300">
        <v>0.05</v>
      </c>
      <c r="N130" s="293">
        <v>106640</v>
      </c>
      <c r="O130" s="283">
        <v>79505</v>
      </c>
      <c r="P130" s="300">
        <v>0.75</v>
      </c>
      <c r="Q130" s="293">
        <v>27135</v>
      </c>
      <c r="R130" s="283">
        <v>1945</v>
      </c>
      <c r="S130" s="303">
        <v>7.0000000000000007E-2</v>
      </c>
      <c r="T130" s="302">
        <v>0</v>
      </c>
      <c r="U130" s="293">
        <v>5430</v>
      </c>
      <c r="V130" s="283">
        <v>35</v>
      </c>
      <c r="W130" s="284">
        <v>0.01</v>
      </c>
      <c r="X130" s="282" t="s">
        <v>1037</v>
      </c>
      <c r="Y130" s="303">
        <v>0</v>
      </c>
      <c r="Z130" s="293">
        <v>13</v>
      </c>
      <c r="AA130" s="283">
        <v>87</v>
      </c>
      <c r="AB130" s="307">
        <v>1436</v>
      </c>
      <c r="AC130" s="293">
        <v>25770</v>
      </c>
      <c r="AD130" s="283">
        <v>2155</v>
      </c>
      <c r="AE130" s="284">
        <v>0.08</v>
      </c>
      <c r="AF130" s="282" t="s">
        <v>1037</v>
      </c>
      <c r="AG130" s="303">
        <v>0</v>
      </c>
      <c r="AH130" s="293">
        <v>88</v>
      </c>
      <c r="AI130" s="283">
        <v>291</v>
      </c>
      <c r="AJ130" s="307">
        <v>743</v>
      </c>
      <c r="AK130" s="293">
        <v>424</v>
      </c>
      <c r="AL130" s="283">
        <v>1166</v>
      </c>
      <c r="AM130" s="307">
        <v>1438</v>
      </c>
      <c r="AN130" s="293">
        <v>171</v>
      </c>
      <c r="AO130" s="283">
        <v>516</v>
      </c>
      <c r="AP130" s="307">
        <v>1434</v>
      </c>
      <c r="AQ130" s="293">
        <v>27135</v>
      </c>
      <c r="AR130" s="283">
        <v>0</v>
      </c>
      <c r="AS130" s="284">
        <v>0</v>
      </c>
      <c r="AT130" s="282" t="s">
        <v>1037</v>
      </c>
      <c r="AU130" s="303">
        <v>0</v>
      </c>
      <c r="AV130" s="293">
        <v>200</v>
      </c>
      <c r="AW130" s="283">
        <v>826</v>
      </c>
      <c r="AX130" s="286">
        <v>1438</v>
      </c>
      <c r="AY130" s="93"/>
      <c r="AZ130" s="93"/>
      <c r="BA130" s="93"/>
    </row>
    <row r="131" spans="1:53" ht="22.5" customHeight="1" x14ac:dyDescent="0.2">
      <c r="A131" s="281" t="s">
        <v>376</v>
      </c>
      <c r="B131" s="296" t="s">
        <v>845</v>
      </c>
      <c r="C131" s="293">
        <v>12200</v>
      </c>
      <c r="D131" s="283">
        <v>12252</v>
      </c>
      <c r="E131" s="284">
        <v>1</v>
      </c>
      <c r="F131" s="298" t="s">
        <v>712</v>
      </c>
      <c r="G131" s="293">
        <v>12200</v>
      </c>
      <c r="H131" s="283">
        <v>5860</v>
      </c>
      <c r="I131" s="285">
        <v>0.48</v>
      </c>
      <c r="J131" s="300">
        <v>0.06</v>
      </c>
      <c r="K131" s="293">
        <v>6340</v>
      </c>
      <c r="L131" s="283">
        <v>120</v>
      </c>
      <c r="M131" s="300">
        <v>0.02</v>
      </c>
      <c r="N131" s="293">
        <v>12200</v>
      </c>
      <c r="O131" s="283">
        <v>0</v>
      </c>
      <c r="P131" s="300">
        <v>0</v>
      </c>
      <c r="Q131" s="293">
        <v>12200</v>
      </c>
      <c r="R131" s="283">
        <v>290</v>
      </c>
      <c r="S131" s="303">
        <v>0.02</v>
      </c>
      <c r="T131" s="302">
        <v>0</v>
      </c>
      <c r="U131" s="293">
        <v>15</v>
      </c>
      <c r="V131" s="283" t="s">
        <v>906</v>
      </c>
      <c r="W131" s="284" t="s">
        <v>1037</v>
      </c>
      <c r="X131" s="282" t="s">
        <v>1037</v>
      </c>
      <c r="Y131" s="303" t="s">
        <v>1037</v>
      </c>
      <c r="Z131" s="293">
        <v>81</v>
      </c>
      <c r="AA131" s="283">
        <v>239</v>
      </c>
      <c r="AB131" s="307">
        <v>239</v>
      </c>
      <c r="AC131" s="293">
        <v>6220</v>
      </c>
      <c r="AD131" s="283">
        <v>130</v>
      </c>
      <c r="AE131" s="284">
        <v>0.02</v>
      </c>
      <c r="AF131" s="282" t="s">
        <v>1037</v>
      </c>
      <c r="AG131" s="303">
        <v>0</v>
      </c>
      <c r="AH131" s="293">
        <v>23</v>
      </c>
      <c r="AI131" s="283">
        <v>114</v>
      </c>
      <c r="AJ131" s="307">
        <v>317</v>
      </c>
      <c r="AK131" s="293">
        <v>132</v>
      </c>
      <c r="AL131" s="283">
        <v>241</v>
      </c>
      <c r="AM131" s="307">
        <v>241</v>
      </c>
      <c r="AN131" s="293">
        <v>57</v>
      </c>
      <c r="AO131" s="283">
        <v>164</v>
      </c>
      <c r="AP131" s="307">
        <v>356</v>
      </c>
      <c r="AQ131" s="293">
        <v>12200</v>
      </c>
      <c r="AR131" s="283">
        <v>0</v>
      </c>
      <c r="AS131" s="284">
        <v>0</v>
      </c>
      <c r="AT131" s="282" t="s">
        <v>1037</v>
      </c>
      <c r="AU131" s="303">
        <v>0</v>
      </c>
      <c r="AV131" s="293">
        <v>57</v>
      </c>
      <c r="AW131" s="283">
        <v>156</v>
      </c>
      <c r="AX131" s="286">
        <v>356</v>
      </c>
      <c r="AY131" s="93"/>
      <c r="AZ131" s="93"/>
      <c r="BA131" s="93"/>
    </row>
    <row r="132" spans="1:53" ht="22.5" customHeight="1" x14ac:dyDescent="0.2">
      <c r="A132" s="281" t="s">
        <v>377</v>
      </c>
      <c r="B132" s="296" t="s">
        <v>809</v>
      </c>
      <c r="C132" s="293">
        <v>135250</v>
      </c>
      <c r="D132" s="283">
        <v>141546</v>
      </c>
      <c r="E132" s="284">
        <v>0.96</v>
      </c>
      <c r="F132" s="298" t="s">
        <v>712</v>
      </c>
      <c r="G132" s="293">
        <v>135250</v>
      </c>
      <c r="H132" s="283">
        <v>10</v>
      </c>
      <c r="I132" s="285">
        <v>0</v>
      </c>
      <c r="J132" s="300">
        <v>0</v>
      </c>
      <c r="K132" s="293">
        <v>135235</v>
      </c>
      <c r="L132" s="283">
        <v>3600</v>
      </c>
      <c r="M132" s="300">
        <v>0.03</v>
      </c>
      <c r="N132" s="293">
        <v>135250</v>
      </c>
      <c r="O132" s="283">
        <v>0</v>
      </c>
      <c r="P132" s="300">
        <v>0</v>
      </c>
      <c r="Q132" s="293">
        <v>135250</v>
      </c>
      <c r="R132" s="283">
        <v>11420</v>
      </c>
      <c r="S132" s="303">
        <v>0.08</v>
      </c>
      <c r="T132" s="302">
        <v>0</v>
      </c>
      <c r="U132" s="293">
        <v>37180</v>
      </c>
      <c r="V132" s="283">
        <v>1145</v>
      </c>
      <c r="W132" s="284">
        <v>0.03</v>
      </c>
      <c r="X132" s="282" t="s">
        <v>1037</v>
      </c>
      <c r="Y132" s="303">
        <v>0</v>
      </c>
      <c r="Z132" s="293">
        <v>25</v>
      </c>
      <c r="AA132" s="283">
        <v>97</v>
      </c>
      <c r="AB132" s="307">
        <v>1439</v>
      </c>
      <c r="AC132" s="293">
        <v>131640</v>
      </c>
      <c r="AD132" s="283">
        <v>6265</v>
      </c>
      <c r="AE132" s="284">
        <v>0.05</v>
      </c>
      <c r="AF132" s="282" t="s">
        <v>1037</v>
      </c>
      <c r="AG132" s="303">
        <v>0</v>
      </c>
      <c r="AH132" s="293">
        <v>55</v>
      </c>
      <c r="AI132" s="283">
        <v>174</v>
      </c>
      <c r="AJ132" s="307">
        <v>1435</v>
      </c>
      <c r="AK132" s="293">
        <v>223</v>
      </c>
      <c r="AL132" s="283">
        <v>411</v>
      </c>
      <c r="AM132" s="307">
        <v>1439</v>
      </c>
      <c r="AN132" s="293">
        <v>138</v>
      </c>
      <c r="AO132" s="283">
        <v>240</v>
      </c>
      <c r="AP132" s="307">
        <v>1424</v>
      </c>
      <c r="AQ132" s="293">
        <v>135250</v>
      </c>
      <c r="AR132" s="283">
        <v>0</v>
      </c>
      <c r="AS132" s="284">
        <v>0</v>
      </c>
      <c r="AT132" s="282" t="s">
        <v>1037</v>
      </c>
      <c r="AU132" s="303">
        <v>0</v>
      </c>
      <c r="AV132" s="293">
        <v>164</v>
      </c>
      <c r="AW132" s="283">
        <v>310</v>
      </c>
      <c r="AX132" s="286">
        <v>1439</v>
      </c>
      <c r="AY132" s="93"/>
      <c r="AZ132" s="93"/>
      <c r="BA132" s="93"/>
    </row>
    <row r="133" spans="1:53" ht="22.5" customHeight="1" x14ac:dyDescent="0.2">
      <c r="A133" s="281" t="s">
        <v>464</v>
      </c>
      <c r="B133" s="296" t="s">
        <v>793</v>
      </c>
      <c r="C133" s="293">
        <v>205470</v>
      </c>
      <c r="D133" s="283">
        <v>215558</v>
      </c>
      <c r="E133" s="284">
        <v>0.95</v>
      </c>
      <c r="F133" s="298" t="s">
        <v>712</v>
      </c>
      <c r="G133" s="293">
        <v>205470</v>
      </c>
      <c r="H133" s="283">
        <v>0</v>
      </c>
      <c r="I133" s="285">
        <v>0</v>
      </c>
      <c r="J133" s="300" t="s">
        <v>906</v>
      </c>
      <c r="K133" s="293">
        <v>205470</v>
      </c>
      <c r="L133" s="283">
        <v>6845</v>
      </c>
      <c r="M133" s="300">
        <v>0.03</v>
      </c>
      <c r="N133" s="293">
        <v>205470</v>
      </c>
      <c r="O133" s="283">
        <v>0</v>
      </c>
      <c r="P133" s="300">
        <v>0</v>
      </c>
      <c r="Q133" s="293">
        <v>205470</v>
      </c>
      <c r="R133" s="283">
        <v>21185</v>
      </c>
      <c r="S133" s="303">
        <v>0.1</v>
      </c>
      <c r="T133" s="302">
        <v>0</v>
      </c>
      <c r="U133" s="293">
        <v>38130</v>
      </c>
      <c r="V133" s="283">
        <v>0</v>
      </c>
      <c r="W133" s="284">
        <v>0</v>
      </c>
      <c r="X133" s="282" t="s">
        <v>1037</v>
      </c>
      <c r="Y133" s="303">
        <v>0</v>
      </c>
      <c r="Z133" s="293">
        <v>8</v>
      </c>
      <c r="AA133" s="283">
        <v>33</v>
      </c>
      <c r="AB133" s="307">
        <v>1438</v>
      </c>
      <c r="AC133" s="293">
        <v>198625</v>
      </c>
      <c r="AD133" s="283">
        <v>0</v>
      </c>
      <c r="AE133" s="284">
        <v>0</v>
      </c>
      <c r="AF133" s="282" t="s">
        <v>1037</v>
      </c>
      <c r="AG133" s="303">
        <v>0</v>
      </c>
      <c r="AH133" s="293">
        <v>84</v>
      </c>
      <c r="AI133" s="283">
        <v>215</v>
      </c>
      <c r="AJ133" s="307">
        <v>1409</v>
      </c>
      <c r="AK133" s="293">
        <v>237</v>
      </c>
      <c r="AL133" s="283">
        <v>702</v>
      </c>
      <c r="AM133" s="307">
        <v>1309</v>
      </c>
      <c r="AN133" s="293">
        <v>91</v>
      </c>
      <c r="AO133" s="283">
        <v>238</v>
      </c>
      <c r="AP133" s="307">
        <v>1406</v>
      </c>
      <c r="AQ133" s="293">
        <v>205470</v>
      </c>
      <c r="AR133" s="283">
        <v>0</v>
      </c>
      <c r="AS133" s="284">
        <v>0</v>
      </c>
      <c r="AT133" s="282" t="s">
        <v>1037</v>
      </c>
      <c r="AU133" s="303">
        <v>0</v>
      </c>
      <c r="AV133" s="293">
        <v>105</v>
      </c>
      <c r="AW133" s="283">
        <v>337</v>
      </c>
      <c r="AX133" s="286">
        <v>1406</v>
      </c>
      <c r="AY133" s="93"/>
      <c r="AZ133" s="93"/>
      <c r="BA133" s="93"/>
    </row>
    <row r="134" spans="1:53" ht="22.5" customHeight="1" x14ac:dyDescent="0.2">
      <c r="A134" s="281" t="s">
        <v>378</v>
      </c>
      <c r="B134" s="296" t="s">
        <v>805</v>
      </c>
      <c r="C134" s="293" t="s">
        <v>706</v>
      </c>
      <c r="D134" s="283">
        <v>143721</v>
      </c>
      <c r="E134" s="284" t="s">
        <v>706</v>
      </c>
      <c r="F134" s="298" t="s">
        <v>706</v>
      </c>
      <c r="G134" s="293" t="s">
        <v>706</v>
      </c>
      <c r="H134" s="283" t="s">
        <v>706</v>
      </c>
      <c r="I134" s="285" t="s">
        <v>706</v>
      </c>
      <c r="J134" s="300" t="s">
        <v>706</v>
      </c>
      <c r="K134" s="293" t="s">
        <v>706</v>
      </c>
      <c r="L134" s="283" t="s">
        <v>706</v>
      </c>
      <c r="M134" s="300" t="s">
        <v>706</v>
      </c>
      <c r="N134" s="293">
        <v>117690</v>
      </c>
      <c r="O134" s="283">
        <v>117690</v>
      </c>
      <c r="P134" s="300">
        <v>1</v>
      </c>
      <c r="Q134" s="293" t="s">
        <v>706</v>
      </c>
      <c r="R134" s="283" t="s">
        <v>706</v>
      </c>
      <c r="S134" s="303" t="s">
        <v>706</v>
      </c>
      <c r="T134" s="302" t="s">
        <v>706</v>
      </c>
      <c r="U134" s="293" t="s">
        <v>706</v>
      </c>
      <c r="V134" s="283" t="s">
        <v>706</v>
      </c>
      <c r="W134" s="284" t="s">
        <v>706</v>
      </c>
      <c r="X134" s="282" t="s">
        <v>1037</v>
      </c>
      <c r="Y134" s="303" t="s">
        <v>706</v>
      </c>
      <c r="Z134" s="293" t="s">
        <v>706</v>
      </c>
      <c r="AA134" s="283" t="s">
        <v>706</v>
      </c>
      <c r="AB134" s="307" t="s">
        <v>706</v>
      </c>
      <c r="AC134" s="293" t="s">
        <v>706</v>
      </c>
      <c r="AD134" s="283" t="s">
        <v>706</v>
      </c>
      <c r="AE134" s="284" t="s">
        <v>706</v>
      </c>
      <c r="AF134" s="282" t="s">
        <v>1037</v>
      </c>
      <c r="AG134" s="303" t="s">
        <v>706</v>
      </c>
      <c r="AH134" s="293" t="s">
        <v>706</v>
      </c>
      <c r="AI134" s="283" t="s">
        <v>706</v>
      </c>
      <c r="AJ134" s="307" t="s">
        <v>706</v>
      </c>
      <c r="AK134" s="293" t="s">
        <v>706</v>
      </c>
      <c r="AL134" s="283" t="s">
        <v>706</v>
      </c>
      <c r="AM134" s="307" t="s">
        <v>706</v>
      </c>
      <c r="AN134" s="293" t="s">
        <v>706</v>
      </c>
      <c r="AO134" s="283" t="s">
        <v>706</v>
      </c>
      <c r="AP134" s="307" t="s">
        <v>706</v>
      </c>
      <c r="AQ134" s="293" t="s">
        <v>706</v>
      </c>
      <c r="AR134" s="283" t="s">
        <v>706</v>
      </c>
      <c r="AS134" s="284" t="s">
        <v>706</v>
      </c>
      <c r="AT134" s="282" t="s">
        <v>1037</v>
      </c>
      <c r="AU134" s="303" t="s">
        <v>706</v>
      </c>
      <c r="AV134" s="293" t="s">
        <v>706</v>
      </c>
      <c r="AW134" s="283" t="s">
        <v>706</v>
      </c>
      <c r="AX134" s="286" t="s">
        <v>706</v>
      </c>
      <c r="AY134" s="93"/>
      <c r="AZ134" s="93"/>
      <c r="BA134" s="93"/>
    </row>
    <row r="135" spans="1:53" ht="22.5" customHeight="1" x14ac:dyDescent="0.2">
      <c r="A135" s="281" t="s">
        <v>379</v>
      </c>
      <c r="B135" s="296" t="s">
        <v>766</v>
      </c>
      <c r="C135" s="293">
        <v>281205</v>
      </c>
      <c r="D135" s="283">
        <v>281599</v>
      </c>
      <c r="E135" s="284">
        <v>1</v>
      </c>
      <c r="F135" s="298" t="s">
        <v>712</v>
      </c>
      <c r="G135" s="293">
        <v>281205</v>
      </c>
      <c r="H135" s="283">
        <v>3200</v>
      </c>
      <c r="I135" s="285">
        <v>0.01</v>
      </c>
      <c r="J135" s="300">
        <v>0</v>
      </c>
      <c r="K135" s="293">
        <v>278010</v>
      </c>
      <c r="L135" s="283">
        <v>14245</v>
      </c>
      <c r="M135" s="300">
        <v>0.05</v>
      </c>
      <c r="N135" s="293">
        <v>281680</v>
      </c>
      <c r="O135" s="283">
        <v>475</v>
      </c>
      <c r="P135" s="300">
        <v>0</v>
      </c>
      <c r="Q135" s="293">
        <v>281205</v>
      </c>
      <c r="R135" s="283">
        <v>26425</v>
      </c>
      <c r="S135" s="303">
        <v>0.09</v>
      </c>
      <c r="T135" s="302">
        <v>0</v>
      </c>
      <c r="U135" s="293">
        <v>52590</v>
      </c>
      <c r="V135" s="283">
        <v>25</v>
      </c>
      <c r="W135" s="284">
        <v>0</v>
      </c>
      <c r="X135" s="282" t="s">
        <v>1037</v>
      </c>
      <c r="Y135" s="303">
        <v>0.14000000000000001</v>
      </c>
      <c r="Z135" s="293">
        <v>13</v>
      </c>
      <c r="AA135" s="283">
        <v>783</v>
      </c>
      <c r="AB135" s="307">
        <v>1439</v>
      </c>
      <c r="AC135" s="293">
        <v>263460</v>
      </c>
      <c r="AD135" s="283">
        <v>165</v>
      </c>
      <c r="AE135" s="284">
        <v>0</v>
      </c>
      <c r="AF135" s="282" t="s">
        <v>1037</v>
      </c>
      <c r="AG135" s="303">
        <v>0.03</v>
      </c>
      <c r="AH135" s="293">
        <v>81</v>
      </c>
      <c r="AI135" s="283">
        <v>276</v>
      </c>
      <c r="AJ135" s="307">
        <v>1439</v>
      </c>
      <c r="AK135" s="293">
        <v>237</v>
      </c>
      <c r="AL135" s="283">
        <v>811</v>
      </c>
      <c r="AM135" s="307">
        <v>1439</v>
      </c>
      <c r="AN135" s="293">
        <v>158</v>
      </c>
      <c r="AO135" s="283">
        <v>366</v>
      </c>
      <c r="AP135" s="307">
        <v>1438</v>
      </c>
      <c r="AQ135" s="293">
        <v>281205</v>
      </c>
      <c r="AR135" s="283">
        <v>15</v>
      </c>
      <c r="AS135" s="284">
        <v>0</v>
      </c>
      <c r="AT135" s="282" t="s">
        <v>1037</v>
      </c>
      <c r="AU135" s="303">
        <v>0</v>
      </c>
      <c r="AV135" s="293">
        <v>180</v>
      </c>
      <c r="AW135" s="283">
        <v>516</v>
      </c>
      <c r="AX135" s="286">
        <v>1439</v>
      </c>
      <c r="AY135" s="93"/>
      <c r="AZ135" s="93"/>
      <c r="BA135" s="93"/>
    </row>
    <row r="136" spans="1:53" ht="22.5" customHeight="1" x14ac:dyDescent="0.2">
      <c r="A136" s="281" t="s">
        <v>380</v>
      </c>
      <c r="B136" s="296" t="s">
        <v>847</v>
      </c>
      <c r="C136" s="293">
        <v>112435</v>
      </c>
      <c r="D136" s="283">
        <v>238684</v>
      </c>
      <c r="E136" s="284">
        <v>0.47</v>
      </c>
      <c r="F136" s="298" t="s">
        <v>735</v>
      </c>
      <c r="G136" s="293">
        <v>112435</v>
      </c>
      <c r="H136" s="283">
        <v>9265</v>
      </c>
      <c r="I136" s="285">
        <v>0.08</v>
      </c>
      <c r="J136" s="300">
        <v>0.02</v>
      </c>
      <c r="K136" s="293">
        <v>103165</v>
      </c>
      <c r="L136" s="283">
        <v>7375</v>
      </c>
      <c r="M136" s="300">
        <v>7.0000000000000007E-2</v>
      </c>
      <c r="N136" s="293">
        <v>112470</v>
      </c>
      <c r="O136" s="283">
        <v>35</v>
      </c>
      <c r="P136" s="300">
        <v>0</v>
      </c>
      <c r="Q136" s="293">
        <v>112435</v>
      </c>
      <c r="R136" s="283">
        <v>10980</v>
      </c>
      <c r="S136" s="303">
        <v>0.1</v>
      </c>
      <c r="T136" s="302">
        <v>0</v>
      </c>
      <c r="U136" s="293">
        <v>33415</v>
      </c>
      <c r="V136" s="283" t="s">
        <v>906</v>
      </c>
      <c r="W136" s="284" t="s">
        <v>906</v>
      </c>
      <c r="X136" s="282" t="s">
        <v>1037</v>
      </c>
      <c r="Y136" s="303">
        <v>0</v>
      </c>
      <c r="Z136" s="293">
        <v>2</v>
      </c>
      <c r="AA136" s="283">
        <v>27</v>
      </c>
      <c r="AB136" s="307">
        <v>1439</v>
      </c>
      <c r="AC136" s="293">
        <v>94530</v>
      </c>
      <c r="AD136" s="283">
        <v>1800</v>
      </c>
      <c r="AE136" s="284">
        <v>0.02</v>
      </c>
      <c r="AF136" s="282" t="s">
        <v>1037</v>
      </c>
      <c r="AG136" s="303">
        <v>0</v>
      </c>
      <c r="AH136" s="293">
        <v>86</v>
      </c>
      <c r="AI136" s="283">
        <v>291</v>
      </c>
      <c r="AJ136" s="307">
        <v>1432</v>
      </c>
      <c r="AK136" s="293">
        <v>386</v>
      </c>
      <c r="AL136" s="283">
        <v>1200</v>
      </c>
      <c r="AM136" s="307">
        <v>1439</v>
      </c>
      <c r="AN136" s="293">
        <v>135</v>
      </c>
      <c r="AO136" s="283">
        <v>477</v>
      </c>
      <c r="AP136" s="307">
        <v>1434</v>
      </c>
      <c r="AQ136" s="293">
        <v>112435</v>
      </c>
      <c r="AR136" s="283" t="s">
        <v>906</v>
      </c>
      <c r="AS136" s="284" t="s">
        <v>906</v>
      </c>
      <c r="AT136" s="282" t="s">
        <v>1037</v>
      </c>
      <c r="AU136" s="303">
        <v>0</v>
      </c>
      <c r="AV136" s="293">
        <v>175</v>
      </c>
      <c r="AW136" s="283">
        <v>941</v>
      </c>
      <c r="AX136" s="286">
        <v>1439</v>
      </c>
      <c r="AY136" s="93"/>
      <c r="AZ136" s="93"/>
      <c r="BA136" s="93"/>
    </row>
    <row r="137" spans="1:53" ht="22.5" customHeight="1" x14ac:dyDescent="0.2">
      <c r="A137" s="281" t="s">
        <v>631</v>
      </c>
      <c r="B137" s="296" t="s">
        <v>727</v>
      </c>
      <c r="C137" s="293">
        <v>21660</v>
      </c>
      <c r="D137" s="283" t="s">
        <v>706</v>
      </c>
      <c r="E137" s="284" t="s">
        <v>706</v>
      </c>
      <c r="F137" s="298" t="s">
        <v>706</v>
      </c>
      <c r="G137" s="293">
        <v>21660</v>
      </c>
      <c r="H137" s="283">
        <v>0</v>
      </c>
      <c r="I137" s="285">
        <v>0</v>
      </c>
      <c r="J137" s="300">
        <v>0.52</v>
      </c>
      <c r="K137" s="293">
        <v>21660</v>
      </c>
      <c r="L137" s="283">
        <v>45</v>
      </c>
      <c r="M137" s="300">
        <v>0</v>
      </c>
      <c r="N137" s="293">
        <v>21660</v>
      </c>
      <c r="O137" s="283">
        <v>0</v>
      </c>
      <c r="P137" s="300">
        <v>0</v>
      </c>
      <c r="Q137" s="293">
        <v>21660</v>
      </c>
      <c r="R137" s="283">
        <v>870</v>
      </c>
      <c r="S137" s="303">
        <v>0.04</v>
      </c>
      <c r="T137" s="302">
        <v>0</v>
      </c>
      <c r="U137" s="293" t="s">
        <v>706</v>
      </c>
      <c r="V137" s="283" t="s">
        <v>706</v>
      </c>
      <c r="W137" s="284" t="s">
        <v>706</v>
      </c>
      <c r="X137" s="282" t="s">
        <v>1037</v>
      </c>
      <c r="Y137" s="303" t="s">
        <v>706</v>
      </c>
      <c r="Z137" s="293" t="s">
        <v>706</v>
      </c>
      <c r="AA137" s="283" t="s">
        <v>706</v>
      </c>
      <c r="AB137" s="307" t="s">
        <v>706</v>
      </c>
      <c r="AC137" s="293">
        <v>21580</v>
      </c>
      <c r="AD137" s="283">
        <v>110</v>
      </c>
      <c r="AE137" s="284">
        <v>0.01</v>
      </c>
      <c r="AF137" s="282" t="s">
        <v>1037</v>
      </c>
      <c r="AG137" s="303">
        <v>0</v>
      </c>
      <c r="AH137" s="293">
        <v>29</v>
      </c>
      <c r="AI137" s="283">
        <v>1429</v>
      </c>
      <c r="AJ137" s="307">
        <v>1439</v>
      </c>
      <c r="AK137" s="293">
        <v>29</v>
      </c>
      <c r="AL137" s="283">
        <v>143</v>
      </c>
      <c r="AM137" s="307">
        <v>1439</v>
      </c>
      <c r="AN137" s="293">
        <v>36</v>
      </c>
      <c r="AO137" s="283">
        <v>170</v>
      </c>
      <c r="AP137" s="307">
        <v>1439</v>
      </c>
      <c r="AQ137" s="293">
        <v>21660</v>
      </c>
      <c r="AR137" s="283">
        <v>110</v>
      </c>
      <c r="AS137" s="284">
        <v>0.01</v>
      </c>
      <c r="AT137" s="282" t="s">
        <v>1037</v>
      </c>
      <c r="AU137" s="303">
        <v>0</v>
      </c>
      <c r="AV137" s="293">
        <v>35</v>
      </c>
      <c r="AW137" s="283">
        <v>169</v>
      </c>
      <c r="AX137" s="286">
        <v>1439</v>
      </c>
      <c r="AY137" s="93"/>
      <c r="AZ137" s="93"/>
      <c r="BA137" s="93"/>
    </row>
    <row r="138" spans="1:53" ht="22.5" customHeight="1" x14ac:dyDescent="0.2">
      <c r="A138" s="281" t="s">
        <v>381</v>
      </c>
      <c r="B138" s="296" t="s">
        <v>759</v>
      </c>
      <c r="C138" s="293" t="s">
        <v>706</v>
      </c>
      <c r="D138" s="283">
        <v>74876</v>
      </c>
      <c r="E138" s="284" t="s">
        <v>706</v>
      </c>
      <c r="F138" s="298" t="s">
        <v>706</v>
      </c>
      <c r="G138" s="293" t="s">
        <v>706</v>
      </c>
      <c r="H138" s="283" t="s">
        <v>706</v>
      </c>
      <c r="I138" s="285" t="s">
        <v>706</v>
      </c>
      <c r="J138" s="300" t="s">
        <v>706</v>
      </c>
      <c r="K138" s="293" t="s">
        <v>706</v>
      </c>
      <c r="L138" s="283" t="s">
        <v>706</v>
      </c>
      <c r="M138" s="300" t="s">
        <v>706</v>
      </c>
      <c r="N138" s="293">
        <v>82290</v>
      </c>
      <c r="O138" s="283">
        <v>82290</v>
      </c>
      <c r="P138" s="300">
        <v>1</v>
      </c>
      <c r="Q138" s="293" t="s">
        <v>706</v>
      </c>
      <c r="R138" s="283" t="s">
        <v>706</v>
      </c>
      <c r="S138" s="303" t="s">
        <v>706</v>
      </c>
      <c r="T138" s="302" t="s">
        <v>706</v>
      </c>
      <c r="U138" s="293" t="s">
        <v>706</v>
      </c>
      <c r="V138" s="283" t="s">
        <v>706</v>
      </c>
      <c r="W138" s="284" t="s">
        <v>706</v>
      </c>
      <c r="X138" s="282" t="s">
        <v>1037</v>
      </c>
      <c r="Y138" s="303" t="s">
        <v>706</v>
      </c>
      <c r="Z138" s="293" t="s">
        <v>706</v>
      </c>
      <c r="AA138" s="283" t="s">
        <v>706</v>
      </c>
      <c r="AB138" s="307" t="s">
        <v>706</v>
      </c>
      <c r="AC138" s="293" t="s">
        <v>706</v>
      </c>
      <c r="AD138" s="283" t="s">
        <v>706</v>
      </c>
      <c r="AE138" s="284" t="s">
        <v>706</v>
      </c>
      <c r="AF138" s="282" t="s">
        <v>1037</v>
      </c>
      <c r="AG138" s="303" t="s">
        <v>706</v>
      </c>
      <c r="AH138" s="293" t="s">
        <v>706</v>
      </c>
      <c r="AI138" s="283" t="s">
        <v>706</v>
      </c>
      <c r="AJ138" s="307" t="s">
        <v>706</v>
      </c>
      <c r="AK138" s="293" t="s">
        <v>706</v>
      </c>
      <c r="AL138" s="283" t="s">
        <v>706</v>
      </c>
      <c r="AM138" s="307" t="s">
        <v>706</v>
      </c>
      <c r="AN138" s="293" t="s">
        <v>706</v>
      </c>
      <c r="AO138" s="283" t="s">
        <v>706</v>
      </c>
      <c r="AP138" s="307" t="s">
        <v>706</v>
      </c>
      <c r="AQ138" s="293" t="s">
        <v>706</v>
      </c>
      <c r="AR138" s="283" t="s">
        <v>706</v>
      </c>
      <c r="AS138" s="284" t="s">
        <v>706</v>
      </c>
      <c r="AT138" s="282" t="s">
        <v>1037</v>
      </c>
      <c r="AU138" s="303" t="s">
        <v>706</v>
      </c>
      <c r="AV138" s="293" t="s">
        <v>706</v>
      </c>
      <c r="AW138" s="283" t="s">
        <v>706</v>
      </c>
      <c r="AX138" s="286" t="s">
        <v>706</v>
      </c>
      <c r="AY138" s="93"/>
      <c r="AZ138" s="93"/>
      <c r="BA138" s="93"/>
    </row>
    <row r="139" spans="1:53" ht="22.5" customHeight="1" x14ac:dyDescent="0.2">
      <c r="A139" s="281" t="s">
        <v>382</v>
      </c>
      <c r="B139" s="296" t="s">
        <v>785</v>
      </c>
      <c r="C139" s="293">
        <v>90735</v>
      </c>
      <c r="D139" s="283">
        <v>87648</v>
      </c>
      <c r="E139" s="284">
        <v>1.04</v>
      </c>
      <c r="F139" s="298" t="s">
        <v>712</v>
      </c>
      <c r="G139" s="293">
        <v>90735</v>
      </c>
      <c r="H139" s="283">
        <v>45</v>
      </c>
      <c r="I139" s="285">
        <v>0</v>
      </c>
      <c r="J139" s="300">
        <v>0.05</v>
      </c>
      <c r="K139" s="293">
        <v>90695</v>
      </c>
      <c r="L139" s="283" t="s">
        <v>906</v>
      </c>
      <c r="M139" s="300" t="s">
        <v>906</v>
      </c>
      <c r="N139" s="293">
        <v>90735</v>
      </c>
      <c r="O139" s="283">
        <v>0</v>
      </c>
      <c r="P139" s="300">
        <v>0</v>
      </c>
      <c r="Q139" s="293">
        <v>90735</v>
      </c>
      <c r="R139" s="283">
        <v>5455</v>
      </c>
      <c r="S139" s="303">
        <v>0.06</v>
      </c>
      <c r="T139" s="302">
        <v>0</v>
      </c>
      <c r="U139" s="293">
        <v>32675</v>
      </c>
      <c r="V139" s="283">
        <v>245</v>
      </c>
      <c r="W139" s="284">
        <v>0.01</v>
      </c>
      <c r="X139" s="282" t="s">
        <v>1037</v>
      </c>
      <c r="Y139" s="303">
        <v>0</v>
      </c>
      <c r="Z139" s="293">
        <v>11</v>
      </c>
      <c r="AA139" s="283">
        <v>1427</v>
      </c>
      <c r="AB139" s="307">
        <v>1439</v>
      </c>
      <c r="AC139" s="293">
        <v>90695</v>
      </c>
      <c r="AD139" s="283">
        <v>4550</v>
      </c>
      <c r="AE139" s="284">
        <v>0.05</v>
      </c>
      <c r="AF139" s="282" t="s">
        <v>1037</v>
      </c>
      <c r="AG139" s="303">
        <v>0</v>
      </c>
      <c r="AH139" s="293">
        <v>56</v>
      </c>
      <c r="AI139" s="283">
        <v>209</v>
      </c>
      <c r="AJ139" s="307">
        <v>1439</v>
      </c>
      <c r="AK139" s="293">
        <v>237</v>
      </c>
      <c r="AL139" s="283">
        <v>755</v>
      </c>
      <c r="AM139" s="307">
        <v>1431</v>
      </c>
      <c r="AN139" s="293">
        <v>138</v>
      </c>
      <c r="AO139" s="283">
        <v>371</v>
      </c>
      <c r="AP139" s="307">
        <v>1438</v>
      </c>
      <c r="AQ139" s="293">
        <v>90735</v>
      </c>
      <c r="AR139" s="283">
        <v>560</v>
      </c>
      <c r="AS139" s="284">
        <v>0.01</v>
      </c>
      <c r="AT139" s="282" t="s">
        <v>1037</v>
      </c>
      <c r="AU139" s="303">
        <v>0</v>
      </c>
      <c r="AV139" s="293">
        <v>177</v>
      </c>
      <c r="AW139" s="283">
        <v>548</v>
      </c>
      <c r="AX139" s="286">
        <v>1438</v>
      </c>
      <c r="AY139" s="93"/>
      <c r="AZ139" s="93"/>
      <c r="BA139" s="93"/>
    </row>
    <row r="140" spans="1:53" ht="22.5" customHeight="1" x14ac:dyDescent="0.2">
      <c r="A140" s="281" t="s">
        <v>383</v>
      </c>
      <c r="B140" s="296" t="s">
        <v>829</v>
      </c>
      <c r="C140" s="293">
        <v>101640</v>
      </c>
      <c r="D140" s="283">
        <v>107287</v>
      </c>
      <c r="E140" s="284">
        <v>0.95</v>
      </c>
      <c r="F140" s="298" t="s">
        <v>712</v>
      </c>
      <c r="G140" s="293">
        <v>101640</v>
      </c>
      <c r="H140" s="283">
        <v>190</v>
      </c>
      <c r="I140" s="285">
        <v>0</v>
      </c>
      <c r="J140" s="300">
        <v>0</v>
      </c>
      <c r="K140" s="293">
        <v>101450</v>
      </c>
      <c r="L140" s="283">
        <v>4365</v>
      </c>
      <c r="M140" s="300">
        <v>0.04</v>
      </c>
      <c r="N140" s="293">
        <v>101640</v>
      </c>
      <c r="O140" s="283">
        <v>0</v>
      </c>
      <c r="P140" s="300">
        <v>0</v>
      </c>
      <c r="Q140" s="293">
        <v>101640</v>
      </c>
      <c r="R140" s="283">
        <v>7635</v>
      </c>
      <c r="S140" s="303">
        <v>0.08</v>
      </c>
      <c r="T140" s="302">
        <v>0</v>
      </c>
      <c r="U140" s="293">
        <v>29255</v>
      </c>
      <c r="V140" s="283">
        <v>35</v>
      </c>
      <c r="W140" s="284">
        <v>0</v>
      </c>
      <c r="X140" s="282" t="s">
        <v>1037</v>
      </c>
      <c r="Y140" s="303">
        <v>0</v>
      </c>
      <c r="Z140" s="293">
        <v>6</v>
      </c>
      <c r="AA140" s="283">
        <v>30</v>
      </c>
      <c r="AB140" s="307">
        <v>1383</v>
      </c>
      <c r="AC140" s="293">
        <v>97085</v>
      </c>
      <c r="AD140" s="283">
        <v>355</v>
      </c>
      <c r="AE140" s="284">
        <v>0</v>
      </c>
      <c r="AF140" s="282" t="s">
        <v>1037</v>
      </c>
      <c r="AG140" s="303">
        <v>0.01</v>
      </c>
      <c r="AH140" s="293">
        <v>86</v>
      </c>
      <c r="AI140" s="283">
        <v>256</v>
      </c>
      <c r="AJ140" s="307">
        <v>1439</v>
      </c>
      <c r="AK140" s="293">
        <v>234</v>
      </c>
      <c r="AL140" s="283">
        <v>591</v>
      </c>
      <c r="AM140" s="307">
        <v>1353</v>
      </c>
      <c r="AN140" s="293">
        <v>162</v>
      </c>
      <c r="AO140" s="283">
        <v>343</v>
      </c>
      <c r="AP140" s="307">
        <v>1378</v>
      </c>
      <c r="AQ140" s="293">
        <v>101640</v>
      </c>
      <c r="AR140" s="283" t="s">
        <v>906</v>
      </c>
      <c r="AS140" s="284" t="s">
        <v>906</v>
      </c>
      <c r="AT140" s="282" t="s">
        <v>1037</v>
      </c>
      <c r="AU140" s="303">
        <v>0</v>
      </c>
      <c r="AV140" s="293">
        <v>192</v>
      </c>
      <c r="AW140" s="283">
        <v>447</v>
      </c>
      <c r="AX140" s="286">
        <v>1378</v>
      </c>
      <c r="AY140" s="93"/>
      <c r="AZ140" s="93"/>
      <c r="BA140" s="93"/>
    </row>
    <row r="141" spans="1:53" ht="22.5" customHeight="1" x14ac:dyDescent="0.2">
      <c r="A141" s="281" t="s">
        <v>384</v>
      </c>
      <c r="B141" s="296" t="s">
        <v>841</v>
      </c>
      <c r="C141" s="293">
        <v>49125</v>
      </c>
      <c r="D141" s="283">
        <v>57093</v>
      </c>
      <c r="E141" s="284">
        <v>0.86</v>
      </c>
      <c r="F141" s="298" t="s">
        <v>721</v>
      </c>
      <c r="G141" s="293">
        <v>49125</v>
      </c>
      <c r="H141" s="283">
        <v>0</v>
      </c>
      <c r="I141" s="285">
        <v>0</v>
      </c>
      <c r="J141" s="300">
        <v>0</v>
      </c>
      <c r="K141" s="293">
        <v>49125</v>
      </c>
      <c r="L141" s="283">
        <v>1110</v>
      </c>
      <c r="M141" s="300">
        <v>0.02</v>
      </c>
      <c r="N141" s="293">
        <v>49125</v>
      </c>
      <c r="O141" s="283">
        <v>0</v>
      </c>
      <c r="P141" s="300">
        <v>0</v>
      </c>
      <c r="Q141" s="293">
        <v>49125</v>
      </c>
      <c r="R141" s="283">
        <v>2395</v>
      </c>
      <c r="S141" s="303">
        <v>0.05</v>
      </c>
      <c r="T141" s="302">
        <v>0</v>
      </c>
      <c r="U141" s="293">
        <v>14350</v>
      </c>
      <c r="V141" s="283">
        <v>30</v>
      </c>
      <c r="W141" s="284">
        <v>0</v>
      </c>
      <c r="X141" s="282" t="s">
        <v>1037</v>
      </c>
      <c r="Y141" s="303">
        <v>0</v>
      </c>
      <c r="Z141" s="293">
        <v>10</v>
      </c>
      <c r="AA141" s="283">
        <v>37</v>
      </c>
      <c r="AB141" s="307">
        <v>1439</v>
      </c>
      <c r="AC141" s="293">
        <v>48015</v>
      </c>
      <c r="AD141" s="283">
        <v>4100</v>
      </c>
      <c r="AE141" s="284">
        <v>0.09</v>
      </c>
      <c r="AF141" s="282" t="s">
        <v>1037</v>
      </c>
      <c r="AG141" s="303">
        <v>0</v>
      </c>
      <c r="AH141" s="293">
        <v>73</v>
      </c>
      <c r="AI141" s="283">
        <v>196</v>
      </c>
      <c r="AJ141" s="307">
        <v>1439</v>
      </c>
      <c r="AK141" s="293">
        <v>234</v>
      </c>
      <c r="AL141" s="283">
        <v>507</v>
      </c>
      <c r="AM141" s="307">
        <v>1405</v>
      </c>
      <c r="AN141" s="293">
        <v>149</v>
      </c>
      <c r="AO141" s="283">
        <v>267</v>
      </c>
      <c r="AP141" s="307">
        <v>1322</v>
      </c>
      <c r="AQ141" s="293">
        <v>49125</v>
      </c>
      <c r="AR141" s="283">
        <v>0</v>
      </c>
      <c r="AS141" s="284">
        <v>0</v>
      </c>
      <c r="AT141" s="282" t="s">
        <v>1037</v>
      </c>
      <c r="AU141" s="303">
        <v>0</v>
      </c>
      <c r="AV141" s="293">
        <v>176</v>
      </c>
      <c r="AW141" s="283">
        <v>373</v>
      </c>
      <c r="AX141" s="286">
        <v>1405</v>
      </c>
      <c r="AY141" s="93"/>
      <c r="AZ141" s="93"/>
      <c r="BA141" s="93"/>
    </row>
    <row r="142" spans="1:53" ht="22.5" customHeight="1" x14ac:dyDescent="0.2">
      <c r="A142" s="281" t="s">
        <v>465</v>
      </c>
      <c r="B142" s="296" t="s">
        <v>888</v>
      </c>
      <c r="C142" s="293">
        <v>212285</v>
      </c>
      <c r="D142" s="283">
        <v>214318</v>
      </c>
      <c r="E142" s="284">
        <v>0.99</v>
      </c>
      <c r="F142" s="298" t="s">
        <v>712</v>
      </c>
      <c r="G142" s="293">
        <v>212285</v>
      </c>
      <c r="H142" s="283" t="s">
        <v>906</v>
      </c>
      <c r="I142" s="285" t="s">
        <v>906</v>
      </c>
      <c r="J142" s="300">
        <v>0</v>
      </c>
      <c r="K142" s="293">
        <v>212285</v>
      </c>
      <c r="L142" s="283">
        <v>12440</v>
      </c>
      <c r="M142" s="300">
        <v>0.06</v>
      </c>
      <c r="N142" s="293">
        <v>212285</v>
      </c>
      <c r="O142" s="283">
        <v>0</v>
      </c>
      <c r="P142" s="300">
        <v>0</v>
      </c>
      <c r="Q142" s="293">
        <v>212285</v>
      </c>
      <c r="R142" s="283">
        <v>11245</v>
      </c>
      <c r="S142" s="303">
        <v>0.05</v>
      </c>
      <c r="T142" s="302">
        <v>0</v>
      </c>
      <c r="U142" s="293">
        <v>49800</v>
      </c>
      <c r="V142" s="283">
        <v>0</v>
      </c>
      <c r="W142" s="284">
        <v>0</v>
      </c>
      <c r="X142" s="282" t="s">
        <v>1037</v>
      </c>
      <c r="Y142" s="303">
        <v>0</v>
      </c>
      <c r="Z142" s="293">
        <v>4</v>
      </c>
      <c r="AA142" s="283">
        <v>14</v>
      </c>
      <c r="AB142" s="307">
        <v>510</v>
      </c>
      <c r="AC142" s="293">
        <v>198870</v>
      </c>
      <c r="AD142" s="283">
        <v>3090</v>
      </c>
      <c r="AE142" s="284">
        <v>0.02</v>
      </c>
      <c r="AF142" s="282" t="s">
        <v>1037</v>
      </c>
      <c r="AG142" s="303">
        <v>0</v>
      </c>
      <c r="AH142" s="293">
        <v>62</v>
      </c>
      <c r="AI142" s="283">
        <v>208</v>
      </c>
      <c r="AJ142" s="307">
        <v>1437</v>
      </c>
      <c r="AK142" s="293">
        <v>242</v>
      </c>
      <c r="AL142" s="283">
        <v>524</v>
      </c>
      <c r="AM142" s="307">
        <v>1080</v>
      </c>
      <c r="AN142" s="293">
        <v>124</v>
      </c>
      <c r="AO142" s="283">
        <v>315</v>
      </c>
      <c r="AP142" s="307">
        <v>1241</v>
      </c>
      <c r="AQ142" s="293">
        <v>212285</v>
      </c>
      <c r="AR142" s="283" t="s">
        <v>906</v>
      </c>
      <c r="AS142" s="284" t="s">
        <v>906</v>
      </c>
      <c r="AT142" s="282" t="s">
        <v>1037</v>
      </c>
      <c r="AU142" s="303">
        <v>0</v>
      </c>
      <c r="AV142" s="293">
        <v>148</v>
      </c>
      <c r="AW142" s="283">
        <v>395</v>
      </c>
      <c r="AX142" s="286">
        <v>1241</v>
      </c>
      <c r="AY142" s="93"/>
      <c r="AZ142" s="93"/>
      <c r="BA142" s="93"/>
    </row>
    <row r="143" spans="1:53" ht="22.5" customHeight="1" x14ac:dyDescent="0.2">
      <c r="A143" s="281" t="s">
        <v>627</v>
      </c>
      <c r="B143" s="296" t="s">
        <v>718</v>
      </c>
      <c r="C143" s="293">
        <v>29250</v>
      </c>
      <c r="D143" s="283" t="s">
        <v>706</v>
      </c>
      <c r="E143" s="284" t="s">
        <v>706</v>
      </c>
      <c r="F143" s="298" t="s">
        <v>706</v>
      </c>
      <c r="G143" s="293">
        <v>29250</v>
      </c>
      <c r="H143" s="283">
        <v>0</v>
      </c>
      <c r="I143" s="285">
        <v>0</v>
      </c>
      <c r="J143" s="300">
        <v>0.15</v>
      </c>
      <c r="K143" s="293">
        <v>29250</v>
      </c>
      <c r="L143" s="283">
        <v>35</v>
      </c>
      <c r="M143" s="300">
        <v>0</v>
      </c>
      <c r="N143" s="293">
        <v>29250</v>
      </c>
      <c r="O143" s="283">
        <v>0</v>
      </c>
      <c r="P143" s="300">
        <v>0</v>
      </c>
      <c r="Q143" s="293">
        <v>29250</v>
      </c>
      <c r="R143" s="283">
        <v>1510</v>
      </c>
      <c r="S143" s="303">
        <v>0.05</v>
      </c>
      <c r="T143" s="302">
        <v>0</v>
      </c>
      <c r="U143" s="293" t="s">
        <v>706</v>
      </c>
      <c r="V143" s="283" t="s">
        <v>706</v>
      </c>
      <c r="W143" s="284" t="s">
        <v>706</v>
      </c>
      <c r="X143" s="282" t="s">
        <v>1037</v>
      </c>
      <c r="Y143" s="303" t="s">
        <v>706</v>
      </c>
      <c r="Z143" s="293" t="s">
        <v>706</v>
      </c>
      <c r="AA143" s="283" t="s">
        <v>706</v>
      </c>
      <c r="AB143" s="307" t="s">
        <v>706</v>
      </c>
      <c r="AC143" s="293">
        <v>29175</v>
      </c>
      <c r="AD143" s="283">
        <v>390</v>
      </c>
      <c r="AE143" s="284">
        <v>0.01</v>
      </c>
      <c r="AF143" s="282" t="s">
        <v>1037</v>
      </c>
      <c r="AG143" s="303">
        <v>0</v>
      </c>
      <c r="AH143" s="293">
        <v>40</v>
      </c>
      <c r="AI143" s="283">
        <v>1275</v>
      </c>
      <c r="AJ143" s="307">
        <v>1439</v>
      </c>
      <c r="AK143" s="293">
        <v>55</v>
      </c>
      <c r="AL143" s="283">
        <v>171</v>
      </c>
      <c r="AM143" s="307">
        <v>1428</v>
      </c>
      <c r="AN143" s="293">
        <v>59</v>
      </c>
      <c r="AO143" s="283">
        <v>187</v>
      </c>
      <c r="AP143" s="307">
        <v>1439</v>
      </c>
      <c r="AQ143" s="293">
        <v>29250</v>
      </c>
      <c r="AR143" s="283">
        <v>395</v>
      </c>
      <c r="AS143" s="284">
        <v>0.01</v>
      </c>
      <c r="AT143" s="282" t="s">
        <v>1037</v>
      </c>
      <c r="AU143" s="303">
        <v>0</v>
      </c>
      <c r="AV143" s="293">
        <v>59</v>
      </c>
      <c r="AW143" s="283">
        <v>187</v>
      </c>
      <c r="AX143" s="286">
        <v>1439</v>
      </c>
      <c r="AY143" s="93"/>
      <c r="AZ143" s="93"/>
      <c r="BA143" s="93"/>
    </row>
    <row r="144" spans="1:53" ht="22.5" customHeight="1" x14ac:dyDescent="0.2">
      <c r="A144" s="281" t="s">
        <v>385</v>
      </c>
      <c r="B144" s="296" t="s">
        <v>746</v>
      </c>
      <c r="C144" s="293">
        <v>54770</v>
      </c>
      <c r="D144" s="283" t="s">
        <v>706</v>
      </c>
      <c r="E144" s="284" t="s">
        <v>706</v>
      </c>
      <c r="F144" s="298" t="s">
        <v>706</v>
      </c>
      <c r="G144" s="293">
        <v>54770</v>
      </c>
      <c r="H144" s="283">
        <v>0</v>
      </c>
      <c r="I144" s="285">
        <v>0</v>
      </c>
      <c r="J144" s="300">
        <v>0.35</v>
      </c>
      <c r="K144" s="293">
        <v>54770</v>
      </c>
      <c r="L144" s="283">
        <v>1035</v>
      </c>
      <c r="M144" s="300">
        <v>0.02</v>
      </c>
      <c r="N144" s="293">
        <v>54770</v>
      </c>
      <c r="O144" s="283">
        <v>0</v>
      </c>
      <c r="P144" s="300">
        <v>0</v>
      </c>
      <c r="Q144" s="293">
        <v>54770</v>
      </c>
      <c r="R144" s="283">
        <v>1905</v>
      </c>
      <c r="S144" s="303">
        <v>0.03</v>
      </c>
      <c r="T144" s="302">
        <v>0</v>
      </c>
      <c r="U144" s="293">
        <v>10</v>
      </c>
      <c r="V144" s="283">
        <v>0</v>
      </c>
      <c r="W144" s="284" t="s">
        <v>1037</v>
      </c>
      <c r="X144" s="282" t="s">
        <v>1037</v>
      </c>
      <c r="Y144" s="303" t="s">
        <v>1037</v>
      </c>
      <c r="Z144" s="293">
        <v>5</v>
      </c>
      <c r="AA144" s="283">
        <v>30</v>
      </c>
      <c r="AB144" s="307">
        <v>30</v>
      </c>
      <c r="AC144" s="293">
        <v>53735</v>
      </c>
      <c r="AD144" s="283">
        <v>40</v>
      </c>
      <c r="AE144" s="284">
        <v>0</v>
      </c>
      <c r="AF144" s="282" t="s">
        <v>1037</v>
      </c>
      <c r="AG144" s="303">
        <v>0</v>
      </c>
      <c r="AH144" s="293">
        <v>9</v>
      </c>
      <c r="AI144" s="283">
        <v>35</v>
      </c>
      <c r="AJ144" s="307">
        <v>292</v>
      </c>
      <c r="AK144" s="293">
        <v>80</v>
      </c>
      <c r="AL144" s="283">
        <v>190</v>
      </c>
      <c r="AM144" s="307">
        <v>352</v>
      </c>
      <c r="AN144" s="293">
        <v>82</v>
      </c>
      <c r="AO144" s="283">
        <v>195</v>
      </c>
      <c r="AP144" s="307">
        <v>355</v>
      </c>
      <c r="AQ144" s="293">
        <v>54770</v>
      </c>
      <c r="AR144" s="283">
        <v>0</v>
      </c>
      <c r="AS144" s="284">
        <v>0</v>
      </c>
      <c r="AT144" s="282" t="s">
        <v>1037</v>
      </c>
      <c r="AU144" s="303">
        <v>0</v>
      </c>
      <c r="AV144" s="293">
        <v>82</v>
      </c>
      <c r="AW144" s="283">
        <v>195</v>
      </c>
      <c r="AX144" s="286">
        <v>355</v>
      </c>
      <c r="AY144" s="93"/>
      <c r="AZ144" s="93"/>
      <c r="BA144" s="93"/>
    </row>
    <row r="145" spans="1:53" ht="22.5" customHeight="1" x14ac:dyDescent="0.2">
      <c r="A145" s="281" t="s">
        <v>386</v>
      </c>
      <c r="B145" s="296" t="s">
        <v>783</v>
      </c>
      <c r="C145" s="293">
        <v>58915</v>
      </c>
      <c r="D145" s="283">
        <v>58930</v>
      </c>
      <c r="E145" s="284">
        <v>1</v>
      </c>
      <c r="F145" s="298" t="s">
        <v>712</v>
      </c>
      <c r="G145" s="293">
        <v>58915</v>
      </c>
      <c r="H145" s="283">
        <v>0</v>
      </c>
      <c r="I145" s="285">
        <v>0</v>
      </c>
      <c r="J145" s="300" t="s">
        <v>906</v>
      </c>
      <c r="K145" s="293">
        <v>58915</v>
      </c>
      <c r="L145" s="283">
        <v>0</v>
      </c>
      <c r="M145" s="300">
        <v>0</v>
      </c>
      <c r="N145" s="293">
        <v>58915</v>
      </c>
      <c r="O145" s="283">
        <v>0</v>
      </c>
      <c r="P145" s="300">
        <v>0</v>
      </c>
      <c r="Q145" s="293">
        <v>58915</v>
      </c>
      <c r="R145" s="283">
        <v>5150</v>
      </c>
      <c r="S145" s="303">
        <v>0.09</v>
      </c>
      <c r="T145" s="302">
        <v>0</v>
      </c>
      <c r="U145" s="293">
        <v>4205</v>
      </c>
      <c r="V145" s="283">
        <v>0</v>
      </c>
      <c r="W145" s="284">
        <v>0</v>
      </c>
      <c r="X145" s="282" t="s">
        <v>1037</v>
      </c>
      <c r="Y145" s="303">
        <v>0</v>
      </c>
      <c r="Z145" s="293">
        <v>4</v>
      </c>
      <c r="AA145" s="283">
        <v>13</v>
      </c>
      <c r="AB145" s="307">
        <v>15</v>
      </c>
      <c r="AC145" s="293">
        <v>58915</v>
      </c>
      <c r="AD145" s="283">
        <v>365</v>
      </c>
      <c r="AE145" s="284">
        <v>0.01</v>
      </c>
      <c r="AF145" s="282" t="s">
        <v>1037</v>
      </c>
      <c r="AG145" s="303">
        <v>0</v>
      </c>
      <c r="AH145" s="293">
        <v>43</v>
      </c>
      <c r="AI145" s="283">
        <v>130</v>
      </c>
      <c r="AJ145" s="307">
        <v>437</v>
      </c>
      <c r="AK145" s="293">
        <v>154</v>
      </c>
      <c r="AL145" s="283">
        <v>320</v>
      </c>
      <c r="AM145" s="307">
        <v>758</v>
      </c>
      <c r="AN145" s="293">
        <v>103</v>
      </c>
      <c r="AO145" s="283">
        <v>212</v>
      </c>
      <c r="AP145" s="307">
        <v>692</v>
      </c>
      <c r="AQ145" s="293">
        <v>58915</v>
      </c>
      <c r="AR145" s="283">
        <v>0</v>
      </c>
      <c r="AS145" s="284">
        <v>0</v>
      </c>
      <c r="AT145" s="282" t="s">
        <v>1037</v>
      </c>
      <c r="AU145" s="303">
        <v>0</v>
      </c>
      <c r="AV145" s="293">
        <v>105</v>
      </c>
      <c r="AW145" s="283">
        <v>234</v>
      </c>
      <c r="AX145" s="286">
        <v>758</v>
      </c>
      <c r="AY145" s="93"/>
      <c r="AZ145" s="93"/>
      <c r="BA145" s="93"/>
    </row>
    <row r="146" spans="1:53" ht="22.5" customHeight="1" x14ac:dyDescent="0.2">
      <c r="A146" s="281" t="s">
        <v>387</v>
      </c>
      <c r="B146" s="296" t="s">
        <v>807</v>
      </c>
      <c r="C146" s="293">
        <v>153095</v>
      </c>
      <c r="D146" s="283">
        <v>221012</v>
      </c>
      <c r="E146" s="284">
        <v>0.69</v>
      </c>
      <c r="F146" s="298" t="s">
        <v>735</v>
      </c>
      <c r="G146" s="293">
        <v>153095</v>
      </c>
      <c r="H146" s="283">
        <v>0</v>
      </c>
      <c r="I146" s="285">
        <v>0</v>
      </c>
      <c r="J146" s="300" t="s">
        <v>906</v>
      </c>
      <c r="K146" s="293">
        <v>153095</v>
      </c>
      <c r="L146" s="283">
        <v>5420</v>
      </c>
      <c r="M146" s="300">
        <v>0.04</v>
      </c>
      <c r="N146" s="293">
        <v>153095</v>
      </c>
      <c r="O146" s="283">
        <v>0</v>
      </c>
      <c r="P146" s="300">
        <v>0</v>
      </c>
      <c r="Q146" s="293">
        <v>153095</v>
      </c>
      <c r="R146" s="283">
        <v>10595</v>
      </c>
      <c r="S146" s="303">
        <v>7.0000000000000007E-2</v>
      </c>
      <c r="T146" s="302">
        <v>0</v>
      </c>
      <c r="U146" s="293">
        <v>46835</v>
      </c>
      <c r="V146" s="283">
        <v>1640</v>
      </c>
      <c r="W146" s="284">
        <v>0.04</v>
      </c>
      <c r="X146" s="282" t="s">
        <v>1037</v>
      </c>
      <c r="Y146" s="303">
        <v>0</v>
      </c>
      <c r="Z146" s="293">
        <v>8</v>
      </c>
      <c r="AA146" s="283">
        <v>37</v>
      </c>
      <c r="AB146" s="307">
        <v>316</v>
      </c>
      <c r="AC146" s="293">
        <v>147670</v>
      </c>
      <c r="AD146" s="283">
        <v>11435</v>
      </c>
      <c r="AE146" s="284">
        <v>0.08</v>
      </c>
      <c r="AF146" s="282" t="s">
        <v>1037</v>
      </c>
      <c r="AG146" s="303">
        <v>0</v>
      </c>
      <c r="AH146" s="293">
        <v>84</v>
      </c>
      <c r="AI146" s="283">
        <v>219</v>
      </c>
      <c r="AJ146" s="307">
        <v>1436</v>
      </c>
      <c r="AK146" s="293">
        <v>258</v>
      </c>
      <c r="AL146" s="283">
        <v>626</v>
      </c>
      <c r="AM146" s="307">
        <v>1349</v>
      </c>
      <c r="AN146" s="293">
        <v>122</v>
      </c>
      <c r="AO146" s="283">
        <v>299</v>
      </c>
      <c r="AP146" s="307">
        <v>1290</v>
      </c>
      <c r="AQ146" s="293">
        <v>153095</v>
      </c>
      <c r="AR146" s="283">
        <v>0</v>
      </c>
      <c r="AS146" s="284">
        <v>0</v>
      </c>
      <c r="AT146" s="282" t="s">
        <v>1037</v>
      </c>
      <c r="AU146" s="303">
        <v>0</v>
      </c>
      <c r="AV146" s="293">
        <v>155</v>
      </c>
      <c r="AW146" s="283">
        <v>435</v>
      </c>
      <c r="AX146" s="286">
        <v>1349</v>
      </c>
      <c r="AY146" s="93"/>
      <c r="AZ146" s="93"/>
      <c r="BA146" s="93"/>
    </row>
    <row r="147" spans="1:53" ht="22.5" customHeight="1" x14ac:dyDescent="0.2">
      <c r="A147" s="281" t="s">
        <v>643</v>
      </c>
      <c r="B147" s="296" t="s">
        <v>750</v>
      </c>
      <c r="C147" s="293">
        <v>10055</v>
      </c>
      <c r="D147" s="283" t="s">
        <v>706</v>
      </c>
      <c r="E147" s="284" t="s">
        <v>706</v>
      </c>
      <c r="F147" s="298" t="s">
        <v>706</v>
      </c>
      <c r="G147" s="293">
        <v>10055</v>
      </c>
      <c r="H147" s="283">
        <v>0</v>
      </c>
      <c r="I147" s="285">
        <v>0</v>
      </c>
      <c r="J147" s="300">
        <v>0</v>
      </c>
      <c r="K147" s="293">
        <v>10055</v>
      </c>
      <c r="L147" s="283">
        <v>65</v>
      </c>
      <c r="M147" s="300">
        <v>0.01</v>
      </c>
      <c r="N147" s="293">
        <v>10055</v>
      </c>
      <c r="O147" s="283">
        <v>0</v>
      </c>
      <c r="P147" s="300">
        <v>0</v>
      </c>
      <c r="Q147" s="293">
        <v>10055</v>
      </c>
      <c r="R147" s="283">
        <v>565</v>
      </c>
      <c r="S147" s="303">
        <v>0.06</v>
      </c>
      <c r="T147" s="302">
        <v>0</v>
      </c>
      <c r="U147" s="293">
        <v>20</v>
      </c>
      <c r="V147" s="283">
        <v>0</v>
      </c>
      <c r="W147" s="284" t="s">
        <v>1037</v>
      </c>
      <c r="X147" s="282" t="s">
        <v>1037</v>
      </c>
      <c r="Y147" s="303" t="s">
        <v>1037</v>
      </c>
      <c r="Z147" s="293">
        <v>15</v>
      </c>
      <c r="AA147" s="283">
        <v>98</v>
      </c>
      <c r="AB147" s="307">
        <v>98</v>
      </c>
      <c r="AC147" s="293">
        <v>9990</v>
      </c>
      <c r="AD147" s="283">
        <v>0</v>
      </c>
      <c r="AE147" s="284">
        <v>0</v>
      </c>
      <c r="AF147" s="282" t="s">
        <v>1037</v>
      </c>
      <c r="AG147" s="303">
        <v>0</v>
      </c>
      <c r="AH147" s="293">
        <v>22</v>
      </c>
      <c r="AI147" s="283">
        <v>86</v>
      </c>
      <c r="AJ147" s="307">
        <v>734</v>
      </c>
      <c r="AK147" s="293">
        <v>55</v>
      </c>
      <c r="AL147" s="283">
        <v>101</v>
      </c>
      <c r="AM147" s="307">
        <v>101</v>
      </c>
      <c r="AN147" s="293">
        <v>52</v>
      </c>
      <c r="AO147" s="283">
        <v>134</v>
      </c>
      <c r="AP147" s="307">
        <v>407</v>
      </c>
      <c r="AQ147" s="293">
        <v>10055</v>
      </c>
      <c r="AR147" s="283">
        <v>0</v>
      </c>
      <c r="AS147" s="284">
        <v>0</v>
      </c>
      <c r="AT147" s="282" t="s">
        <v>1037</v>
      </c>
      <c r="AU147" s="303">
        <v>0</v>
      </c>
      <c r="AV147" s="293">
        <v>52</v>
      </c>
      <c r="AW147" s="283">
        <v>134</v>
      </c>
      <c r="AX147" s="286">
        <v>407</v>
      </c>
      <c r="AY147" s="93"/>
      <c r="AZ147" s="93"/>
      <c r="BA147" s="93"/>
    </row>
    <row r="148" spans="1:53" ht="22.5" customHeight="1" x14ac:dyDescent="0.2">
      <c r="A148" s="281" t="s">
        <v>388</v>
      </c>
      <c r="B148" s="296" t="s">
        <v>820</v>
      </c>
      <c r="C148" s="293">
        <v>130205</v>
      </c>
      <c r="D148" s="283">
        <v>159098</v>
      </c>
      <c r="E148" s="284">
        <v>0.82</v>
      </c>
      <c r="F148" s="298" t="s">
        <v>721</v>
      </c>
      <c r="G148" s="293">
        <v>130205</v>
      </c>
      <c r="H148" s="283">
        <v>170</v>
      </c>
      <c r="I148" s="285">
        <v>0</v>
      </c>
      <c r="J148" s="300">
        <v>0</v>
      </c>
      <c r="K148" s="293">
        <v>130035</v>
      </c>
      <c r="L148" s="283">
        <v>2485</v>
      </c>
      <c r="M148" s="300">
        <v>0.02</v>
      </c>
      <c r="N148" s="293">
        <v>130205</v>
      </c>
      <c r="O148" s="283">
        <v>0</v>
      </c>
      <c r="P148" s="300">
        <v>0</v>
      </c>
      <c r="Q148" s="293">
        <v>130205</v>
      </c>
      <c r="R148" s="283">
        <v>10080</v>
      </c>
      <c r="S148" s="303">
        <v>0.08</v>
      </c>
      <c r="T148" s="302">
        <v>0</v>
      </c>
      <c r="U148" s="293">
        <v>34045</v>
      </c>
      <c r="V148" s="283">
        <v>2815</v>
      </c>
      <c r="W148" s="284">
        <v>0.08</v>
      </c>
      <c r="X148" s="282" t="s">
        <v>1037</v>
      </c>
      <c r="Y148" s="303">
        <v>0</v>
      </c>
      <c r="Z148" s="293">
        <v>7</v>
      </c>
      <c r="AA148" s="283">
        <v>37</v>
      </c>
      <c r="AB148" s="307">
        <v>1439</v>
      </c>
      <c r="AC148" s="293">
        <v>127505</v>
      </c>
      <c r="AD148" s="283">
        <v>25</v>
      </c>
      <c r="AE148" s="284">
        <v>0</v>
      </c>
      <c r="AF148" s="282" t="s">
        <v>1037</v>
      </c>
      <c r="AG148" s="303">
        <v>0</v>
      </c>
      <c r="AH148" s="293">
        <v>13</v>
      </c>
      <c r="AI148" s="283">
        <v>90</v>
      </c>
      <c r="AJ148" s="307">
        <v>994</v>
      </c>
      <c r="AK148" s="293">
        <v>225</v>
      </c>
      <c r="AL148" s="283">
        <v>396</v>
      </c>
      <c r="AM148" s="307">
        <v>1095</v>
      </c>
      <c r="AN148" s="293">
        <v>142</v>
      </c>
      <c r="AO148" s="283">
        <v>238</v>
      </c>
      <c r="AP148" s="307">
        <v>1398</v>
      </c>
      <c r="AQ148" s="293">
        <v>130205</v>
      </c>
      <c r="AR148" s="283" t="s">
        <v>906</v>
      </c>
      <c r="AS148" s="284" t="s">
        <v>906</v>
      </c>
      <c r="AT148" s="282" t="s">
        <v>1037</v>
      </c>
      <c r="AU148" s="303">
        <v>0</v>
      </c>
      <c r="AV148" s="293">
        <v>167</v>
      </c>
      <c r="AW148" s="283">
        <v>300</v>
      </c>
      <c r="AX148" s="286">
        <v>1398</v>
      </c>
      <c r="AY148" s="93"/>
      <c r="AZ148" s="93"/>
      <c r="BA148" s="93"/>
    </row>
    <row r="149" spans="1:53" ht="22.5" customHeight="1" x14ac:dyDescent="0.2">
      <c r="A149" s="281" t="s">
        <v>389</v>
      </c>
      <c r="B149" s="296" t="s">
        <v>894</v>
      </c>
      <c r="C149" s="293">
        <v>121930</v>
      </c>
      <c r="D149" s="283">
        <v>136918</v>
      </c>
      <c r="E149" s="284">
        <v>0.89</v>
      </c>
      <c r="F149" s="298" t="s">
        <v>721</v>
      </c>
      <c r="G149" s="293">
        <v>121930</v>
      </c>
      <c r="H149" s="283">
        <v>0</v>
      </c>
      <c r="I149" s="285">
        <v>0</v>
      </c>
      <c r="J149" s="300">
        <v>0</v>
      </c>
      <c r="K149" s="293">
        <v>121930</v>
      </c>
      <c r="L149" s="283">
        <v>0</v>
      </c>
      <c r="M149" s="300">
        <v>0</v>
      </c>
      <c r="N149" s="293">
        <v>121930</v>
      </c>
      <c r="O149" s="283">
        <v>0</v>
      </c>
      <c r="P149" s="300">
        <v>0</v>
      </c>
      <c r="Q149" s="293">
        <v>121930</v>
      </c>
      <c r="R149" s="283">
        <v>7710</v>
      </c>
      <c r="S149" s="303">
        <v>0.06</v>
      </c>
      <c r="T149" s="302">
        <v>0</v>
      </c>
      <c r="U149" s="293">
        <v>40050</v>
      </c>
      <c r="V149" s="283">
        <v>40050</v>
      </c>
      <c r="W149" s="284">
        <v>1</v>
      </c>
      <c r="X149" s="282" t="s">
        <v>1037</v>
      </c>
      <c r="Y149" s="303">
        <v>0</v>
      </c>
      <c r="Z149" s="293" t="s">
        <v>908</v>
      </c>
      <c r="AA149" s="283" t="s">
        <v>908</v>
      </c>
      <c r="AB149" s="307" t="s">
        <v>908</v>
      </c>
      <c r="AC149" s="293">
        <v>121930</v>
      </c>
      <c r="AD149" s="283">
        <v>3075</v>
      </c>
      <c r="AE149" s="284">
        <v>0.03</v>
      </c>
      <c r="AF149" s="282" t="s">
        <v>1037</v>
      </c>
      <c r="AG149" s="303">
        <v>0</v>
      </c>
      <c r="AH149" s="293">
        <v>94</v>
      </c>
      <c r="AI149" s="283">
        <v>327</v>
      </c>
      <c r="AJ149" s="307">
        <v>1436</v>
      </c>
      <c r="AK149" s="293">
        <v>355</v>
      </c>
      <c r="AL149" s="283">
        <v>909</v>
      </c>
      <c r="AM149" s="307">
        <v>1437</v>
      </c>
      <c r="AN149" s="293">
        <v>145</v>
      </c>
      <c r="AO149" s="283">
        <v>459</v>
      </c>
      <c r="AP149" s="307">
        <v>1438</v>
      </c>
      <c r="AQ149" s="293">
        <v>121930</v>
      </c>
      <c r="AR149" s="283">
        <v>0</v>
      </c>
      <c r="AS149" s="284">
        <v>0</v>
      </c>
      <c r="AT149" s="282" t="s">
        <v>1037</v>
      </c>
      <c r="AU149" s="303">
        <v>0</v>
      </c>
      <c r="AV149" s="293">
        <v>175</v>
      </c>
      <c r="AW149" s="283">
        <v>692</v>
      </c>
      <c r="AX149" s="286">
        <v>1438</v>
      </c>
      <c r="AY149" s="93"/>
      <c r="AZ149" s="93"/>
      <c r="BA149" s="93"/>
    </row>
    <row r="150" spans="1:53" ht="22.5" customHeight="1" x14ac:dyDescent="0.2">
      <c r="A150" s="281" t="s">
        <v>390</v>
      </c>
      <c r="B150" s="296" t="s">
        <v>754</v>
      </c>
      <c r="C150" s="293">
        <v>27595</v>
      </c>
      <c r="D150" s="283">
        <v>27671</v>
      </c>
      <c r="E150" s="284">
        <v>1</v>
      </c>
      <c r="F150" s="298" t="s">
        <v>712</v>
      </c>
      <c r="G150" s="293">
        <v>27595</v>
      </c>
      <c r="H150" s="283">
        <v>0</v>
      </c>
      <c r="I150" s="285">
        <v>0</v>
      </c>
      <c r="J150" s="300">
        <v>0.09</v>
      </c>
      <c r="K150" s="293">
        <v>27595</v>
      </c>
      <c r="L150" s="283">
        <v>270</v>
      </c>
      <c r="M150" s="300">
        <v>0.01</v>
      </c>
      <c r="N150" s="293">
        <v>27595</v>
      </c>
      <c r="O150" s="283">
        <v>0</v>
      </c>
      <c r="P150" s="300">
        <v>0</v>
      </c>
      <c r="Q150" s="293">
        <v>27595</v>
      </c>
      <c r="R150" s="283">
        <v>1925</v>
      </c>
      <c r="S150" s="303">
        <v>7.0000000000000007E-2</v>
      </c>
      <c r="T150" s="302">
        <v>0</v>
      </c>
      <c r="U150" s="293">
        <v>70</v>
      </c>
      <c r="V150" s="283">
        <v>0</v>
      </c>
      <c r="W150" s="284" t="s">
        <v>1037</v>
      </c>
      <c r="X150" s="282" t="s">
        <v>1037</v>
      </c>
      <c r="Y150" s="303" t="s">
        <v>1037</v>
      </c>
      <c r="Z150" s="293">
        <v>5</v>
      </c>
      <c r="AA150" s="283">
        <v>390</v>
      </c>
      <c r="AB150" s="307">
        <v>1237</v>
      </c>
      <c r="AC150" s="293">
        <v>27290</v>
      </c>
      <c r="AD150" s="283">
        <v>705</v>
      </c>
      <c r="AE150" s="284">
        <v>0.03</v>
      </c>
      <c r="AF150" s="282" t="s">
        <v>1037</v>
      </c>
      <c r="AG150" s="303">
        <v>0</v>
      </c>
      <c r="AH150" s="293">
        <v>3</v>
      </c>
      <c r="AI150" s="283">
        <v>53</v>
      </c>
      <c r="AJ150" s="307">
        <v>1382</v>
      </c>
      <c r="AK150" s="293">
        <v>60</v>
      </c>
      <c r="AL150" s="283">
        <v>129</v>
      </c>
      <c r="AM150" s="307">
        <v>1088</v>
      </c>
      <c r="AN150" s="293">
        <v>55</v>
      </c>
      <c r="AO150" s="283">
        <v>175</v>
      </c>
      <c r="AP150" s="307">
        <v>1401</v>
      </c>
      <c r="AQ150" s="293">
        <v>27595</v>
      </c>
      <c r="AR150" s="283">
        <v>0</v>
      </c>
      <c r="AS150" s="284">
        <v>0</v>
      </c>
      <c r="AT150" s="282" t="s">
        <v>1037</v>
      </c>
      <c r="AU150" s="303">
        <v>0</v>
      </c>
      <c r="AV150" s="293">
        <v>55</v>
      </c>
      <c r="AW150" s="283">
        <v>175</v>
      </c>
      <c r="AX150" s="286">
        <v>1401</v>
      </c>
      <c r="AY150" s="93"/>
      <c r="AZ150" s="93"/>
      <c r="BA150" s="93"/>
    </row>
    <row r="151" spans="1:53" ht="22.5" customHeight="1" x14ac:dyDescent="0.2">
      <c r="A151" s="281" t="s">
        <v>638</v>
      </c>
      <c r="B151" s="296" t="s">
        <v>742</v>
      </c>
      <c r="C151" s="293">
        <v>23280</v>
      </c>
      <c r="D151" s="283">
        <v>23344</v>
      </c>
      <c r="E151" s="284">
        <v>1</v>
      </c>
      <c r="F151" s="298" t="s">
        <v>712</v>
      </c>
      <c r="G151" s="293">
        <v>23280</v>
      </c>
      <c r="H151" s="283">
        <v>0</v>
      </c>
      <c r="I151" s="285">
        <v>0</v>
      </c>
      <c r="J151" s="300">
        <v>0.04</v>
      </c>
      <c r="K151" s="293">
        <v>23280</v>
      </c>
      <c r="L151" s="283">
        <v>0</v>
      </c>
      <c r="M151" s="300">
        <v>0</v>
      </c>
      <c r="N151" s="293">
        <v>23280</v>
      </c>
      <c r="O151" s="283">
        <v>0</v>
      </c>
      <c r="P151" s="300">
        <v>0</v>
      </c>
      <c r="Q151" s="293">
        <v>23280</v>
      </c>
      <c r="R151" s="283">
        <v>1765</v>
      </c>
      <c r="S151" s="303">
        <v>0.08</v>
      </c>
      <c r="T151" s="302">
        <v>0</v>
      </c>
      <c r="U151" s="293">
        <v>30</v>
      </c>
      <c r="V151" s="283">
        <v>0</v>
      </c>
      <c r="W151" s="284" t="s">
        <v>1037</v>
      </c>
      <c r="X151" s="282" t="s">
        <v>1037</v>
      </c>
      <c r="Y151" s="303" t="s">
        <v>1037</v>
      </c>
      <c r="Z151" s="293">
        <v>12</v>
      </c>
      <c r="AA151" s="283">
        <v>53</v>
      </c>
      <c r="AB151" s="307">
        <v>53</v>
      </c>
      <c r="AC151" s="293">
        <v>23040</v>
      </c>
      <c r="AD151" s="283">
        <v>0</v>
      </c>
      <c r="AE151" s="284">
        <v>0</v>
      </c>
      <c r="AF151" s="282" t="s">
        <v>1037</v>
      </c>
      <c r="AG151" s="303">
        <v>0</v>
      </c>
      <c r="AH151" s="293">
        <v>40</v>
      </c>
      <c r="AI151" s="283">
        <v>137</v>
      </c>
      <c r="AJ151" s="307">
        <v>601</v>
      </c>
      <c r="AK151" s="293">
        <v>52</v>
      </c>
      <c r="AL151" s="283">
        <v>143</v>
      </c>
      <c r="AM151" s="307">
        <v>296</v>
      </c>
      <c r="AN151" s="293">
        <v>55</v>
      </c>
      <c r="AO151" s="283">
        <v>154</v>
      </c>
      <c r="AP151" s="307">
        <v>726</v>
      </c>
      <c r="AQ151" s="293">
        <v>23280</v>
      </c>
      <c r="AR151" s="283">
        <v>0</v>
      </c>
      <c r="AS151" s="284">
        <v>0</v>
      </c>
      <c r="AT151" s="282" t="s">
        <v>1037</v>
      </c>
      <c r="AU151" s="303">
        <v>0</v>
      </c>
      <c r="AV151" s="293">
        <v>55</v>
      </c>
      <c r="AW151" s="283">
        <v>154</v>
      </c>
      <c r="AX151" s="286">
        <v>726</v>
      </c>
      <c r="AY151" s="93"/>
      <c r="AZ151" s="93"/>
      <c r="BA151" s="93"/>
    </row>
    <row r="152" spans="1:53" ht="22.5" customHeight="1" x14ac:dyDescent="0.2">
      <c r="A152" s="281" t="s">
        <v>391</v>
      </c>
      <c r="B152" s="296" t="s">
        <v>804</v>
      </c>
      <c r="C152" s="293">
        <v>82140</v>
      </c>
      <c r="D152" s="283">
        <v>92221</v>
      </c>
      <c r="E152" s="284">
        <v>0.89</v>
      </c>
      <c r="F152" s="298" t="s">
        <v>721</v>
      </c>
      <c r="G152" s="293">
        <v>82140</v>
      </c>
      <c r="H152" s="283" t="s">
        <v>906</v>
      </c>
      <c r="I152" s="285" t="s">
        <v>906</v>
      </c>
      <c r="J152" s="300">
        <v>0.02</v>
      </c>
      <c r="K152" s="293">
        <v>82140</v>
      </c>
      <c r="L152" s="283">
        <v>1545</v>
      </c>
      <c r="M152" s="300">
        <v>0.02</v>
      </c>
      <c r="N152" s="293">
        <v>82140</v>
      </c>
      <c r="O152" s="283">
        <v>0</v>
      </c>
      <c r="P152" s="300">
        <v>0</v>
      </c>
      <c r="Q152" s="293">
        <v>82140</v>
      </c>
      <c r="R152" s="283">
        <v>4505</v>
      </c>
      <c r="S152" s="303">
        <v>0.05</v>
      </c>
      <c r="T152" s="302">
        <v>0</v>
      </c>
      <c r="U152" s="293">
        <v>155</v>
      </c>
      <c r="V152" s="283">
        <v>0</v>
      </c>
      <c r="W152" s="284" t="s">
        <v>1037</v>
      </c>
      <c r="X152" s="282" t="s">
        <v>1037</v>
      </c>
      <c r="Y152" s="303" t="s">
        <v>1037</v>
      </c>
      <c r="Z152" s="293">
        <v>17</v>
      </c>
      <c r="AA152" s="283">
        <v>139</v>
      </c>
      <c r="AB152" s="307">
        <v>303</v>
      </c>
      <c r="AC152" s="293">
        <v>80585</v>
      </c>
      <c r="AD152" s="283">
        <v>0</v>
      </c>
      <c r="AE152" s="284">
        <v>0</v>
      </c>
      <c r="AF152" s="282" t="s">
        <v>1037</v>
      </c>
      <c r="AG152" s="303">
        <v>0</v>
      </c>
      <c r="AH152" s="293">
        <v>31</v>
      </c>
      <c r="AI152" s="283">
        <v>127</v>
      </c>
      <c r="AJ152" s="307">
        <v>714</v>
      </c>
      <c r="AK152" s="293">
        <v>83</v>
      </c>
      <c r="AL152" s="283">
        <v>257</v>
      </c>
      <c r="AM152" s="307">
        <v>307</v>
      </c>
      <c r="AN152" s="293">
        <v>61</v>
      </c>
      <c r="AO152" s="283">
        <v>173</v>
      </c>
      <c r="AP152" s="307">
        <v>826</v>
      </c>
      <c r="AQ152" s="293">
        <v>82140</v>
      </c>
      <c r="AR152" s="283">
        <v>0</v>
      </c>
      <c r="AS152" s="284">
        <v>0</v>
      </c>
      <c r="AT152" s="282" t="s">
        <v>1037</v>
      </c>
      <c r="AU152" s="303">
        <v>0</v>
      </c>
      <c r="AV152" s="293">
        <v>61</v>
      </c>
      <c r="AW152" s="283">
        <v>173</v>
      </c>
      <c r="AX152" s="286">
        <v>826</v>
      </c>
      <c r="AY152" s="93"/>
      <c r="AZ152" s="93"/>
      <c r="BA152" s="93"/>
    </row>
    <row r="153" spans="1:53" ht="22.5" customHeight="1" x14ac:dyDescent="0.2">
      <c r="A153" s="281" t="s">
        <v>393</v>
      </c>
      <c r="B153" s="296" t="s">
        <v>863</v>
      </c>
      <c r="C153" s="293">
        <v>155530</v>
      </c>
      <c r="D153" s="283">
        <v>155840</v>
      </c>
      <c r="E153" s="284">
        <v>1</v>
      </c>
      <c r="F153" s="298" t="s">
        <v>712</v>
      </c>
      <c r="G153" s="293">
        <v>155530</v>
      </c>
      <c r="H153" s="283">
        <v>0</v>
      </c>
      <c r="I153" s="285">
        <v>0</v>
      </c>
      <c r="J153" s="300">
        <v>0</v>
      </c>
      <c r="K153" s="293">
        <v>155530</v>
      </c>
      <c r="L153" s="283">
        <v>25</v>
      </c>
      <c r="M153" s="300">
        <v>0</v>
      </c>
      <c r="N153" s="293">
        <v>155530</v>
      </c>
      <c r="O153" s="283">
        <v>0</v>
      </c>
      <c r="P153" s="300">
        <v>0</v>
      </c>
      <c r="Q153" s="293">
        <v>155530</v>
      </c>
      <c r="R153" s="283">
        <v>845</v>
      </c>
      <c r="S153" s="303">
        <v>0.01</v>
      </c>
      <c r="T153" s="302">
        <v>0</v>
      </c>
      <c r="U153" s="293">
        <v>31135</v>
      </c>
      <c r="V153" s="283">
        <v>85</v>
      </c>
      <c r="W153" s="284">
        <v>0</v>
      </c>
      <c r="X153" s="282" t="s">
        <v>1037</v>
      </c>
      <c r="Y153" s="303">
        <v>0</v>
      </c>
      <c r="Z153" s="293">
        <v>4</v>
      </c>
      <c r="AA153" s="283">
        <v>14</v>
      </c>
      <c r="AB153" s="307">
        <v>148</v>
      </c>
      <c r="AC153" s="293">
        <v>155505</v>
      </c>
      <c r="AD153" s="283">
        <v>5300</v>
      </c>
      <c r="AE153" s="284">
        <v>0.03</v>
      </c>
      <c r="AF153" s="282" t="s">
        <v>1037</v>
      </c>
      <c r="AG153" s="303">
        <v>0</v>
      </c>
      <c r="AH153" s="293">
        <v>29</v>
      </c>
      <c r="AI153" s="283">
        <v>157</v>
      </c>
      <c r="AJ153" s="307">
        <v>528</v>
      </c>
      <c r="AK153" s="293">
        <v>182</v>
      </c>
      <c r="AL153" s="283">
        <v>253</v>
      </c>
      <c r="AM153" s="307">
        <v>545</v>
      </c>
      <c r="AN153" s="293">
        <v>116</v>
      </c>
      <c r="AO153" s="283">
        <v>239</v>
      </c>
      <c r="AP153" s="307">
        <v>788</v>
      </c>
      <c r="AQ153" s="293">
        <v>155530</v>
      </c>
      <c r="AR153" s="283">
        <v>0</v>
      </c>
      <c r="AS153" s="284">
        <v>0</v>
      </c>
      <c r="AT153" s="282" t="s">
        <v>1037</v>
      </c>
      <c r="AU153" s="303">
        <v>0</v>
      </c>
      <c r="AV153" s="293">
        <v>117</v>
      </c>
      <c r="AW153" s="283">
        <v>239</v>
      </c>
      <c r="AX153" s="286">
        <v>788</v>
      </c>
      <c r="AY153" s="93"/>
      <c r="AZ153" s="93"/>
      <c r="BA153" s="93"/>
    </row>
    <row r="154" spans="1:53" ht="22.5" customHeight="1" x14ac:dyDescent="0.2">
      <c r="A154" s="281" t="s">
        <v>394</v>
      </c>
      <c r="B154" s="296" t="s">
        <v>792</v>
      </c>
      <c r="C154" s="293">
        <v>70905</v>
      </c>
      <c r="D154" s="283">
        <v>70775</v>
      </c>
      <c r="E154" s="284">
        <v>1</v>
      </c>
      <c r="F154" s="298" t="s">
        <v>712</v>
      </c>
      <c r="G154" s="293">
        <v>70905</v>
      </c>
      <c r="H154" s="283">
        <v>65</v>
      </c>
      <c r="I154" s="285">
        <v>0</v>
      </c>
      <c r="J154" s="300" t="s">
        <v>906</v>
      </c>
      <c r="K154" s="293">
        <v>70840</v>
      </c>
      <c r="L154" s="283">
        <v>40</v>
      </c>
      <c r="M154" s="300">
        <v>0</v>
      </c>
      <c r="N154" s="293">
        <v>70905</v>
      </c>
      <c r="O154" s="283">
        <v>0</v>
      </c>
      <c r="P154" s="300">
        <v>0</v>
      </c>
      <c r="Q154" s="293">
        <v>70905</v>
      </c>
      <c r="R154" s="283">
        <v>6650</v>
      </c>
      <c r="S154" s="303">
        <v>0.09</v>
      </c>
      <c r="T154" s="302">
        <v>0</v>
      </c>
      <c r="U154" s="293">
        <v>14785</v>
      </c>
      <c r="V154" s="283">
        <v>25</v>
      </c>
      <c r="W154" s="284">
        <v>0</v>
      </c>
      <c r="X154" s="282" t="s">
        <v>1037</v>
      </c>
      <c r="Y154" s="303">
        <v>0</v>
      </c>
      <c r="Z154" s="293">
        <v>9</v>
      </c>
      <c r="AA154" s="283">
        <v>40</v>
      </c>
      <c r="AB154" s="307">
        <v>204</v>
      </c>
      <c r="AC154" s="293">
        <v>70800</v>
      </c>
      <c r="AD154" s="283">
        <v>18020</v>
      </c>
      <c r="AE154" s="284">
        <v>0.25</v>
      </c>
      <c r="AF154" s="282" t="s">
        <v>1037</v>
      </c>
      <c r="AG154" s="303">
        <v>0</v>
      </c>
      <c r="AH154" s="293">
        <v>66</v>
      </c>
      <c r="AI154" s="283">
        <v>223</v>
      </c>
      <c r="AJ154" s="307">
        <v>908</v>
      </c>
      <c r="AK154" s="293">
        <v>207</v>
      </c>
      <c r="AL154" s="283">
        <v>355</v>
      </c>
      <c r="AM154" s="307">
        <v>973</v>
      </c>
      <c r="AN154" s="293">
        <v>108</v>
      </c>
      <c r="AO154" s="283">
        <v>235</v>
      </c>
      <c r="AP154" s="307">
        <v>994</v>
      </c>
      <c r="AQ154" s="293">
        <v>70905</v>
      </c>
      <c r="AR154" s="283">
        <v>65</v>
      </c>
      <c r="AS154" s="284">
        <v>0</v>
      </c>
      <c r="AT154" s="282" t="s">
        <v>1037</v>
      </c>
      <c r="AU154" s="303">
        <v>0</v>
      </c>
      <c r="AV154" s="293">
        <v>126</v>
      </c>
      <c r="AW154" s="283">
        <v>254</v>
      </c>
      <c r="AX154" s="286">
        <v>994</v>
      </c>
      <c r="AY154" s="93"/>
      <c r="AZ154" s="93"/>
      <c r="BA154" s="93"/>
    </row>
    <row r="155" spans="1:53" ht="22.5" customHeight="1" x14ac:dyDescent="0.2">
      <c r="A155" s="281" t="s">
        <v>395</v>
      </c>
      <c r="B155" s="296" t="s">
        <v>814</v>
      </c>
      <c r="C155" s="293">
        <v>78645</v>
      </c>
      <c r="D155" s="283">
        <v>79453</v>
      </c>
      <c r="E155" s="284">
        <v>0.99</v>
      </c>
      <c r="F155" s="298" t="s">
        <v>712</v>
      </c>
      <c r="G155" s="293">
        <v>78645</v>
      </c>
      <c r="H155" s="283" t="s">
        <v>906</v>
      </c>
      <c r="I155" s="285" t="s">
        <v>906</v>
      </c>
      <c r="J155" s="300" t="s">
        <v>906</v>
      </c>
      <c r="K155" s="293">
        <v>78640</v>
      </c>
      <c r="L155" s="283">
        <v>1285</v>
      </c>
      <c r="M155" s="300">
        <v>0.02</v>
      </c>
      <c r="N155" s="293">
        <v>78645</v>
      </c>
      <c r="O155" s="283">
        <v>0</v>
      </c>
      <c r="P155" s="300">
        <v>0</v>
      </c>
      <c r="Q155" s="293">
        <v>78645</v>
      </c>
      <c r="R155" s="283">
        <v>4945</v>
      </c>
      <c r="S155" s="303">
        <v>0.06</v>
      </c>
      <c r="T155" s="302">
        <v>0</v>
      </c>
      <c r="U155" s="293">
        <v>20420</v>
      </c>
      <c r="V155" s="283">
        <v>1840</v>
      </c>
      <c r="W155" s="284">
        <v>0.09</v>
      </c>
      <c r="X155" s="282" t="s">
        <v>1037</v>
      </c>
      <c r="Y155" s="303">
        <v>0</v>
      </c>
      <c r="Z155" s="293">
        <v>6</v>
      </c>
      <c r="AA155" s="283">
        <v>25</v>
      </c>
      <c r="AB155" s="307">
        <v>163</v>
      </c>
      <c r="AC155" s="293">
        <v>77355</v>
      </c>
      <c r="AD155" s="283">
        <v>5870</v>
      </c>
      <c r="AE155" s="284">
        <v>0.08</v>
      </c>
      <c r="AF155" s="282" t="s">
        <v>1037</v>
      </c>
      <c r="AG155" s="303">
        <v>0</v>
      </c>
      <c r="AH155" s="293">
        <v>41</v>
      </c>
      <c r="AI155" s="283">
        <v>136</v>
      </c>
      <c r="AJ155" s="307">
        <v>1438</v>
      </c>
      <c r="AK155" s="293">
        <v>221</v>
      </c>
      <c r="AL155" s="283">
        <v>417</v>
      </c>
      <c r="AM155" s="307">
        <v>1430</v>
      </c>
      <c r="AN155" s="293">
        <v>103</v>
      </c>
      <c r="AO155" s="283">
        <v>236</v>
      </c>
      <c r="AP155" s="307">
        <v>1295</v>
      </c>
      <c r="AQ155" s="293">
        <v>78645</v>
      </c>
      <c r="AR155" s="283">
        <v>0</v>
      </c>
      <c r="AS155" s="284">
        <v>0</v>
      </c>
      <c r="AT155" s="282" t="s">
        <v>1037</v>
      </c>
      <c r="AU155" s="303">
        <v>0</v>
      </c>
      <c r="AV155" s="293">
        <v>135</v>
      </c>
      <c r="AW155" s="283">
        <v>277</v>
      </c>
      <c r="AX155" s="286">
        <v>1430</v>
      </c>
      <c r="AY155" s="93"/>
      <c r="AZ155" s="93"/>
      <c r="BA155" s="93"/>
    </row>
    <row r="156" spans="1:53" ht="22.5" customHeight="1" x14ac:dyDescent="0.2">
      <c r="A156" s="281" t="s">
        <v>466</v>
      </c>
      <c r="B156" s="296" t="s">
        <v>901</v>
      </c>
      <c r="C156" s="293" t="s">
        <v>706</v>
      </c>
      <c r="D156" s="283">
        <v>18762</v>
      </c>
      <c r="E156" s="284" t="s">
        <v>706</v>
      </c>
      <c r="F156" s="298" t="s">
        <v>706</v>
      </c>
      <c r="G156" s="293" t="s">
        <v>706</v>
      </c>
      <c r="H156" s="283" t="s">
        <v>706</v>
      </c>
      <c r="I156" s="285" t="s">
        <v>706</v>
      </c>
      <c r="J156" s="300" t="s">
        <v>706</v>
      </c>
      <c r="K156" s="293" t="s">
        <v>706</v>
      </c>
      <c r="L156" s="283" t="s">
        <v>706</v>
      </c>
      <c r="M156" s="300" t="s">
        <v>706</v>
      </c>
      <c r="N156" s="293">
        <v>20930</v>
      </c>
      <c r="O156" s="283">
        <v>20930</v>
      </c>
      <c r="P156" s="300">
        <v>1</v>
      </c>
      <c r="Q156" s="293" t="s">
        <v>706</v>
      </c>
      <c r="R156" s="283" t="s">
        <v>706</v>
      </c>
      <c r="S156" s="303" t="s">
        <v>706</v>
      </c>
      <c r="T156" s="302" t="s">
        <v>706</v>
      </c>
      <c r="U156" s="293" t="s">
        <v>706</v>
      </c>
      <c r="V156" s="283" t="s">
        <v>706</v>
      </c>
      <c r="W156" s="284" t="s">
        <v>706</v>
      </c>
      <c r="X156" s="282" t="s">
        <v>1037</v>
      </c>
      <c r="Y156" s="303" t="s">
        <v>706</v>
      </c>
      <c r="Z156" s="293" t="s">
        <v>706</v>
      </c>
      <c r="AA156" s="283" t="s">
        <v>706</v>
      </c>
      <c r="AB156" s="307" t="s">
        <v>706</v>
      </c>
      <c r="AC156" s="293" t="s">
        <v>706</v>
      </c>
      <c r="AD156" s="283" t="s">
        <v>706</v>
      </c>
      <c r="AE156" s="284" t="s">
        <v>706</v>
      </c>
      <c r="AF156" s="282" t="s">
        <v>1037</v>
      </c>
      <c r="AG156" s="303" t="s">
        <v>706</v>
      </c>
      <c r="AH156" s="293" t="s">
        <v>706</v>
      </c>
      <c r="AI156" s="283" t="s">
        <v>706</v>
      </c>
      <c r="AJ156" s="307" t="s">
        <v>706</v>
      </c>
      <c r="AK156" s="293" t="s">
        <v>706</v>
      </c>
      <c r="AL156" s="283" t="s">
        <v>706</v>
      </c>
      <c r="AM156" s="307" t="s">
        <v>706</v>
      </c>
      <c r="AN156" s="293" t="s">
        <v>706</v>
      </c>
      <c r="AO156" s="283" t="s">
        <v>706</v>
      </c>
      <c r="AP156" s="307" t="s">
        <v>706</v>
      </c>
      <c r="AQ156" s="293" t="s">
        <v>706</v>
      </c>
      <c r="AR156" s="283" t="s">
        <v>706</v>
      </c>
      <c r="AS156" s="284" t="s">
        <v>706</v>
      </c>
      <c r="AT156" s="282" t="s">
        <v>1037</v>
      </c>
      <c r="AU156" s="303" t="s">
        <v>706</v>
      </c>
      <c r="AV156" s="293" t="s">
        <v>706</v>
      </c>
      <c r="AW156" s="283" t="s">
        <v>706</v>
      </c>
      <c r="AX156" s="286" t="s">
        <v>706</v>
      </c>
      <c r="AY156" s="93"/>
      <c r="AZ156" s="93"/>
      <c r="BA156" s="93"/>
    </row>
    <row r="157" spans="1:53" ht="22.5" customHeight="1" x14ac:dyDescent="0.2">
      <c r="A157" s="281" t="s">
        <v>396</v>
      </c>
      <c r="B157" s="296" t="s">
        <v>747</v>
      </c>
      <c r="C157" s="293">
        <v>27360</v>
      </c>
      <c r="D157" s="283">
        <v>52665</v>
      </c>
      <c r="E157" s="284">
        <v>0.52</v>
      </c>
      <c r="F157" s="298" t="s">
        <v>735</v>
      </c>
      <c r="G157" s="293">
        <v>27360</v>
      </c>
      <c r="H157" s="283">
        <v>445</v>
      </c>
      <c r="I157" s="285">
        <v>0.02</v>
      </c>
      <c r="J157" s="300">
        <v>0.01</v>
      </c>
      <c r="K157" s="293">
        <v>26915</v>
      </c>
      <c r="L157" s="283">
        <v>470</v>
      </c>
      <c r="M157" s="300">
        <v>0.02</v>
      </c>
      <c r="N157" s="293">
        <v>52155</v>
      </c>
      <c r="O157" s="283">
        <v>24795</v>
      </c>
      <c r="P157" s="300">
        <v>0.48</v>
      </c>
      <c r="Q157" s="293">
        <v>27360</v>
      </c>
      <c r="R157" s="283">
        <v>1165</v>
      </c>
      <c r="S157" s="303">
        <v>0.04</v>
      </c>
      <c r="T157" s="302">
        <v>0</v>
      </c>
      <c r="U157" s="293">
        <v>65</v>
      </c>
      <c r="V157" s="283">
        <v>0</v>
      </c>
      <c r="W157" s="284" t="s">
        <v>1037</v>
      </c>
      <c r="X157" s="282" t="s">
        <v>1037</v>
      </c>
      <c r="Y157" s="303" t="s">
        <v>1037</v>
      </c>
      <c r="Z157" s="293">
        <v>15</v>
      </c>
      <c r="AA157" s="283">
        <v>48</v>
      </c>
      <c r="AB157" s="307">
        <v>57</v>
      </c>
      <c r="AC157" s="293">
        <v>26420</v>
      </c>
      <c r="AD157" s="283">
        <v>0</v>
      </c>
      <c r="AE157" s="284">
        <v>0</v>
      </c>
      <c r="AF157" s="282" t="s">
        <v>1037</v>
      </c>
      <c r="AG157" s="303">
        <v>0</v>
      </c>
      <c r="AH157" s="293">
        <v>53</v>
      </c>
      <c r="AI157" s="283">
        <v>181</v>
      </c>
      <c r="AJ157" s="307">
        <v>1438</v>
      </c>
      <c r="AK157" s="293">
        <v>91</v>
      </c>
      <c r="AL157" s="283">
        <v>205</v>
      </c>
      <c r="AM157" s="307">
        <v>266</v>
      </c>
      <c r="AN157" s="293">
        <v>77</v>
      </c>
      <c r="AO157" s="283">
        <v>202</v>
      </c>
      <c r="AP157" s="307">
        <v>1439</v>
      </c>
      <c r="AQ157" s="293">
        <v>27360</v>
      </c>
      <c r="AR157" s="283">
        <v>165</v>
      </c>
      <c r="AS157" s="284">
        <v>0.01</v>
      </c>
      <c r="AT157" s="282" t="s">
        <v>1037</v>
      </c>
      <c r="AU157" s="303">
        <v>0</v>
      </c>
      <c r="AV157" s="293">
        <v>77</v>
      </c>
      <c r="AW157" s="283">
        <v>202</v>
      </c>
      <c r="AX157" s="286">
        <v>1439</v>
      </c>
      <c r="AY157" s="93"/>
      <c r="AZ157" s="93"/>
      <c r="BA157" s="93"/>
    </row>
    <row r="158" spans="1:53" ht="22.5" customHeight="1" x14ac:dyDescent="0.2">
      <c r="A158" s="281" t="s">
        <v>397</v>
      </c>
      <c r="B158" s="296" t="s">
        <v>765</v>
      </c>
      <c r="C158" s="293">
        <v>95595</v>
      </c>
      <c r="D158" s="283">
        <v>104645</v>
      </c>
      <c r="E158" s="284">
        <v>0.91</v>
      </c>
      <c r="F158" s="298" t="s">
        <v>712</v>
      </c>
      <c r="G158" s="293">
        <v>95595</v>
      </c>
      <c r="H158" s="283">
        <v>0</v>
      </c>
      <c r="I158" s="285">
        <v>0</v>
      </c>
      <c r="J158" s="300">
        <v>0</v>
      </c>
      <c r="K158" s="293">
        <v>95595</v>
      </c>
      <c r="L158" s="283">
        <v>1470</v>
      </c>
      <c r="M158" s="300">
        <v>0.02</v>
      </c>
      <c r="N158" s="293">
        <v>104710</v>
      </c>
      <c r="O158" s="283">
        <v>9115</v>
      </c>
      <c r="P158" s="300">
        <v>0.09</v>
      </c>
      <c r="Q158" s="293">
        <v>95595</v>
      </c>
      <c r="R158" s="283">
        <v>6765</v>
      </c>
      <c r="S158" s="303">
        <v>7.0000000000000007E-2</v>
      </c>
      <c r="T158" s="302">
        <v>0</v>
      </c>
      <c r="U158" s="293">
        <v>28345</v>
      </c>
      <c r="V158" s="283">
        <v>8320</v>
      </c>
      <c r="W158" s="284">
        <v>0.28999999999999998</v>
      </c>
      <c r="X158" s="282" t="s">
        <v>1037</v>
      </c>
      <c r="Y158" s="303">
        <v>0</v>
      </c>
      <c r="Z158" s="293">
        <v>15</v>
      </c>
      <c r="AA158" s="283">
        <v>56</v>
      </c>
      <c r="AB158" s="307">
        <v>484</v>
      </c>
      <c r="AC158" s="293">
        <v>92710</v>
      </c>
      <c r="AD158" s="283">
        <v>675</v>
      </c>
      <c r="AE158" s="284">
        <v>0.01</v>
      </c>
      <c r="AF158" s="282" t="s">
        <v>1037</v>
      </c>
      <c r="AG158" s="303">
        <v>0</v>
      </c>
      <c r="AH158" s="293">
        <v>56</v>
      </c>
      <c r="AI158" s="283">
        <v>178</v>
      </c>
      <c r="AJ158" s="307">
        <v>874</v>
      </c>
      <c r="AK158" s="293">
        <v>231</v>
      </c>
      <c r="AL158" s="283">
        <v>607</v>
      </c>
      <c r="AM158" s="307">
        <v>1311</v>
      </c>
      <c r="AN158" s="293">
        <v>125</v>
      </c>
      <c r="AO158" s="283">
        <v>240</v>
      </c>
      <c r="AP158" s="307">
        <v>1422</v>
      </c>
      <c r="AQ158" s="293">
        <v>95595</v>
      </c>
      <c r="AR158" s="283">
        <v>0</v>
      </c>
      <c r="AS158" s="284">
        <v>0</v>
      </c>
      <c r="AT158" s="282" t="s">
        <v>1037</v>
      </c>
      <c r="AU158" s="303">
        <v>0</v>
      </c>
      <c r="AV158" s="293">
        <v>149</v>
      </c>
      <c r="AW158" s="283">
        <v>412</v>
      </c>
      <c r="AX158" s="286">
        <v>1422</v>
      </c>
      <c r="AY158" s="93"/>
      <c r="AZ158" s="93"/>
      <c r="BA158" s="93"/>
    </row>
    <row r="159" spans="1:53" ht="22.5" customHeight="1" x14ac:dyDescent="0.2">
      <c r="A159" s="281" t="s">
        <v>398</v>
      </c>
      <c r="B159" s="296" t="s">
        <v>872</v>
      </c>
      <c r="C159" s="293">
        <v>8690</v>
      </c>
      <c r="D159" s="283">
        <v>8647</v>
      </c>
      <c r="E159" s="284">
        <v>1</v>
      </c>
      <c r="F159" s="298" t="s">
        <v>712</v>
      </c>
      <c r="G159" s="293">
        <v>8690</v>
      </c>
      <c r="H159" s="283" t="s">
        <v>906</v>
      </c>
      <c r="I159" s="285" t="s">
        <v>906</v>
      </c>
      <c r="J159" s="300">
        <v>0</v>
      </c>
      <c r="K159" s="293">
        <v>8690</v>
      </c>
      <c r="L159" s="283">
        <v>40</v>
      </c>
      <c r="M159" s="300">
        <v>0</v>
      </c>
      <c r="N159" s="293">
        <v>8690</v>
      </c>
      <c r="O159" s="283">
        <v>0</v>
      </c>
      <c r="P159" s="300">
        <v>0</v>
      </c>
      <c r="Q159" s="293">
        <v>8690</v>
      </c>
      <c r="R159" s="283">
        <v>360</v>
      </c>
      <c r="S159" s="303">
        <v>0.04</v>
      </c>
      <c r="T159" s="302">
        <v>0</v>
      </c>
      <c r="U159" s="293">
        <v>10</v>
      </c>
      <c r="V159" s="283">
        <v>0</v>
      </c>
      <c r="W159" s="284" t="s">
        <v>1037</v>
      </c>
      <c r="X159" s="282" t="s">
        <v>1037</v>
      </c>
      <c r="Y159" s="303" t="s">
        <v>1037</v>
      </c>
      <c r="Z159" s="293">
        <v>5</v>
      </c>
      <c r="AA159" s="283">
        <v>10</v>
      </c>
      <c r="AB159" s="307">
        <v>10</v>
      </c>
      <c r="AC159" s="293">
        <v>8650</v>
      </c>
      <c r="AD159" s="283">
        <v>145</v>
      </c>
      <c r="AE159" s="284">
        <v>0.02</v>
      </c>
      <c r="AF159" s="282" t="s">
        <v>1037</v>
      </c>
      <c r="AG159" s="303">
        <v>0</v>
      </c>
      <c r="AH159" s="293">
        <v>10</v>
      </c>
      <c r="AI159" s="283">
        <v>55</v>
      </c>
      <c r="AJ159" s="307">
        <v>195</v>
      </c>
      <c r="AK159" s="293" t="s">
        <v>906</v>
      </c>
      <c r="AL159" s="283" t="s">
        <v>906</v>
      </c>
      <c r="AM159" s="307" t="s">
        <v>906</v>
      </c>
      <c r="AN159" s="293">
        <v>35</v>
      </c>
      <c r="AO159" s="283">
        <v>105</v>
      </c>
      <c r="AP159" s="307">
        <v>1422</v>
      </c>
      <c r="AQ159" s="293">
        <v>8690</v>
      </c>
      <c r="AR159" s="283">
        <v>0</v>
      </c>
      <c r="AS159" s="284">
        <v>0</v>
      </c>
      <c r="AT159" s="282" t="s">
        <v>1037</v>
      </c>
      <c r="AU159" s="303">
        <v>0</v>
      </c>
      <c r="AV159" s="293">
        <v>35</v>
      </c>
      <c r="AW159" s="283">
        <v>105</v>
      </c>
      <c r="AX159" s="286">
        <v>1422</v>
      </c>
      <c r="AY159" s="93"/>
      <c r="AZ159" s="93"/>
      <c r="BA159" s="93"/>
    </row>
    <row r="160" spans="1:53" ht="22.5" customHeight="1" x14ac:dyDescent="0.2">
      <c r="A160" s="281" t="s">
        <v>399</v>
      </c>
      <c r="B160" s="296" t="s">
        <v>871</v>
      </c>
      <c r="C160" s="293">
        <v>83180</v>
      </c>
      <c r="D160" s="283">
        <v>121152</v>
      </c>
      <c r="E160" s="284">
        <v>0.69</v>
      </c>
      <c r="F160" s="298" t="s">
        <v>735</v>
      </c>
      <c r="G160" s="293">
        <v>83180</v>
      </c>
      <c r="H160" s="283" t="s">
        <v>906</v>
      </c>
      <c r="I160" s="285" t="s">
        <v>906</v>
      </c>
      <c r="J160" s="300">
        <v>0</v>
      </c>
      <c r="K160" s="293">
        <v>83180</v>
      </c>
      <c r="L160" s="283" t="s">
        <v>906</v>
      </c>
      <c r="M160" s="300" t="s">
        <v>906</v>
      </c>
      <c r="N160" s="293">
        <v>83180</v>
      </c>
      <c r="O160" s="283">
        <v>0</v>
      </c>
      <c r="P160" s="300">
        <v>0</v>
      </c>
      <c r="Q160" s="293">
        <v>83180</v>
      </c>
      <c r="R160" s="283">
        <v>6895</v>
      </c>
      <c r="S160" s="303">
        <v>0.08</v>
      </c>
      <c r="T160" s="302">
        <v>0</v>
      </c>
      <c r="U160" s="293">
        <v>19880</v>
      </c>
      <c r="V160" s="283">
        <v>70</v>
      </c>
      <c r="W160" s="284">
        <v>0</v>
      </c>
      <c r="X160" s="282" t="s">
        <v>1037</v>
      </c>
      <c r="Y160" s="303">
        <v>0</v>
      </c>
      <c r="Z160" s="293">
        <v>5</v>
      </c>
      <c r="AA160" s="283">
        <v>21</v>
      </c>
      <c r="AB160" s="307">
        <v>717</v>
      </c>
      <c r="AC160" s="293">
        <v>83180</v>
      </c>
      <c r="AD160" s="283">
        <v>1820</v>
      </c>
      <c r="AE160" s="284">
        <v>0.02</v>
      </c>
      <c r="AF160" s="282" t="s">
        <v>1037</v>
      </c>
      <c r="AG160" s="303">
        <v>0</v>
      </c>
      <c r="AH160" s="293">
        <v>69</v>
      </c>
      <c r="AI160" s="283">
        <v>233</v>
      </c>
      <c r="AJ160" s="307">
        <v>1371</v>
      </c>
      <c r="AK160" s="293">
        <v>227</v>
      </c>
      <c r="AL160" s="283">
        <v>794</v>
      </c>
      <c r="AM160" s="307">
        <v>1437</v>
      </c>
      <c r="AN160" s="293">
        <v>135</v>
      </c>
      <c r="AO160" s="283">
        <v>314</v>
      </c>
      <c r="AP160" s="307">
        <v>1436</v>
      </c>
      <c r="AQ160" s="293">
        <v>83180</v>
      </c>
      <c r="AR160" s="283">
        <v>0</v>
      </c>
      <c r="AS160" s="284">
        <v>0</v>
      </c>
      <c r="AT160" s="282" t="s">
        <v>1037</v>
      </c>
      <c r="AU160" s="303">
        <v>0</v>
      </c>
      <c r="AV160" s="293">
        <v>162</v>
      </c>
      <c r="AW160" s="283">
        <v>512</v>
      </c>
      <c r="AX160" s="286">
        <v>1437</v>
      </c>
      <c r="AY160" s="93"/>
      <c r="AZ160" s="93"/>
      <c r="BA160" s="93"/>
    </row>
    <row r="161" spans="1:53" ht="22.5" customHeight="1" x14ac:dyDescent="0.2">
      <c r="A161" s="281" t="s">
        <v>400</v>
      </c>
      <c r="B161" s="296" t="s">
        <v>813</v>
      </c>
      <c r="C161" s="293">
        <v>168670</v>
      </c>
      <c r="D161" s="283">
        <v>176483</v>
      </c>
      <c r="E161" s="284">
        <v>0.96</v>
      </c>
      <c r="F161" s="298" t="s">
        <v>712</v>
      </c>
      <c r="G161" s="293">
        <v>168670</v>
      </c>
      <c r="H161" s="283">
        <v>18380</v>
      </c>
      <c r="I161" s="285">
        <v>0.11</v>
      </c>
      <c r="J161" s="300">
        <v>0</v>
      </c>
      <c r="K161" s="293">
        <v>150290</v>
      </c>
      <c r="L161" s="283">
        <v>4975</v>
      </c>
      <c r="M161" s="300">
        <v>0.03</v>
      </c>
      <c r="N161" s="293">
        <v>169385</v>
      </c>
      <c r="O161" s="283">
        <v>715</v>
      </c>
      <c r="P161" s="300">
        <v>0</v>
      </c>
      <c r="Q161" s="293">
        <v>168670</v>
      </c>
      <c r="R161" s="283">
        <v>13640</v>
      </c>
      <c r="S161" s="303">
        <v>0.08</v>
      </c>
      <c r="T161" s="302">
        <v>0</v>
      </c>
      <c r="U161" s="293">
        <v>38495</v>
      </c>
      <c r="V161" s="283">
        <v>0</v>
      </c>
      <c r="W161" s="284">
        <v>0</v>
      </c>
      <c r="X161" s="282" t="s">
        <v>1037</v>
      </c>
      <c r="Y161" s="303">
        <v>0.55000000000000004</v>
      </c>
      <c r="Z161" s="293">
        <v>162</v>
      </c>
      <c r="AA161" s="283">
        <v>1307</v>
      </c>
      <c r="AB161" s="307">
        <v>1439</v>
      </c>
      <c r="AC161" s="293">
        <v>145315</v>
      </c>
      <c r="AD161" s="283">
        <v>0</v>
      </c>
      <c r="AE161" s="284">
        <v>0</v>
      </c>
      <c r="AF161" s="282" t="s">
        <v>1037</v>
      </c>
      <c r="AG161" s="303">
        <v>0.14000000000000001</v>
      </c>
      <c r="AH161" s="293">
        <v>84</v>
      </c>
      <c r="AI161" s="283">
        <v>750</v>
      </c>
      <c r="AJ161" s="307">
        <v>1439</v>
      </c>
      <c r="AK161" s="293" t="s">
        <v>706</v>
      </c>
      <c r="AL161" s="283" t="s">
        <v>706</v>
      </c>
      <c r="AM161" s="307" t="s">
        <v>706</v>
      </c>
      <c r="AN161" s="293">
        <v>207</v>
      </c>
      <c r="AO161" s="283">
        <v>486</v>
      </c>
      <c r="AP161" s="307">
        <v>1439</v>
      </c>
      <c r="AQ161" s="293">
        <v>168670</v>
      </c>
      <c r="AR161" s="283">
        <v>0</v>
      </c>
      <c r="AS161" s="284">
        <v>0</v>
      </c>
      <c r="AT161" s="282" t="s">
        <v>1037</v>
      </c>
      <c r="AU161" s="303">
        <v>0</v>
      </c>
      <c r="AV161" s="293">
        <v>196</v>
      </c>
      <c r="AW161" s="283">
        <v>467</v>
      </c>
      <c r="AX161" s="286">
        <v>1439</v>
      </c>
      <c r="AY161" s="93"/>
      <c r="AZ161" s="93"/>
      <c r="BA161" s="93"/>
    </row>
    <row r="162" spans="1:53" ht="22.5" customHeight="1" x14ac:dyDescent="0.2">
      <c r="A162" s="281" t="s">
        <v>401</v>
      </c>
      <c r="B162" s="296" t="s">
        <v>1040</v>
      </c>
      <c r="C162" s="293">
        <v>115735</v>
      </c>
      <c r="D162" s="283">
        <v>115767</v>
      </c>
      <c r="E162" s="284">
        <v>1</v>
      </c>
      <c r="F162" s="298" t="s">
        <v>712</v>
      </c>
      <c r="G162" s="293">
        <v>115735</v>
      </c>
      <c r="H162" s="283">
        <v>98165</v>
      </c>
      <c r="I162" s="285">
        <v>0.85</v>
      </c>
      <c r="J162" s="300" t="s">
        <v>906</v>
      </c>
      <c r="K162" s="293">
        <v>17570</v>
      </c>
      <c r="L162" s="283">
        <v>5585</v>
      </c>
      <c r="M162" s="300">
        <v>0.32</v>
      </c>
      <c r="N162" s="293">
        <v>115735</v>
      </c>
      <c r="O162" s="283">
        <v>0</v>
      </c>
      <c r="P162" s="300">
        <v>0</v>
      </c>
      <c r="Q162" s="293">
        <v>115735</v>
      </c>
      <c r="R162" s="283">
        <v>8405</v>
      </c>
      <c r="S162" s="303">
        <v>7.0000000000000007E-2</v>
      </c>
      <c r="T162" s="302">
        <v>0</v>
      </c>
      <c r="U162" s="293">
        <v>34650</v>
      </c>
      <c r="V162" s="283">
        <v>18740</v>
      </c>
      <c r="W162" s="284">
        <v>0.54</v>
      </c>
      <c r="X162" s="282" t="s">
        <v>1037</v>
      </c>
      <c r="Y162" s="303">
        <v>0</v>
      </c>
      <c r="Z162" s="293">
        <v>17</v>
      </c>
      <c r="AA162" s="283">
        <v>86</v>
      </c>
      <c r="AB162" s="307">
        <v>1143</v>
      </c>
      <c r="AC162" s="293">
        <v>11980</v>
      </c>
      <c r="AD162" s="283">
        <v>75</v>
      </c>
      <c r="AE162" s="284">
        <v>0.01</v>
      </c>
      <c r="AF162" s="282" t="s">
        <v>1037</v>
      </c>
      <c r="AG162" s="303">
        <v>0</v>
      </c>
      <c r="AH162" s="293">
        <v>104</v>
      </c>
      <c r="AI162" s="283">
        <v>303</v>
      </c>
      <c r="AJ162" s="307">
        <v>1075</v>
      </c>
      <c r="AK162" s="293">
        <v>234</v>
      </c>
      <c r="AL162" s="283">
        <v>857</v>
      </c>
      <c r="AM162" s="307">
        <v>1417</v>
      </c>
      <c r="AN162" s="293">
        <v>180</v>
      </c>
      <c r="AO162" s="283">
        <v>442</v>
      </c>
      <c r="AP162" s="307">
        <v>1419</v>
      </c>
      <c r="AQ162" s="293">
        <v>115735</v>
      </c>
      <c r="AR162" s="283">
        <v>0</v>
      </c>
      <c r="AS162" s="284">
        <v>0</v>
      </c>
      <c r="AT162" s="282" t="s">
        <v>1037</v>
      </c>
      <c r="AU162" s="303">
        <v>0</v>
      </c>
      <c r="AV162" s="293">
        <v>204</v>
      </c>
      <c r="AW162" s="283">
        <v>642</v>
      </c>
      <c r="AX162" s="286">
        <v>1439</v>
      </c>
      <c r="AY162" s="93"/>
      <c r="AZ162" s="93"/>
      <c r="BA162" s="93"/>
    </row>
    <row r="163" spans="1:53" ht="22.5" customHeight="1" x14ac:dyDescent="0.2">
      <c r="A163" s="281" t="s">
        <v>402</v>
      </c>
      <c r="B163" s="296" t="s">
        <v>749</v>
      </c>
      <c r="C163" s="293">
        <v>29935</v>
      </c>
      <c r="D163" s="283">
        <v>59844</v>
      </c>
      <c r="E163" s="284">
        <v>0.5</v>
      </c>
      <c r="F163" s="298" t="s">
        <v>735</v>
      </c>
      <c r="G163" s="293">
        <v>29935</v>
      </c>
      <c r="H163" s="283">
        <v>975</v>
      </c>
      <c r="I163" s="285">
        <v>0.03</v>
      </c>
      <c r="J163" s="300">
        <v>0.01</v>
      </c>
      <c r="K163" s="293">
        <v>28960</v>
      </c>
      <c r="L163" s="283">
        <v>290</v>
      </c>
      <c r="M163" s="300">
        <v>0.01</v>
      </c>
      <c r="N163" s="293">
        <v>59810</v>
      </c>
      <c r="O163" s="283">
        <v>29875</v>
      </c>
      <c r="P163" s="300">
        <v>0.5</v>
      </c>
      <c r="Q163" s="293">
        <v>29935</v>
      </c>
      <c r="R163" s="283">
        <v>775</v>
      </c>
      <c r="S163" s="303">
        <v>0.03</v>
      </c>
      <c r="T163" s="302">
        <v>0</v>
      </c>
      <c r="U163" s="293">
        <v>35</v>
      </c>
      <c r="V163" s="283">
        <v>0</v>
      </c>
      <c r="W163" s="284" t="s">
        <v>1037</v>
      </c>
      <c r="X163" s="282" t="s">
        <v>1037</v>
      </c>
      <c r="Y163" s="303" t="s">
        <v>1037</v>
      </c>
      <c r="Z163" s="293">
        <v>7</v>
      </c>
      <c r="AA163" s="283">
        <v>23</v>
      </c>
      <c r="AB163" s="307">
        <v>25</v>
      </c>
      <c r="AC163" s="293">
        <v>28660</v>
      </c>
      <c r="AD163" s="283">
        <v>0</v>
      </c>
      <c r="AE163" s="284">
        <v>0</v>
      </c>
      <c r="AF163" s="282" t="s">
        <v>1037</v>
      </c>
      <c r="AG163" s="303">
        <v>0</v>
      </c>
      <c r="AH163" s="293">
        <v>102</v>
      </c>
      <c r="AI163" s="283">
        <v>228</v>
      </c>
      <c r="AJ163" s="307">
        <v>1439</v>
      </c>
      <c r="AK163" s="293">
        <v>73</v>
      </c>
      <c r="AL163" s="283">
        <v>201</v>
      </c>
      <c r="AM163" s="307">
        <v>247</v>
      </c>
      <c r="AN163" s="293">
        <v>120</v>
      </c>
      <c r="AO163" s="283">
        <v>236</v>
      </c>
      <c r="AP163" s="307">
        <v>1439</v>
      </c>
      <c r="AQ163" s="293">
        <v>29935</v>
      </c>
      <c r="AR163" s="283">
        <v>140</v>
      </c>
      <c r="AS163" s="284">
        <v>0</v>
      </c>
      <c r="AT163" s="282" t="s">
        <v>1037</v>
      </c>
      <c r="AU163" s="303">
        <v>0</v>
      </c>
      <c r="AV163" s="293">
        <v>119</v>
      </c>
      <c r="AW163" s="283">
        <v>235</v>
      </c>
      <c r="AX163" s="286">
        <v>1439</v>
      </c>
      <c r="AY163" s="93"/>
      <c r="AZ163" s="93"/>
      <c r="BA163" s="93"/>
    </row>
    <row r="164" spans="1:53" ht="22.5" customHeight="1" x14ac:dyDescent="0.2">
      <c r="A164" s="281" t="s">
        <v>629</v>
      </c>
      <c r="B164" s="296" t="s">
        <v>725</v>
      </c>
      <c r="C164" s="293">
        <v>54505</v>
      </c>
      <c r="D164" s="283" t="s">
        <v>706</v>
      </c>
      <c r="E164" s="284" t="s">
        <v>706</v>
      </c>
      <c r="F164" s="298" t="s">
        <v>706</v>
      </c>
      <c r="G164" s="293">
        <v>54505</v>
      </c>
      <c r="H164" s="283">
        <v>0</v>
      </c>
      <c r="I164" s="285">
        <v>0</v>
      </c>
      <c r="J164" s="300">
        <v>0.23</v>
      </c>
      <c r="K164" s="293">
        <v>54505</v>
      </c>
      <c r="L164" s="283">
        <v>85</v>
      </c>
      <c r="M164" s="300">
        <v>0</v>
      </c>
      <c r="N164" s="293">
        <v>54505</v>
      </c>
      <c r="O164" s="283">
        <v>0</v>
      </c>
      <c r="P164" s="300">
        <v>0</v>
      </c>
      <c r="Q164" s="293">
        <v>54505</v>
      </c>
      <c r="R164" s="283">
        <v>2890</v>
      </c>
      <c r="S164" s="303">
        <v>0.05</v>
      </c>
      <c r="T164" s="302">
        <v>0</v>
      </c>
      <c r="U164" s="293" t="s">
        <v>706</v>
      </c>
      <c r="V164" s="283" t="s">
        <v>706</v>
      </c>
      <c r="W164" s="284" t="s">
        <v>706</v>
      </c>
      <c r="X164" s="282" t="s">
        <v>1037</v>
      </c>
      <c r="Y164" s="303" t="s">
        <v>706</v>
      </c>
      <c r="Z164" s="293" t="s">
        <v>706</v>
      </c>
      <c r="AA164" s="283" t="s">
        <v>706</v>
      </c>
      <c r="AB164" s="307" t="s">
        <v>706</v>
      </c>
      <c r="AC164" s="293">
        <v>54335</v>
      </c>
      <c r="AD164" s="283">
        <v>795</v>
      </c>
      <c r="AE164" s="284">
        <v>0.01</v>
      </c>
      <c r="AF164" s="282" t="s">
        <v>1037</v>
      </c>
      <c r="AG164" s="303">
        <v>0</v>
      </c>
      <c r="AH164" s="293">
        <v>1402</v>
      </c>
      <c r="AI164" s="283">
        <v>1433</v>
      </c>
      <c r="AJ164" s="307">
        <v>1439</v>
      </c>
      <c r="AK164" s="293">
        <v>29</v>
      </c>
      <c r="AL164" s="283">
        <v>113</v>
      </c>
      <c r="AM164" s="307">
        <v>490</v>
      </c>
      <c r="AN164" s="293">
        <v>73</v>
      </c>
      <c r="AO164" s="283">
        <v>236</v>
      </c>
      <c r="AP164" s="307">
        <v>1439</v>
      </c>
      <c r="AQ164" s="293">
        <v>54505</v>
      </c>
      <c r="AR164" s="283">
        <v>800</v>
      </c>
      <c r="AS164" s="284">
        <v>0.01</v>
      </c>
      <c r="AT164" s="282" t="s">
        <v>1037</v>
      </c>
      <c r="AU164" s="303">
        <v>0</v>
      </c>
      <c r="AV164" s="293">
        <v>71</v>
      </c>
      <c r="AW164" s="283">
        <v>234</v>
      </c>
      <c r="AX164" s="286">
        <v>1439</v>
      </c>
      <c r="AY164" s="93"/>
      <c r="AZ164" s="93"/>
      <c r="BA164" s="93"/>
    </row>
    <row r="165" spans="1:53" ht="22.5" customHeight="1" x14ac:dyDescent="0.2">
      <c r="A165" s="281" t="s">
        <v>403</v>
      </c>
      <c r="B165" s="296" t="s">
        <v>879</v>
      </c>
      <c r="C165" s="293">
        <v>99415</v>
      </c>
      <c r="D165" s="283">
        <v>99188</v>
      </c>
      <c r="E165" s="284">
        <v>1</v>
      </c>
      <c r="F165" s="298" t="s">
        <v>712</v>
      </c>
      <c r="G165" s="293">
        <v>99415</v>
      </c>
      <c r="H165" s="283">
        <v>0</v>
      </c>
      <c r="I165" s="285">
        <v>0</v>
      </c>
      <c r="J165" s="300" t="s">
        <v>906</v>
      </c>
      <c r="K165" s="293">
        <v>99415</v>
      </c>
      <c r="L165" s="283">
        <v>3945</v>
      </c>
      <c r="M165" s="300">
        <v>0.04</v>
      </c>
      <c r="N165" s="293">
        <v>99415</v>
      </c>
      <c r="O165" s="283">
        <v>0</v>
      </c>
      <c r="P165" s="300">
        <v>0</v>
      </c>
      <c r="Q165" s="293">
        <v>99415</v>
      </c>
      <c r="R165" s="283">
        <v>7035</v>
      </c>
      <c r="S165" s="303">
        <v>7.0000000000000007E-2</v>
      </c>
      <c r="T165" s="302">
        <v>0</v>
      </c>
      <c r="U165" s="293">
        <v>30380</v>
      </c>
      <c r="V165" s="283">
        <v>90</v>
      </c>
      <c r="W165" s="284">
        <v>0</v>
      </c>
      <c r="X165" s="282" t="s">
        <v>1037</v>
      </c>
      <c r="Y165" s="303">
        <v>0</v>
      </c>
      <c r="Z165" s="293">
        <v>7</v>
      </c>
      <c r="AA165" s="283">
        <v>30</v>
      </c>
      <c r="AB165" s="307">
        <v>1439</v>
      </c>
      <c r="AC165" s="293">
        <v>95015</v>
      </c>
      <c r="AD165" s="283">
        <v>175</v>
      </c>
      <c r="AE165" s="284">
        <v>0</v>
      </c>
      <c r="AF165" s="282" t="s">
        <v>1037</v>
      </c>
      <c r="AG165" s="303">
        <v>0</v>
      </c>
      <c r="AH165" s="293">
        <v>67</v>
      </c>
      <c r="AI165" s="283">
        <v>205</v>
      </c>
      <c r="AJ165" s="307">
        <v>1439</v>
      </c>
      <c r="AK165" s="293">
        <v>238</v>
      </c>
      <c r="AL165" s="283">
        <v>982</v>
      </c>
      <c r="AM165" s="307">
        <v>1439</v>
      </c>
      <c r="AN165" s="293">
        <v>163</v>
      </c>
      <c r="AO165" s="283">
        <v>400</v>
      </c>
      <c r="AP165" s="307">
        <v>1431</v>
      </c>
      <c r="AQ165" s="293">
        <v>99415</v>
      </c>
      <c r="AR165" s="283">
        <v>0</v>
      </c>
      <c r="AS165" s="284">
        <v>0</v>
      </c>
      <c r="AT165" s="282" t="s">
        <v>1037</v>
      </c>
      <c r="AU165" s="303">
        <v>0</v>
      </c>
      <c r="AV165" s="293">
        <v>186</v>
      </c>
      <c r="AW165" s="283">
        <v>697</v>
      </c>
      <c r="AX165" s="286">
        <v>1439</v>
      </c>
      <c r="AY165" s="93"/>
      <c r="AZ165" s="93"/>
      <c r="BA165" s="93"/>
    </row>
    <row r="166" spans="1:53" ht="22.5" customHeight="1" x14ac:dyDescent="0.2">
      <c r="A166" s="281" t="s">
        <v>404</v>
      </c>
      <c r="B166" s="296" t="s">
        <v>862</v>
      </c>
      <c r="C166" s="293">
        <v>105255</v>
      </c>
      <c r="D166" s="283">
        <v>105367</v>
      </c>
      <c r="E166" s="284">
        <v>1</v>
      </c>
      <c r="F166" s="298" t="s">
        <v>712</v>
      </c>
      <c r="G166" s="293">
        <v>105255</v>
      </c>
      <c r="H166" s="283">
        <v>31795</v>
      </c>
      <c r="I166" s="285">
        <v>0.3</v>
      </c>
      <c r="J166" s="300">
        <v>0</v>
      </c>
      <c r="K166" s="293">
        <v>73460</v>
      </c>
      <c r="L166" s="283">
        <v>610</v>
      </c>
      <c r="M166" s="300">
        <v>0.01</v>
      </c>
      <c r="N166" s="293">
        <v>105260</v>
      </c>
      <c r="O166" s="283" t="s">
        <v>906</v>
      </c>
      <c r="P166" s="300" t="s">
        <v>906</v>
      </c>
      <c r="Q166" s="293">
        <v>105255</v>
      </c>
      <c r="R166" s="283">
        <v>6710</v>
      </c>
      <c r="S166" s="303">
        <v>0.06</v>
      </c>
      <c r="T166" s="302">
        <v>0</v>
      </c>
      <c r="U166" s="293">
        <v>34080</v>
      </c>
      <c r="V166" s="283" t="s">
        <v>906</v>
      </c>
      <c r="W166" s="284" t="s">
        <v>906</v>
      </c>
      <c r="X166" s="282" t="s">
        <v>1037</v>
      </c>
      <c r="Y166" s="303">
        <v>0</v>
      </c>
      <c r="Z166" s="293">
        <v>25</v>
      </c>
      <c r="AA166" s="283">
        <v>126</v>
      </c>
      <c r="AB166" s="307">
        <v>1439</v>
      </c>
      <c r="AC166" s="293">
        <v>72850</v>
      </c>
      <c r="AD166" s="283" t="s">
        <v>906</v>
      </c>
      <c r="AE166" s="284" t="s">
        <v>906</v>
      </c>
      <c r="AF166" s="282" t="s">
        <v>1037</v>
      </c>
      <c r="AG166" s="303">
        <v>0</v>
      </c>
      <c r="AH166" s="293">
        <v>29</v>
      </c>
      <c r="AI166" s="283">
        <v>126</v>
      </c>
      <c r="AJ166" s="307">
        <v>1438</v>
      </c>
      <c r="AK166" s="293">
        <v>237</v>
      </c>
      <c r="AL166" s="283">
        <v>782</v>
      </c>
      <c r="AM166" s="307">
        <v>1434</v>
      </c>
      <c r="AN166" s="293">
        <v>170</v>
      </c>
      <c r="AO166" s="283">
        <v>240</v>
      </c>
      <c r="AP166" s="307">
        <v>1425</v>
      </c>
      <c r="AQ166" s="293">
        <v>105255</v>
      </c>
      <c r="AR166" s="283" t="s">
        <v>906</v>
      </c>
      <c r="AS166" s="284" t="s">
        <v>906</v>
      </c>
      <c r="AT166" s="282" t="s">
        <v>1037</v>
      </c>
      <c r="AU166" s="303">
        <v>0</v>
      </c>
      <c r="AV166" s="293">
        <v>192</v>
      </c>
      <c r="AW166" s="283">
        <v>426</v>
      </c>
      <c r="AX166" s="286">
        <v>1434</v>
      </c>
      <c r="AY166" s="93"/>
      <c r="AZ166" s="93"/>
      <c r="BA166" s="93"/>
    </row>
    <row r="167" spans="1:53" ht="22.5" customHeight="1" x14ac:dyDescent="0.2">
      <c r="A167" s="281" t="s">
        <v>405</v>
      </c>
      <c r="B167" s="296" t="s">
        <v>789</v>
      </c>
      <c r="C167" s="293">
        <v>115410</v>
      </c>
      <c r="D167" s="283">
        <v>115960</v>
      </c>
      <c r="E167" s="284">
        <v>1</v>
      </c>
      <c r="F167" s="298" t="s">
        <v>712</v>
      </c>
      <c r="G167" s="293">
        <v>115410</v>
      </c>
      <c r="H167" s="283">
        <v>815</v>
      </c>
      <c r="I167" s="285">
        <v>0.01</v>
      </c>
      <c r="J167" s="300">
        <v>0.08</v>
      </c>
      <c r="K167" s="293">
        <v>114595</v>
      </c>
      <c r="L167" s="283">
        <v>3940</v>
      </c>
      <c r="M167" s="300">
        <v>0.03</v>
      </c>
      <c r="N167" s="293">
        <v>115410</v>
      </c>
      <c r="O167" s="283">
        <v>0</v>
      </c>
      <c r="P167" s="300">
        <v>0</v>
      </c>
      <c r="Q167" s="293">
        <v>115410</v>
      </c>
      <c r="R167" s="283">
        <v>9280</v>
      </c>
      <c r="S167" s="303">
        <v>0.08</v>
      </c>
      <c r="T167" s="302">
        <v>0</v>
      </c>
      <c r="U167" s="293">
        <v>955</v>
      </c>
      <c r="V167" s="283">
        <v>15</v>
      </c>
      <c r="W167" s="284">
        <v>0.02</v>
      </c>
      <c r="X167" s="282" t="s">
        <v>1037</v>
      </c>
      <c r="Y167" s="303">
        <v>0</v>
      </c>
      <c r="Z167" s="293">
        <v>26</v>
      </c>
      <c r="AA167" s="283">
        <v>83</v>
      </c>
      <c r="AB167" s="307">
        <v>219</v>
      </c>
      <c r="AC167" s="293">
        <v>110650</v>
      </c>
      <c r="AD167" s="283">
        <v>170</v>
      </c>
      <c r="AE167" s="284">
        <v>0</v>
      </c>
      <c r="AF167" s="282" t="s">
        <v>1037</v>
      </c>
      <c r="AG167" s="303">
        <v>0</v>
      </c>
      <c r="AH167" s="293">
        <v>16</v>
      </c>
      <c r="AI167" s="283">
        <v>100</v>
      </c>
      <c r="AJ167" s="307">
        <v>1205</v>
      </c>
      <c r="AK167" s="293">
        <v>95</v>
      </c>
      <c r="AL167" s="283">
        <v>525</v>
      </c>
      <c r="AM167" s="307">
        <v>1418</v>
      </c>
      <c r="AN167" s="293">
        <v>93</v>
      </c>
      <c r="AO167" s="283">
        <v>224</v>
      </c>
      <c r="AP167" s="307">
        <v>1269</v>
      </c>
      <c r="AQ167" s="293">
        <v>115410</v>
      </c>
      <c r="AR167" s="283">
        <v>0</v>
      </c>
      <c r="AS167" s="284">
        <v>0</v>
      </c>
      <c r="AT167" s="282" t="s">
        <v>1037</v>
      </c>
      <c r="AU167" s="303">
        <v>0</v>
      </c>
      <c r="AV167" s="293">
        <v>93</v>
      </c>
      <c r="AW167" s="283">
        <v>224</v>
      </c>
      <c r="AX167" s="286">
        <v>1418</v>
      </c>
      <c r="AY167" s="93"/>
      <c r="AZ167" s="93"/>
      <c r="BA167" s="93"/>
    </row>
    <row r="168" spans="1:53" ht="22.5" customHeight="1" x14ac:dyDescent="0.2">
      <c r="A168" s="281" t="s">
        <v>406</v>
      </c>
      <c r="B168" s="296" t="s">
        <v>831</v>
      </c>
      <c r="C168" s="293">
        <v>89535</v>
      </c>
      <c r="D168" s="283">
        <v>148160</v>
      </c>
      <c r="E168" s="284">
        <v>0.6</v>
      </c>
      <c r="F168" s="298" t="s">
        <v>735</v>
      </c>
      <c r="G168" s="293">
        <v>89535</v>
      </c>
      <c r="H168" s="283">
        <v>30</v>
      </c>
      <c r="I168" s="285">
        <v>0</v>
      </c>
      <c r="J168" s="300" t="s">
        <v>906</v>
      </c>
      <c r="K168" s="293">
        <v>89505</v>
      </c>
      <c r="L168" s="283">
        <v>3400</v>
      </c>
      <c r="M168" s="300">
        <v>0.04</v>
      </c>
      <c r="N168" s="293">
        <v>89545</v>
      </c>
      <c r="O168" s="283">
        <v>10</v>
      </c>
      <c r="P168" s="300">
        <v>0</v>
      </c>
      <c r="Q168" s="293">
        <v>89535</v>
      </c>
      <c r="R168" s="283">
        <v>6925</v>
      </c>
      <c r="S168" s="303">
        <v>0.08</v>
      </c>
      <c r="T168" s="302">
        <v>0</v>
      </c>
      <c r="U168" s="293">
        <v>25980</v>
      </c>
      <c r="V168" s="283">
        <v>70</v>
      </c>
      <c r="W168" s="284">
        <v>0</v>
      </c>
      <c r="X168" s="282" t="s">
        <v>1037</v>
      </c>
      <c r="Y168" s="303">
        <v>0</v>
      </c>
      <c r="Z168" s="293">
        <v>7</v>
      </c>
      <c r="AA168" s="283">
        <v>37</v>
      </c>
      <c r="AB168" s="307">
        <v>276</v>
      </c>
      <c r="AC168" s="293">
        <v>86100</v>
      </c>
      <c r="AD168" s="283">
        <v>10460</v>
      </c>
      <c r="AE168" s="284">
        <v>0.12</v>
      </c>
      <c r="AF168" s="282" t="s">
        <v>1037</v>
      </c>
      <c r="AG168" s="303">
        <v>0</v>
      </c>
      <c r="AH168" s="293">
        <v>93</v>
      </c>
      <c r="AI168" s="283">
        <v>223</v>
      </c>
      <c r="AJ168" s="307">
        <v>712</v>
      </c>
      <c r="AK168" s="293">
        <v>235</v>
      </c>
      <c r="AL168" s="283">
        <v>499</v>
      </c>
      <c r="AM168" s="307">
        <v>1218</v>
      </c>
      <c r="AN168" s="293">
        <v>175</v>
      </c>
      <c r="AO168" s="283">
        <v>352</v>
      </c>
      <c r="AP168" s="307">
        <v>1418</v>
      </c>
      <c r="AQ168" s="293">
        <v>89535</v>
      </c>
      <c r="AR168" s="283">
        <v>30</v>
      </c>
      <c r="AS168" s="284">
        <v>0</v>
      </c>
      <c r="AT168" s="282" t="s">
        <v>1037</v>
      </c>
      <c r="AU168" s="303">
        <v>0</v>
      </c>
      <c r="AV168" s="293">
        <v>192</v>
      </c>
      <c r="AW168" s="283">
        <v>407</v>
      </c>
      <c r="AX168" s="286">
        <v>1418</v>
      </c>
      <c r="AY168" s="93"/>
      <c r="AZ168" s="93"/>
      <c r="BA168" s="93"/>
    </row>
    <row r="169" spans="1:53" ht="22.5" customHeight="1" x14ac:dyDescent="0.2">
      <c r="A169" s="281" t="s">
        <v>407</v>
      </c>
      <c r="B169" s="296" t="s">
        <v>771</v>
      </c>
      <c r="C169" s="293">
        <v>75505</v>
      </c>
      <c r="D169" s="283">
        <v>75430</v>
      </c>
      <c r="E169" s="284">
        <v>1</v>
      </c>
      <c r="F169" s="298" t="s">
        <v>712</v>
      </c>
      <c r="G169" s="293">
        <v>75505</v>
      </c>
      <c r="H169" s="283">
        <v>75505</v>
      </c>
      <c r="I169" s="285">
        <v>1</v>
      </c>
      <c r="J169" s="300">
        <v>0</v>
      </c>
      <c r="K169" s="293" t="s">
        <v>706</v>
      </c>
      <c r="L169" s="283" t="s">
        <v>706</v>
      </c>
      <c r="M169" s="300" t="s">
        <v>706</v>
      </c>
      <c r="N169" s="293">
        <v>75505</v>
      </c>
      <c r="O169" s="283">
        <v>0</v>
      </c>
      <c r="P169" s="300">
        <v>0</v>
      </c>
      <c r="Q169" s="293">
        <v>75505</v>
      </c>
      <c r="R169" s="283">
        <v>5215</v>
      </c>
      <c r="S169" s="303">
        <v>7.0000000000000007E-2</v>
      </c>
      <c r="T169" s="302">
        <v>0</v>
      </c>
      <c r="U169" s="293">
        <v>26900</v>
      </c>
      <c r="V169" s="283">
        <v>255</v>
      </c>
      <c r="W169" s="284">
        <v>0.01</v>
      </c>
      <c r="X169" s="282" t="s">
        <v>1037</v>
      </c>
      <c r="Y169" s="303">
        <v>0</v>
      </c>
      <c r="Z169" s="293">
        <v>10</v>
      </c>
      <c r="AA169" s="283">
        <v>30</v>
      </c>
      <c r="AB169" s="307">
        <v>1439</v>
      </c>
      <c r="AC169" s="293" t="s">
        <v>706</v>
      </c>
      <c r="AD169" s="283" t="s">
        <v>706</v>
      </c>
      <c r="AE169" s="284" t="s">
        <v>706</v>
      </c>
      <c r="AF169" s="282" t="s">
        <v>1037</v>
      </c>
      <c r="AG169" s="303" t="s">
        <v>706</v>
      </c>
      <c r="AH169" s="293" t="s">
        <v>706</v>
      </c>
      <c r="AI169" s="283" t="s">
        <v>706</v>
      </c>
      <c r="AJ169" s="307" t="s">
        <v>706</v>
      </c>
      <c r="AK169" s="293" t="s">
        <v>706</v>
      </c>
      <c r="AL169" s="283" t="s">
        <v>706</v>
      </c>
      <c r="AM169" s="307" t="s">
        <v>706</v>
      </c>
      <c r="AN169" s="293" t="s">
        <v>706</v>
      </c>
      <c r="AO169" s="283" t="s">
        <v>706</v>
      </c>
      <c r="AP169" s="307" t="s">
        <v>706</v>
      </c>
      <c r="AQ169" s="293">
        <v>75505</v>
      </c>
      <c r="AR169" s="283">
        <v>95</v>
      </c>
      <c r="AS169" s="284">
        <v>0</v>
      </c>
      <c r="AT169" s="282" t="s">
        <v>1037</v>
      </c>
      <c r="AU169" s="303">
        <v>0</v>
      </c>
      <c r="AV169" s="293">
        <v>166</v>
      </c>
      <c r="AW169" s="283">
        <v>326</v>
      </c>
      <c r="AX169" s="286">
        <v>1404</v>
      </c>
      <c r="AY169" s="93"/>
      <c r="AZ169" s="93"/>
      <c r="BA169" s="93"/>
    </row>
    <row r="170" spans="1:53" ht="22.5" customHeight="1" x14ac:dyDescent="0.2">
      <c r="A170" s="281" t="s">
        <v>408</v>
      </c>
      <c r="B170" s="296" t="s">
        <v>707</v>
      </c>
      <c r="C170" s="293">
        <v>2200</v>
      </c>
      <c r="D170" s="283" t="s">
        <v>706</v>
      </c>
      <c r="E170" s="284" t="s">
        <v>706</v>
      </c>
      <c r="F170" s="298" t="s">
        <v>706</v>
      </c>
      <c r="G170" s="293">
        <v>2200</v>
      </c>
      <c r="H170" s="283">
        <v>180</v>
      </c>
      <c r="I170" s="285">
        <v>0.08</v>
      </c>
      <c r="J170" s="300">
        <v>0.04</v>
      </c>
      <c r="K170" s="293">
        <v>2020</v>
      </c>
      <c r="L170" s="283">
        <v>15</v>
      </c>
      <c r="M170" s="300">
        <v>0.01</v>
      </c>
      <c r="N170" s="293">
        <v>2200</v>
      </c>
      <c r="O170" s="283">
        <v>0</v>
      </c>
      <c r="P170" s="300">
        <v>0</v>
      </c>
      <c r="Q170" s="293">
        <v>2200</v>
      </c>
      <c r="R170" s="283">
        <v>85</v>
      </c>
      <c r="S170" s="303">
        <v>0.04</v>
      </c>
      <c r="T170" s="302">
        <v>0</v>
      </c>
      <c r="U170" s="293" t="s">
        <v>906</v>
      </c>
      <c r="V170" s="283" t="s">
        <v>906</v>
      </c>
      <c r="W170" s="284" t="s">
        <v>1037</v>
      </c>
      <c r="X170" s="282" t="s">
        <v>1037</v>
      </c>
      <c r="Y170" s="303" t="s">
        <v>1037</v>
      </c>
      <c r="Z170" s="293" t="s">
        <v>906</v>
      </c>
      <c r="AA170" s="283" t="s">
        <v>906</v>
      </c>
      <c r="AB170" s="307" t="s">
        <v>906</v>
      </c>
      <c r="AC170" s="293">
        <v>2005</v>
      </c>
      <c r="AD170" s="283">
        <v>160</v>
      </c>
      <c r="AE170" s="284">
        <v>0.08</v>
      </c>
      <c r="AF170" s="282" t="s">
        <v>708</v>
      </c>
      <c r="AG170" s="303">
        <v>0</v>
      </c>
      <c r="AH170" s="293" t="s">
        <v>907</v>
      </c>
      <c r="AI170" s="283" t="s">
        <v>907</v>
      </c>
      <c r="AJ170" s="307" t="s">
        <v>907</v>
      </c>
      <c r="AK170" s="293" t="s">
        <v>706</v>
      </c>
      <c r="AL170" s="283" t="s">
        <v>706</v>
      </c>
      <c r="AM170" s="307" t="s">
        <v>706</v>
      </c>
      <c r="AN170" s="293">
        <v>34</v>
      </c>
      <c r="AO170" s="283">
        <v>120</v>
      </c>
      <c r="AP170" s="307">
        <v>416</v>
      </c>
      <c r="AQ170" s="293">
        <v>2200</v>
      </c>
      <c r="AR170" s="283">
        <v>0</v>
      </c>
      <c r="AS170" s="284">
        <v>0</v>
      </c>
      <c r="AT170" s="282" t="s">
        <v>1037</v>
      </c>
      <c r="AU170" s="303">
        <v>0</v>
      </c>
      <c r="AV170" s="293">
        <v>35</v>
      </c>
      <c r="AW170" s="283">
        <v>117</v>
      </c>
      <c r="AX170" s="286">
        <v>416</v>
      </c>
      <c r="AY170" s="93"/>
      <c r="AZ170" s="93"/>
      <c r="BA170" s="93"/>
    </row>
    <row r="171" spans="1:53" ht="22.5" customHeight="1" x14ac:dyDescent="0.2">
      <c r="A171" s="281" t="s">
        <v>409</v>
      </c>
      <c r="B171" s="296" t="s">
        <v>835</v>
      </c>
      <c r="C171" s="293">
        <v>107520</v>
      </c>
      <c r="D171" s="283">
        <v>174606</v>
      </c>
      <c r="E171" s="284">
        <v>0.62</v>
      </c>
      <c r="F171" s="298" t="s">
        <v>735</v>
      </c>
      <c r="G171" s="293">
        <v>107520</v>
      </c>
      <c r="H171" s="283">
        <v>0</v>
      </c>
      <c r="I171" s="285">
        <v>0</v>
      </c>
      <c r="J171" s="300">
        <v>0</v>
      </c>
      <c r="K171" s="293">
        <v>107520</v>
      </c>
      <c r="L171" s="283">
        <v>2095</v>
      </c>
      <c r="M171" s="300">
        <v>0.02</v>
      </c>
      <c r="N171" s="293">
        <v>107520</v>
      </c>
      <c r="O171" s="283">
        <v>0</v>
      </c>
      <c r="P171" s="300">
        <v>0</v>
      </c>
      <c r="Q171" s="293">
        <v>107520</v>
      </c>
      <c r="R171" s="283">
        <v>7080</v>
      </c>
      <c r="S171" s="303">
        <v>7.0000000000000007E-2</v>
      </c>
      <c r="T171" s="302">
        <v>0</v>
      </c>
      <c r="U171" s="293">
        <v>40925</v>
      </c>
      <c r="V171" s="283">
        <v>7950</v>
      </c>
      <c r="W171" s="284">
        <v>0.19</v>
      </c>
      <c r="X171" s="282" t="s">
        <v>1037</v>
      </c>
      <c r="Y171" s="303">
        <v>0</v>
      </c>
      <c r="Z171" s="293">
        <v>5</v>
      </c>
      <c r="AA171" s="283">
        <v>21</v>
      </c>
      <c r="AB171" s="307">
        <v>1439</v>
      </c>
      <c r="AC171" s="293">
        <v>103780</v>
      </c>
      <c r="AD171" s="283">
        <v>2950</v>
      </c>
      <c r="AE171" s="284">
        <v>0.03</v>
      </c>
      <c r="AF171" s="282" t="s">
        <v>1037</v>
      </c>
      <c r="AG171" s="303">
        <v>0</v>
      </c>
      <c r="AH171" s="293">
        <v>66</v>
      </c>
      <c r="AI171" s="283">
        <v>220</v>
      </c>
      <c r="AJ171" s="307">
        <v>1148</v>
      </c>
      <c r="AK171" s="293">
        <v>238</v>
      </c>
      <c r="AL171" s="283">
        <v>825</v>
      </c>
      <c r="AM171" s="307">
        <v>1437</v>
      </c>
      <c r="AN171" s="293">
        <v>139</v>
      </c>
      <c r="AO171" s="283">
        <v>397</v>
      </c>
      <c r="AP171" s="307">
        <v>1375</v>
      </c>
      <c r="AQ171" s="293">
        <v>107520</v>
      </c>
      <c r="AR171" s="283">
        <v>0</v>
      </c>
      <c r="AS171" s="284">
        <v>0</v>
      </c>
      <c r="AT171" s="282" t="s">
        <v>1037</v>
      </c>
      <c r="AU171" s="303">
        <v>0</v>
      </c>
      <c r="AV171" s="293">
        <v>168</v>
      </c>
      <c r="AW171" s="283">
        <v>612</v>
      </c>
      <c r="AX171" s="286">
        <v>1437</v>
      </c>
      <c r="AY171" s="93"/>
      <c r="AZ171" s="93"/>
      <c r="BA171" s="93"/>
    </row>
    <row r="172" spans="1:53" ht="22.5" customHeight="1" x14ac:dyDescent="0.2">
      <c r="A172" s="281" t="s">
        <v>410</v>
      </c>
      <c r="B172" s="296" t="s">
        <v>768</v>
      </c>
      <c r="C172" s="293">
        <v>97195</v>
      </c>
      <c r="D172" s="283">
        <v>164736</v>
      </c>
      <c r="E172" s="284">
        <v>0.59</v>
      </c>
      <c r="F172" s="298" t="s">
        <v>735</v>
      </c>
      <c r="G172" s="293">
        <v>97195</v>
      </c>
      <c r="H172" s="283">
        <v>0</v>
      </c>
      <c r="I172" s="285">
        <v>0</v>
      </c>
      <c r="J172" s="300" t="s">
        <v>906</v>
      </c>
      <c r="K172" s="293">
        <v>97195</v>
      </c>
      <c r="L172" s="283">
        <v>1300</v>
      </c>
      <c r="M172" s="300">
        <v>0.01</v>
      </c>
      <c r="N172" s="293">
        <v>97195</v>
      </c>
      <c r="O172" s="283">
        <v>0</v>
      </c>
      <c r="P172" s="300">
        <v>0</v>
      </c>
      <c r="Q172" s="293">
        <v>97195</v>
      </c>
      <c r="R172" s="283">
        <v>7490</v>
      </c>
      <c r="S172" s="303">
        <v>0.08</v>
      </c>
      <c r="T172" s="302">
        <v>0</v>
      </c>
      <c r="U172" s="293">
        <v>4540</v>
      </c>
      <c r="V172" s="283">
        <v>3595</v>
      </c>
      <c r="W172" s="284">
        <v>0.79</v>
      </c>
      <c r="X172" s="282" t="s">
        <v>1037</v>
      </c>
      <c r="Y172" s="303">
        <v>0</v>
      </c>
      <c r="Z172" s="293">
        <v>4</v>
      </c>
      <c r="AA172" s="283">
        <v>217</v>
      </c>
      <c r="AB172" s="307">
        <v>914</v>
      </c>
      <c r="AC172" s="293">
        <v>95885</v>
      </c>
      <c r="AD172" s="283">
        <v>26590</v>
      </c>
      <c r="AE172" s="284">
        <v>0.28000000000000003</v>
      </c>
      <c r="AF172" s="282" t="s">
        <v>1037</v>
      </c>
      <c r="AG172" s="303">
        <v>0</v>
      </c>
      <c r="AH172" s="293">
        <v>94</v>
      </c>
      <c r="AI172" s="283">
        <v>300</v>
      </c>
      <c r="AJ172" s="307">
        <v>1217</v>
      </c>
      <c r="AK172" s="293">
        <v>363</v>
      </c>
      <c r="AL172" s="283">
        <v>1016</v>
      </c>
      <c r="AM172" s="307">
        <v>1437</v>
      </c>
      <c r="AN172" s="293">
        <v>165</v>
      </c>
      <c r="AO172" s="283">
        <v>453</v>
      </c>
      <c r="AP172" s="307">
        <v>1438</v>
      </c>
      <c r="AQ172" s="293">
        <v>97195</v>
      </c>
      <c r="AR172" s="283">
        <v>0</v>
      </c>
      <c r="AS172" s="284">
        <v>0</v>
      </c>
      <c r="AT172" s="282" t="s">
        <v>1037</v>
      </c>
      <c r="AU172" s="303">
        <v>0</v>
      </c>
      <c r="AV172" s="293">
        <v>192</v>
      </c>
      <c r="AW172" s="283">
        <v>636</v>
      </c>
      <c r="AX172" s="286">
        <v>1438</v>
      </c>
      <c r="AY172" s="93"/>
      <c r="AZ172" s="93"/>
      <c r="BA172" s="93"/>
    </row>
    <row r="173" spans="1:53" ht="22.5" customHeight="1" x14ac:dyDescent="0.2">
      <c r="A173" s="281" t="s">
        <v>413</v>
      </c>
      <c r="B173" s="296" t="s">
        <v>784</v>
      </c>
      <c r="C173" s="293">
        <v>68090</v>
      </c>
      <c r="D173" s="283">
        <v>68673</v>
      </c>
      <c r="E173" s="284">
        <v>0.99</v>
      </c>
      <c r="F173" s="298" t="s">
        <v>712</v>
      </c>
      <c r="G173" s="293">
        <v>68090</v>
      </c>
      <c r="H173" s="283">
        <v>0</v>
      </c>
      <c r="I173" s="285">
        <v>0</v>
      </c>
      <c r="J173" s="300" t="s">
        <v>906</v>
      </c>
      <c r="K173" s="293">
        <v>68090</v>
      </c>
      <c r="L173" s="283">
        <v>0</v>
      </c>
      <c r="M173" s="300">
        <v>0</v>
      </c>
      <c r="N173" s="293">
        <v>68090</v>
      </c>
      <c r="O173" s="283">
        <v>0</v>
      </c>
      <c r="P173" s="300">
        <v>0</v>
      </c>
      <c r="Q173" s="293">
        <v>68090</v>
      </c>
      <c r="R173" s="283">
        <v>4315</v>
      </c>
      <c r="S173" s="303">
        <v>0.06</v>
      </c>
      <c r="T173" s="302">
        <v>0</v>
      </c>
      <c r="U173" s="293">
        <v>22600</v>
      </c>
      <c r="V173" s="283">
        <v>125</v>
      </c>
      <c r="W173" s="284">
        <v>0.01</v>
      </c>
      <c r="X173" s="282" t="s">
        <v>1037</v>
      </c>
      <c r="Y173" s="303">
        <v>0</v>
      </c>
      <c r="Z173" s="293">
        <v>22</v>
      </c>
      <c r="AA173" s="283">
        <v>141</v>
      </c>
      <c r="AB173" s="307">
        <v>1413</v>
      </c>
      <c r="AC173" s="293">
        <v>68090</v>
      </c>
      <c r="AD173" s="283">
        <v>0</v>
      </c>
      <c r="AE173" s="284">
        <v>0</v>
      </c>
      <c r="AF173" s="282" t="s">
        <v>1037</v>
      </c>
      <c r="AG173" s="303">
        <v>0</v>
      </c>
      <c r="AH173" s="293">
        <v>59</v>
      </c>
      <c r="AI173" s="283">
        <v>170</v>
      </c>
      <c r="AJ173" s="307">
        <v>1432</v>
      </c>
      <c r="AK173" s="293">
        <v>237</v>
      </c>
      <c r="AL173" s="283">
        <v>703</v>
      </c>
      <c r="AM173" s="307">
        <v>1346</v>
      </c>
      <c r="AN173" s="293">
        <v>136</v>
      </c>
      <c r="AO173" s="283">
        <v>305</v>
      </c>
      <c r="AP173" s="307">
        <v>1424</v>
      </c>
      <c r="AQ173" s="293">
        <v>68090</v>
      </c>
      <c r="AR173" s="283">
        <v>0</v>
      </c>
      <c r="AS173" s="284">
        <v>0</v>
      </c>
      <c r="AT173" s="282" t="s">
        <v>1037</v>
      </c>
      <c r="AU173" s="303">
        <v>0</v>
      </c>
      <c r="AV173" s="293">
        <v>173</v>
      </c>
      <c r="AW173" s="283">
        <v>497</v>
      </c>
      <c r="AX173" s="286">
        <v>1424</v>
      </c>
      <c r="AY173" s="93"/>
      <c r="AZ173" s="93"/>
      <c r="BA173" s="93"/>
    </row>
    <row r="174" spans="1:53" ht="22.5" customHeight="1" x14ac:dyDescent="0.2">
      <c r="A174" s="281" t="s">
        <v>414</v>
      </c>
      <c r="B174" s="296" t="s">
        <v>798</v>
      </c>
      <c r="C174" s="293">
        <v>100350</v>
      </c>
      <c r="D174" s="283">
        <v>100970</v>
      </c>
      <c r="E174" s="284">
        <v>0.99</v>
      </c>
      <c r="F174" s="298" t="s">
        <v>712</v>
      </c>
      <c r="G174" s="293">
        <v>100350</v>
      </c>
      <c r="H174" s="283">
        <v>28675</v>
      </c>
      <c r="I174" s="285">
        <v>0.28999999999999998</v>
      </c>
      <c r="J174" s="300">
        <v>0</v>
      </c>
      <c r="K174" s="293">
        <v>71675</v>
      </c>
      <c r="L174" s="283">
        <v>4775</v>
      </c>
      <c r="M174" s="300">
        <v>7.0000000000000007E-2</v>
      </c>
      <c r="N174" s="293">
        <v>100975</v>
      </c>
      <c r="O174" s="283">
        <v>625</v>
      </c>
      <c r="P174" s="300">
        <v>0.01</v>
      </c>
      <c r="Q174" s="293">
        <v>100350</v>
      </c>
      <c r="R174" s="283">
        <v>6415</v>
      </c>
      <c r="S174" s="303">
        <v>0.06</v>
      </c>
      <c r="T174" s="302">
        <v>0</v>
      </c>
      <c r="U174" s="293">
        <v>24940</v>
      </c>
      <c r="V174" s="283">
        <v>830</v>
      </c>
      <c r="W174" s="284">
        <v>0.03</v>
      </c>
      <c r="X174" s="282" t="s">
        <v>1037</v>
      </c>
      <c r="Y174" s="303">
        <v>0</v>
      </c>
      <c r="Z174" s="293">
        <v>15</v>
      </c>
      <c r="AA174" s="283">
        <v>76</v>
      </c>
      <c r="AB174" s="307">
        <v>1435</v>
      </c>
      <c r="AC174" s="293">
        <v>66900</v>
      </c>
      <c r="AD174" s="283">
        <v>9780</v>
      </c>
      <c r="AE174" s="284">
        <v>0.15</v>
      </c>
      <c r="AF174" s="282" t="s">
        <v>1037</v>
      </c>
      <c r="AG174" s="303">
        <v>0</v>
      </c>
      <c r="AH174" s="293">
        <v>74</v>
      </c>
      <c r="AI174" s="283">
        <v>211</v>
      </c>
      <c r="AJ174" s="307">
        <v>878</v>
      </c>
      <c r="AK174" s="293">
        <v>204</v>
      </c>
      <c r="AL174" s="283">
        <v>459</v>
      </c>
      <c r="AM174" s="307">
        <v>1085</v>
      </c>
      <c r="AN174" s="293">
        <v>142</v>
      </c>
      <c r="AO174" s="283">
        <v>292</v>
      </c>
      <c r="AP174" s="307">
        <v>1439</v>
      </c>
      <c r="AQ174" s="293">
        <v>100350</v>
      </c>
      <c r="AR174" s="283">
        <v>40</v>
      </c>
      <c r="AS174" s="284">
        <v>0</v>
      </c>
      <c r="AT174" s="282" t="s">
        <v>1037</v>
      </c>
      <c r="AU174" s="303">
        <v>0</v>
      </c>
      <c r="AV174" s="293">
        <v>164</v>
      </c>
      <c r="AW174" s="283">
        <v>409</v>
      </c>
      <c r="AX174" s="286">
        <v>1439</v>
      </c>
      <c r="AY174" s="93"/>
      <c r="AZ174" s="93"/>
      <c r="BA174" s="93"/>
    </row>
    <row r="175" spans="1:53" ht="22.5" customHeight="1" x14ac:dyDescent="0.2">
      <c r="A175" s="281" t="s">
        <v>416</v>
      </c>
      <c r="B175" s="296" t="s">
        <v>824</v>
      </c>
      <c r="C175" s="293">
        <v>191740</v>
      </c>
      <c r="D175" s="283">
        <v>240694</v>
      </c>
      <c r="E175" s="284">
        <v>0.8</v>
      </c>
      <c r="F175" s="298" t="s">
        <v>735</v>
      </c>
      <c r="G175" s="293">
        <v>191740</v>
      </c>
      <c r="H175" s="283">
        <v>135450</v>
      </c>
      <c r="I175" s="285">
        <v>0.71</v>
      </c>
      <c r="J175" s="300">
        <v>0.02</v>
      </c>
      <c r="K175" s="293">
        <v>56295</v>
      </c>
      <c r="L175" s="283">
        <v>10</v>
      </c>
      <c r="M175" s="300">
        <v>0</v>
      </c>
      <c r="N175" s="293">
        <v>191740</v>
      </c>
      <c r="O175" s="283">
        <v>0</v>
      </c>
      <c r="P175" s="300">
        <v>0</v>
      </c>
      <c r="Q175" s="293">
        <v>191740</v>
      </c>
      <c r="R175" s="283">
        <v>19340</v>
      </c>
      <c r="S175" s="303">
        <v>0.1</v>
      </c>
      <c r="T175" s="302">
        <v>0</v>
      </c>
      <c r="U175" s="293">
        <v>45245</v>
      </c>
      <c r="V175" s="283">
        <v>0</v>
      </c>
      <c r="W175" s="284">
        <v>0</v>
      </c>
      <c r="X175" s="282" t="s">
        <v>1037</v>
      </c>
      <c r="Y175" s="303">
        <v>0</v>
      </c>
      <c r="Z175" s="293">
        <v>2</v>
      </c>
      <c r="AA175" s="283">
        <v>23</v>
      </c>
      <c r="AB175" s="307">
        <v>414</v>
      </c>
      <c r="AC175" s="293">
        <v>56280</v>
      </c>
      <c r="AD175" s="283">
        <v>2310</v>
      </c>
      <c r="AE175" s="284">
        <v>0.04</v>
      </c>
      <c r="AF175" s="282" t="s">
        <v>1037</v>
      </c>
      <c r="AG175" s="303">
        <v>0</v>
      </c>
      <c r="AH175" s="293">
        <v>33</v>
      </c>
      <c r="AI175" s="283">
        <v>119</v>
      </c>
      <c r="AJ175" s="307">
        <v>1436</v>
      </c>
      <c r="AK175" s="293">
        <v>57</v>
      </c>
      <c r="AL175" s="283">
        <v>143</v>
      </c>
      <c r="AM175" s="307">
        <v>1436</v>
      </c>
      <c r="AN175" s="293">
        <v>62</v>
      </c>
      <c r="AO175" s="283">
        <v>194</v>
      </c>
      <c r="AP175" s="307">
        <v>1438</v>
      </c>
      <c r="AQ175" s="293">
        <v>191740</v>
      </c>
      <c r="AR175" s="283">
        <v>0</v>
      </c>
      <c r="AS175" s="284">
        <v>0</v>
      </c>
      <c r="AT175" s="282" t="s">
        <v>1037</v>
      </c>
      <c r="AU175" s="303">
        <v>0</v>
      </c>
      <c r="AV175" s="293">
        <v>139</v>
      </c>
      <c r="AW175" s="283">
        <v>374</v>
      </c>
      <c r="AX175" s="286">
        <v>1438</v>
      </c>
      <c r="AY175" s="93"/>
      <c r="AZ175" s="93"/>
      <c r="BA175" s="93"/>
    </row>
    <row r="176" spans="1:53" ht="22.5" customHeight="1" x14ac:dyDescent="0.2">
      <c r="A176" s="281" t="s">
        <v>415</v>
      </c>
      <c r="B176" s="296" t="s">
        <v>791</v>
      </c>
      <c r="C176" s="293">
        <v>95305</v>
      </c>
      <c r="D176" s="283">
        <v>103492</v>
      </c>
      <c r="E176" s="284">
        <v>0.92</v>
      </c>
      <c r="F176" s="298" t="s">
        <v>712</v>
      </c>
      <c r="G176" s="293">
        <v>95305</v>
      </c>
      <c r="H176" s="283">
        <v>1000</v>
      </c>
      <c r="I176" s="285">
        <v>0.01</v>
      </c>
      <c r="J176" s="300">
        <v>0</v>
      </c>
      <c r="K176" s="293">
        <v>94305</v>
      </c>
      <c r="L176" s="283">
        <v>20</v>
      </c>
      <c r="M176" s="300">
        <v>0</v>
      </c>
      <c r="N176" s="293">
        <v>95305</v>
      </c>
      <c r="O176" s="283">
        <v>0</v>
      </c>
      <c r="P176" s="300">
        <v>0</v>
      </c>
      <c r="Q176" s="293">
        <v>95305</v>
      </c>
      <c r="R176" s="283">
        <v>6465</v>
      </c>
      <c r="S176" s="303">
        <v>7.0000000000000007E-2</v>
      </c>
      <c r="T176" s="302">
        <v>0</v>
      </c>
      <c r="U176" s="293">
        <v>25245</v>
      </c>
      <c r="V176" s="283">
        <v>2380</v>
      </c>
      <c r="W176" s="284">
        <v>0.09</v>
      </c>
      <c r="X176" s="282" t="s">
        <v>1037</v>
      </c>
      <c r="Y176" s="303">
        <v>0</v>
      </c>
      <c r="Z176" s="293">
        <v>4</v>
      </c>
      <c r="AA176" s="283">
        <v>18</v>
      </c>
      <c r="AB176" s="307">
        <v>1437</v>
      </c>
      <c r="AC176" s="293">
        <v>94280</v>
      </c>
      <c r="AD176" s="283">
        <v>10680</v>
      </c>
      <c r="AE176" s="284">
        <v>0.11</v>
      </c>
      <c r="AF176" s="282" t="s">
        <v>1037</v>
      </c>
      <c r="AG176" s="303">
        <v>0</v>
      </c>
      <c r="AH176" s="293">
        <v>79</v>
      </c>
      <c r="AI176" s="283">
        <v>231</v>
      </c>
      <c r="AJ176" s="307">
        <v>1436</v>
      </c>
      <c r="AK176" s="293">
        <v>205</v>
      </c>
      <c r="AL176" s="283">
        <v>345</v>
      </c>
      <c r="AM176" s="307">
        <v>729</v>
      </c>
      <c r="AN176" s="293">
        <v>158</v>
      </c>
      <c r="AO176" s="283">
        <v>334</v>
      </c>
      <c r="AP176" s="307">
        <v>1396</v>
      </c>
      <c r="AQ176" s="293">
        <v>95305</v>
      </c>
      <c r="AR176" s="283" t="s">
        <v>906</v>
      </c>
      <c r="AS176" s="284" t="s">
        <v>906</v>
      </c>
      <c r="AT176" s="282" t="s">
        <v>1037</v>
      </c>
      <c r="AU176" s="303">
        <v>0</v>
      </c>
      <c r="AV176" s="293">
        <v>159</v>
      </c>
      <c r="AW176" s="283">
        <v>334</v>
      </c>
      <c r="AX176" s="286">
        <v>1396</v>
      </c>
      <c r="AY176" s="93"/>
      <c r="AZ176" s="93"/>
      <c r="BA176" s="93"/>
    </row>
    <row r="177" spans="1:53" ht="22.5" customHeight="1" x14ac:dyDescent="0.2">
      <c r="A177" s="281" t="s">
        <v>634</v>
      </c>
      <c r="B177" s="296" t="s">
        <v>734</v>
      </c>
      <c r="C177" s="293">
        <v>41110</v>
      </c>
      <c r="D177" s="283">
        <v>40934</v>
      </c>
      <c r="E177" s="284">
        <v>1</v>
      </c>
      <c r="F177" s="298" t="s">
        <v>712</v>
      </c>
      <c r="G177" s="293">
        <v>41110</v>
      </c>
      <c r="H177" s="283">
        <v>0</v>
      </c>
      <c r="I177" s="285">
        <v>0</v>
      </c>
      <c r="J177" s="300">
        <v>0</v>
      </c>
      <c r="K177" s="293">
        <v>41110</v>
      </c>
      <c r="L177" s="283">
        <v>1135</v>
      </c>
      <c r="M177" s="300">
        <v>0.03</v>
      </c>
      <c r="N177" s="293">
        <v>41110</v>
      </c>
      <c r="O177" s="283">
        <v>0</v>
      </c>
      <c r="P177" s="300">
        <v>0</v>
      </c>
      <c r="Q177" s="293">
        <v>41110</v>
      </c>
      <c r="R177" s="283">
        <v>1315</v>
      </c>
      <c r="S177" s="303">
        <v>0.03</v>
      </c>
      <c r="T177" s="302">
        <v>0</v>
      </c>
      <c r="U177" s="293">
        <v>10</v>
      </c>
      <c r="V177" s="283">
        <v>0</v>
      </c>
      <c r="W177" s="284" t="s">
        <v>1037</v>
      </c>
      <c r="X177" s="282" t="s">
        <v>1037</v>
      </c>
      <c r="Y177" s="303" t="s">
        <v>1037</v>
      </c>
      <c r="Z177" s="293">
        <v>0</v>
      </c>
      <c r="AA177" s="283">
        <v>2</v>
      </c>
      <c r="AB177" s="307">
        <v>2</v>
      </c>
      <c r="AC177" s="293">
        <v>39960</v>
      </c>
      <c r="AD177" s="283">
        <v>15</v>
      </c>
      <c r="AE177" s="284">
        <v>0</v>
      </c>
      <c r="AF177" s="282" t="s">
        <v>1037</v>
      </c>
      <c r="AG177" s="303">
        <v>0</v>
      </c>
      <c r="AH177" s="293">
        <v>27</v>
      </c>
      <c r="AI177" s="283">
        <v>112</v>
      </c>
      <c r="AJ177" s="307">
        <v>1329</v>
      </c>
      <c r="AK177" s="293">
        <v>67</v>
      </c>
      <c r="AL177" s="283">
        <v>137</v>
      </c>
      <c r="AM177" s="307">
        <v>153</v>
      </c>
      <c r="AN177" s="293">
        <v>47</v>
      </c>
      <c r="AO177" s="283">
        <v>139</v>
      </c>
      <c r="AP177" s="307">
        <v>1402</v>
      </c>
      <c r="AQ177" s="293">
        <v>41110</v>
      </c>
      <c r="AR177" s="283">
        <v>0</v>
      </c>
      <c r="AS177" s="284">
        <v>0</v>
      </c>
      <c r="AT177" s="282" t="s">
        <v>1037</v>
      </c>
      <c r="AU177" s="303">
        <v>0</v>
      </c>
      <c r="AV177" s="293">
        <v>47</v>
      </c>
      <c r="AW177" s="283">
        <v>139</v>
      </c>
      <c r="AX177" s="286">
        <v>1402</v>
      </c>
      <c r="AY177" s="93"/>
      <c r="AZ177" s="93"/>
      <c r="BA177" s="93"/>
    </row>
    <row r="178" spans="1:53" ht="22.5" customHeight="1" x14ac:dyDescent="0.2">
      <c r="A178" s="281" t="s">
        <v>392</v>
      </c>
      <c r="B178" s="296" t="s">
        <v>763</v>
      </c>
      <c r="C178" s="293">
        <v>111695</v>
      </c>
      <c r="D178" s="283">
        <v>112826</v>
      </c>
      <c r="E178" s="284">
        <v>0.99</v>
      </c>
      <c r="F178" s="298" t="s">
        <v>712</v>
      </c>
      <c r="G178" s="293">
        <v>111695</v>
      </c>
      <c r="H178" s="283">
        <v>2885</v>
      </c>
      <c r="I178" s="285">
        <v>0.03</v>
      </c>
      <c r="J178" s="300">
        <v>0.01</v>
      </c>
      <c r="K178" s="293">
        <v>108805</v>
      </c>
      <c r="L178" s="283">
        <v>2060</v>
      </c>
      <c r="M178" s="300">
        <v>0.02</v>
      </c>
      <c r="N178" s="293">
        <v>111910</v>
      </c>
      <c r="O178" s="283">
        <v>220</v>
      </c>
      <c r="P178" s="300">
        <v>0</v>
      </c>
      <c r="Q178" s="293">
        <v>111695</v>
      </c>
      <c r="R178" s="283">
        <v>6405</v>
      </c>
      <c r="S178" s="303">
        <v>0.06</v>
      </c>
      <c r="T178" s="302">
        <v>0</v>
      </c>
      <c r="U178" s="293">
        <v>28060</v>
      </c>
      <c r="V178" s="283">
        <v>165</v>
      </c>
      <c r="W178" s="284">
        <v>0.01</v>
      </c>
      <c r="X178" s="282" t="s">
        <v>1037</v>
      </c>
      <c r="Y178" s="303">
        <v>0.01</v>
      </c>
      <c r="Z178" s="293">
        <v>1</v>
      </c>
      <c r="AA178" s="283">
        <v>22</v>
      </c>
      <c r="AB178" s="307">
        <v>1439</v>
      </c>
      <c r="AC178" s="293">
        <v>106400</v>
      </c>
      <c r="AD178" s="283">
        <v>70</v>
      </c>
      <c r="AE178" s="284">
        <v>0</v>
      </c>
      <c r="AF178" s="282" t="s">
        <v>1037</v>
      </c>
      <c r="AG178" s="303">
        <v>0</v>
      </c>
      <c r="AH178" s="293">
        <v>47</v>
      </c>
      <c r="AI178" s="283">
        <v>232</v>
      </c>
      <c r="AJ178" s="307">
        <v>1439</v>
      </c>
      <c r="AK178" s="293">
        <v>233</v>
      </c>
      <c r="AL178" s="283">
        <v>611</v>
      </c>
      <c r="AM178" s="307">
        <v>1429</v>
      </c>
      <c r="AN178" s="293">
        <v>81</v>
      </c>
      <c r="AO178" s="283">
        <v>282</v>
      </c>
      <c r="AP178" s="307">
        <v>1435</v>
      </c>
      <c r="AQ178" s="293">
        <v>111695</v>
      </c>
      <c r="AR178" s="283">
        <v>0</v>
      </c>
      <c r="AS178" s="284">
        <v>0</v>
      </c>
      <c r="AT178" s="282" t="s">
        <v>1037</v>
      </c>
      <c r="AU178" s="303">
        <v>0</v>
      </c>
      <c r="AV178" s="293">
        <v>116</v>
      </c>
      <c r="AW178" s="283">
        <v>407</v>
      </c>
      <c r="AX178" s="286">
        <v>1436</v>
      </c>
      <c r="AY178" s="93"/>
      <c r="AZ178" s="93"/>
      <c r="BA178" s="93"/>
    </row>
    <row r="179" spans="1:53" ht="22.5" customHeight="1" x14ac:dyDescent="0.2">
      <c r="A179" s="281" t="s">
        <v>1025</v>
      </c>
      <c r="B179" s="296" t="s">
        <v>1024</v>
      </c>
      <c r="C179" s="293">
        <v>13340</v>
      </c>
      <c r="D179" s="283" t="s">
        <v>706</v>
      </c>
      <c r="E179" s="284" t="s">
        <v>706</v>
      </c>
      <c r="F179" s="298" t="s">
        <v>706</v>
      </c>
      <c r="G179" s="293">
        <v>13340</v>
      </c>
      <c r="H179" s="283">
        <v>0</v>
      </c>
      <c r="I179" s="285">
        <v>0</v>
      </c>
      <c r="J179" s="300">
        <v>0</v>
      </c>
      <c r="K179" s="293">
        <v>13340</v>
      </c>
      <c r="L179" s="283">
        <v>555</v>
      </c>
      <c r="M179" s="300">
        <v>0.04</v>
      </c>
      <c r="N179" s="293">
        <v>13340</v>
      </c>
      <c r="O179" s="283">
        <v>0</v>
      </c>
      <c r="P179" s="300">
        <v>0</v>
      </c>
      <c r="Q179" s="293">
        <v>13340</v>
      </c>
      <c r="R179" s="283">
        <v>1110</v>
      </c>
      <c r="S179" s="303">
        <v>0.08</v>
      </c>
      <c r="T179" s="302">
        <v>0</v>
      </c>
      <c r="U179" s="293">
        <v>65</v>
      </c>
      <c r="V179" s="283" t="s">
        <v>906</v>
      </c>
      <c r="W179" s="284" t="s">
        <v>1037</v>
      </c>
      <c r="X179" s="282" t="s">
        <v>1037</v>
      </c>
      <c r="Y179" s="303" t="s">
        <v>1037</v>
      </c>
      <c r="Z179" s="293">
        <v>1</v>
      </c>
      <c r="AA179" s="283">
        <v>39</v>
      </c>
      <c r="AB179" s="307">
        <v>52</v>
      </c>
      <c r="AC179" s="293">
        <v>12780</v>
      </c>
      <c r="AD179" s="283">
        <v>35</v>
      </c>
      <c r="AE179" s="284">
        <v>0</v>
      </c>
      <c r="AF179" s="282" t="s">
        <v>1037</v>
      </c>
      <c r="AG179" s="303">
        <v>0</v>
      </c>
      <c r="AH179" s="293">
        <v>20</v>
      </c>
      <c r="AI179" s="283">
        <v>137</v>
      </c>
      <c r="AJ179" s="307">
        <v>431</v>
      </c>
      <c r="AK179" s="293" t="s">
        <v>706</v>
      </c>
      <c r="AL179" s="283" t="s">
        <v>706</v>
      </c>
      <c r="AM179" s="307" t="s">
        <v>706</v>
      </c>
      <c r="AN179" s="293">
        <v>50</v>
      </c>
      <c r="AO179" s="283">
        <v>178</v>
      </c>
      <c r="AP179" s="307">
        <v>545</v>
      </c>
      <c r="AQ179" s="293">
        <v>13340</v>
      </c>
      <c r="AR179" s="283">
        <v>0</v>
      </c>
      <c r="AS179" s="284">
        <v>0</v>
      </c>
      <c r="AT179" s="282" t="s">
        <v>1037</v>
      </c>
      <c r="AU179" s="303">
        <v>0</v>
      </c>
      <c r="AV179" s="293">
        <v>50</v>
      </c>
      <c r="AW179" s="283">
        <v>178</v>
      </c>
      <c r="AX179" s="286">
        <v>545</v>
      </c>
      <c r="AY179" s="93"/>
      <c r="AZ179" s="93"/>
      <c r="BA179" s="93"/>
    </row>
    <row r="180" spans="1:53" ht="22.5" customHeight="1" x14ac:dyDescent="0.2">
      <c r="A180" s="281" t="s">
        <v>623</v>
      </c>
      <c r="B180" s="296" t="s">
        <v>710</v>
      </c>
      <c r="C180" s="293">
        <v>94570</v>
      </c>
      <c r="D180" s="283" t="s">
        <v>706</v>
      </c>
      <c r="E180" s="284" t="s">
        <v>706</v>
      </c>
      <c r="F180" s="298" t="s">
        <v>706</v>
      </c>
      <c r="G180" s="293">
        <v>94570</v>
      </c>
      <c r="H180" s="283">
        <v>70</v>
      </c>
      <c r="I180" s="285">
        <v>0</v>
      </c>
      <c r="J180" s="300">
        <v>0</v>
      </c>
      <c r="K180" s="293">
        <v>94500</v>
      </c>
      <c r="L180" s="283" t="s">
        <v>906</v>
      </c>
      <c r="M180" s="300" t="s">
        <v>906</v>
      </c>
      <c r="N180" s="293">
        <v>94570</v>
      </c>
      <c r="O180" s="283" t="s">
        <v>906</v>
      </c>
      <c r="P180" s="300" t="s">
        <v>906</v>
      </c>
      <c r="Q180" s="293">
        <v>94570</v>
      </c>
      <c r="R180" s="283">
        <v>4120</v>
      </c>
      <c r="S180" s="303">
        <v>0.04</v>
      </c>
      <c r="T180" s="302">
        <v>0</v>
      </c>
      <c r="U180" s="293">
        <v>3190</v>
      </c>
      <c r="V180" s="283">
        <v>0</v>
      </c>
      <c r="W180" s="284">
        <v>0</v>
      </c>
      <c r="X180" s="282" t="s">
        <v>1037</v>
      </c>
      <c r="Y180" s="303">
        <v>0.01</v>
      </c>
      <c r="Z180" s="293">
        <v>9</v>
      </c>
      <c r="AA180" s="283">
        <v>20</v>
      </c>
      <c r="AB180" s="307">
        <v>837</v>
      </c>
      <c r="AC180" s="293">
        <v>94500</v>
      </c>
      <c r="AD180" s="283">
        <v>0</v>
      </c>
      <c r="AE180" s="284">
        <v>0</v>
      </c>
      <c r="AF180" s="282" t="s">
        <v>1037</v>
      </c>
      <c r="AG180" s="303">
        <v>0.02</v>
      </c>
      <c r="AH180" s="293">
        <v>71</v>
      </c>
      <c r="AI180" s="283">
        <v>206</v>
      </c>
      <c r="AJ180" s="307">
        <v>1439</v>
      </c>
      <c r="AK180" s="293" t="s">
        <v>906</v>
      </c>
      <c r="AL180" s="283" t="s">
        <v>906</v>
      </c>
      <c r="AM180" s="307" t="s">
        <v>906</v>
      </c>
      <c r="AN180" s="293">
        <v>122</v>
      </c>
      <c r="AO180" s="283">
        <v>239</v>
      </c>
      <c r="AP180" s="307">
        <v>1419</v>
      </c>
      <c r="AQ180" s="293">
        <v>94570</v>
      </c>
      <c r="AR180" s="283">
        <v>0</v>
      </c>
      <c r="AS180" s="284">
        <v>0</v>
      </c>
      <c r="AT180" s="282" t="s">
        <v>1037</v>
      </c>
      <c r="AU180" s="303">
        <v>0</v>
      </c>
      <c r="AV180" s="293">
        <v>122</v>
      </c>
      <c r="AW180" s="283">
        <v>239</v>
      </c>
      <c r="AX180" s="286">
        <v>1419</v>
      </c>
      <c r="AY180" s="93"/>
      <c r="AZ180" s="93"/>
      <c r="BA180" s="93"/>
    </row>
    <row r="181" spans="1:53" ht="22.5" customHeight="1" x14ac:dyDescent="0.2">
      <c r="A181" s="281" t="s">
        <v>622</v>
      </c>
      <c r="B181" s="296" t="s">
        <v>709</v>
      </c>
      <c r="C181" s="293">
        <v>69570</v>
      </c>
      <c r="D181" s="283" t="s">
        <v>706</v>
      </c>
      <c r="E181" s="284" t="s">
        <v>706</v>
      </c>
      <c r="F181" s="298" t="s">
        <v>706</v>
      </c>
      <c r="G181" s="293">
        <v>69570</v>
      </c>
      <c r="H181" s="283" t="s">
        <v>906</v>
      </c>
      <c r="I181" s="285" t="s">
        <v>906</v>
      </c>
      <c r="J181" s="300">
        <v>0</v>
      </c>
      <c r="K181" s="293">
        <v>69565</v>
      </c>
      <c r="L181" s="283">
        <v>0</v>
      </c>
      <c r="M181" s="300">
        <v>0</v>
      </c>
      <c r="N181" s="293">
        <v>69570</v>
      </c>
      <c r="O181" s="283">
        <v>0</v>
      </c>
      <c r="P181" s="300">
        <v>0</v>
      </c>
      <c r="Q181" s="293">
        <v>69570</v>
      </c>
      <c r="R181" s="283">
        <v>3075</v>
      </c>
      <c r="S181" s="303">
        <v>0.04</v>
      </c>
      <c r="T181" s="302">
        <v>0</v>
      </c>
      <c r="U181" s="293">
        <v>1250</v>
      </c>
      <c r="V181" s="283">
        <v>0</v>
      </c>
      <c r="W181" s="284">
        <v>0</v>
      </c>
      <c r="X181" s="282" t="s">
        <v>1037</v>
      </c>
      <c r="Y181" s="303">
        <v>0</v>
      </c>
      <c r="Z181" s="293">
        <v>5</v>
      </c>
      <c r="AA181" s="283">
        <v>15</v>
      </c>
      <c r="AB181" s="307">
        <v>35</v>
      </c>
      <c r="AC181" s="293">
        <v>69565</v>
      </c>
      <c r="AD181" s="283">
        <v>0</v>
      </c>
      <c r="AE181" s="284">
        <v>0</v>
      </c>
      <c r="AF181" s="282" t="s">
        <v>1037</v>
      </c>
      <c r="AG181" s="303">
        <v>0.01</v>
      </c>
      <c r="AH181" s="293">
        <v>68</v>
      </c>
      <c r="AI181" s="283">
        <v>191</v>
      </c>
      <c r="AJ181" s="307">
        <v>1439</v>
      </c>
      <c r="AK181" s="293" t="s">
        <v>706</v>
      </c>
      <c r="AL181" s="283" t="s">
        <v>706</v>
      </c>
      <c r="AM181" s="307" t="s">
        <v>706</v>
      </c>
      <c r="AN181" s="293">
        <v>118</v>
      </c>
      <c r="AO181" s="283">
        <v>226</v>
      </c>
      <c r="AP181" s="307">
        <v>1431</v>
      </c>
      <c r="AQ181" s="293">
        <v>69570</v>
      </c>
      <c r="AR181" s="283">
        <v>0</v>
      </c>
      <c r="AS181" s="284">
        <v>0</v>
      </c>
      <c r="AT181" s="282" t="s">
        <v>1037</v>
      </c>
      <c r="AU181" s="303">
        <v>0</v>
      </c>
      <c r="AV181" s="293">
        <v>118</v>
      </c>
      <c r="AW181" s="283">
        <v>226</v>
      </c>
      <c r="AX181" s="286">
        <v>1431</v>
      </c>
      <c r="AY181" s="93"/>
      <c r="AZ181" s="93"/>
      <c r="BA181" s="93"/>
    </row>
    <row r="182" spans="1:53" ht="22.5" customHeight="1" x14ac:dyDescent="0.2">
      <c r="A182" s="281" t="s">
        <v>418</v>
      </c>
      <c r="B182" s="296" t="s">
        <v>874</v>
      </c>
      <c r="C182" s="293">
        <v>147040</v>
      </c>
      <c r="D182" s="283">
        <v>166701</v>
      </c>
      <c r="E182" s="284">
        <v>0.88</v>
      </c>
      <c r="F182" s="298" t="s">
        <v>721</v>
      </c>
      <c r="G182" s="293">
        <v>147040</v>
      </c>
      <c r="H182" s="283">
        <v>0</v>
      </c>
      <c r="I182" s="285">
        <v>0</v>
      </c>
      <c r="J182" s="300">
        <v>0</v>
      </c>
      <c r="K182" s="293">
        <v>147040</v>
      </c>
      <c r="L182" s="283">
        <v>5930</v>
      </c>
      <c r="M182" s="300">
        <v>0.04</v>
      </c>
      <c r="N182" s="293">
        <v>147040</v>
      </c>
      <c r="O182" s="283">
        <v>0</v>
      </c>
      <c r="P182" s="300">
        <v>0</v>
      </c>
      <c r="Q182" s="293">
        <v>147040</v>
      </c>
      <c r="R182" s="283">
        <v>10765</v>
      </c>
      <c r="S182" s="303">
        <v>7.0000000000000007E-2</v>
      </c>
      <c r="T182" s="302">
        <v>0</v>
      </c>
      <c r="U182" s="293">
        <v>51030</v>
      </c>
      <c r="V182" s="283">
        <v>5335</v>
      </c>
      <c r="W182" s="284">
        <v>0.1</v>
      </c>
      <c r="X182" s="282" t="s">
        <v>1037</v>
      </c>
      <c r="Y182" s="303">
        <v>0</v>
      </c>
      <c r="Z182" s="293">
        <v>9</v>
      </c>
      <c r="AA182" s="283">
        <v>74</v>
      </c>
      <c r="AB182" s="307">
        <v>883</v>
      </c>
      <c r="AC182" s="293">
        <v>141110</v>
      </c>
      <c r="AD182" s="283">
        <v>85</v>
      </c>
      <c r="AE182" s="284">
        <v>0</v>
      </c>
      <c r="AF182" s="282" t="s">
        <v>1037</v>
      </c>
      <c r="AG182" s="303">
        <v>0</v>
      </c>
      <c r="AH182" s="293">
        <v>82</v>
      </c>
      <c r="AI182" s="283">
        <v>256</v>
      </c>
      <c r="AJ182" s="307">
        <v>1265</v>
      </c>
      <c r="AK182" s="293">
        <v>328</v>
      </c>
      <c r="AL182" s="283">
        <v>869</v>
      </c>
      <c r="AM182" s="307">
        <v>1430</v>
      </c>
      <c r="AN182" s="293">
        <v>172</v>
      </c>
      <c r="AO182" s="283">
        <v>444</v>
      </c>
      <c r="AP182" s="307">
        <v>1434</v>
      </c>
      <c r="AQ182" s="293">
        <v>147040</v>
      </c>
      <c r="AR182" s="283">
        <v>0</v>
      </c>
      <c r="AS182" s="284">
        <v>0</v>
      </c>
      <c r="AT182" s="282" t="s">
        <v>1037</v>
      </c>
      <c r="AU182" s="303">
        <v>0</v>
      </c>
      <c r="AV182" s="293">
        <v>202</v>
      </c>
      <c r="AW182" s="283">
        <v>683</v>
      </c>
      <c r="AX182" s="286">
        <v>1434</v>
      </c>
      <c r="AY182" s="93"/>
      <c r="AZ182" s="93"/>
      <c r="BA182" s="93"/>
    </row>
    <row r="183" spans="1:53" ht="22.5" customHeight="1" x14ac:dyDescent="0.2">
      <c r="A183" s="281" t="s">
        <v>419</v>
      </c>
      <c r="B183" s="296" t="s">
        <v>856</v>
      </c>
      <c r="C183" s="293">
        <v>142075</v>
      </c>
      <c r="D183" s="283">
        <v>142352</v>
      </c>
      <c r="E183" s="284">
        <v>1</v>
      </c>
      <c r="F183" s="298" t="s">
        <v>712</v>
      </c>
      <c r="G183" s="293">
        <v>142075</v>
      </c>
      <c r="H183" s="283">
        <v>255</v>
      </c>
      <c r="I183" s="285">
        <v>0</v>
      </c>
      <c r="J183" s="300">
        <v>0.02</v>
      </c>
      <c r="K183" s="293">
        <v>141815</v>
      </c>
      <c r="L183" s="283">
        <v>5355</v>
      </c>
      <c r="M183" s="300">
        <v>0.04</v>
      </c>
      <c r="N183" s="293">
        <v>142075</v>
      </c>
      <c r="O183" s="283">
        <v>0</v>
      </c>
      <c r="P183" s="300">
        <v>0</v>
      </c>
      <c r="Q183" s="293">
        <v>142075</v>
      </c>
      <c r="R183" s="283">
        <v>11470</v>
      </c>
      <c r="S183" s="303">
        <v>0.08</v>
      </c>
      <c r="T183" s="302">
        <v>0</v>
      </c>
      <c r="U183" s="293">
        <v>28230</v>
      </c>
      <c r="V183" s="283">
        <v>4570</v>
      </c>
      <c r="W183" s="284">
        <v>0.16</v>
      </c>
      <c r="X183" s="282" t="s">
        <v>1037</v>
      </c>
      <c r="Y183" s="303">
        <v>0</v>
      </c>
      <c r="Z183" s="293">
        <v>10</v>
      </c>
      <c r="AA183" s="283">
        <v>66</v>
      </c>
      <c r="AB183" s="307">
        <v>1436</v>
      </c>
      <c r="AC183" s="293">
        <v>134780</v>
      </c>
      <c r="AD183" s="283">
        <v>33345</v>
      </c>
      <c r="AE183" s="284">
        <v>0.25</v>
      </c>
      <c r="AF183" s="282" t="s">
        <v>1037</v>
      </c>
      <c r="AG183" s="303">
        <v>0</v>
      </c>
      <c r="AH183" s="293">
        <v>84</v>
      </c>
      <c r="AI183" s="283">
        <v>204</v>
      </c>
      <c r="AJ183" s="307">
        <v>885</v>
      </c>
      <c r="AK183" s="293">
        <v>239</v>
      </c>
      <c r="AL183" s="283">
        <v>672</v>
      </c>
      <c r="AM183" s="307">
        <v>1437</v>
      </c>
      <c r="AN183" s="293">
        <v>162</v>
      </c>
      <c r="AO183" s="283">
        <v>347</v>
      </c>
      <c r="AP183" s="307">
        <v>1439</v>
      </c>
      <c r="AQ183" s="293">
        <v>142075</v>
      </c>
      <c r="AR183" s="283">
        <v>105</v>
      </c>
      <c r="AS183" s="284">
        <v>0</v>
      </c>
      <c r="AT183" s="282" t="s">
        <v>1037</v>
      </c>
      <c r="AU183" s="303">
        <v>0</v>
      </c>
      <c r="AV183" s="293">
        <v>177</v>
      </c>
      <c r="AW183" s="283">
        <v>457</v>
      </c>
      <c r="AX183" s="286">
        <v>1439</v>
      </c>
      <c r="AY183" s="93"/>
      <c r="AZ183" s="93"/>
      <c r="BA183" s="93"/>
    </row>
    <row r="184" spans="1:53" ht="22.5" customHeight="1" x14ac:dyDescent="0.2">
      <c r="A184" s="281" t="s">
        <v>425</v>
      </c>
      <c r="B184" s="296" t="s">
        <v>815</v>
      </c>
      <c r="C184" s="293">
        <v>227250</v>
      </c>
      <c r="D184" s="283">
        <v>263897</v>
      </c>
      <c r="E184" s="284">
        <v>0.86</v>
      </c>
      <c r="F184" s="298" t="s">
        <v>721</v>
      </c>
      <c r="G184" s="293">
        <v>227250</v>
      </c>
      <c r="H184" s="283">
        <v>0</v>
      </c>
      <c r="I184" s="285">
        <v>0</v>
      </c>
      <c r="J184" s="300">
        <v>0</v>
      </c>
      <c r="K184" s="293">
        <v>227250</v>
      </c>
      <c r="L184" s="283">
        <v>10100</v>
      </c>
      <c r="M184" s="300">
        <v>0.04</v>
      </c>
      <c r="N184" s="293">
        <v>227250</v>
      </c>
      <c r="O184" s="283">
        <v>0</v>
      </c>
      <c r="P184" s="300">
        <v>0</v>
      </c>
      <c r="Q184" s="293">
        <v>227250</v>
      </c>
      <c r="R184" s="283">
        <v>20645</v>
      </c>
      <c r="S184" s="303">
        <v>0.09</v>
      </c>
      <c r="T184" s="302">
        <v>0</v>
      </c>
      <c r="U184" s="293">
        <v>74210</v>
      </c>
      <c r="V184" s="283">
        <v>1310</v>
      </c>
      <c r="W184" s="284">
        <v>0.02</v>
      </c>
      <c r="X184" s="282" t="s">
        <v>1037</v>
      </c>
      <c r="Y184" s="303">
        <v>0</v>
      </c>
      <c r="Z184" s="293">
        <v>8</v>
      </c>
      <c r="AA184" s="283">
        <v>41</v>
      </c>
      <c r="AB184" s="307">
        <v>1233</v>
      </c>
      <c r="AC184" s="293">
        <v>217150</v>
      </c>
      <c r="AD184" s="283">
        <v>7705</v>
      </c>
      <c r="AE184" s="284">
        <v>0.04</v>
      </c>
      <c r="AF184" s="282" t="s">
        <v>1037</v>
      </c>
      <c r="AG184" s="303">
        <v>0</v>
      </c>
      <c r="AH184" s="293">
        <v>68</v>
      </c>
      <c r="AI184" s="283">
        <v>228</v>
      </c>
      <c r="AJ184" s="307">
        <v>1352</v>
      </c>
      <c r="AK184" s="293" t="s">
        <v>706</v>
      </c>
      <c r="AL184" s="283" t="s">
        <v>706</v>
      </c>
      <c r="AM184" s="307" t="s">
        <v>706</v>
      </c>
      <c r="AN184" s="293">
        <v>157</v>
      </c>
      <c r="AO184" s="283">
        <v>539</v>
      </c>
      <c r="AP184" s="307">
        <v>1435</v>
      </c>
      <c r="AQ184" s="293">
        <v>227250</v>
      </c>
      <c r="AR184" s="283">
        <v>0</v>
      </c>
      <c r="AS184" s="284">
        <v>0</v>
      </c>
      <c r="AT184" s="282" t="s">
        <v>1037</v>
      </c>
      <c r="AU184" s="303">
        <v>0</v>
      </c>
      <c r="AV184" s="293">
        <v>157</v>
      </c>
      <c r="AW184" s="283">
        <v>539</v>
      </c>
      <c r="AX184" s="286">
        <v>1435</v>
      </c>
      <c r="AY184" s="93"/>
      <c r="AZ184" s="93"/>
      <c r="BA184" s="93"/>
    </row>
    <row r="185" spans="1:53" ht="22.5" customHeight="1" x14ac:dyDescent="0.2">
      <c r="A185" s="281" t="s">
        <v>467</v>
      </c>
      <c r="B185" s="296" t="s">
        <v>855</v>
      </c>
      <c r="C185" s="293">
        <v>408230</v>
      </c>
      <c r="D185" s="283">
        <v>336878</v>
      </c>
      <c r="E185" s="284">
        <v>1.21</v>
      </c>
      <c r="F185" s="298" t="s">
        <v>735</v>
      </c>
      <c r="G185" s="293">
        <v>408230</v>
      </c>
      <c r="H185" s="283" t="s">
        <v>906</v>
      </c>
      <c r="I185" s="285" t="s">
        <v>906</v>
      </c>
      <c r="J185" s="300">
        <v>0</v>
      </c>
      <c r="K185" s="293">
        <v>408225</v>
      </c>
      <c r="L185" s="283">
        <v>6790</v>
      </c>
      <c r="M185" s="300">
        <v>0.02</v>
      </c>
      <c r="N185" s="293">
        <v>408230</v>
      </c>
      <c r="O185" s="283">
        <v>0</v>
      </c>
      <c r="P185" s="300">
        <v>0</v>
      </c>
      <c r="Q185" s="293">
        <v>408230</v>
      </c>
      <c r="R185" s="283">
        <v>33705</v>
      </c>
      <c r="S185" s="303">
        <v>0.08</v>
      </c>
      <c r="T185" s="302">
        <v>0</v>
      </c>
      <c r="U185" s="293">
        <v>113885</v>
      </c>
      <c r="V185" s="283">
        <v>0</v>
      </c>
      <c r="W185" s="284">
        <v>0</v>
      </c>
      <c r="X185" s="282" t="s">
        <v>1037</v>
      </c>
      <c r="Y185" s="303">
        <v>0</v>
      </c>
      <c r="Z185" s="293">
        <v>5</v>
      </c>
      <c r="AA185" s="283">
        <v>97</v>
      </c>
      <c r="AB185" s="307">
        <v>1436</v>
      </c>
      <c r="AC185" s="293">
        <v>401435</v>
      </c>
      <c r="AD185" s="283">
        <v>14255</v>
      </c>
      <c r="AE185" s="284">
        <v>0.04</v>
      </c>
      <c r="AF185" s="282" t="s">
        <v>1037</v>
      </c>
      <c r="AG185" s="303">
        <v>0</v>
      </c>
      <c r="AH185" s="293">
        <v>78</v>
      </c>
      <c r="AI185" s="283">
        <v>245</v>
      </c>
      <c r="AJ185" s="307">
        <v>1430</v>
      </c>
      <c r="AK185" s="293">
        <v>238</v>
      </c>
      <c r="AL185" s="283">
        <v>795</v>
      </c>
      <c r="AM185" s="307">
        <v>1439</v>
      </c>
      <c r="AN185" s="293">
        <v>156</v>
      </c>
      <c r="AO185" s="283">
        <v>399</v>
      </c>
      <c r="AP185" s="307">
        <v>1431</v>
      </c>
      <c r="AQ185" s="293">
        <v>408230</v>
      </c>
      <c r="AR185" s="283">
        <v>95</v>
      </c>
      <c r="AS185" s="284">
        <v>0</v>
      </c>
      <c r="AT185" s="282" t="s">
        <v>1037</v>
      </c>
      <c r="AU185" s="303">
        <v>0</v>
      </c>
      <c r="AV185" s="293">
        <v>179</v>
      </c>
      <c r="AW185" s="283">
        <v>590</v>
      </c>
      <c r="AX185" s="286">
        <v>1439</v>
      </c>
      <c r="AY185" s="93"/>
      <c r="AZ185" s="93"/>
      <c r="BA185" s="93"/>
    </row>
    <row r="186" spans="1:53" ht="22.5" customHeight="1" x14ac:dyDescent="0.2">
      <c r="A186" s="281" t="s">
        <v>422</v>
      </c>
      <c r="B186" s="296" t="s">
        <v>822</v>
      </c>
      <c r="C186" s="293">
        <v>240895</v>
      </c>
      <c r="D186" s="283">
        <v>242949</v>
      </c>
      <c r="E186" s="284">
        <v>0.99</v>
      </c>
      <c r="F186" s="298" t="s">
        <v>712</v>
      </c>
      <c r="G186" s="293">
        <v>240895</v>
      </c>
      <c r="H186" s="283">
        <v>26105</v>
      </c>
      <c r="I186" s="285">
        <v>0.11</v>
      </c>
      <c r="J186" s="300">
        <v>0.01</v>
      </c>
      <c r="K186" s="293">
        <v>214790</v>
      </c>
      <c r="L186" s="283">
        <v>6135</v>
      </c>
      <c r="M186" s="300">
        <v>0.03</v>
      </c>
      <c r="N186" s="293">
        <v>240895</v>
      </c>
      <c r="O186" s="283" t="s">
        <v>906</v>
      </c>
      <c r="P186" s="300" t="s">
        <v>906</v>
      </c>
      <c r="Q186" s="293">
        <v>240895</v>
      </c>
      <c r="R186" s="283">
        <v>32000</v>
      </c>
      <c r="S186" s="303">
        <v>0.13</v>
      </c>
      <c r="T186" s="302">
        <v>0</v>
      </c>
      <c r="U186" s="293">
        <v>50185</v>
      </c>
      <c r="V186" s="283" t="s">
        <v>906</v>
      </c>
      <c r="W186" s="284" t="s">
        <v>906</v>
      </c>
      <c r="X186" s="282" t="s">
        <v>1037</v>
      </c>
      <c r="Y186" s="303">
        <v>0</v>
      </c>
      <c r="Z186" s="293">
        <v>5</v>
      </c>
      <c r="AA186" s="283">
        <v>40</v>
      </c>
      <c r="AB186" s="307">
        <v>1422</v>
      </c>
      <c r="AC186" s="293">
        <v>208250</v>
      </c>
      <c r="AD186" s="283">
        <v>3620</v>
      </c>
      <c r="AE186" s="284">
        <v>0.02</v>
      </c>
      <c r="AF186" s="282" t="s">
        <v>1037</v>
      </c>
      <c r="AG186" s="303">
        <v>0</v>
      </c>
      <c r="AH186" s="293">
        <v>65</v>
      </c>
      <c r="AI186" s="283">
        <v>218</v>
      </c>
      <c r="AJ186" s="307">
        <v>1392</v>
      </c>
      <c r="AK186" s="293">
        <v>214</v>
      </c>
      <c r="AL186" s="283">
        <v>738</v>
      </c>
      <c r="AM186" s="307">
        <v>1415</v>
      </c>
      <c r="AN186" s="293">
        <v>112</v>
      </c>
      <c r="AO186" s="283">
        <v>317</v>
      </c>
      <c r="AP186" s="307">
        <v>1397</v>
      </c>
      <c r="AQ186" s="293">
        <v>240895</v>
      </c>
      <c r="AR186" s="283">
        <v>15</v>
      </c>
      <c r="AS186" s="284">
        <v>0</v>
      </c>
      <c r="AT186" s="282" t="s">
        <v>1037</v>
      </c>
      <c r="AU186" s="303">
        <v>0</v>
      </c>
      <c r="AV186" s="293">
        <v>127</v>
      </c>
      <c r="AW186" s="283">
        <v>427</v>
      </c>
      <c r="AX186" s="286">
        <v>1415</v>
      </c>
      <c r="AY186" s="93"/>
      <c r="AZ186" s="93"/>
      <c r="BA186" s="93"/>
    </row>
    <row r="187" spans="1:53" ht="22.5" customHeight="1" x14ac:dyDescent="0.2">
      <c r="A187" s="281" t="s">
        <v>420</v>
      </c>
      <c r="B187" s="296" t="s">
        <v>806</v>
      </c>
      <c r="C187" s="293">
        <v>151195</v>
      </c>
      <c r="D187" s="283">
        <v>151272</v>
      </c>
      <c r="E187" s="284">
        <v>1</v>
      </c>
      <c r="F187" s="298" t="s">
        <v>712</v>
      </c>
      <c r="G187" s="293">
        <v>151195</v>
      </c>
      <c r="H187" s="283">
        <v>2710</v>
      </c>
      <c r="I187" s="285">
        <v>0.02</v>
      </c>
      <c r="J187" s="300">
        <v>0</v>
      </c>
      <c r="K187" s="293">
        <v>148480</v>
      </c>
      <c r="L187" s="283">
        <v>9120</v>
      </c>
      <c r="M187" s="300">
        <v>0.06</v>
      </c>
      <c r="N187" s="293">
        <v>151195</v>
      </c>
      <c r="O187" s="283" t="s">
        <v>906</v>
      </c>
      <c r="P187" s="300" t="s">
        <v>906</v>
      </c>
      <c r="Q187" s="293">
        <v>151195</v>
      </c>
      <c r="R187" s="283">
        <v>11035</v>
      </c>
      <c r="S187" s="303">
        <v>7.0000000000000007E-2</v>
      </c>
      <c r="T187" s="302">
        <v>0</v>
      </c>
      <c r="U187" s="293">
        <v>43390</v>
      </c>
      <c r="V187" s="283">
        <v>80</v>
      </c>
      <c r="W187" s="284">
        <v>0</v>
      </c>
      <c r="X187" s="282" t="s">
        <v>1037</v>
      </c>
      <c r="Y187" s="303">
        <v>0</v>
      </c>
      <c r="Z187" s="293">
        <v>17</v>
      </c>
      <c r="AA187" s="283">
        <v>83</v>
      </c>
      <c r="AB187" s="307">
        <v>1439</v>
      </c>
      <c r="AC187" s="293">
        <v>139355</v>
      </c>
      <c r="AD187" s="283">
        <v>19060</v>
      </c>
      <c r="AE187" s="284">
        <v>0.14000000000000001</v>
      </c>
      <c r="AF187" s="282" t="s">
        <v>1037</v>
      </c>
      <c r="AG187" s="303">
        <v>0</v>
      </c>
      <c r="AH187" s="293">
        <v>85</v>
      </c>
      <c r="AI187" s="283">
        <v>243</v>
      </c>
      <c r="AJ187" s="307">
        <v>1439</v>
      </c>
      <c r="AK187" s="293">
        <v>233</v>
      </c>
      <c r="AL187" s="283">
        <v>492</v>
      </c>
      <c r="AM187" s="307">
        <v>1417</v>
      </c>
      <c r="AN187" s="293">
        <v>144</v>
      </c>
      <c r="AO187" s="283">
        <v>321</v>
      </c>
      <c r="AP187" s="307">
        <v>1426</v>
      </c>
      <c r="AQ187" s="293">
        <v>151195</v>
      </c>
      <c r="AR187" s="283">
        <v>20</v>
      </c>
      <c r="AS187" s="284">
        <v>0</v>
      </c>
      <c r="AT187" s="282" t="s">
        <v>1037</v>
      </c>
      <c r="AU187" s="303">
        <v>0</v>
      </c>
      <c r="AV187" s="293">
        <v>166</v>
      </c>
      <c r="AW187" s="283">
        <v>375</v>
      </c>
      <c r="AX187" s="286">
        <v>1432</v>
      </c>
      <c r="AY187" s="93"/>
      <c r="AZ187" s="93"/>
      <c r="BA187" s="93"/>
    </row>
    <row r="188" spans="1:53" ht="22.5" customHeight="1" x14ac:dyDescent="0.2">
      <c r="A188" s="281" t="s">
        <v>421</v>
      </c>
      <c r="B188" s="296" t="s">
        <v>762</v>
      </c>
      <c r="C188" s="293">
        <v>141260</v>
      </c>
      <c r="D188" s="283">
        <v>141315</v>
      </c>
      <c r="E188" s="284">
        <v>1</v>
      </c>
      <c r="F188" s="298" t="s">
        <v>712</v>
      </c>
      <c r="G188" s="293">
        <v>141260</v>
      </c>
      <c r="H188" s="283">
        <v>0</v>
      </c>
      <c r="I188" s="285">
        <v>0</v>
      </c>
      <c r="J188" s="300" t="s">
        <v>906</v>
      </c>
      <c r="K188" s="293">
        <v>141260</v>
      </c>
      <c r="L188" s="283">
        <v>7160</v>
      </c>
      <c r="M188" s="300">
        <v>0.05</v>
      </c>
      <c r="N188" s="293">
        <v>141260</v>
      </c>
      <c r="O188" s="283">
        <v>0</v>
      </c>
      <c r="P188" s="300">
        <v>0</v>
      </c>
      <c r="Q188" s="293">
        <v>141260</v>
      </c>
      <c r="R188" s="283">
        <v>11450</v>
      </c>
      <c r="S188" s="303">
        <v>0.08</v>
      </c>
      <c r="T188" s="302">
        <v>0</v>
      </c>
      <c r="U188" s="293">
        <v>36345</v>
      </c>
      <c r="V188" s="283">
        <v>3160</v>
      </c>
      <c r="W188" s="284">
        <v>0.09</v>
      </c>
      <c r="X188" s="282" t="s">
        <v>1037</v>
      </c>
      <c r="Y188" s="303">
        <v>0</v>
      </c>
      <c r="Z188" s="293">
        <v>5</v>
      </c>
      <c r="AA188" s="283">
        <v>39</v>
      </c>
      <c r="AB188" s="307">
        <v>243</v>
      </c>
      <c r="AC188" s="293">
        <v>134100</v>
      </c>
      <c r="AD188" s="283">
        <v>255</v>
      </c>
      <c r="AE188" s="284">
        <v>0</v>
      </c>
      <c r="AF188" s="282" t="s">
        <v>1037</v>
      </c>
      <c r="AG188" s="303">
        <v>0</v>
      </c>
      <c r="AH188" s="293">
        <v>61</v>
      </c>
      <c r="AI188" s="283">
        <v>225</v>
      </c>
      <c r="AJ188" s="307">
        <v>611</v>
      </c>
      <c r="AK188" s="293">
        <v>229</v>
      </c>
      <c r="AL188" s="283">
        <v>493</v>
      </c>
      <c r="AM188" s="307">
        <v>1433</v>
      </c>
      <c r="AN188" s="293">
        <v>138</v>
      </c>
      <c r="AO188" s="283">
        <v>306</v>
      </c>
      <c r="AP188" s="307">
        <v>1438</v>
      </c>
      <c r="AQ188" s="293">
        <v>141260</v>
      </c>
      <c r="AR188" s="283">
        <v>0</v>
      </c>
      <c r="AS188" s="284">
        <v>0</v>
      </c>
      <c r="AT188" s="282" t="s">
        <v>1037</v>
      </c>
      <c r="AU188" s="303">
        <v>0</v>
      </c>
      <c r="AV188" s="293">
        <v>164</v>
      </c>
      <c r="AW188" s="283">
        <v>376</v>
      </c>
      <c r="AX188" s="286">
        <v>1438</v>
      </c>
      <c r="AY188" s="93"/>
      <c r="AZ188" s="93"/>
      <c r="BA188" s="93"/>
    </row>
    <row r="189" spans="1:53" ht="22.5" customHeight="1" x14ac:dyDescent="0.2">
      <c r="A189" s="281" t="s">
        <v>318</v>
      </c>
      <c r="B189" s="296" t="s">
        <v>1041</v>
      </c>
      <c r="C189" s="293">
        <v>256630</v>
      </c>
      <c r="D189" s="283">
        <v>286304</v>
      </c>
      <c r="E189" s="284">
        <v>0.9</v>
      </c>
      <c r="F189" s="298" t="s">
        <v>721</v>
      </c>
      <c r="G189" s="293">
        <v>256630</v>
      </c>
      <c r="H189" s="283">
        <v>10</v>
      </c>
      <c r="I189" s="285">
        <v>0</v>
      </c>
      <c r="J189" s="300" t="s">
        <v>906</v>
      </c>
      <c r="K189" s="293">
        <v>256620</v>
      </c>
      <c r="L189" s="283">
        <v>3100</v>
      </c>
      <c r="M189" s="300">
        <v>0.01</v>
      </c>
      <c r="N189" s="293">
        <v>256630</v>
      </c>
      <c r="O189" s="283">
        <v>0</v>
      </c>
      <c r="P189" s="300">
        <v>0</v>
      </c>
      <c r="Q189" s="293">
        <v>256630</v>
      </c>
      <c r="R189" s="283">
        <v>16830</v>
      </c>
      <c r="S189" s="303">
        <v>7.0000000000000007E-2</v>
      </c>
      <c r="T189" s="302">
        <v>0</v>
      </c>
      <c r="U189" s="293">
        <v>69115</v>
      </c>
      <c r="V189" s="283">
        <v>2030</v>
      </c>
      <c r="W189" s="284">
        <v>0.03</v>
      </c>
      <c r="X189" s="282" t="s">
        <v>1037</v>
      </c>
      <c r="Y189" s="303">
        <v>0</v>
      </c>
      <c r="Z189" s="293">
        <v>7</v>
      </c>
      <c r="AA189" s="283">
        <v>36</v>
      </c>
      <c r="AB189" s="307">
        <v>1439</v>
      </c>
      <c r="AC189" s="293">
        <v>252180</v>
      </c>
      <c r="AD189" s="283">
        <v>11205</v>
      </c>
      <c r="AE189" s="284">
        <v>0.04</v>
      </c>
      <c r="AF189" s="282" t="s">
        <v>1037</v>
      </c>
      <c r="AG189" s="303">
        <v>0</v>
      </c>
      <c r="AH189" s="293">
        <v>51</v>
      </c>
      <c r="AI189" s="283">
        <v>188</v>
      </c>
      <c r="AJ189" s="307">
        <v>1439</v>
      </c>
      <c r="AK189" s="293">
        <v>233</v>
      </c>
      <c r="AL189" s="283">
        <v>480</v>
      </c>
      <c r="AM189" s="307">
        <v>1436</v>
      </c>
      <c r="AN189" s="293">
        <v>121</v>
      </c>
      <c r="AO189" s="283">
        <v>308</v>
      </c>
      <c r="AP189" s="307">
        <v>1438</v>
      </c>
      <c r="AQ189" s="293">
        <v>256630</v>
      </c>
      <c r="AR189" s="283">
        <v>55</v>
      </c>
      <c r="AS189" s="284">
        <v>0</v>
      </c>
      <c r="AT189" s="282" t="s">
        <v>1037</v>
      </c>
      <c r="AU189" s="303">
        <v>0</v>
      </c>
      <c r="AV189" s="293">
        <v>153</v>
      </c>
      <c r="AW189" s="283">
        <v>378</v>
      </c>
      <c r="AX189" s="286">
        <v>1438</v>
      </c>
      <c r="AY189" s="93"/>
      <c r="AZ189" s="93"/>
      <c r="BA189" s="93"/>
    </row>
    <row r="190" spans="1:53" ht="22.5" customHeight="1" x14ac:dyDescent="0.2">
      <c r="A190" s="281" t="s">
        <v>423</v>
      </c>
      <c r="B190" s="296" t="s">
        <v>875</v>
      </c>
      <c r="C190" s="293">
        <v>249790</v>
      </c>
      <c r="D190" s="283">
        <v>251610</v>
      </c>
      <c r="E190" s="284">
        <v>0.99</v>
      </c>
      <c r="F190" s="298" t="s">
        <v>712</v>
      </c>
      <c r="G190" s="293">
        <v>249790</v>
      </c>
      <c r="H190" s="283">
        <v>0</v>
      </c>
      <c r="I190" s="285">
        <v>0</v>
      </c>
      <c r="J190" s="300">
        <v>0</v>
      </c>
      <c r="K190" s="293">
        <v>249790</v>
      </c>
      <c r="L190" s="283" t="s">
        <v>906</v>
      </c>
      <c r="M190" s="300" t="s">
        <v>906</v>
      </c>
      <c r="N190" s="293">
        <v>249790</v>
      </c>
      <c r="O190" s="283">
        <v>0</v>
      </c>
      <c r="P190" s="300">
        <v>0</v>
      </c>
      <c r="Q190" s="293">
        <v>249790</v>
      </c>
      <c r="R190" s="283">
        <v>19435</v>
      </c>
      <c r="S190" s="303">
        <v>0.08</v>
      </c>
      <c r="T190" s="302">
        <v>0</v>
      </c>
      <c r="U190" s="293">
        <v>61190</v>
      </c>
      <c r="V190" s="283">
        <v>0</v>
      </c>
      <c r="W190" s="284">
        <v>0</v>
      </c>
      <c r="X190" s="282" t="s">
        <v>1037</v>
      </c>
      <c r="Y190" s="303">
        <v>0</v>
      </c>
      <c r="Z190" s="293">
        <v>5</v>
      </c>
      <c r="AA190" s="283">
        <v>36</v>
      </c>
      <c r="AB190" s="307">
        <v>1439</v>
      </c>
      <c r="AC190" s="293">
        <v>249785</v>
      </c>
      <c r="AD190" s="283">
        <v>0</v>
      </c>
      <c r="AE190" s="284">
        <v>0</v>
      </c>
      <c r="AF190" s="282" t="s">
        <v>1037</v>
      </c>
      <c r="AG190" s="303">
        <v>0</v>
      </c>
      <c r="AH190" s="293">
        <v>57</v>
      </c>
      <c r="AI190" s="283">
        <v>248</v>
      </c>
      <c r="AJ190" s="307">
        <v>1439</v>
      </c>
      <c r="AK190" s="293">
        <v>241</v>
      </c>
      <c r="AL190" s="283">
        <v>703</v>
      </c>
      <c r="AM190" s="307">
        <v>1435</v>
      </c>
      <c r="AN190" s="293">
        <v>141</v>
      </c>
      <c r="AO190" s="283">
        <v>393</v>
      </c>
      <c r="AP190" s="307">
        <v>1439</v>
      </c>
      <c r="AQ190" s="293">
        <v>249790</v>
      </c>
      <c r="AR190" s="283" t="s">
        <v>906</v>
      </c>
      <c r="AS190" s="284" t="s">
        <v>906</v>
      </c>
      <c r="AT190" s="282" t="s">
        <v>1037</v>
      </c>
      <c r="AU190" s="303">
        <v>0</v>
      </c>
      <c r="AV190" s="293">
        <v>161</v>
      </c>
      <c r="AW190" s="283">
        <v>503</v>
      </c>
      <c r="AX190" s="286">
        <v>1439</v>
      </c>
      <c r="AY190" s="93"/>
      <c r="AZ190" s="93"/>
      <c r="BA190" s="93"/>
    </row>
    <row r="191" spans="1:53" ht="22.5" customHeight="1" x14ac:dyDescent="0.2">
      <c r="A191" s="281" t="s">
        <v>373</v>
      </c>
      <c r="B191" s="296" t="s">
        <v>821</v>
      </c>
      <c r="C191" s="293">
        <v>153325</v>
      </c>
      <c r="D191" s="283">
        <v>156785</v>
      </c>
      <c r="E191" s="284">
        <v>0.98</v>
      </c>
      <c r="F191" s="298" t="s">
        <v>712</v>
      </c>
      <c r="G191" s="293">
        <v>153325</v>
      </c>
      <c r="H191" s="283">
        <v>0</v>
      </c>
      <c r="I191" s="285">
        <v>0</v>
      </c>
      <c r="J191" s="300">
        <v>0.04</v>
      </c>
      <c r="K191" s="293">
        <v>153325</v>
      </c>
      <c r="L191" s="283">
        <v>1420</v>
      </c>
      <c r="M191" s="300">
        <v>0.01</v>
      </c>
      <c r="N191" s="293">
        <v>153335</v>
      </c>
      <c r="O191" s="283">
        <v>10</v>
      </c>
      <c r="P191" s="300">
        <v>0</v>
      </c>
      <c r="Q191" s="293">
        <v>153325</v>
      </c>
      <c r="R191" s="283">
        <v>14870</v>
      </c>
      <c r="S191" s="303">
        <v>0.1</v>
      </c>
      <c r="T191" s="302">
        <v>0</v>
      </c>
      <c r="U191" s="293">
        <v>39825</v>
      </c>
      <c r="V191" s="283">
        <v>1815</v>
      </c>
      <c r="W191" s="284">
        <v>0.05</v>
      </c>
      <c r="X191" s="282" t="s">
        <v>1037</v>
      </c>
      <c r="Y191" s="303">
        <v>0</v>
      </c>
      <c r="Z191" s="293">
        <v>5</v>
      </c>
      <c r="AA191" s="283">
        <v>42</v>
      </c>
      <c r="AB191" s="307">
        <v>417</v>
      </c>
      <c r="AC191" s="293">
        <v>151890</v>
      </c>
      <c r="AD191" s="283">
        <v>595</v>
      </c>
      <c r="AE191" s="284">
        <v>0</v>
      </c>
      <c r="AF191" s="282" t="s">
        <v>1037</v>
      </c>
      <c r="AG191" s="303">
        <v>0</v>
      </c>
      <c r="AH191" s="293">
        <v>65</v>
      </c>
      <c r="AI191" s="283">
        <v>231</v>
      </c>
      <c r="AJ191" s="307">
        <v>687</v>
      </c>
      <c r="AK191" s="293">
        <v>236</v>
      </c>
      <c r="AL191" s="283">
        <v>527</v>
      </c>
      <c r="AM191" s="307">
        <v>1099</v>
      </c>
      <c r="AN191" s="293">
        <v>134</v>
      </c>
      <c r="AO191" s="283">
        <v>318</v>
      </c>
      <c r="AP191" s="307">
        <v>1152</v>
      </c>
      <c r="AQ191" s="293">
        <v>153325</v>
      </c>
      <c r="AR191" s="283">
        <v>0</v>
      </c>
      <c r="AS191" s="284">
        <v>0</v>
      </c>
      <c r="AT191" s="282" t="s">
        <v>1037</v>
      </c>
      <c r="AU191" s="303">
        <v>0</v>
      </c>
      <c r="AV191" s="293">
        <v>160</v>
      </c>
      <c r="AW191" s="283">
        <v>398</v>
      </c>
      <c r="AX191" s="286">
        <v>1152</v>
      </c>
      <c r="AY191" s="93"/>
      <c r="AZ191" s="93"/>
      <c r="BA191" s="93"/>
    </row>
    <row r="192" spans="1:53" ht="22.5" customHeight="1" x14ac:dyDescent="0.2">
      <c r="A192" s="281" t="s">
        <v>424</v>
      </c>
      <c r="B192" s="296" t="s">
        <v>865</v>
      </c>
      <c r="C192" s="293">
        <v>115780</v>
      </c>
      <c r="D192" s="283">
        <v>120143</v>
      </c>
      <c r="E192" s="284">
        <v>0.96</v>
      </c>
      <c r="F192" s="298" t="s">
        <v>712</v>
      </c>
      <c r="G192" s="293">
        <v>115780</v>
      </c>
      <c r="H192" s="283" t="s">
        <v>906</v>
      </c>
      <c r="I192" s="285" t="s">
        <v>906</v>
      </c>
      <c r="J192" s="300">
        <v>0.01</v>
      </c>
      <c r="K192" s="293">
        <v>115780</v>
      </c>
      <c r="L192" s="283">
        <v>4540</v>
      </c>
      <c r="M192" s="300">
        <v>0.04</v>
      </c>
      <c r="N192" s="293">
        <v>115780</v>
      </c>
      <c r="O192" s="283">
        <v>0</v>
      </c>
      <c r="P192" s="300">
        <v>0</v>
      </c>
      <c r="Q192" s="293">
        <v>115780</v>
      </c>
      <c r="R192" s="283">
        <v>9250</v>
      </c>
      <c r="S192" s="303">
        <v>0.08</v>
      </c>
      <c r="T192" s="302">
        <v>0</v>
      </c>
      <c r="U192" s="293">
        <v>32045</v>
      </c>
      <c r="V192" s="283">
        <v>635</v>
      </c>
      <c r="W192" s="284">
        <v>0.02</v>
      </c>
      <c r="X192" s="282" t="s">
        <v>1037</v>
      </c>
      <c r="Y192" s="303">
        <v>0</v>
      </c>
      <c r="Z192" s="293">
        <v>11</v>
      </c>
      <c r="AA192" s="283">
        <v>57</v>
      </c>
      <c r="AB192" s="307">
        <v>900</v>
      </c>
      <c r="AC192" s="293">
        <v>111235</v>
      </c>
      <c r="AD192" s="283">
        <v>7830</v>
      </c>
      <c r="AE192" s="284">
        <v>7.0000000000000007E-2</v>
      </c>
      <c r="AF192" s="282" t="s">
        <v>1037</v>
      </c>
      <c r="AG192" s="303">
        <v>0</v>
      </c>
      <c r="AH192" s="293">
        <v>60</v>
      </c>
      <c r="AI192" s="283">
        <v>202</v>
      </c>
      <c r="AJ192" s="307">
        <v>1436</v>
      </c>
      <c r="AK192" s="293">
        <v>233</v>
      </c>
      <c r="AL192" s="283">
        <v>538</v>
      </c>
      <c r="AM192" s="307">
        <v>1422</v>
      </c>
      <c r="AN192" s="293">
        <v>134</v>
      </c>
      <c r="AO192" s="283">
        <v>331</v>
      </c>
      <c r="AP192" s="307">
        <v>1439</v>
      </c>
      <c r="AQ192" s="293">
        <v>115780</v>
      </c>
      <c r="AR192" s="283" t="s">
        <v>906</v>
      </c>
      <c r="AS192" s="284" t="s">
        <v>906</v>
      </c>
      <c r="AT192" s="282" t="s">
        <v>1037</v>
      </c>
      <c r="AU192" s="303">
        <v>0</v>
      </c>
      <c r="AV192" s="293">
        <v>153</v>
      </c>
      <c r="AW192" s="283">
        <v>404</v>
      </c>
      <c r="AX192" s="286">
        <v>1439</v>
      </c>
      <c r="AY192" s="93"/>
      <c r="AZ192" s="93"/>
      <c r="BA192" s="93"/>
    </row>
    <row r="193" spans="1:53" ht="22.5" customHeight="1" x14ac:dyDescent="0.2">
      <c r="A193" s="281" t="s">
        <v>639</v>
      </c>
      <c r="B193" s="296" t="s">
        <v>743</v>
      </c>
      <c r="C193" s="293">
        <v>38710</v>
      </c>
      <c r="D193" s="283" t="s">
        <v>706</v>
      </c>
      <c r="E193" s="284" t="s">
        <v>706</v>
      </c>
      <c r="F193" s="298" t="s">
        <v>706</v>
      </c>
      <c r="G193" s="293">
        <v>38710</v>
      </c>
      <c r="H193" s="283" t="s">
        <v>906</v>
      </c>
      <c r="I193" s="285" t="s">
        <v>906</v>
      </c>
      <c r="J193" s="300">
        <v>0.04</v>
      </c>
      <c r="K193" s="293">
        <v>38710</v>
      </c>
      <c r="L193" s="283">
        <v>0</v>
      </c>
      <c r="M193" s="300">
        <v>0</v>
      </c>
      <c r="N193" s="293">
        <v>38710</v>
      </c>
      <c r="O193" s="283">
        <v>0</v>
      </c>
      <c r="P193" s="300">
        <v>0</v>
      </c>
      <c r="Q193" s="293">
        <v>38710</v>
      </c>
      <c r="R193" s="283">
        <v>2705</v>
      </c>
      <c r="S193" s="303">
        <v>7.0000000000000007E-2</v>
      </c>
      <c r="T193" s="302">
        <v>0</v>
      </c>
      <c r="U193" s="293">
        <v>65</v>
      </c>
      <c r="V193" s="283">
        <v>0</v>
      </c>
      <c r="W193" s="284" t="s">
        <v>1037</v>
      </c>
      <c r="X193" s="282" t="s">
        <v>1037</v>
      </c>
      <c r="Y193" s="303" t="s">
        <v>1037</v>
      </c>
      <c r="Z193" s="293">
        <v>7</v>
      </c>
      <c r="AA193" s="283">
        <v>53</v>
      </c>
      <c r="AB193" s="307">
        <v>184</v>
      </c>
      <c r="AC193" s="293">
        <v>38520</v>
      </c>
      <c r="AD193" s="283">
        <v>75</v>
      </c>
      <c r="AE193" s="284">
        <v>0</v>
      </c>
      <c r="AF193" s="282" t="s">
        <v>1037</v>
      </c>
      <c r="AG193" s="303">
        <v>0</v>
      </c>
      <c r="AH193" s="293">
        <v>51</v>
      </c>
      <c r="AI193" s="283">
        <v>174</v>
      </c>
      <c r="AJ193" s="307">
        <v>1148</v>
      </c>
      <c r="AK193" s="293">
        <v>60</v>
      </c>
      <c r="AL193" s="283">
        <v>177</v>
      </c>
      <c r="AM193" s="307">
        <v>325</v>
      </c>
      <c r="AN193" s="293">
        <v>64</v>
      </c>
      <c r="AO193" s="283">
        <v>187</v>
      </c>
      <c r="AP193" s="307">
        <v>1149</v>
      </c>
      <c r="AQ193" s="293">
        <v>38710</v>
      </c>
      <c r="AR193" s="283">
        <v>80</v>
      </c>
      <c r="AS193" s="284">
        <v>0</v>
      </c>
      <c r="AT193" s="282" t="s">
        <v>1037</v>
      </c>
      <c r="AU193" s="303">
        <v>0</v>
      </c>
      <c r="AV193" s="293">
        <v>64</v>
      </c>
      <c r="AW193" s="283">
        <v>187</v>
      </c>
      <c r="AX193" s="286">
        <v>1149</v>
      </c>
      <c r="AY193" s="93"/>
      <c r="AZ193" s="93"/>
      <c r="BA193" s="93"/>
    </row>
    <row r="194" spans="1:53" ht="22.5" customHeight="1" x14ac:dyDescent="0.2">
      <c r="A194" s="281" t="s">
        <v>1028</v>
      </c>
      <c r="B194" s="296" t="s">
        <v>1027</v>
      </c>
      <c r="C194" s="293">
        <v>18160</v>
      </c>
      <c r="D194" s="283" t="s">
        <v>706</v>
      </c>
      <c r="E194" s="284" t="s">
        <v>706</v>
      </c>
      <c r="F194" s="298" t="s">
        <v>706</v>
      </c>
      <c r="G194" s="293">
        <v>18160</v>
      </c>
      <c r="H194" s="283" t="s">
        <v>906</v>
      </c>
      <c r="I194" s="285" t="s">
        <v>906</v>
      </c>
      <c r="J194" s="300">
        <v>0</v>
      </c>
      <c r="K194" s="293">
        <v>18160</v>
      </c>
      <c r="L194" s="283">
        <v>0</v>
      </c>
      <c r="M194" s="300">
        <v>0</v>
      </c>
      <c r="N194" s="293">
        <v>18160</v>
      </c>
      <c r="O194" s="283" t="s">
        <v>906</v>
      </c>
      <c r="P194" s="300" t="s">
        <v>906</v>
      </c>
      <c r="Q194" s="293">
        <v>18160</v>
      </c>
      <c r="R194" s="283">
        <v>1170</v>
      </c>
      <c r="S194" s="303">
        <v>0.06</v>
      </c>
      <c r="T194" s="302">
        <v>0</v>
      </c>
      <c r="U194" s="293">
        <v>65</v>
      </c>
      <c r="V194" s="283">
        <v>0</v>
      </c>
      <c r="W194" s="284" t="s">
        <v>1037</v>
      </c>
      <c r="X194" s="282" t="s">
        <v>1037</v>
      </c>
      <c r="Y194" s="303" t="s">
        <v>1037</v>
      </c>
      <c r="Z194" s="293">
        <v>3</v>
      </c>
      <c r="AA194" s="283">
        <v>10</v>
      </c>
      <c r="AB194" s="307">
        <v>13</v>
      </c>
      <c r="AC194" s="293">
        <v>18160</v>
      </c>
      <c r="AD194" s="283">
        <v>0</v>
      </c>
      <c r="AE194" s="284">
        <v>0</v>
      </c>
      <c r="AF194" s="282" t="s">
        <v>1037</v>
      </c>
      <c r="AG194" s="303">
        <v>0.02</v>
      </c>
      <c r="AH194" s="293">
        <v>39</v>
      </c>
      <c r="AI194" s="283">
        <v>190</v>
      </c>
      <c r="AJ194" s="307">
        <v>1436</v>
      </c>
      <c r="AK194" s="293" t="s">
        <v>706</v>
      </c>
      <c r="AL194" s="283" t="s">
        <v>706</v>
      </c>
      <c r="AM194" s="307" t="s">
        <v>706</v>
      </c>
      <c r="AN194" s="293">
        <v>92</v>
      </c>
      <c r="AO194" s="283">
        <v>217</v>
      </c>
      <c r="AP194" s="307">
        <v>826</v>
      </c>
      <c r="AQ194" s="293">
        <v>18160</v>
      </c>
      <c r="AR194" s="283">
        <v>0</v>
      </c>
      <c r="AS194" s="284">
        <v>0</v>
      </c>
      <c r="AT194" s="282" t="s">
        <v>1037</v>
      </c>
      <c r="AU194" s="303">
        <v>0</v>
      </c>
      <c r="AV194" s="293">
        <v>92</v>
      </c>
      <c r="AW194" s="283">
        <v>217</v>
      </c>
      <c r="AX194" s="286">
        <v>826</v>
      </c>
      <c r="AY194" s="93"/>
      <c r="AZ194" s="93"/>
      <c r="BA194" s="93"/>
    </row>
    <row r="195" spans="1:53" ht="22.5" customHeight="1" x14ac:dyDescent="0.2">
      <c r="A195" s="281" t="s">
        <v>426</v>
      </c>
      <c r="B195" s="296" t="s">
        <v>773</v>
      </c>
      <c r="C195" s="293">
        <v>79205</v>
      </c>
      <c r="D195" s="283">
        <v>118180</v>
      </c>
      <c r="E195" s="284">
        <v>0.67</v>
      </c>
      <c r="F195" s="298" t="s">
        <v>735</v>
      </c>
      <c r="G195" s="293">
        <v>79205</v>
      </c>
      <c r="H195" s="283">
        <v>345</v>
      </c>
      <c r="I195" s="285">
        <v>0</v>
      </c>
      <c r="J195" s="300" t="s">
        <v>906</v>
      </c>
      <c r="K195" s="293">
        <v>78855</v>
      </c>
      <c r="L195" s="283">
        <v>3690</v>
      </c>
      <c r="M195" s="300">
        <v>0.05</v>
      </c>
      <c r="N195" s="293">
        <v>79205</v>
      </c>
      <c r="O195" s="283">
        <v>0</v>
      </c>
      <c r="P195" s="300">
        <v>0</v>
      </c>
      <c r="Q195" s="293">
        <v>79205</v>
      </c>
      <c r="R195" s="283">
        <v>5800</v>
      </c>
      <c r="S195" s="303">
        <v>7.0000000000000007E-2</v>
      </c>
      <c r="T195" s="302">
        <v>0</v>
      </c>
      <c r="U195" s="293">
        <v>32895</v>
      </c>
      <c r="V195" s="283">
        <v>4420</v>
      </c>
      <c r="W195" s="284">
        <v>0.13</v>
      </c>
      <c r="X195" s="282" t="s">
        <v>1037</v>
      </c>
      <c r="Y195" s="303">
        <v>0</v>
      </c>
      <c r="Z195" s="293">
        <v>11</v>
      </c>
      <c r="AA195" s="283">
        <v>56</v>
      </c>
      <c r="AB195" s="307">
        <v>219</v>
      </c>
      <c r="AC195" s="293">
        <v>75165</v>
      </c>
      <c r="AD195" s="283">
        <v>19340</v>
      </c>
      <c r="AE195" s="284">
        <v>0.26</v>
      </c>
      <c r="AF195" s="282" t="s">
        <v>1037</v>
      </c>
      <c r="AG195" s="303">
        <v>0</v>
      </c>
      <c r="AH195" s="293">
        <v>74</v>
      </c>
      <c r="AI195" s="283">
        <v>222</v>
      </c>
      <c r="AJ195" s="307">
        <v>1394</v>
      </c>
      <c r="AK195" s="293">
        <v>256</v>
      </c>
      <c r="AL195" s="283">
        <v>726</v>
      </c>
      <c r="AM195" s="307">
        <v>1195</v>
      </c>
      <c r="AN195" s="293">
        <v>129</v>
      </c>
      <c r="AO195" s="283">
        <v>393</v>
      </c>
      <c r="AP195" s="307">
        <v>1183</v>
      </c>
      <c r="AQ195" s="293">
        <v>79205</v>
      </c>
      <c r="AR195" s="283">
        <v>370</v>
      </c>
      <c r="AS195" s="284">
        <v>0</v>
      </c>
      <c r="AT195" s="282" t="s">
        <v>1037</v>
      </c>
      <c r="AU195" s="303">
        <v>0</v>
      </c>
      <c r="AV195" s="293">
        <v>166</v>
      </c>
      <c r="AW195" s="283">
        <v>539</v>
      </c>
      <c r="AX195" s="286">
        <v>1195</v>
      </c>
      <c r="AY195" s="93"/>
      <c r="AZ195" s="93"/>
      <c r="BA195" s="93"/>
    </row>
    <row r="196" spans="1:53" ht="22.5" customHeight="1" x14ac:dyDescent="0.2">
      <c r="A196" s="281" t="s">
        <v>427</v>
      </c>
      <c r="B196" s="296" t="s">
        <v>881</v>
      </c>
      <c r="C196" s="293">
        <v>113395</v>
      </c>
      <c r="D196" s="283">
        <v>113349</v>
      </c>
      <c r="E196" s="284">
        <v>1</v>
      </c>
      <c r="F196" s="298" t="s">
        <v>712</v>
      </c>
      <c r="G196" s="293">
        <v>113395</v>
      </c>
      <c r="H196" s="283">
        <v>30</v>
      </c>
      <c r="I196" s="285">
        <v>0</v>
      </c>
      <c r="J196" s="300">
        <v>0</v>
      </c>
      <c r="K196" s="293">
        <v>113365</v>
      </c>
      <c r="L196" s="283">
        <v>6415</v>
      </c>
      <c r="M196" s="300">
        <v>0.06</v>
      </c>
      <c r="N196" s="293">
        <v>113395</v>
      </c>
      <c r="O196" s="283" t="s">
        <v>906</v>
      </c>
      <c r="P196" s="300" t="s">
        <v>906</v>
      </c>
      <c r="Q196" s="293">
        <v>113395</v>
      </c>
      <c r="R196" s="283">
        <v>10370</v>
      </c>
      <c r="S196" s="303">
        <v>0.09</v>
      </c>
      <c r="T196" s="302">
        <v>0</v>
      </c>
      <c r="U196" s="293">
        <v>24620</v>
      </c>
      <c r="V196" s="283">
        <v>655</v>
      </c>
      <c r="W196" s="284">
        <v>0.03</v>
      </c>
      <c r="X196" s="282" t="s">
        <v>1037</v>
      </c>
      <c r="Y196" s="303">
        <v>0</v>
      </c>
      <c r="Z196" s="293">
        <v>25</v>
      </c>
      <c r="AA196" s="283">
        <v>99</v>
      </c>
      <c r="AB196" s="307">
        <v>1439</v>
      </c>
      <c r="AC196" s="293">
        <v>106945</v>
      </c>
      <c r="AD196" s="283">
        <v>13485</v>
      </c>
      <c r="AE196" s="284">
        <v>0.13</v>
      </c>
      <c r="AF196" s="282" t="s">
        <v>1037</v>
      </c>
      <c r="AG196" s="303">
        <v>0</v>
      </c>
      <c r="AH196" s="293">
        <v>79</v>
      </c>
      <c r="AI196" s="283">
        <v>239</v>
      </c>
      <c r="AJ196" s="307">
        <v>1030</v>
      </c>
      <c r="AK196" s="293">
        <v>238</v>
      </c>
      <c r="AL196" s="283">
        <v>1016</v>
      </c>
      <c r="AM196" s="307">
        <v>1439</v>
      </c>
      <c r="AN196" s="293">
        <v>151</v>
      </c>
      <c r="AO196" s="283">
        <v>360</v>
      </c>
      <c r="AP196" s="307">
        <v>1429</v>
      </c>
      <c r="AQ196" s="293">
        <v>113395</v>
      </c>
      <c r="AR196" s="283">
        <v>0</v>
      </c>
      <c r="AS196" s="284">
        <v>0</v>
      </c>
      <c r="AT196" s="282" t="s">
        <v>1037</v>
      </c>
      <c r="AU196" s="303">
        <v>0</v>
      </c>
      <c r="AV196" s="293">
        <v>168</v>
      </c>
      <c r="AW196" s="283">
        <v>632</v>
      </c>
      <c r="AX196" s="286">
        <v>1439</v>
      </c>
      <c r="AY196" s="93"/>
      <c r="AZ196" s="93"/>
      <c r="BA196" s="93"/>
    </row>
    <row r="197" spans="1:53" ht="22.5" customHeight="1" x14ac:dyDescent="0.2">
      <c r="A197" s="281" t="s">
        <v>626</v>
      </c>
      <c r="B197" s="296" t="s">
        <v>717</v>
      </c>
      <c r="C197" s="293">
        <v>29855</v>
      </c>
      <c r="D197" s="283" t="s">
        <v>706</v>
      </c>
      <c r="E197" s="284" t="s">
        <v>706</v>
      </c>
      <c r="F197" s="298" t="s">
        <v>706</v>
      </c>
      <c r="G197" s="293">
        <v>29855</v>
      </c>
      <c r="H197" s="283">
        <v>0</v>
      </c>
      <c r="I197" s="285">
        <v>0</v>
      </c>
      <c r="J197" s="300">
        <v>1</v>
      </c>
      <c r="K197" s="293">
        <v>29855</v>
      </c>
      <c r="L197" s="283" t="s">
        <v>906</v>
      </c>
      <c r="M197" s="300" t="s">
        <v>906</v>
      </c>
      <c r="N197" s="293">
        <v>29855</v>
      </c>
      <c r="O197" s="283">
        <v>0</v>
      </c>
      <c r="P197" s="300">
        <v>0</v>
      </c>
      <c r="Q197" s="293">
        <v>29855</v>
      </c>
      <c r="R197" s="283">
        <v>1495</v>
      </c>
      <c r="S197" s="303">
        <v>0.05</v>
      </c>
      <c r="T197" s="302">
        <v>0</v>
      </c>
      <c r="U197" s="293" t="s">
        <v>706</v>
      </c>
      <c r="V197" s="283" t="s">
        <v>706</v>
      </c>
      <c r="W197" s="284" t="s">
        <v>706</v>
      </c>
      <c r="X197" s="282" t="s">
        <v>1037</v>
      </c>
      <c r="Y197" s="303" t="s">
        <v>706</v>
      </c>
      <c r="Z197" s="293" t="s">
        <v>706</v>
      </c>
      <c r="AA197" s="283" t="s">
        <v>706</v>
      </c>
      <c r="AB197" s="307" t="s">
        <v>706</v>
      </c>
      <c r="AC197" s="293">
        <v>29855</v>
      </c>
      <c r="AD197" s="283">
        <v>920</v>
      </c>
      <c r="AE197" s="284">
        <v>0.03</v>
      </c>
      <c r="AF197" s="282" t="s">
        <v>1037</v>
      </c>
      <c r="AG197" s="303">
        <v>0</v>
      </c>
      <c r="AH197" s="293">
        <v>29</v>
      </c>
      <c r="AI197" s="283">
        <v>163</v>
      </c>
      <c r="AJ197" s="307">
        <v>1439</v>
      </c>
      <c r="AK197" s="293" t="s">
        <v>906</v>
      </c>
      <c r="AL197" s="283" t="s">
        <v>906</v>
      </c>
      <c r="AM197" s="307" t="s">
        <v>906</v>
      </c>
      <c r="AN197" s="293">
        <v>54</v>
      </c>
      <c r="AO197" s="283">
        <v>153</v>
      </c>
      <c r="AP197" s="307">
        <v>1439</v>
      </c>
      <c r="AQ197" s="293">
        <v>29855</v>
      </c>
      <c r="AR197" s="283">
        <v>920</v>
      </c>
      <c r="AS197" s="284">
        <v>0.03</v>
      </c>
      <c r="AT197" s="282" t="s">
        <v>1037</v>
      </c>
      <c r="AU197" s="303">
        <v>0</v>
      </c>
      <c r="AV197" s="293">
        <v>54</v>
      </c>
      <c r="AW197" s="283">
        <v>153</v>
      </c>
      <c r="AX197" s="286">
        <v>1439</v>
      </c>
      <c r="AY197" s="93"/>
      <c r="AZ197" s="93"/>
      <c r="BA197" s="93"/>
    </row>
    <row r="198" spans="1:53" ht="22.5" customHeight="1" x14ac:dyDescent="0.2">
      <c r="A198" s="281" t="s">
        <v>428</v>
      </c>
      <c r="B198" s="296" t="s">
        <v>877</v>
      </c>
      <c r="C198" s="293">
        <v>149710</v>
      </c>
      <c r="D198" s="283">
        <v>150794</v>
      </c>
      <c r="E198" s="284">
        <v>0.99</v>
      </c>
      <c r="F198" s="298" t="s">
        <v>712</v>
      </c>
      <c r="G198" s="293">
        <v>149710</v>
      </c>
      <c r="H198" s="283">
        <v>6750</v>
      </c>
      <c r="I198" s="285">
        <v>0.05</v>
      </c>
      <c r="J198" s="300">
        <v>0</v>
      </c>
      <c r="K198" s="293">
        <v>142965</v>
      </c>
      <c r="L198" s="283">
        <v>6300</v>
      </c>
      <c r="M198" s="300">
        <v>0.04</v>
      </c>
      <c r="N198" s="293">
        <v>149710</v>
      </c>
      <c r="O198" s="283">
        <v>0</v>
      </c>
      <c r="P198" s="300">
        <v>0</v>
      </c>
      <c r="Q198" s="293">
        <v>149710</v>
      </c>
      <c r="R198" s="283">
        <v>14755</v>
      </c>
      <c r="S198" s="303">
        <v>0.1</v>
      </c>
      <c r="T198" s="302">
        <v>0</v>
      </c>
      <c r="U198" s="293">
        <v>31260</v>
      </c>
      <c r="V198" s="283">
        <v>0</v>
      </c>
      <c r="W198" s="284">
        <v>0</v>
      </c>
      <c r="X198" s="282" t="s">
        <v>1037</v>
      </c>
      <c r="Y198" s="303">
        <v>0</v>
      </c>
      <c r="Z198" s="293">
        <v>1</v>
      </c>
      <c r="AA198" s="283">
        <v>35</v>
      </c>
      <c r="AB198" s="307">
        <v>1439</v>
      </c>
      <c r="AC198" s="293">
        <v>136665</v>
      </c>
      <c r="AD198" s="283">
        <v>0</v>
      </c>
      <c r="AE198" s="284">
        <v>0</v>
      </c>
      <c r="AF198" s="282" t="s">
        <v>1037</v>
      </c>
      <c r="AG198" s="303">
        <v>0</v>
      </c>
      <c r="AH198" s="293">
        <v>75</v>
      </c>
      <c r="AI198" s="283">
        <v>235</v>
      </c>
      <c r="AJ198" s="307">
        <v>1439</v>
      </c>
      <c r="AK198" s="293">
        <v>239</v>
      </c>
      <c r="AL198" s="283">
        <v>750</v>
      </c>
      <c r="AM198" s="307">
        <v>1406</v>
      </c>
      <c r="AN198" s="293">
        <v>142</v>
      </c>
      <c r="AO198" s="283">
        <v>359</v>
      </c>
      <c r="AP198" s="307">
        <v>1435</v>
      </c>
      <c r="AQ198" s="293">
        <v>149710</v>
      </c>
      <c r="AR198" s="283">
        <v>0</v>
      </c>
      <c r="AS198" s="284">
        <v>0</v>
      </c>
      <c r="AT198" s="282" t="s">
        <v>1037</v>
      </c>
      <c r="AU198" s="303">
        <v>0</v>
      </c>
      <c r="AV198" s="293">
        <v>157</v>
      </c>
      <c r="AW198" s="283">
        <v>480</v>
      </c>
      <c r="AX198" s="286">
        <v>1437</v>
      </c>
      <c r="AY198" s="93"/>
      <c r="AZ198" s="93"/>
      <c r="BA198" s="93"/>
    </row>
    <row r="199" spans="1:53" ht="22.5" customHeight="1" x14ac:dyDescent="0.2">
      <c r="A199" s="281" t="s">
        <v>429</v>
      </c>
      <c r="B199" s="296" t="s">
        <v>802</v>
      </c>
      <c r="C199" s="293">
        <v>73690</v>
      </c>
      <c r="D199" s="283">
        <v>74635</v>
      </c>
      <c r="E199" s="284">
        <v>0.99</v>
      </c>
      <c r="F199" s="298" t="s">
        <v>712</v>
      </c>
      <c r="G199" s="293">
        <v>73690</v>
      </c>
      <c r="H199" s="283">
        <v>360</v>
      </c>
      <c r="I199" s="285">
        <v>0</v>
      </c>
      <c r="J199" s="300">
        <v>0</v>
      </c>
      <c r="K199" s="293">
        <v>73330</v>
      </c>
      <c r="L199" s="283">
        <v>75</v>
      </c>
      <c r="M199" s="300">
        <v>0</v>
      </c>
      <c r="N199" s="293">
        <v>73690</v>
      </c>
      <c r="O199" s="283">
        <v>0</v>
      </c>
      <c r="P199" s="300">
        <v>0</v>
      </c>
      <c r="Q199" s="293">
        <v>73690</v>
      </c>
      <c r="R199" s="283">
        <v>4365</v>
      </c>
      <c r="S199" s="303">
        <v>0.06</v>
      </c>
      <c r="T199" s="302">
        <v>0</v>
      </c>
      <c r="U199" s="293">
        <v>21680</v>
      </c>
      <c r="V199" s="283">
        <v>475</v>
      </c>
      <c r="W199" s="284">
        <v>0.02</v>
      </c>
      <c r="X199" s="282" t="s">
        <v>1037</v>
      </c>
      <c r="Y199" s="303">
        <v>0</v>
      </c>
      <c r="Z199" s="293">
        <v>10</v>
      </c>
      <c r="AA199" s="283">
        <v>55</v>
      </c>
      <c r="AB199" s="307">
        <v>1439</v>
      </c>
      <c r="AC199" s="293">
        <v>73250</v>
      </c>
      <c r="AD199" s="283">
        <v>12060</v>
      </c>
      <c r="AE199" s="284">
        <v>0.16</v>
      </c>
      <c r="AF199" s="282" t="s">
        <v>1037</v>
      </c>
      <c r="AG199" s="303">
        <v>0</v>
      </c>
      <c r="AH199" s="293">
        <v>55</v>
      </c>
      <c r="AI199" s="283">
        <v>195</v>
      </c>
      <c r="AJ199" s="307">
        <v>1394</v>
      </c>
      <c r="AK199" s="293">
        <v>223</v>
      </c>
      <c r="AL199" s="283">
        <v>418</v>
      </c>
      <c r="AM199" s="307">
        <v>1206</v>
      </c>
      <c r="AN199" s="293">
        <v>149</v>
      </c>
      <c r="AO199" s="283">
        <v>298</v>
      </c>
      <c r="AP199" s="307">
        <v>1376</v>
      </c>
      <c r="AQ199" s="293">
        <v>73690</v>
      </c>
      <c r="AR199" s="283">
        <v>25</v>
      </c>
      <c r="AS199" s="284">
        <v>0</v>
      </c>
      <c r="AT199" s="282" t="s">
        <v>1037</v>
      </c>
      <c r="AU199" s="303">
        <v>0</v>
      </c>
      <c r="AV199" s="293">
        <v>167</v>
      </c>
      <c r="AW199" s="283">
        <v>336</v>
      </c>
      <c r="AX199" s="286">
        <v>1376</v>
      </c>
      <c r="AY199" s="93"/>
      <c r="AZ199" s="93"/>
      <c r="BA199" s="93"/>
    </row>
    <row r="200" spans="1:53" ht="22.5" customHeight="1" x14ac:dyDescent="0.2">
      <c r="A200" s="281" t="s">
        <v>468</v>
      </c>
      <c r="B200" s="296" t="s">
        <v>903</v>
      </c>
      <c r="C200" s="293">
        <v>144045</v>
      </c>
      <c r="D200" s="283">
        <v>145302</v>
      </c>
      <c r="E200" s="284">
        <v>0.99</v>
      </c>
      <c r="F200" s="298" t="s">
        <v>712</v>
      </c>
      <c r="G200" s="293">
        <v>144045</v>
      </c>
      <c r="H200" s="283">
        <v>0</v>
      </c>
      <c r="I200" s="285">
        <v>0</v>
      </c>
      <c r="J200" s="300" t="s">
        <v>906</v>
      </c>
      <c r="K200" s="293">
        <v>144045</v>
      </c>
      <c r="L200" s="283">
        <v>0</v>
      </c>
      <c r="M200" s="300">
        <v>0</v>
      </c>
      <c r="N200" s="293">
        <v>144045</v>
      </c>
      <c r="O200" s="283">
        <v>0</v>
      </c>
      <c r="P200" s="300">
        <v>0</v>
      </c>
      <c r="Q200" s="293">
        <v>144045</v>
      </c>
      <c r="R200" s="283">
        <v>9570</v>
      </c>
      <c r="S200" s="303">
        <v>7.0000000000000007E-2</v>
      </c>
      <c r="T200" s="302">
        <v>0</v>
      </c>
      <c r="U200" s="293">
        <v>42795</v>
      </c>
      <c r="V200" s="283">
        <v>85</v>
      </c>
      <c r="W200" s="284">
        <v>0</v>
      </c>
      <c r="X200" s="282" t="s">
        <v>1037</v>
      </c>
      <c r="Y200" s="303">
        <v>0</v>
      </c>
      <c r="Z200" s="293">
        <v>8</v>
      </c>
      <c r="AA200" s="283">
        <v>59</v>
      </c>
      <c r="AB200" s="307">
        <v>371</v>
      </c>
      <c r="AC200" s="293">
        <v>144045</v>
      </c>
      <c r="AD200" s="283">
        <v>2320</v>
      </c>
      <c r="AE200" s="284">
        <v>0.02</v>
      </c>
      <c r="AF200" s="282" t="s">
        <v>1037</v>
      </c>
      <c r="AG200" s="303">
        <v>0</v>
      </c>
      <c r="AH200" s="293">
        <v>86</v>
      </c>
      <c r="AI200" s="283">
        <v>196</v>
      </c>
      <c r="AJ200" s="307">
        <v>797</v>
      </c>
      <c r="AK200" s="293">
        <v>218</v>
      </c>
      <c r="AL200" s="283">
        <v>396</v>
      </c>
      <c r="AM200" s="307">
        <v>1382</v>
      </c>
      <c r="AN200" s="293">
        <v>179</v>
      </c>
      <c r="AO200" s="283">
        <v>239</v>
      </c>
      <c r="AP200" s="307">
        <v>1437</v>
      </c>
      <c r="AQ200" s="293">
        <v>144045</v>
      </c>
      <c r="AR200" s="283">
        <v>0</v>
      </c>
      <c r="AS200" s="284">
        <v>0</v>
      </c>
      <c r="AT200" s="282" t="s">
        <v>1037</v>
      </c>
      <c r="AU200" s="303">
        <v>0</v>
      </c>
      <c r="AV200" s="293">
        <v>187</v>
      </c>
      <c r="AW200" s="283">
        <v>293</v>
      </c>
      <c r="AX200" s="286">
        <v>1437</v>
      </c>
      <c r="AY200" s="93"/>
      <c r="AZ200" s="93"/>
      <c r="BA200" s="93"/>
    </row>
    <row r="201" spans="1:53" ht="22.5" customHeight="1" x14ac:dyDescent="0.2">
      <c r="A201" s="281" t="s">
        <v>430</v>
      </c>
      <c r="B201" s="296" t="s">
        <v>760</v>
      </c>
      <c r="C201" s="293">
        <v>48700</v>
      </c>
      <c r="D201" s="283">
        <v>49468</v>
      </c>
      <c r="E201" s="284">
        <v>0.98</v>
      </c>
      <c r="F201" s="298" t="s">
        <v>712</v>
      </c>
      <c r="G201" s="293">
        <v>48700</v>
      </c>
      <c r="H201" s="283">
        <v>10</v>
      </c>
      <c r="I201" s="285">
        <v>0</v>
      </c>
      <c r="J201" s="300" t="s">
        <v>906</v>
      </c>
      <c r="K201" s="293">
        <v>48695</v>
      </c>
      <c r="L201" s="283">
        <v>25</v>
      </c>
      <c r="M201" s="300">
        <v>0</v>
      </c>
      <c r="N201" s="293">
        <v>48710</v>
      </c>
      <c r="O201" s="283">
        <v>10</v>
      </c>
      <c r="P201" s="300">
        <v>0</v>
      </c>
      <c r="Q201" s="293">
        <v>48700</v>
      </c>
      <c r="R201" s="283">
        <v>3010</v>
      </c>
      <c r="S201" s="303">
        <v>0.06</v>
      </c>
      <c r="T201" s="302">
        <v>0</v>
      </c>
      <c r="U201" s="293">
        <v>12030</v>
      </c>
      <c r="V201" s="283">
        <v>2705</v>
      </c>
      <c r="W201" s="284">
        <v>0.22</v>
      </c>
      <c r="X201" s="282" t="s">
        <v>1037</v>
      </c>
      <c r="Y201" s="303">
        <v>0.15</v>
      </c>
      <c r="Z201" s="293">
        <v>37</v>
      </c>
      <c r="AA201" s="283">
        <v>687</v>
      </c>
      <c r="AB201" s="307">
        <v>1410</v>
      </c>
      <c r="AC201" s="293">
        <v>48665</v>
      </c>
      <c r="AD201" s="283">
        <v>2860</v>
      </c>
      <c r="AE201" s="284">
        <v>0.06</v>
      </c>
      <c r="AF201" s="282" t="s">
        <v>1037</v>
      </c>
      <c r="AG201" s="303">
        <v>0.02</v>
      </c>
      <c r="AH201" s="293">
        <v>33</v>
      </c>
      <c r="AI201" s="283">
        <v>186</v>
      </c>
      <c r="AJ201" s="307">
        <v>1421</v>
      </c>
      <c r="AK201" s="293">
        <v>228</v>
      </c>
      <c r="AL201" s="283">
        <v>842</v>
      </c>
      <c r="AM201" s="307">
        <v>1438</v>
      </c>
      <c r="AN201" s="293">
        <v>141</v>
      </c>
      <c r="AO201" s="283">
        <v>318</v>
      </c>
      <c r="AP201" s="307">
        <v>1433</v>
      </c>
      <c r="AQ201" s="293">
        <v>48700</v>
      </c>
      <c r="AR201" s="283" t="s">
        <v>906</v>
      </c>
      <c r="AS201" s="284" t="s">
        <v>906</v>
      </c>
      <c r="AT201" s="282" t="s">
        <v>1037</v>
      </c>
      <c r="AU201" s="303">
        <v>0</v>
      </c>
      <c r="AV201" s="293">
        <v>163</v>
      </c>
      <c r="AW201" s="283">
        <v>443</v>
      </c>
      <c r="AX201" s="286">
        <v>1438</v>
      </c>
      <c r="AY201" s="93"/>
      <c r="AZ201" s="93"/>
      <c r="BA201" s="93"/>
    </row>
    <row r="202" spans="1:53" ht="22.5" customHeight="1" x14ac:dyDescent="0.2">
      <c r="A202" s="281" t="s">
        <v>417</v>
      </c>
      <c r="B202" s="296" t="s">
        <v>823</v>
      </c>
      <c r="C202" s="293">
        <v>108655</v>
      </c>
      <c r="D202" s="283">
        <v>108646</v>
      </c>
      <c r="E202" s="284">
        <v>1</v>
      </c>
      <c r="F202" s="298" t="s">
        <v>712</v>
      </c>
      <c r="G202" s="293">
        <v>108655</v>
      </c>
      <c r="H202" s="283">
        <v>45</v>
      </c>
      <c r="I202" s="285">
        <v>0</v>
      </c>
      <c r="J202" s="300" t="s">
        <v>906</v>
      </c>
      <c r="K202" s="293">
        <v>108610</v>
      </c>
      <c r="L202" s="283">
        <v>3425</v>
      </c>
      <c r="M202" s="300">
        <v>0.03</v>
      </c>
      <c r="N202" s="293">
        <v>108655</v>
      </c>
      <c r="O202" s="283">
        <v>0</v>
      </c>
      <c r="P202" s="300">
        <v>0</v>
      </c>
      <c r="Q202" s="293">
        <v>108655</v>
      </c>
      <c r="R202" s="283">
        <v>10280</v>
      </c>
      <c r="S202" s="303">
        <v>0.09</v>
      </c>
      <c r="T202" s="302">
        <v>0</v>
      </c>
      <c r="U202" s="293">
        <v>21155</v>
      </c>
      <c r="V202" s="283">
        <v>75</v>
      </c>
      <c r="W202" s="284">
        <v>0</v>
      </c>
      <c r="X202" s="282" t="s">
        <v>1037</v>
      </c>
      <c r="Y202" s="303">
        <v>0</v>
      </c>
      <c r="Z202" s="293">
        <v>4</v>
      </c>
      <c r="AA202" s="283">
        <v>21</v>
      </c>
      <c r="AB202" s="307">
        <v>582</v>
      </c>
      <c r="AC202" s="293">
        <v>105185</v>
      </c>
      <c r="AD202" s="283">
        <v>2525</v>
      </c>
      <c r="AE202" s="284">
        <v>0.02</v>
      </c>
      <c r="AF202" s="282" t="s">
        <v>1037</v>
      </c>
      <c r="AG202" s="303">
        <v>0</v>
      </c>
      <c r="AH202" s="293">
        <v>83</v>
      </c>
      <c r="AI202" s="283">
        <v>216</v>
      </c>
      <c r="AJ202" s="307">
        <v>1091</v>
      </c>
      <c r="AK202" s="293">
        <v>236</v>
      </c>
      <c r="AL202" s="283">
        <v>748</v>
      </c>
      <c r="AM202" s="307">
        <v>1431</v>
      </c>
      <c r="AN202" s="293">
        <v>162</v>
      </c>
      <c r="AO202" s="283">
        <v>349</v>
      </c>
      <c r="AP202" s="307">
        <v>1439</v>
      </c>
      <c r="AQ202" s="293">
        <v>108655</v>
      </c>
      <c r="AR202" s="283">
        <v>0</v>
      </c>
      <c r="AS202" s="284">
        <v>0</v>
      </c>
      <c r="AT202" s="282" t="s">
        <v>1037</v>
      </c>
      <c r="AU202" s="303">
        <v>0</v>
      </c>
      <c r="AV202" s="293">
        <v>178</v>
      </c>
      <c r="AW202" s="283">
        <v>460</v>
      </c>
      <c r="AX202" s="286">
        <v>1439</v>
      </c>
      <c r="AY202" s="93"/>
      <c r="AZ202" s="93"/>
      <c r="BA202" s="93"/>
    </row>
    <row r="203" spans="1:53" ht="22.5" customHeight="1" x14ac:dyDescent="0.2">
      <c r="A203" s="281" t="s">
        <v>1031</v>
      </c>
      <c r="B203" s="296" t="s">
        <v>1030</v>
      </c>
      <c r="C203" s="293">
        <v>15045</v>
      </c>
      <c r="D203" s="283" t="s">
        <v>706</v>
      </c>
      <c r="E203" s="284" t="s">
        <v>706</v>
      </c>
      <c r="F203" s="298" t="s">
        <v>706</v>
      </c>
      <c r="G203" s="293">
        <v>15045</v>
      </c>
      <c r="H203" s="283">
        <v>0</v>
      </c>
      <c r="I203" s="285">
        <v>0</v>
      </c>
      <c r="J203" s="300">
        <v>0</v>
      </c>
      <c r="K203" s="293">
        <v>15045</v>
      </c>
      <c r="L203" s="283">
        <v>775</v>
      </c>
      <c r="M203" s="300">
        <v>0.05</v>
      </c>
      <c r="N203" s="293">
        <v>15045</v>
      </c>
      <c r="O203" s="283">
        <v>0</v>
      </c>
      <c r="P203" s="300">
        <v>0</v>
      </c>
      <c r="Q203" s="293">
        <v>15045</v>
      </c>
      <c r="R203" s="283">
        <v>1270</v>
      </c>
      <c r="S203" s="303">
        <v>0.08</v>
      </c>
      <c r="T203" s="302">
        <v>0</v>
      </c>
      <c r="U203" s="293">
        <v>55</v>
      </c>
      <c r="V203" s="283">
        <v>0</v>
      </c>
      <c r="W203" s="284" t="s">
        <v>1037</v>
      </c>
      <c r="X203" s="282" t="s">
        <v>1037</v>
      </c>
      <c r="Y203" s="303" t="s">
        <v>1037</v>
      </c>
      <c r="Z203" s="293">
        <v>1</v>
      </c>
      <c r="AA203" s="283">
        <v>10</v>
      </c>
      <c r="AB203" s="307">
        <v>15</v>
      </c>
      <c r="AC203" s="293">
        <v>14260</v>
      </c>
      <c r="AD203" s="283">
        <v>80</v>
      </c>
      <c r="AE203" s="284">
        <v>0.01</v>
      </c>
      <c r="AF203" s="282" t="s">
        <v>1037</v>
      </c>
      <c r="AG203" s="303">
        <v>0</v>
      </c>
      <c r="AH203" s="293">
        <v>26</v>
      </c>
      <c r="AI203" s="283">
        <v>142</v>
      </c>
      <c r="AJ203" s="307">
        <v>908</v>
      </c>
      <c r="AK203" s="293" t="s">
        <v>706</v>
      </c>
      <c r="AL203" s="283" t="s">
        <v>706</v>
      </c>
      <c r="AM203" s="307" t="s">
        <v>706</v>
      </c>
      <c r="AN203" s="293">
        <v>57</v>
      </c>
      <c r="AO203" s="283">
        <v>182</v>
      </c>
      <c r="AP203" s="307">
        <v>951</v>
      </c>
      <c r="AQ203" s="293">
        <v>15045</v>
      </c>
      <c r="AR203" s="283">
        <v>0</v>
      </c>
      <c r="AS203" s="284">
        <v>0</v>
      </c>
      <c r="AT203" s="282" t="s">
        <v>1037</v>
      </c>
      <c r="AU203" s="303">
        <v>0</v>
      </c>
      <c r="AV203" s="293">
        <v>57</v>
      </c>
      <c r="AW203" s="283">
        <v>182</v>
      </c>
      <c r="AX203" s="286">
        <v>951</v>
      </c>
      <c r="AY203" s="93"/>
      <c r="AZ203" s="93"/>
      <c r="BA203" s="93"/>
    </row>
    <row r="204" spans="1:53" ht="22.5" customHeight="1" x14ac:dyDescent="0.2">
      <c r="A204" s="281" t="s">
        <v>439</v>
      </c>
      <c r="B204" s="296" t="s">
        <v>898</v>
      </c>
      <c r="C204" s="293">
        <v>87770</v>
      </c>
      <c r="D204" s="283">
        <v>51682</v>
      </c>
      <c r="E204" s="284">
        <v>1.7</v>
      </c>
      <c r="F204" s="298" t="s">
        <v>735</v>
      </c>
      <c r="G204" s="293">
        <v>87770</v>
      </c>
      <c r="H204" s="283">
        <v>87770</v>
      </c>
      <c r="I204" s="285">
        <v>1</v>
      </c>
      <c r="J204" s="300">
        <v>0</v>
      </c>
      <c r="K204" s="293" t="s">
        <v>706</v>
      </c>
      <c r="L204" s="283" t="s">
        <v>706</v>
      </c>
      <c r="M204" s="300" t="s">
        <v>706</v>
      </c>
      <c r="N204" s="293">
        <v>87770</v>
      </c>
      <c r="O204" s="283">
        <v>0</v>
      </c>
      <c r="P204" s="300">
        <v>0</v>
      </c>
      <c r="Q204" s="293">
        <v>87770</v>
      </c>
      <c r="R204" s="283">
        <v>10475</v>
      </c>
      <c r="S204" s="303">
        <v>0.12</v>
      </c>
      <c r="T204" s="302">
        <v>0</v>
      </c>
      <c r="U204" s="293" t="s">
        <v>706</v>
      </c>
      <c r="V204" s="283" t="s">
        <v>706</v>
      </c>
      <c r="W204" s="284" t="s">
        <v>706</v>
      </c>
      <c r="X204" s="282" t="s">
        <v>1037</v>
      </c>
      <c r="Y204" s="303" t="s">
        <v>706</v>
      </c>
      <c r="Z204" s="293" t="s">
        <v>706</v>
      </c>
      <c r="AA204" s="283" t="s">
        <v>706</v>
      </c>
      <c r="AB204" s="307" t="s">
        <v>706</v>
      </c>
      <c r="AC204" s="293" t="s">
        <v>706</v>
      </c>
      <c r="AD204" s="283" t="s">
        <v>706</v>
      </c>
      <c r="AE204" s="284" t="s">
        <v>706</v>
      </c>
      <c r="AF204" s="282" t="s">
        <v>1037</v>
      </c>
      <c r="AG204" s="303" t="s">
        <v>706</v>
      </c>
      <c r="AH204" s="293" t="s">
        <v>706</v>
      </c>
      <c r="AI204" s="283" t="s">
        <v>706</v>
      </c>
      <c r="AJ204" s="307" t="s">
        <v>706</v>
      </c>
      <c r="AK204" s="293" t="s">
        <v>706</v>
      </c>
      <c r="AL204" s="283" t="s">
        <v>706</v>
      </c>
      <c r="AM204" s="307" t="s">
        <v>706</v>
      </c>
      <c r="AN204" s="293" t="s">
        <v>706</v>
      </c>
      <c r="AO204" s="283" t="s">
        <v>706</v>
      </c>
      <c r="AP204" s="307" t="s">
        <v>706</v>
      </c>
      <c r="AQ204" s="293">
        <v>87770</v>
      </c>
      <c r="AR204" s="283">
        <v>87770</v>
      </c>
      <c r="AS204" s="284">
        <v>1</v>
      </c>
      <c r="AT204" s="282" t="s">
        <v>1037</v>
      </c>
      <c r="AU204" s="303">
        <v>0</v>
      </c>
      <c r="AV204" s="293">
        <v>0</v>
      </c>
      <c r="AW204" s="283">
        <v>0</v>
      </c>
      <c r="AX204" s="286">
        <v>0</v>
      </c>
      <c r="AY204" s="93"/>
      <c r="AZ204" s="93"/>
      <c r="BA204" s="93"/>
    </row>
    <row r="205" spans="1:53" ht="22.5" customHeight="1" x14ac:dyDescent="0.2">
      <c r="A205" s="281" t="s">
        <v>431</v>
      </c>
      <c r="B205" s="296" t="s">
        <v>774</v>
      </c>
      <c r="C205" s="293">
        <v>90480</v>
      </c>
      <c r="D205" s="283">
        <v>127990</v>
      </c>
      <c r="E205" s="284">
        <v>0.71</v>
      </c>
      <c r="F205" s="298" t="s">
        <v>735</v>
      </c>
      <c r="G205" s="293">
        <v>90480</v>
      </c>
      <c r="H205" s="283">
        <v>70</v>
      </c>
      <c r="I205" s="285">
        <v>0</v>
      </c>
      <c r="J205" s="300">
        <v>0</v>
      </c>
      <c r="K205" s="293">
        <v>90410</v>
      </c>
      <c r="L205" s="283">
        <v>460</v>
      </c>
      <c r="M205" s="300">
        <v>0.01</v>
      </c>
      <c r="N205" s="293">
        <v>90520</v>
      </c>
      <c r="O205" s="283">
        <v>40</v>
      </c>
      <c r="P205" s="300">
        <v>0</v>
      </c>
      <c r="Q205" s="293">
        <v>90480</v>
      </c>
      <c r="R205" s="283">
        <v>5735</v>
      </c>
      <c r="S205" s="303">
        <v>0.06</v>
      </c>
      <c r="T205" s="302">
        <v>0</v>
      </c>
      <c r="U205" s="293">
        <v>29485</v>
      </c>
      <c r="V205" s="283">
        <v>500</v>
      </c>
      <c r="W205" s="284">
        <v>0.02</v>
      </c>
      <c r="X205" s="282" t="s">
        <v>1037</v>
      </c>
      <c r="Y205" s="303">
        <v>0</v>
      </c>
      <c r="Z205" s="293">
        <v>18</v>
      </c>
      <c r="AA205" s="283">
        <v>88</v>
      </c>
      <c r="AB205" s="307">
        <v>1434</v>
      </c>
      <c r="AC205" s="293">
        <v>89865</v>
      </c>
      <c r="AD205" s="283">
        <v>5415</v>
      </c>
      <c r="AE205" s="284">
        <v>0.06</v>
      </c>
      <c r="AF205" s="282" t="s">
        <v>1037</v>
      </c>
      <c r="AG205" s="303">
        <v>0</v>
      </c>
      <c r="AH205" s="293">
        <v>73</v>
      </c>
      <c r="AI205" s="283">
        <v>211</v>
      </c>
      <c r="AJ205" s="307">
        <v>1438</v>
      </c>
      <c r="AK205" s="293">
        <v>382</v>
      </c>
      <c r="AL205" s="283">
        <v>976</v>
      </c>
      <c r="AM205" s="307">
        <v>1429</v>
      </c>
      <c r="AN205" s="293">
        <v>160</v>
      </c>
      <c r="AO205" s="283">
        <v>406</v>
      </c>
      <c r="AP205" s="307">
        <v>1433</v>
      </c>
      <c r="AQ205" s="293">
        <v>90480</v>
      </c>
      <c r="AR205" s="283">
        <v>0</v>
      </c>
      <c r="AS205" s="284">
        <v>0</v>
      </c>
      <c r="AT205" s="282" t="s">
        <v>1037</v>
      </c>
      <c r="AU205" s="303">
        <v>0</v>
      </c>
      <c r="AV205" s="293">
        <v>189</v>
      </c>
      <c r="AW205" s="283">
        <v>706</v>
      </c>
      <c r="AX205" s="286">
        <v>1433</v>
      </c>
      <c r="AY205" s="93"/>
      <c r="AZ205" s="93"/>
      <c r="BA205" s="93"/>
    </row>
    <row r="206" spans="1:53" ht="22.5" customHeight="1" x14ac:dyDescent="0.2">
      <c r="A206" s="281" t="s">
        <v>632</v>
      </c>
      <c r="B206" s="296" t="s">
        <v>732</v>
      </c>
      <c r="C206" s="293">
        <v>15</v>
      </c>
      <c r="D206" s="283">
        <v>17</v>
      </c>
      <c r="E206" s="284" t="s">
        <v>1037</v>
      </c>
      <c r="F206" s="298" t="s">
        <v>721</v>
      </c>
      <c r="G206" s="293">
        <v>15</v>
      </c>
      <c r="H206" s="283">
        <v>0</v>
      </c>
      <c r="I206" s="285" t="s">
        <v>1037</v>
      </c>
      <c r="J206" s="300" t="s">
        <v>1037</v>
      </c>
      <c r="K206" s="293">
        <v>15</v>
      </c>
      <c r="L206" s="283">
        <v>0</v>
      </c>
      <c r="M206" s="300" t="s">
        <v>1037</v>
      </c>
      <c r="N206" s="293">
        <v>15</v>
      </c>
      <c r="O206" s="283">
        <v>0</v>
      </c>
      <c r="P206" s="300" t="s">
        <v>1037</v>
      </c>
      <c r="Q206" s="293">
        <v>15</v>
      </c>
      <c r="R206" s="283" t="s">
        <v>706</v>
      </c>
      <c r="S206" s="303" t="s">
        <v>706</v>
      </c>
      <c r="T206" s="302" t="s">
        <v>1037</v>
      </c>
      <c r="U206" s="293" t="s">
        <v>706</v>
      </c>
      <c r="V206" s="283" t="s">
        <v>706</v>
      </c>
      <c r="W206" s="284" t="s">
        <v>706</v>
      </c>
      <c r="X206" s="282" t="s">
        <v>1037</v>
      </c>
      <c r="Y206" s="303" t="s">
        <v>706</v>
      </c>
      <c r="Z206" s="293" t="s">
        <v>706</v>
      </c>
      <c r="AA206" s="283" t="s">
        <v>706</v>
      </c>
      <c r="AB206" s="307" t="s">
        <v>706</v>
      </c>
      <c r="AC206" s="293">
        <v>15</v>
      </c>
      <c r="AD206" s="283">
        <v>0</v>
      </c>
      <c r="AE206" s="284" t="s">
        <v>1037</v>
      </c>
      <c r="AF206" s="282" t="s">
        <v>1037</v>
      </c>
      <c r="AG206" s="303" t="s">
        <v>1037</v>
      </c>
      <c r="AH206" s="293">
        <v>3</v>
      </c>
      <c r="AI206" s="283">
        <v>17</v>
      </c>
      <c r="AJ206" s="307">
        <v>17</v>
      </c>
      <c r="AK206" s="293" t="s">
        <v>706</v>
      </c>
      <c r="AL206" s="283" t="s">
        <v>706</v>
      </c>
      <c r="AM206" s="307" t="s">
        <v>706</v>
      </c>
      <c r="AN206" s="293">
        <v>20</v>
      </c>
      <c r="AO206" s="283">
        <v>32</v>
      </c>
      <c r="AP206" s="307">
        <v>32</v>
      </c>
      <c r="AQ206" s="293">
        <v>15</v>
      </c>
      <c r="AR206" s="283">
        <v>0</v>
      </c>
      <c r="AS206" s="284" t="s">
        <v>1037</v>
      </c>
      <c r="AT206" s="282" t="s">
        <v>1037</v>
      </c>
      <c r="AU206" s="303" t="s">
        <v>1037</v>
      </c>
      <c r="AV206" s="293">
        <v>20</v>
      </c>
      <c r="AW206" s="283">
        <v>32</v>
      </c>
      <c r="AX206" s="286">
        <v>32</v>
      </c>
      <c r="AY206" s="93"/>
      <c r="AZ206" s="93"/>
      <c r="BA206" s="93"/>
    </row>
    <row r="207" spans="1:53" ht="22.5" customHeight="1" x14ac:dyDescent="0.2">
      <c r="A207" s="281" t="s">
        <v>645</v>
      </c>
      <c r="B207" s="296" t="s">
        <v>752</v>
      </c>
      <c r="C207" s="293">
        <v>39925</v>
      </c>
      <c r="D207" s="283">
        <v>42113</v>
      </c>
      <c r="E207" s="284">
        <v>0.95</v>
      </c>
      <c r="F207" s="298" t="s">
        <v>712</v>
      </c>
      <c r="G207" s="293">
        <v>39925</v>
      </c>
      <c r="H207" s="283">
        <v>225</v>
      </c>
      <c r="I207" s="285">
        <v>0.01</v>
      </c>
      <c r="J207" s="300">
        <v>0</v>
      </c>
      <c r="K207" s="293">
        <v>39695</v>
      </c>
      <c r="L207" s="283">
        <v>0</v>
      </c>
      <c r="M207" s="300">
        <v>0</v>
      </c>
      <c r="N207" s="293">
        <v>39925</v>
      </c>
      <c r="O207" s="283">
        <v>0</v>
      </c>
      <c r="P207" s="300">
        <v>0</v>
      </c>
      <c r="Q207" s="293">
        <v>39925</v>
      </c>
      <c r="R207" s="283">
        <v>2760</v>
      </c>
      <c r="S207" s="303">
        <v>7.0000000000000007E-2</v>
      </c>
      <c r="T207" s="302">
        <v>0</v>
      </c>
      <c r="U207" s="293">
        <v>25</v>
      </c>
      <c r="V207" s="283">
        <v>15</v>
      </c>
      <c r="W207" s="284" t="s">
        <v>1037</v>
      </c>
      <c r="X207" s="282" t="s">
        <v>1037</v>
      </c>
      <c r="Y207" s="303" t="s">
        <v>1037</v>
      </c>
      <c r="Z207" s="293">
        <v>5</v>
      </c>
      <c r="AA207" s="283">
        <v>16</v>
      </c>
      <c r="AB207" s="307">
        <v>16</v>
      </c>
      <c r="AC207" s="293">
        <v>39695</v>
      </c>
      <c r="AD207" s="283" t="s">
        <v>906</v>
      </c>
      <c r="AE207" s="284" t="s">
        <v>906</v>
      </c>
      <c r="AF207" s="282" t="s">
        <v>1037</v>
      </c>
      <c r="AG207" s="303">
        <v>0</v>
      </c>
      <c r="AH207" s="293">
        <v>43</v>
      </c>
      <c r="AI207" s="283">
        <v>126</v>
      </c>
      <c r="AJ207" s="307">
        <v>281</v>
      </c>
      <c r="AK207" s="293" t="s">
        <v>706</v>
      </c>
      <c r="AL207" s="283" t="s">
        <v>706</v>
      </c>
      <c r="AM207" s="307" t="s">
        <v>706</v>
      </c>
      <c r="AN207" s="293">
        <v>81</v>
      </c>
      <c r="AO207" s="283">
        <v>182</v>
      </c>
      <c r="AP207" s="307">
        <v>820</v>
      </c>
      <c r="AQ207" s="293">
        <v>39925</v>
      </c>
      <c r="AR207" s="283">
        <v>0</v>
      </c>
      <c r="AS207" s="284">
        <v>0</v>
      </c>
      <c r="AT207" s="282" t="s">
        <v>1037</v>
      </c>
      <c r="AU207" s="303">
        <v>0</v>
      </c>
      <c r="AV207" s="293">
        <v>81</v>
      </c>
      <c r="AW207" s="283">
        <v>182</v>
      </c>
      <c r="AX207" s="286">
        <v>820</v>
      </c>
      <c r="AY207" s="93"/>
      <c r="AZ207" s="93"/>
      <c r="BA207" s="93"/>
    </row>
    <row r="208" spans="1:53" ht="22.5" customHeight="1" x14ac:dyDescent="0.2">
      <c r="A208" s="281" t="s">
        <v>469</v>
      </c>
      <c r="B208" s="296" t="s">
        <v>880</v>
      </c>
      <c r="C208" s="293">
        <v>197820</v>
      </c>
      <c r="D208" s="283">
        <v>194971</v>
      </c>
      <c r="E208" s="284">
        <v>1.01</v>
      </c>
      <c r="F208" s="298" t="s">
        <v>712</v>
      </c>
      <c r="G208" s="293">
        <v>197820</v>
      </c>
      <c r="H208" s="283">
        <v>73850</v>
      </c>
      <c r="I208" s="285">
        <v>0.37</v>
      </c>
      <c r="J208" s="300" t="s">
        <v>906</v>
      </c>
      <c r="K208" s="293">
        <v>123970</v>
      </c>
      <c r="L208" s="283">
        <v>390</v>
      </c>
      <c r="M208" s="300">
        <v>0</v>
      </c>
      <c r="N208" s="293">
        <v>197820</v>
      </c>
      <c r="O208" s="283">
        <v>0</v>
      </c>
      <c r="P208" s="300">
        <v>0</v>
      </c>
      <c r="Q208" s="293">
        <v>197820</v>
      </c>
      <c r="R208" s="283">
        <v>22000</v>
      </c>
      <c r="S208" s="303">
        <v>0.11</v>
      </c>
      <c r="T208" s="302">
        <v>0</v>
      </c>
      <c r="U208" s="293">
        <v>51675</v>
      </c>
      <c r="V208" s="283">
        <v>15</v>
      </c>
      <c r="W208" s="284">
        <v>0</v>
      </c>
      <c r="X208" s="282" t="s">
        <v>1037</v>
      </c>
      <c r="Y208" s="303">
        <v>0</v>
      </c>
      <c r="Z208" s="293">
        <v>10</v>
      </c>
      <c r="AA208" s="283">
        <v>87</v>
      </c>
      <c r="AB208" s="307">
        <v>1382</v>
      </c>
      <c r="AC208" s="293">
        <v>123580</v>
      </c>
      <c r="AD208" s="283">
        <v>215</v>
      </c>
      <c r="AE208" s="284">
        <v>0</v>
      </c>
      <c r="AF208" s="282" t="s">
        <v>1037</v>
      </c>
      <c r="AG208" s="303">
        <v>0</v>
      </c>
      <c r="AH208" s="293">
        <v>81</v>
      </c>
      <c r="AI208" s="283">
        <v>274</v>
      </c>
      <c r="AJ208" s="307">
        <v>1434</v>
      </c>
      <c r="AK208" s="293">
        <v>235</v>
      </c>
      <c r="AL208" s="283">
        <v>1035</v>
      </c>
      <c r="AM208" s="307">
        <v>1427</v>
      </c>
      <c r="AN208" s="293">
        <v>189</v>
      </c>
      <c r="AO208" s="283">
        <v>857</v>
      </c>
      <c r="AP208" s="307">
        <v>1439</v>
      </c>
      <c r="AQ208" s="293">
        <v>197820</v>
      </c>
      <c r="AR208" s="283" t="s">
        <v>906</v>
      </c>
      <c r="AS208" s="284" t="s">
        <v>906</v>
      </c>
      <c r="AT208" s="282" t="s">
        <v>1037</v>
      </c>
      <c r="AU208" s="303">
        <v>0</v>
      </c>
      <c r="AV208" s="293">
        <v>136</v>
      </c>
      <c r="AW208" s="283">
        <v>780</v>
      </c>
      <c r="AX208" s="286">
        <v>1439</v>
      </c>
      <c r="AY208" s="93"/>
      <c r="AZ208" s="93"/>
      <c r="BA208" s="93"/>
    </row>
    <row r="209" spans="1:53" ht="22.5" customHeight="1" x14ac:dyDescent="0.2">
      <c r="A209" s="281" t="s">
        <v>432</v>
      </c>
      <c r="B209" s="296" t="s">
        <v>854</v>
      </c>
      <c r="C209" s="293">
        <v>94040</v>
      </c>
      <c r="D209" s="283">
        <v>94076</v>
      </c>
      <c r="E209" s="284">
        <v>1</v>
      </c>
      <c r="F209" s="298" t="s">
        <v>712</v>
      </c>
      <c r="G209" s="293">
        <v>94040</v>
      </c>
      <c r="H209" s="283">
        <v>34435</v>
      </c>
      <c r="I209" s="285">
        <v>0.37</v>
      </c>
      <c r="J209" s="300">
        <v>0</v>
      </c>
      <c r="K209" s="293">
        <v>59605</v>
      </c>
      <c r="L209" s="283">
        <v>1760</v>
      </c>
      <c r="M209" s="300">
        <v>0.03</v>
      </c>
      <c r="N209" s="293">
        <v>94040</v>
      </c>
      <c r="O209" s="283">
        <v>0</v>
      </c>
      <c r="P209" s="300">
        <v>0</v>
      </c>
      <c r="Q209" s="293">
        <v>94040</v>
      </c>
      <c r="R209" s="283">
        <v>7260</v>
      </c>
      <c r="S209" s="303">
        <v>0.08</v>
      </c>
      <c r="T209" s="302">
        <v>0</v>
      </c>
      <c r="U209" s="293">
        <v>26310</v>
      </c>
      <c r="V209" s="283">
        <v>120</v>
      </c>
      <c r="W209" s="284">
        <v>0</v>
      </c>
      <c r="X209" s="282" t="s">
        <v>1037</v>
      </c>
      <c r="Y209" s="303">
        <v>0</v>
      </c>
      <c r="Z209" s="293">
        <v>6</v>
      </c>
      <c r="AA209" s="283">
        <v>27</v>
      </c>
      <c r="AB209" s="307">
        <v>1433</v>
      </c>
      <c r="AC209" s="293">
        <v>57695</v>
      </c>
      <c r="AD209" s="283">
        <v>2790</v>
      </c>
      <c r="AE209" s="284">
        <v>0.05</v>
      </c>
      <c r="AF209" s="282" t="s">
        <v>1037</v>
      </c>
      <c r="AG209" s="303">
        <v>0</v>
      </c>
      <c r="AH209" s="293">
        <v>67</v>
      </c>
      <c r="AI209" s="283">
        <v>219</v>
      </c>
      <c r="AJ209" s="307">
        <v>932</v>
      </c>
      <c r="AK209" s="293">
        <v>233</v>
      </c>
      <c r="AL209" s="283">
        <v>635</v>
      </c>
      <c r="AM209" s="307">
        <v>1317</v>
      </c>
      <c r="AN209" s="293">
        <v>128</v>
      </c>
      <c r="AO209" s="283">
        <v>285</v>
      </c>
      <c r="AP209" s="307">
        <v>1070</v>
      </c>
      <c r="AQ209" s="293">
        <v>94040</v>
      </c>
      <c r="AR209" s="283" t="s">
        <v>906</v>
      </c>
      <c r="AS209" s="284" t="s">
        <v>906</v>
      </c>
      <c r="AT209" s="282" t="s">
        <v>1037</v>
      </c>
      <c r="AU209" s="303">
        <v>0</v>
      </c>
      <c r="AV209" s="293">
        <v>174</v>
      </c>
      <c r="AW209" s="283">
        <v>469</v>
      </c>
      <c r="AX209" s="286">
        <v>1418</v>
      </c>
      <c r="AY209" s="93"/>
      <c r="AZ209" s="93"/>
      <c r="BA209" s="93"/>
    </row>
    <row r="210" spans="1:53" ht="22.5" customHeight="1" x14ac:dyDescent="0.2">
      <c r="A210" s="281" t="s">
        <v>433</v>
      </c>
      <c r="B210" s="296" t="s">
        <v>826</v>
      </c>
      <c r="C210" s="293">
        <v>61060</v>
      </c>
      <c r="D210" s="283">
        <v>63775</v>
      </c>
      <c r="E210" s="284">
        <v>0.96</v>
      </c>
      <c r="F210" s="298" t="s">
        <v>712</v>
      </c>
      <c r="G210" s="293">
        <v>61060</v>
      </c>
      <c r="H210" s="283">
        <v>185</v>
      </c>
      <c r="I210" s="285">
        <v>0</v>
      </c>
      <c r="J210" s="300">
        <v>0</v>
      </c>
      <c r="K210" s="293">
        <v>60880</v>
      </c>
      <c r="L210" s="283">
        <v>1805</v>
      </c>
      <c r="M210" s="300">
        <v>0.03</v>
      </c>
      <c r="N210" s="293">
        <v>61060</v>
      </c>
      <c r="O210" s="283">
        <v>0</v>
      </c>
      <c r="P210" s="300">
        <v>0</v>
      </c>
      <c r="Q210" s="293">
        <v>61060</v>
      </c>
      <c r="R210" s="283">
        <v>5145</v>
      </c>
      <c r="S210" s="303">
        <v>0.08</v>
      </c>
      <c r="T210" s="302">
        <v>0</v>
      </c>
      <c r="U210" s="293">
        <v>21915</v>
      </c>
      <c r="V210" s="283">
        <v>2045</v>
      </c>
      <c r="W210" s="284">
        <v>0.09</v>
      </c>
      <c r="X210" s="282" t="s">
        <v>1037</v>
      </c>
      <c r="Y210" s="303">
        <v>0</v>
      </c>
      <c r="Z210" s="293">
        <v>18</v>
      </c>
      <c r="AA210" s="283">
        <v>68</v>
      </c>
      <c r="AB210" s="307">
        <v>1439</v>
      </c>
      <c r="AC210" s="293">
        <v>59070</v>
      </c>
      <c r="AD210" s="283">
        <v>570</v>
      </c>
      <c r="AE210" s="284">
        <v>0.01</v>
      </c>
      <c r="AF210" s="282" t="s">
        <v>1037</v>
      </c>
      <c r="AG210" s="303">
        <v>0</v>
      </c>
      <c r="AH210" s="293">
        <v>63</v>
      </c>
      <c r="AI210" s="283">
        <v>285</v>
      </c>
      <c r="AJ210" s="307">
        <v>1408</v>
      </c>
      <c r="AK210" s="293">
        <v>321</v>
      </c>
      <c r="AL210" s="283">
        <v>912</v>
      </c>
      <c r="AM210" s="307">
        <v>1437</v>
      </c>
      <c r="AN210" s="293">
        <v>146</v>
      </c>
      <c r="AO210" s="283">
        <v>464</v>
      </c>
      <c r="AP210" s="307">
        <v>1414</v>
      </c>
      <c r="AQ210" s="293">
        <v>61060</v>
      </c>
      <c r="AR210" s="283" t="s">
        <v>906</v>
      </c>
      <c r="AS210" s="284" t="s">
        <v>906</v>
      </c>
      <c r="AT210" s="282" t="s">
        <v>1037</v>
      </c>
      <c r="AU210" s="303">
        <v>0</v>
      </c>
      <c r="AV210" s="293">
        <v>189</v>
      </c>
      <c r="AW210" s="283">
        <v>688</v>
      </c>
      <c r="AX210" s="286">
        <v>1437</v>
      </c>
      <c r="AY210" s="93"/>
      <c r="AZ210" s="93"/>
      <c r="BA210" s="93"/>
    </row>
    <row r="211" spans="1:53" ht="22.5" customHeight="1" x14ac:dyDescent="0.2">
      <c r="A211" s="281" t="s">
        <v>434</v>
      </c>
      <c r="B211" s="296" t="s">
        <v>729</v>
      </c>
      <c r="C211" s="293">
        <v>18470</v>
      </c>
      <c r="D211" s="283">
        <v>20131</v>
      </c>
      <c r="E211" s="284">
        <v>0.92</v>
      </c>
      <c r="F211" s="298" t="s">
        <v>712</v>
      </c>
      <c r="G211" s="293">
        <v>18470</v>
      </c>
      <c r="H211" s="283">
        <v>0</v>
      </c>
      <c r="I211" s="285">
        <v>0</v>
      </c>
      <c r="J211" s="300">
        <v>0.14000000000000001</v>
      </c>
      <c r="K211" s="293">
        <v>18470</v>
      </c>
      <c r="L211" s="283">
        <v>225</v>
      </c>
      <c r="M211" s="300">
        <v>0.01</v>
      </c>
      <c r="N211" s="293">
        <v>18470</v>
      </c>
      <c r="O211" s="283">
        <v>0</v>
      </c>
      <c r="P211" s="300">
        <v>0</v>
      </c>
      <c r="Q211" s="293">
        <v>18470</v>
      </c>
      <c r="R211" s="283">
        <v>325</v>
      </c>
      <c r="S211" s="303">
        <v>0.02</v>
      </c>
      <c r="T211" s="302">
        <v>0</v>
      </c>
      <c r="U211" s="293">
        <v>25</v>
      </c>
      <c r="V211" s="283">
        <v>0</v>
      </c>
      <c r="W211" s="284" t="s">
        <v>1037</v>
      </c>
      <c r="X211" s="282" t="s">
        <v>708</v>
      </c>
      <c r="Y211" s="303" t="s">
        <v>1037</v>
      </c>
      <c r="Z211" s="293" t="s">
        <v>907</v>
      </c>
      <c r="AA211" s="283" t="s">
        <v>907</v>
      </c>
      <c r="AB211" s="307" t="s">
        <v>907</v>
      </c>
      <c r="AC211" s="293">
        <v>18235</v>
      </c>
      <c r="AD211" s="283">
        <v>0</v>
      </c>
      <c r="AE211" s="284">
        <v>0</v>
      </c>
      <c r="AF211" s="282" t="s">
        <v>1037</v>
      </c>
      <c r="AG211" s="303">
        <v>0</v>
      </c>
      <c r="AH211" s="293">
        <v>73</v>
      </c>
      <c r="AI211" s="283">
        <v>190</v>
      </c>
      <c r="AJ211" s="307">
        <v>925</v>
      </c>
      <c r="AK211" s="293" t="s">
        <v>906</v>
      </c>
      <c r="AL211" s="283" t="s">
        <v>906</v>
      </c>
      <c r="AM211" s="307" t="s">
        <v>906</v>
      </c>
      <c r="AN211" s="293">
        <v>78</v>
      </c>
      <c r="AO211" s="283">
        <v>195</v>
      </c>
      <c r="AP211" s="307">
        <v>397</v>
      </c>
      <c r="AQ211" s="293">
        <v>18470</v>
      </c>
      <c r="AR211" s="283">
        <v>0</v>
      </c>
      <c r="AS211" s="284">
        <v>0</v>
      </c>
      <c r="AT211" s="282" t="s">
        <v>1037</v>
      </c>
      <c r="AU211" s="303">
        <v>0</v>
      </c>
      <c r="AV211" s="293">
        <v>78</v>
      </c>
      <c r="AW211" s="283">
        <v>195</v>
      </c>
      <c r="AX211" s="286">
        <v>397</v>
      </c>
      <c r="AY211" s="93"/>
      <c r="AZ211" s="93"/>
      <c r="BA211" s="93"/>
    </row>
    <row r="212" spans="1:53" ht="22.5" customHeight="1" x14ac:dyDescent="0.2">
      <c r="A212" s="281" t="s">
        <v>435</v>
      </c>
      <c r="B212" s="296" t="s">
        <v>761</v>
      </c>
      <c r="C212" s="293">
        <v>55525</v>
      </c>
      <c r="D212" s="283">
        <v>55876</v>
      </c>
      <c r="E212" s="284">
        <v>0.99</v>
      </c>
      <c r="F212" s="298" t="s">
        <v>712</v>
      </c>
      <c r="G212" s="293">
        <v>55525</v>
      </c>
      <c r="H212" s="283">
        <v>0</v>
      </c>
      <c r="I212" s="285">
        <v>0</v>
      </c>
      <c r="J212" s="300">
        <v>0</v>
      </c>
      <c r="K212" s="293">
        <v>55525</v>
      </c>
      <c r="L212" s="283">
        <v>0</v>
      </c>
      <c r="M212" s="300">
        <v>0</v>
      </c>
      <c r="N212" s="293">
        <v>55545</v>
      </c>
      <c r="O212" s="283">
        <v>20</v>
      </c>
      <c r="P212" s="300">
        <v>0</v>
      </c>
      <c r="Q212" s="293">
        <v>55525</v>
      </c>
      <c r="R212" s="283">
        <v>3905</v>
      </c>
      <c r="S212" s="303">
        <v>7.0000000000000007E-2</v>
      </c>
      <c r="T212" s="302">
        <v>0</v>
      </c>
      <c r="U212" s="293">
        <v>16475</v>
      </c>
      <c r="V212" s="283">
        <v>10</v>
      </c>
      <c r="W212" s="284">
        <v>0</v>
      </c>
      <c r="X212" s="282" t="s">
        <v>1037</v>
      </c>
      <c r="Y212" s="303">
        <v>0</v>
      </c>
      <c r="Z212" s="293">
        <v>7</v>
      </c>
      <c r="AA212" s="283">
        <v>32</v>
      </c>
      <c r="AB212" s="307">
        <v>192</v>
      </c>
      <c r="AC212" s="293">
        <v>55525</v>
      </c>
      <c r="AD212" s="283">
        <v>7655</v>
      </c>
      <c r="AE212" s="284">
        <v>0.14000000000000001</v>
      </c>
      <c r="AF212" s="282" t="s">
        <v>1037</v>
      </c>
      <c r="AG212" s="303">
        <v>0</v>
      </c>
      <c r="AH212" s="293">
        <v>49</v>
      </c>
      <c r="AI212" s="283">
        <v>148</v>
      </c>
      <c r="AJ212" s="307">
        <v>370</v>
      </c>
      <c r="AK212" s="293">
        <v>176</v>
      </c>
      <c r="AL212" s="283">
        <v>336</v>
      </c>
      <c r="AM212" s="307">
        <v>1438</v>
      </c>
      <c r="AN212" s="293">
        <v>139</v>
      </c>
      <c r="AO212" s="283">
        <v>325</v>
      </c>
      <c r="AP212" s="307">
        <v>1433</v>
      </c>
      <c r="AQ212" s="293">
        <v>55525</v>
      </c>
      <c r="AR212" s="283">
        <v>110</v>
      </c>
      <c r="AS212" s="284">
        <v>0</v>
      </c>
      <c r="AT212" s="282" t="s">
        <v>1037</v>
      </c>
      <c r="AU212" s="303">
        <v>0</v>
      </c>
      <c r="AV212" s="293">
        <v>150</v>
      </c>
      <c r="AW212" s="283">
        <v>329</v>
      </c>
      <c r="AX212" s="286">
        <v>1438</v>
      </c>
      <c r="AY212" s="93"/>
      <c r="AZ212" s="93"/>
      <c r="BA212" s="93"/>
    </row>
    <row r="213" spans="1:53" ht="22.5" customHeight="1" x14ac:dyDescent="0.2">
      <c r="A213" s="281" t="s">
        <v>630</v>
      </c>
      <c r="B213" s="296" t="s">
        <v>726</v>
      </c>
      <c r="C213" s="293">
        <v>9500</v>
      </c>
      <c r="D213" s="283" t="s">
        <v>706</v>
      </c>
      <c r="E213" s="284" t="s">
        <v>706</v>
      </c>
      <c r="F213" s="298" t="s">
        <v>706</v>
      </c>
      <c r="G213" s="293">
        <v>9500</v>
      </c>
      <c r="H213" s="283">
        <v>0</v>
      </c>
      <c r="I213" s="285">
        <v>0</v>
      </c>
      <c r="J213" s="300">
        <v>0.05</v>
      </c>
      <c r="K213" s="293">
        <v>9500</v>
      </c>
      <c r="L213" s="283">
        <v>10</v>
      </c>
      <c r="M213" s="300">
        <v>0</v>
      </c>
      <c r="N213" s="293">
        <v>9500</v>
      </c>
      <c r="O213" s="283">
        <v>0</v>
      </c>
      <c r="P213" s="300">
        <v>0</v>
      </c>
      <c r="Q213" s="293">
        <v>9500</v>
      </c>
      <c r="R213" s="283">
        <v>140</v>
      </c>
      <c r="S213" s="303">
        <v>0.01</v>
      </c>
      <c r="T213" s="302">
        <v>0</v>
      </c>
      <c r="U213" s="293" t="s">
        <v>706</v>
      </c>
      <c r="V213" s="283" t="s">
        <v>706</v>
      </c>
      <c r="W213" s="284" t="s">
        <v>706</v>
      </c>
      <c r="X213" s="282" t="s">
        <v>1037</v>
      </c>
      <c r="Y213" s="303" t="s">
        <v>706</v>
      </c>
      <c r="Z213" s="293" t="s">
        <v>706</v>
      </c>
      <c r="AA213" s="283" t="s">
        <v>706</v>
      </c>
      <c r="AB213" s="307" t="s">
        <v>706</v>
      </c>
      <c r="AC213" s="293">
        <v>9475</v>
      </c>
      <c r="AD213" s="283">
        <v>110</v>
      </c>
      <c r="AE213" s="284">
        <v>0.01</v>
      </c>
      <c r="AF213" s="282" t="s">
        <v>1037</v>
      </c>
      <c r="AG213" s="303">
        <v>0</v>
      </c>
      <c r="AH213" s="293">
        <v>29</v>
      </c>
      <c r="AI213" s="283">
        <v>117</v>
      </c>
      <c r="AJ213" s="307">
        <v>1439</v>
      </c>
      <c r="AK213" s="293">
        <v>59</v>
      </c>
      <c r="AL213" s="283">
        <v>143</v>
      </c>
      <c r="AM213" s="307">
        <v>1432</v>
      </c>
      <c r="AN213" s="293">
        <v>46</v>
      </c>
      <c r="AO213" s="283">
        <v>134</v>
      </c>
      <c r="AP213" s="307">
        <v>1439</v>
      </c>
      <c r="AQ213" s="293">
        <v>9500</v>
      </c>
      <c r="AR213" s="283">
        <v>110</v>
      </c>
      <c r="AS213" s="284">
        <v>0.01</v>
      </c>
      <c r="AT213" s="282" t="s">
        <v>1037</v>
      </c>
      <c r="AU213" s="303">
        <v>0</v>
      </c>
      <c r="AV213" s="293">
        <v>46</v>
      </c>
      <c r="AW213" s="283">
        <v>134</v>
      </c>
      <c r="AX213" s="286">
        <v>1439</v>
      </c>
      <c r="AY213" s="93"/>
      <c r="AZ213" s="93"/>
      <c r="BA213" s="93"/>
    </row>
    <row r="214" spans="1:53" ht="22.5" customHeight="1" thickBot="1" x14ac:dyDescent="0.25">
      <c r="A214" s="287" t="s">
        <v>436</v>
      </c>
      <c r="B214" s="297" t="s">
        <v>780</v>
      </c>
      <c r="C214" s="294">
        <v>131340</v>
      </c>
      <c r="D214" s="288">
        <v>205078</v>
      </c>
      <c r="E214" s="289">
        <v>0.64</v>
      </c>
      <c r="F214" s="299" t="s">
        <v>735</v>
      </c>
      <c r="G214" s="294">
        <v>131340</v>
      </c>
      <c r="H214" s="288">
        <v>0</v>
      </c>
      <c r="I214" s="291">
        <v>0</v>
      </c>
      <c r="J214" s="301" t="s">
        <v>906</v>
      </c>
      <c r="K214" s="294">
        <v>131340</v>
      </c>
      <c r="L214" s="288">
        <v>4410</v>
      </c>
      <c r="M214" s="301">
        <v>0.03</v>
      </c>
      <c r="N214" s="294">
        <v>131340</v>
      </c>
      <c r="O214" s="288">
        <v>0</v>
      </c>
      <c r="P214" s="301">
        <v>0</v>
      </c>
      <c r="Q214" s="294">
        <v>131340</v>
      </c>
      <c r="R214" s="288">
        <v>10185</v>
      </c>
      <c r="S214" s="304">
        <v>0.08</v>
      </c>
      <c r="T214" s="306">
        <v>0</v>
      </c>
      <c r="U214" s="294">
        <v>50575</v>
      </c>
      <c r="V214" s="288">
        <v>225</v>
      </c>
      <c r="W214" s="289">
        <v>0</v>
      </c>
      <c r="X214" s="290" t="s">
        <v>1037</v>
      </c>
      <c r="Y214" s="304">
        <v>0</v>
      </c>
      <c r="Z214" s="294">
        <v>13</v>
      </c>
      <c r="AA214" s="288">
        <v>104</v>
      </c>
      <c r="AB214" s="308">
        <v>620</v>
      </c>
      <c r="AC214" s="294">
        <v>126935</v>
      </c>
      <c r="AD214" s="288">
        <v>10600</v>
      </c>
      <c r="AE214" s="289">
        <v>0.08</v>
      </c>
      <c r="AF214" s="290" t="s">
        <v>1037</v>
      </c>
      <c r="AG214" s="304">
        <v>0</v>
      </c>
      <c r="AH214" s="294">
        <v>75</v>
      </c>
      <c r="AI214" s="288">
        <v>243</v>
      </c>
      <c r="AJ214" s="308">
        <v>1063</v>
      </c>
      <c r="AK214" s="294">
        <v>223</v>
      </c>
      <c r="AL214" s="288">
        <v>584</v>
      </c>
      <c r="AM214" s="308">
        <v>1438</v>
      </c>
      <c r="AN214" s="294">
        <v>139</v>
      </c>
      <c r="AO214" s="288">
        <v>351</v>
      </c>
      <c r="AP214" s="308">
        <v>1417</v>
      </c>
      <c r="AQ214" s="294">
        <v>131340</v>
      </c>
      <c r="AR214" s="288">
        <v>0</v>
      </c>
      <c r="AS214" s="289">
        <v>0</v>
      </c>
      <c r="AT214" s="290" t="s">
        <v>1037</v>
      </c>
      <c r="AU214" s="304">
        <v>0</v>
      </c>
      <c r="AV214" s="294">
        <v>167</v>
      </c>
      <c r="AW214" s="288">
        <v>449</v>
      </c>
      <c r="AX214" s="292">
        <v>1438</v>
      </c>
      <c r="AY214" s="93"/>
      <c r="AZ214" s="93"/>
      <c r="BA214" s="93"/>
    </row>
    <row r="215" spans="1:53" x14ac:dyDescent="0.2">
      <c r="A215" s="102"/>
      <c r="B215" s="102"/>
      <c r="C215" s="98"/>
      <c r="D215" s="98"/>
      <c r="E215" s="99"/>
      <c r="F215" s="101"/>
      <c r="G215" s="98"/>
      <c r="H215" s="98"/>
      <c r="I215" s="100"/>
      <c r="J215" s="100"/>
      <c r="K215" s="98"/>
      <c r="L215" s="98"/>
      <c r="M215" s="100"/>
      <c r="N215" s="98"/>
      <c r="O215" s="98"/>
      <c r="P215" s="100"/>
      <c r="Q215" s="98"/>
      <c r="R215" s="98"/>
      <c r="S215" s="99"/>
      <c r="T215" s="99"/>
      <c r="U215" s="98"/>
      <c r="V215" s="98"/>
      <c r="W215" s="99"/>
      <c r="X215" s="101"/>
      <c r="Y215" s="99"/>
      <c r="Z215" s="98"/>
      <c r="AA215" s="98"/>
      <c r="AB215" s="98"/>
      <c r="AC215" s="98"/>
      <c r="AD215" s="98"/>
      <c r="AE215" s="99"/>
      <c r="AF215" s="101"/>
      <c r="AG215" s="99"/>
      <c r="AH215" s="98"/>
      <c r="AI215" s="98"/>
      <c r="AJ215" s="98"/>
      <c r="AK215" s="98"/>
      <c r="AL215" s="98"/>
      <c r="AM215" s="98"/>
      <c r="AN215" s="98"/>
      <c r="AO215" s="98"/>
      <c r="AP215" s="98"/>
      <c r="AQ215" s="98"/>
      <c r="AR215" s="98"/>
      <c r="AS215" s="99"/>
      <c r="AT215" s="101"/>
      <c r="AU215" s="99"/>
      <c r="AV215" s="98"/>
      <c r="AW215" s="98"/>
      <c r="AX215" s="98"/>
      <c r="AY215" s="93"/>
      <c r="AZ215" s="93"/>
      <c r="BA215" s="93"/>
    </row>
    <row r="216" spans="1:53" ht="157.5" customHeight="1" x14ac:dyDescent="0.2">
      <c r="A216" s="673" t="s">
        <v>1052</v>
      </c>
      <c r="B216" s="671"/>
      <c r="C216" s="671"/>
      <c r="D216" s="671"/>
      <c r="E216" s="671"/>
      <c r="F216" s="671"/>
      <c r="G216" s="671"/>
      <c r="H216" s="67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93"/>
      <c r="AZ216" s="93"/>
      <c r="BA216" s="93"/>
    </row>
    <row r="217" spans="1:53" ht="56.25" customHeight="1" x14ac:dyDescent="0.2">
      <c r="A217" s="670" t="s">
        <v>586</v>
      </c>
      <c r="B217" s="671"/>
      <c r="C217" s="671"/>
      <c r="D217" s="671"/>
      <c r="E217" s="671"/>
      <c r="F217" s="671"/>
      <c r="G217" s="671"/>
      <c r="H217" s="67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93"/>
      <c r="AZ217" s="93"/>
      <c r="BA217" s="93"/>
    </row>
    <row r="218" spans="1:53" ht="108.75" customHeight="1" x14ac:dyDescent="0.2">
      <c r="A218" s="670" t="s">
        <v>940</v>
      </c>
      <c r="B218" s="671"/>
      <c r="C218" s="671"/>
      <c r="D218" s="671"/>
      <c r="E218" s="671"/>
      <c r="F218" s="671"/>
      <c r="G218" s="671"/>
      <c r="H218" s="67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93"/>
      <c r="AZ218" s="93"/>
      <c r="BA218" s="93"/>
    </row>
    <row r="219" spans="1:53" ht="129" customHeight="1" x14ac:dyDescent="0.2">
      <c r="A219" s="677" t="s">
        <v>941</v>
      </c>
      <c r="B219" s="678"/>
      <c r="C219" s="678"/>
      <c r="D219" s="678"/>
      <c r="E219" s="678"/>
      <c r="F219" s="678"/>
      <c r="G219" s="678"/>
      <c r="H219" s="678"/>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93"/>
      <c r="AZ219" s="93"/>
      <c r="BA219" s="93"/>
    </row>
    <row r="220" spans="1:53" x14ac:dyDescent="0.2">
      <c r="A220" s="352"/>
      <c r="B220" s="351"/>
      <c r="C220" s="351"/>
      <c r="D220" s="351"/>
      <c r="E220" s="351"/>
      <c r="F220" s="351"/>
      <c r="G220" s="351"/>
      <c r="H220" s="35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93"/>
      <c r="AZ220" s="93"/>
      <c r="BA220" s="93"/>
    </row>
    <row r="221" spans="1:53" x14ac:dyDescent="0.2">
      <c r="A221" s="679" t="s">
        <v>1322</v>
      </c>
      <c r="B221" s="679"/>
      <c r="C221" s="351"/>
      <c r="D221" s="351"/>
      <c r="E221" s="351"/>
      <c r="F221" s="351"/>
      <c r="G221" s="351"/>
      <c r="H221" s="35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93"/>
      <c r="AZ221" s="93"/>
      <c r="BA221" s="93"/>
    </row>
    <row r="222" spans="1:53" x14ac:dyDescent="0.2">
      <c r="A222" s="621" t="s">
        <v>957</v>
      </c>
      <c r="B222" s="621"/>
      <c r="C222" s="621"/>
      <c r="D222" s="621"/>
      <c r="E222" s="621"/>
      <c r="F222" s="621"/>
      <c r="G222" s="621"/>
      <c r="H222" s="62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93"/>
      <c r="AZ222" s="93"/>
      <c r="BA222" s="93"/>
    </row>
    <row r="223" spans="1:53" ht="13.5" thickBot="1" x14ac:dyDescent="0.25">
      <c r="A223" s="103"/>
      <c r="B223" s="103"/>
      <c r="C223" s="103"/>
      <c r="D223" s="103"/>
      <c r="E223" s="103"/>
      <c r="F223" s="103"/>
      <c r="G223" s="103"/>
      <c r="H223" s="103"/>
      <c r="I223" s="93"/>
      <c r="J223" s="93"/>
      <c r="K223" s="93"/>
      <c r="L223" s="93"/>
      <c r="M223" s="93"/>
      <c r="N223" s="93"/>
      <c r="O223" s="93"/>
      <c r="P223" s="93"/>
      <c r="Q223" s="93"/>
      <c r="R223" s="93"/>
      <c r="S223" s="93"/>
      <c r="T223" s="93"/>
      <c r="U223" s="93"/>
      <c r="V223" s="93"/>
      <c r="W223" s="93"/>
      <c r="X223" s="93"/>
      <c r="Y223" s="93"/>
      <c r="Z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c r="AY223" s="93"/>
      <c r="AZ223" s="93"/>
      <c r="BA223" s="93"/>
    </row>
    <row r="224" spans="1:53" x14ac:dyDescent="0.2">
      <c r="A224" s="680" t="s">
        <v>10</v>
      </c>
      <c r="B224" s="680"/>
      <c r="C224" s="680"/>
      <c r="D224" s="680"/>
      <c r="E224" s="680"/>
      <c r="F224" s="680"/>
      <c r="G224" s="680"/>
      <c r="H224" s="680"/>
      <c r="I224" s="347"/>
      <c r="J224" s="347"/>
      <c r="K224" s="347"/>
      <c r="L224" s="347"/>
      <c r="M224" s="347"/>
      <c r="N224" s="347"/>
      <c r="O224" s="347"/>
      <c r="P224" s="347"/>
      <c r="Q224" s="347"/>
      <c r="R224" s="347"/>
      <c r="S224" s="347"/>
      <c r="T224" s="347"/>
      <c r="U224" s="347"/>
      <c r="V224" s="347"/>
      <c r="W224" s="347"/>
      <c r="X224" s="347"/>
      <c r="Y224" s="347"/>
      <c r="Z224" s="347"/>
      <c r="AA224" s="347"/>
      <c r="AB224" s="347"/>
      <c r="AC224" s="347"/>
      <c r="AD224" s="347"/>
      <c r="AE224" s="347"/>
      <c r="AF224" s="347"/>
      <c r="AG224" s="347"/>
      <c r="AH224" s="347"/>
      <c r="AI224" s="347"/>
      <c r="AJ224" s="347"/>
      <c r="AK224" s="347"/>
      <c r="AL224" s="347"/>
      <c r="AM224" s="347"/>
      <c r="AN224" s="347"/>
      <c r="AO224" s="347"/>
      <c r="AP224" s="347"/>
      <c r="AQ224" s="347"/>
      <c r="AR224" s="347"/>
      <c r="AS224" s="347"/>
      <c r="AT224" s="347"/>
      <c r="AU224" s="347"/>
      <c r="AV224" s="347"/>
      <c r="AW224" s="347"/>
      <c r="AX224" s="347"/>
      <c r="AY224" s="347"/>
      <c r="AZ224" s="93"/>
      <c r="BA224" s="93"/>
    </row>
    <row r="225" spans="1:53" s="448" customFormat="1" ht="12.75" customHeight="1" x14ac:dyDescent="0.2">
      <c r="A225" s="445" t="s">
        <v>1035</v>
      </c>
      <c r="B225" s="445"/>
      <c r="C225" s="445"/>
      <c r="D225" s="445"/>
      <c r="E225" s="445"/>
      <c r="F225" s="445"/>
      <c r="G225" s="445"/>
      <c r="H225" s="445"/>
      <c r="I225" s="464"/>
      <c r="J225" s="464"/>
      <c r="K225" s="464"/>
      <c r="L225" s="464"/>
      <c r="M225" s="464"/>
      <c r="N225" s="464"/>
      <c r="O225" s="464"/>
      <c r="P225" s="464"/>
      <c r="Q225" s="464"/>
      <c r="R225" s="464"/>
      <c r="S225" s="464"/>
      <c r="T225" s="464"/>
      <c r="U225" s="464"/>
      <c r="V225" s="464"/>
      <c r="W225" s="464"/>
      <c r="X225" s="464"/>
      <c r="Y225" s="464"/>
      <c r="Z225" s="464"/>
      <c r="AA225" s="464"/>
      <c r="AB225" s="464"/>
      <c r="AC225" s="464"/>
      <c r="AD225" s="464"/>
      <c r="AE225" s="464"/>
      <c r="AF225" s="464"/>
      <c r="AG225" s="464"/>
      <c r="AH225" s="464"/>
      <c r="AI225" s="464"/>
      <c r="AJ225" s="464"/>
      <c r="AK225" s="464"/>
      <c r="AL225" s="464"/>
      <c r="AM225" s="464"/>
      <c r="AN225" s="464"/>
      <c r="AO225" s="464"/>
      <c r="AP225" s="464"/>
      <c r="AQ225" s="464"/>
      <c r="AR225" s="464"/>
      <c r="AS225" s="464"/>
      <c r="AT225" s="464"/>
      <c r="AU225" s="464"/>
      <c r="AV225" s="464"/>
      <c r="AW225" s="464"/>
      <c r="AX225" s="464"/>
      <c r="AY225" s="464"/>
      <c r="AZ225" s="464"/>
      <c r="BA225" s="464"/>
    </row>
    <row r="226" spans="1:53" x14ac:dyDescent="0.2">
      <c r="A226" s="664" t="s">
        <v>587</v>
      </c>
      <c r="B226" s="664"/>
      <c r="C226" s="664"/>
      <c r="D226" s="664"/>
      <c r="E226" s="664"/>
      <c r="F226" s="664"/>
      <c r="G226" s="664"/>
      <c r="H226" s="664"/>
      <c r="I226" s="93"/>
      <c r="J226" s="93"/>
      <c r="K226" s="93"/>
      <c r="L226" s="93"/>
      <c r="M226" s="93"/>
      <c r="N226" s="93"/>
      <c r="O226" s="93"/>
      <c r="P226" s="93"/>
      <c r="Q226" s="93"/>
      <c r="R226" s="93"/>
      <c r="S226" s="93"/>
      <c r="T226" s="93"/>
      <c r="U226" s="93"/>
      <c r="V226" s="93"/>
      <c r="W226" s="93"/>
      <c r="X226" s="93"/>
      <c r="Y226" s="93"/>
      <c r="Z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row>
    <row r="227" spans="1:53" x14ac:dyDescent="0.2">
      <c r="A227" s="674" t="s">
        <v>441</v>
      </c>
      <c r="B227" s="674"/>
      <c r="C227" s="674"/>
      <c r="D227" s="674"/>
      <c r="E227" s="674"/>
      <c r="F227" s="674"/>
      <c r="G227" s="674"/>
      <c r="H227" s="674"/>
      <c r="I227" s="93"/>
      <c r="J227" s="93"/>
      <c r="K227" s="93"/>
      <c r="L227" s="93"/>
      <c r="M227" s="93"/>
      <c r="N227" s="93"/>
      <c r="O227" s="93"/>
      <c r="P227" s="93"/>
      <c r="Q227" s="93"/>
      <c r="R227" s="93"/>
      <c r="S227" s="93"/>
      <c r="T227" s="93"/>
      <c r="U227" s="93"/>
      <c r="V227" s="93"/>
      <c r="W227" s="93"/>
      <c r="X227" s="93"/>
      <c r="Y227" s="93"/>
      <c r="Z227" s="93"/>
      <c r="AA227" s="93"/>
      <c r="AB227" s="93"/>
      <c r="AC227" s="93"/>
      <c r="AD227" s="93"/>
      <c r="AE227" s="93"/>
      <c r="AF227" s="93"/>
      <c r="AG227" s="93"/>
      <c r="AH227" s="93"/>
      <c r="AI227" s="93"/>
      <c r="AJ227" s="93"/>
      <c r="AK227" s="93"/>
      <c r="AL227" s="93"/>
      <c r="AM227" s="93"/>
      <c r="AN227" s="93"/>
      <c r="AO227" s="93"/>
      <c r="AP227" s="93"/>
      <c r="AQ227" s="93"/>
      <c r="AR227" s="93"/>
      <c r="AS227" s="93"/>
      <c r="AT227" s="93"/>
      <c r="AU227" s="93"/>
      <c r="AV227" s="93"/>
      <c r="AW227" s="93"/>
      <c r="AX227" s="93"/>
      <c r="AY227" s="93"/>
      <c r="AZ227" s="93"/>
      <c r="BA227" s="93"/>
    </row>
    <row r="228" spans="1:53" ht="13.5" thickBot="1" x14ac:dyDescent="0.25">
      <c r="A228" s="675" t="s">
        <v>945</v>
      </c>
      <c r="B228" s="675"/>
      <c r="C228" s="675"/>
      <c r="D228" s="675"/>
      <c r="E228" s="675"/>
      <c r="F228" s="675"/>
      <c r="G228" s="675"/>
      <c r="H228" s="675"/>
      <c r="I228" s="348"/>
      <c r="J228" s="348"/>
      <c r="K228" s="348"/>
      <c r="L228" s="348"/>
      <c r="M228" s="348"/>
      <c r="N228" s="348"/>
      <c r="O228" s="348"/>
      <c r="P228" s="348"/>
      <c r="Q228" s="348"/>
      <c r="R228" s="348"/>
      <c r="S228" s="348"/>
      <c r="T228" s="348"/>
      <c r="U228" s="348"/>
      <c r="V228" s="348"/>
      <c r="W228" s="348"/>
      <c r="X228" s="348"/>
      <c r="Y228" s="348"/>
      <c r="Z228" s="348"/>
      <c r="AA228" s="348"/>
      <c r="AB228" s="348"/>
      <c r="AC228" s="348"/>
      <c r="AD228" s="348"/>
      <c r="AE228" s="348"/>
      <c r="AF228" s="348"/>
      <c r="AG228" s="348"/>
      <c r="AH228" s="348"/>
      <c r="AI228" s="348"/>
      <c r="AJ228" s="348"/>
      <c r="AK228" s="348"/>
      <c r="AL228" s="348"/>
      <c r="AM228" s="348"/>
      <c r="AN228" s="348"/>
      <c r="AO228" s="348"/>
      <c r="AP228" s="348"/>
      <c r="AQ228" s="348"/>
      <c r="AR228" s="348"/>
      <c r="AS228" s="348"/>
      <c r="AT228" s="348"/>
      <c r="AU228" s="348"/>
      <c r="AV228" s="348"/>
      <c r="AW228" s="348"/>
      <c r="AX228" s="348"/>
      <c r="AY228" s="348"/>
      <c r="AZ228" s="93"/>
      <c r="BA228" s="93"/>
    </row>
    <row r="229" spans="1:53" ht="14.25" x14ac:dyDescent="0.2">
      <c r="A229" s="89"/>
      <c r="B229" s="90"/>
      <c r="C229" s="90"/>
      <c r="D229" s="90"/>
      <c r="E229" s="90"/>
      <c r="F229" s="90"/>
      <c r="G229" s="90"/>
      <c r="H229" s="88"/>
      <c r="I229" s="93"/>
      <c r="J229" s="93"/>
      <c r="K229" s="93"/>
      <c r="L229" s="93"/>
      <c r="M229" s="93"/>
      <c r="N229" s="93"/>
      <c r="O229" s="93"/>
      <c r="P229" s="93"/>
      <c r="Q229" s="93"/>
      <c r="R229" s="93"/>
      <c r="S229" s="93"/>
      <c r="T229" s="93"/>
      <c r="U229" s="93"/>
      <c r="V229" s="93"/>
      <c r="W229" s="93"/>
      <c r="X229" s="93"/>
      <c r="Y229" s="93"/>
      <c r="Z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c r="AY229" s="93"/>
      <c r="AZ229" s="93"/>
      <c r="BA229" s="93"/>
    </row>
    <row r="230" spans="1:53" ht="14.25" x14ac:dyDescent="0.2">
      <c r="A230" s="676" t="s">
        <v>470</v>
      </c>
      <c r="B230" s="676"/>
      <c r="C230" s="90"/>
      <c r="D230" s="90"/>
      <c r="E230" s="90"/>
      <c r="F230" s="90"/>
      <c r="G230" s="91"/>
      <c r="H230" s="88"/>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row>
    <row r="231" spans="1:53" x14ac:dyDescent="0.2">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c r="AY231" s="93"/>
      <c r="AZ231" s="93"/>
      <c r="BA231" s="93"/>
    </row>
    <row r="232" spans="1:53" x14ac:dyDescent="0.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row>
  </sheetData>
  <mergeCells count="26">
    <mergeCell ref="A227:H227"/>
    <mergeCell ref="A228:H228"/>
    <mergeCell ref="A230:B230"/>
    <mergeCell ref="A219:H219"/>
    <mergeCell ref="A221:B221"/>
    <mergeCell ref="A222:H222"/>
    <mergeCell ref="A224:H224"/>
    <mergeCell ref="A226:H226"/>
    <mergeCell ref="AN5:AP5"/>
    <mergeCell ref="AQ5:AU5"/>
    <mergeCell ref="AV5:AX5"/>
    <mergeCell ref="A216:H216"/>
    <mergeCell ref="A217:H217"/>
    <mergeCell ref="AH5:AJ5"/>
    <mergeCell ref="AK5:AM5"/>
    <mergeCell ref="A218:H218"/>
    <mergeCell ref="Q5:S5"/>
    <mergeCell ref="U5:Y5"/>
    <mergeCell ref="Z5:AB5"/>
    <mergeCell ref="AC5:AG5"/>
    <mergeCell ref="N5:P5"/>
    <mergeCell ref="A2:H2"/>
    <mergeCell ref="A3:H3"/>
    <mergeCell ref="C5:F5"/>
    <mergeCell ref="G5:J5"/>
    <mergeCell ref="K5:M5"/>
  </mergeCells>
  <hyperlinks>
    <hyperlink ref="A227:F227" r:id="rId1" display="Contact via enquiries@NHSDigital.nhs.uk or 0300 303 5678" xr:uid="{00000000-0004-0000-2B00-000001000000}"/>
    <hyperlink ref="A230" location="Contents!A1" display="Return to Contents" xr:uid="{00000000-0004-0000-2B00-000002000000}"/>
    <hyperlink ref="A222" r:id="rId2" display="https://www.england.nhs.uk/statistics/statistical-work-areas/ae-waiting-times-and-activity/statistical-work-areasae-waiting-times-and-activityae-attendances-and-emergency-admissions-2016-17/" xr:uid="{00000000-0004-0000-2B00-000003000000}"/>
  </hyperlinks>
  <pageMargins left="0.70866141732283472" right="0.70866141732283472" top="0.74803149606299213" bottom="0.74803149606299213" header="0.31496062992125984" footer="0.31496062992125984"/>
  <pageSetup paperSize="9" scale="41" fitToWidth="3" fitToHeight="0" orientation="landscape" r:id="rId3"/>
  <rowBreaks count="1" manualBreakCount="1">
    <brk id="214" max="49" man="1"/>
  </rowBreaks>
  <colBreaks count="2" manualBreakCount="2">
    <brk id="16" max="213" man="1"/>
    <brk id="33" max="213"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2.xml><?xml version="1.0" encoding="utf-8"?>
<?mso-contentType ?>
<SharedContentType xmlns="Microsoft.SharePoint.Taxonomy.ContentTypeSync" SourceId="bb72b7f4-c981-47a4-a26e-043e4b78ebf3" ContentTypeId="0x010100CE61D9DC7AFC6844B595FD0A55B75DF702"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NHSD-2119-515027077-1261</_dlc_DocId>
    <_dlc_DocIdUrl xmlns="2c0b3723-ae66-45ac-94fb-aaf049c45b50">
      <Url>https://hscic365.sharepoint.com/sites/Teams 2/SUSprogramme/sushesanalysis/hesanalysis/ande/_layouts/15/DocIdRedir.aspx?ID=NHSD-2119-515027077-1261</Url>
      <Description>NHSD-2119-515027077-1261</Description>
    </_dlc_DocIdUrl>
    <InformationStatus xmlns="5668c8bc-6c30-45e9-80ca-5109d4270dfd">Draft</InformationStatus>
    <AuthoredDate xmlns="5668c8bc-6c30-45e9-80ca-5109d4270dfd">2018-07-05T14:37:17+00:00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2018-10-21T14:57:02+00:00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2026-07-05T14:37:17+00:00</_dlc_ExpireDate>
  </documentManagement>
</p:properties>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CF1B35-6725-4303-AA02-282D923F1B2C}">
  <ds:schemaRefs>
    <ds:schemaRef ds:uri="office.server.policy"/>
  </ds:schemaRefs>
</ds:datastoreItem>
</file>

<file path=customXml/itemProps2.xml><?xml version="1.0" encoding="utf-8"?>
<ds:datastoreItem xmlns:ds="http://schemas.openxmlformats.org/officeDocument/2006/customXml" ds:itemID="{CCEAA4B4-F201-49F9-B62D-FE8CBC27735D}">
  <ds:schemaRefs>
    <ds:schemaRef ds:uri="Microsoft.SharePoint.Taxonomy.ContentTypeSync"/>
  </ds:schemaRefs>
</ds:datastoreItem>
</file>

<file path=customXml/itemProps3.xml><?xml version="1.0" encoding="utf-8"?>
<ds:datastoreItem xmlns:ds="http://schemas.openxmlformats.org/officeDocument/2006/customXml" ds:itemID="{E15B2BC5-EA75-4137-9B15-77537074477E}">
  <ds:schemaRefs>
    <ds:schemaRef ds:uri="http://schemas.microsoft.com/sharepoint/v3/contenttype/forms"/>
  </ds:schemaRefs>
</ds:datastoreItem>
</file>

<file path=customXml/itemProps4.xml><?xml version="1.0" encoding="utf-8"?>
<ds:datastoreItem xmlns:ds="http://schemas.openxmlformats.org/officeDocument/2006/customXml" ds:itemID="{153AC959-A0B0-467B-93F6-DC13C1C8E002}">
  <ds:schemaRefs>
    <ds:schemaRef ds:uri="http://schemas.microsoft.com/office/infopath/2007/PartnerControls"/>
    <ds:schemaRef ds:uri="http://schemas.microsoft.com/sharepoint/v3"/>
    <ds:schemaRef ds:uri="http://purl.org/dc/terms/"/>
    <ds:schemaRef ds:uri="http://schemas.microsoft.com/office/2006/metadata/properties"/>
    <ds:schemaRef ds:uri="http://www.w3.org/XML/1998/namespace"/>
    <ds:schemaRef ds:uri="http://schemas.microsoft.com/office/2006/documentManagement/types"/>
    <ds:schemaRef ds:uri="http://purl.org/dc/elements/1.1/"/>
    <ds:schemaRef ds:uri="http://schemas.openxmlformats.org/package/2006/metadata/core-properties"/>
    <ds:schemaRef ds:uri="2c0b3723-ae66-45ac-94fb-aaf049c45b50"/>
    <ds:schemaRef ds:uri="5668c8bc-6c30-45e9-80ca-5109d4270dfd"/>
    <ds:schemaRef ds:uri="http://purl.org/dc/dcmitype/"/>
  </ds:schemaRefs>
</ds:datastoreItem>
</file>

<file path=customXml/itemProps5.xml><?xml version="1.0" encoding="utf-8"?>
<ds:datastoreItem xmlns:ds="http://schemas.openxmlformats.org/officeDocument/2006/customXml" ds:itemID="{94E64393-8D19-4071-AF8F-1198D10BD6D4}">
  <ds:schemaRefs>
    <ds:schemaRef ds:uri="http://schemas.microsoft.com/sharepoint/events"/>
  </ds:schemaRefs>
</ds:datastoreItem>
</file>

<file path=customXml/itemProps6.xml><?xml version="1.0" encoding="utf-8"?>
<ds:datastoreItem xmlns:ds="http://schemas.openxmlformats.org/officeDocument/2006/customXml" ds:itemID="{C66708DF-D45E-4B62-99FF-F2C08DD156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28</vt:i4>
      </vt:variant>
    </vt:vector>
  </HeadingPairs>
  <TitlesOfParts>
    <vt:vector size="57" baseType="lpstr">
      <vt:lpstr>Title sheet</vt: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Contents!Print_Area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19'!Print_Area</vt:lpstr>
      <vt:lpstr>'Table 2'!Print_Area</vt:lpstr>
      <vt:lpstr>'Table 20'!Print_Area</vt:lpstr>
      <vt:lpstr>'Table 21'!Print_Area</vt:lpstr>
      <vt:lpstr>'Table 22'!Print_Area</vt:lpstr>
      <vt:lpstr>'Table 23'!Print_Area</vt:lpstr>
      <vt:lpstr>'Table 24'!Print_Area</vt:lpstr>
      <vt:lpstr>'Table 27'!Print_Area</vt:lpstr>
      <vt:lpstr>'Table 3'!Print_Area</vt:lpstr>
      <vt:lpstr>'Table 4'!Print_Area</vt:lpstr>
      <vt:lpstr>'Table 5'!Print_Area</vt:lpstr>
      <vt:lpstr>'Table 6'!Print_Area</vt:lpstr>
      <vt:lpstr>'Table 7'!Print_Area</vt:lpstr>
      <vt:lpstr>'Table 8'!Print_Area</vt:lpstr>
      <vt:lpstr>'Table 9'!Print_Area</vt:lpstr>
      <vt:lpstr>'Title sheet'!Print_Area</vt:lpstr>
      <vt:lpstr>'Table 27'!Print_Titles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Accident and Emergency Activity, 2015-16: Tables</dc:title>
  <dc:creator/>
  <cp:lastModifiedBy/>
  <dcterms:created xsi:type="dcterms:W3CDTF">2015-10-12T09:44:32Z</dcterms:created>
  <dcterms:modified xsi:type="dcterms:W3CDTF">2019-12-24T09:52:07Z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_dlc_DocIdItemGuid">
    <vt:lpwstr>4bb8ea3f-eb8c-4506-a565-a4fc086f0eef</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14;#Document|6113f30c-7b54-4978-b917-a373efb61b62</vt:lpwstr>
  </property>
  <property fmtid="{D5CDD505-2E9C-101B-9397-08002B2CF9AE}" pid="7" name="PortfolioCode">
    <vt:lpwstr/>
  </property>
</Properties>
</file>